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44" documentId="8_{93EE22FD-1329-40CF-A7EE-3DC9DCFF3E4F}" xr6:coauthVersionLast="47" xr6:coauthVersionMax="47" xr10:uidLastSave="{CD7B750C-BE37-4EA8-9CA9-66C0748E43F0}"/>
  <bookViews>
    <workbookView xWindow="-120" yWindow="-120" windowWidth="29040" windowHeight="15720" xr2:uid="{00000000-000D-0000-FFFF-FFFF00000000}"/>
  </bookViews>
  <sheets>
    <sheet name="E5.1" sheetId="66" r:id="rId1"/>
    <sheet name="Gy2.28" sheetId="69" r:id="rId2"/>
    <sheet name="Gy2.27" sheetId="70" r:id="rId3"/>
    <sheet name="Gy2.24" sheetId="68" r:id="rId4"/>
    <sheet name="E5.2" sheetId="99" r:id="rId5"/>
    <sheet name="E5.3" sheetId="104" r:id="rId6"/>
    <sheet name="E5.4" sheetId="105" r:id="rId7"/>
    <sheet name="B.2.4.bc" sheetId="71" r:id="rId8"/>
    <sheet name="Gy2.25" sheetId="72" r:id="rId9"/>
  </sheets>
  <definedNames>
    <definedName name="_xlnm._FilterDatabase" localSheetId="0" hidden="1">'E5.1'!$B$7:$C$609</definedName>
    <definedName name="_xlnm._FilterDatabase" localSheetId="5" hidden="1">'E5.3'!$B$7:$C$608</definedName>
    <definedName name="_xlnm.Print_Area" localSheetId="7">'B.2.4.bc'!$A$1:$H$91</definedName>
    <definedName name="_xlnm.Print_Area" localSheetId="4">'E5.2'!$A$1:$N$6</definedName>
    <definedName name="_xlnm.Print_Area" localSheetId="6">'E5.4'!$A$1:$N$32</definedName>
    <definedName name="_xlnm.Print_Area" localSheetId="3">'Gy2.24'!$A$1:$I$27</definedName>
    <definedName name="_xlnm.Print_Area" localSheetId="8">'Gy2.25'!$A$1:$F$44</definedName>
    <definedName name="_xlnm.Print_Area" localSheetId="2">'Gy2.27'!$A$1:$N$32</definedName>
    <definedName name="_xlnm.Print_Area" localSheetId="1">'Gy2.28'!$A$1:$M$39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72" l="1" a="1"/>
  <c r="C43" i="72" a="1"/>
  <c r="D46" i="71" a="1"/>
  <c r="C46" i="71" a="1"/>
  <c r="D19" i="68" a="1"/>
  <c r="C19" i="68" a="1"/>
  <c r="D20" i="68"/>
  <c r="C20" i="68"/>
  <c r="D18" i="68"/>
  <c r="C18" i="68"/>
  <c r="B18" i="105" l="1"/>
  <c r="C18" i="105"/>
  <c r="D18" i="105"/>
  <c r="B23" i="105"/>
  <c r="C23" i="105"/>
  <c r="D23" i="105"/>
  <c r="E23" i="105"/>
  <c r="B24" i="105"/>
  <c r="C24" i="105"/>
  <c r="D24" i="105"/>
  <c r="E24" i="105"/>
  <c r="B25" i="105"/>
  <c r="C25" i="105"/>
  <c r="D25" i="105"/>
  <c r="E25" i="105"/>
  <c r="B26" i="105"/>
  <c r="C26" i="105"/>
  <c r="D26" i="105"/>
  <c r="E26" i="105"/>
  <c r="B27" i="105"/>
  <c r="C27" i="105"/>
  <c r="D27" i="105"/>
  <c r="E27" i="105"/>
  <c r="B28" i="105"/>
  <c r="C28" i="105"/>
  <c r="D28" i="105"/>
  <c r="E28" i="105"/>
  <c r="B29" i="105"/>
  <c r="C29" i="105"/>
  <c r="D29" i="105"/>
  <c r="E29" i="105"/>
  <c r="B30" i="105"/>
  <c r="C30" i="105"/>
  <c r="D30" i="105"/>
  <c r="E30" i="105"/>
  <c r="B31" i="105"/>
  <c r="C31" i="105"/>
  <c r="D31" i="105"/>
  <c r="E31" i="105"/>
  <c r="B32" i="105"/>
  <c r="C32" i="105"/>
  <c r="D32" i="105"/>
  <c r="E32" i="105"/>
  <c r="J8" i="104"/>
  <c r="K8" i="104"/>
  <c r="K9" i="104"/>
  <c r="J10" i="104" s="1"/>
  <c r="O10" i="104" s="1"/>
  <c r="K10" i="104"/>
  <c r="J11" i="104"/>
  <c r="O11" i="104" s="1"/>
  <c r="K11" i="104"/>
  <c r="J12" i="104" s="1"/>
  <c r="O12" i="104" s="1"/>
  <c r="K12" i="104"/>
  <c r="J46" i="104" s="1"/>
  <c r="K13" i="104"/>
  <c r="J14" i="104" s="1"/>
  <c r="O14" i="104" s="1"/>
  <c r="K14" i="104"/>
  <c r="J15" i="104" s="1"/>
  <c r="O15" i="104" s="1"/>
  <c r="K15" i="104"/>
  <c r="J16" i="104" s="1"/>
  <c r="O16" i="104" s="1"/>
  <c r="K16" i="104"/>
  <c r="J17" i="104" s="1"/>
  <c r="O17" i="104" s="1"/>
  <c r="K17" i="104"/>
  <c r="J43" i="104"/>
  <c r="J13" i="104" l="1"/>
  <c r="O13" i="104" s="1"/>
  <c r="L8" i="104" a="1"/>
  <c r="J9" i="104"/>
  <c r="O9" i="104" s="1"/>
  <c r="O8" i="104"/>
  <c r="O18" i="104" l="1"/>
  <c r="L9" i="104"/>
  <c r="L11" i="104"/>
  <c r="L13" i="104"/>
  <c r="L15" i="104"/>
  <c r="L17" i="104"/>
  <c r="L8" i="104"/>
  <c r="L10" i="104"/>
  <c r="L12" i="104"/>
  <c r="L14" i="104"/>
  <c r="L16" i="104"/>
  <c r="E9" i="104" l="1"/>
  <c r="E11" i="104"/>
  <c r="E13" i="104"/>
  <c r="E15" i="104"/>
  <c r="E17" i="104"/>
  <c r="E19" i="104"/>
  <c r="E21" i="104"/>
  <c r="E10" i="104"/>
  <c r="P12" i="104"/>
  <c r="E12" i="104"/>
  <c r="E16" i="104"/>
  <c r="E20" i="104"/>
  <c r="E23" i="104"/>
  <c r="E25" i="104"/>
  <c r="E27" i="104"/>
  <c r="E29" i="104"/>
  <c r="E31" i="104"/>
  <c r="E35" i="104"/>
  <c r="E37" i="104"/>
  <c r="E39" i="104"/>
  <c r="E41" i="104"/>
  <c r="E43" i="104"/>
  <c r="E44" i="104"/>
  <c r="E46" i="104"/>
  <c r="E47" i="104"/>
  <c r="E49" i="104"/>
  <c r="E51" i="104"/>
  <c r="E53" i="104"/>
  <c r="E55" i="104"/>
  <c r="E57" i="104"/>
  <c r="E59" i="104"/>
  <c r="E61" i="104"/>
  <c r="E63" i="104"/>
  <c r="E18" i="104"/>
  <c r="E22" i="104"/>
  <c r="E26" i="104"/>
  <c r="E30" i="104"/>
  <c r="E33" i="104"/>
  <c r="E34" i="104"/>
  <c r="E38" i="104"/>
  <c r="E42" i="104"/>
  <c r="E50" i="104"/>
  <c r="E54" i="104"/>
  <c r="E58" i="104"/>
  <c r="E62" i="104"/>
  <c r="E65" i="104"/>
  <c r="E68" i="104"/>
  <c r="E70" i="104"/>
  <c r="E72" i="104"/>
  <c r="E74" i="104"/>
  <c r="E76" i="104"/>
  <c r="E78" i="104"/>
  <c r="E80" i="104"/>
  <c r="E82" i="104"/>
  <c r="E84" i="104"/>
  <c r="E86" i="104"/>
  <c r="E88" i="104"/>
  <c r="E90" i="104"/>
  <c r="E92" i="104"/>
  <c r="E94" i="104"/>
  <c r="E96" i="104"/>
  <c r="E98" i="104"/>
  <c r="E100" i="104"/>
  <c r="E102" i="104"/>
  <c r="E104" i="104"/>
  <c r="E106" i="104"/>
  <c r="E108" i="104"/>
  <c r="E110" i="104"/>
  <c r="E112" i="104"/>
  <c r="E114" i="104"/>
  <c r="E116" i="104"/>
  <c r="E118" i="104"/>
  <c r="E120" i="104"/>
  <c r="E122" i="104"/>
  <c r="E124" i="104"/>
  <c r="E126" i="104"/>
  <c r="E128" i="104"/>
  <c r="E130" i="104"/>
  <c r="E132" i="104"/>
  <c r="E134" i="104"/>
  <c r="E136" i="104"/>
  <c r="E138" i="104"/>
  <c r="E140" i="104"/>
  <c r="E142" i="104"/>
  <c r="E144" i="104"/>
  <c r="E146" i="104"/>
  <c r="E148" i="104"/>
  <c r="E150" i="104"/>
  <c r="E24" i="104"/>
  <c r="E32" i="104"/>
  <c r="E40" i="104"/>
  <c r="E52" i="104"/>
  <c r="E60" i="104"/>
  <c r="E66" i="104"/>
  <c r="E69" i="104"/>
  <c r="E73" i="104"/>
  <c r="E77" i="104"/>
  <c r="E81" i="104"/>
  <c r="E85" i="104"/>
  <c r="E89" i="104"/>
  <c r="E93" i="104"/>
  <c r="E97" i="104"/>
  <c r="E101" i="104"/>
  <c r="E105" i="104"/>
  <c r="E109" i="104"/>
  <c r="E113" i="104"/>
  <c r="E117" i="104"/>
  <c r="E121" i="104"/>
  <c r="E125" i="104"/>
  <c r="E129" i="104"/>
  <c r="E133" i="104"/>
  <c r="E137" i="104"/>
  <c r="E141" i="104"/>
  <c r="E145" i="104"/>
  <c r="E149" i="104"/>
  <c r="E151" i="104"/>
  <c r="E153" i="104"/>
  <c r="E155" i="104"/>
  <c r="E157" i="104"/>
  <c r="E159" i="104"/>
  <c r="E161" i="104"/>
  <c r="E163" i="104"/>
  <c r="E165" i="104"/>
  <c r="E167" i="104"/>
  <c r="E169" i="104"/>
  <c r="E171" i="104"/>
  <c r="E173" i="104"/>
  <c r="E175" i="104"/>
  <c r="E177" i="104"/>
  <c r="E179" i="104"/>
  <c r="E181" i="104"/>
  <c r="E183" i="104"/>
  <c r="E185" i="104"/>
  <c r="E187" i="104"/>
  <c r="E189" i="104"/>
  <c r="E191" i="104"/>
  <c r="E193" i="104"/>
  <c r="E195" i="104"/>
  <c r="E197" i="104"/>
  <c r="E199" i="104"/>
  <c r="E201" i="104"/>
  <c r="E203" i="104"/>
  <c r="E205" i="104"/>
  <c r="E207" i="104"/>
  <c r="E209" i="104"/>
  <c r="E211" i="104"/>
  <c r="E213" i="104"/>
  <c r="E215" i="104"/>
  <c r="E217" i="104"/>
  <c r="E219" i="104"/>
  <c r="E221" i="104"/>
  <c r="E223" i="104"/>
  <c r="E225" i="104"/>
  <c r="E227" i="104"/>
  <c r="E229" i="104"/>
  <c r="E231" i="104"/>
  <c r="E233" i="104"/>
  <c r="E235" i="104"/>
  <c r="E237" i="104"/>
  <c r="E239" i="104"/>
  <c r="E241" i="104"/>
  <c r="E243" i="104"/>
  <c r="E245" i="104"/>
  <c r="E247" i="104"/>
  <c r="E249" i="104"/>
  <c r="E251" i="104"/>
  <c r="E253" i="104"/>
  <c r="E255" i="104"/>
  <c r="E257" i="104"/>
  <c r="E259" i="104"/>
  <c r="E261" i="104"/>
  <c r="E263" i="104"/>
  <c r="E265" i="104"/>
  <c r="E267" i="104"/>
  <c r="E269" i="104"/>
  <c r="E271" i="104"/>
  <c r="E273" i="104"/>
  <c r="E275" i="104"/>
  <c r="E277" i="104"/>
  <c r="E279" i="104"/>
  <c r="E281" i="104"/>
  <c r="E283" i="104"/>
  <c r="E285" i="104"/>
  <c r="E287" i="104"/>
  <c r="E289" i="104"/>
  <c r="E291" i="104"/>
  <c r="E293" i="104"/>
  <c r="E295" i="104"/>
  <c r="E297" i="104"/>
  <c r="E299" i="104"/>
  <c r="E301" i="104"/>
  <c r="E303" i="104"/>
  <c r="E305" i="104"/>
  <c r="E307" i="104"/>
  <c r="E309" i="104"/>
  <c r="E311" i="104"/>
  <c r="E313" i="104"/>
  <c r="E315" i="104"/>
  <c r="E317" i="104"/>
  <c r="E319" i="104"/>
  <c r="E14" i="104"/>
  <c r="P16" i="104"/>
  <c r="E28" i="104"/>
  <c r="E36" i="104"/>
  <c r="E45" i="104"/>
  <c r="E48" i="104"/>
  <c r="E56" i="104"/>
  <c r="E64" i="104"/>
  <c r="E67" i="104"/>
  <c r="E71" i="104"/>
  <c r="E75" i="104"/>
  <c r="E79" i="104"/>
  <c r="E83" i="104"/>
  <c r="E87" i="104"/>
  <c r="E91" i="104"/>
  <c r="E95" i="104"/>
  <c r="E99" i="104"/>
  <c r="E107" i="104"/>
  <c r="E115" i="104"/>
  <c r="E123" i="104"/>
  <c r="E131" i="104"/>
  <c r="E139" i="104"/>
  <c r="E147" i="104"/>
  <c r="E154" i="104"/>
  <c r="E158" i="104"/>
  <c r="E162" i="104"/>
  <c r="E166" i="104"/>
  <c r="E170" i="104"/>
  <c r="E174" i="104"/>
  <c r="E178" i="104"/>
  <c r="E182" i="104"/>
  <c r="E186" i="104"/>
  <c r="E190" i="104"/>
  <c r="E194" i="104"/>
  <c r="E198" i="104"/>
  <c r="E202" i="104"/>
  <c r="E206" i="104"/>
  <c r="E210" i="104"/>
  <c r="E214" i="104"/>
  <c r="E218" i="104"/>
  <c r="E222" i="104"/>
  <c r="E226" i="104"/>
  <c r="E230" i="104"/>
  <c r="E234" i="104"/>
  <c r="E238" i="104"/>
  <c r="E242" i="104"/>
  <c r="E246" i="104"/>
  <c r="E250" i="104"/>
  <c r="E254" i="104"/>
  <c r="E258" i="104"/>
  <c r="E262" i="104"/>
  <c r="E266" i="104"/>
  <c r="E270" i="104"/>
  <c r="E274" i="104"/>
  <c r="E278" i="104"/>
  <c r="E282" i="104"/>
  <c r="E286" i="104"/>
  <c r="E290" i="104"/>
  <c r="E294" i="104"/>
  <c r="E298" i="104"/>
  <c r="E302" i="104"/>
  <c r="E306" i="104"/>
  <c r="E310" i="104"/>
  <c r="E314" i="104"/>
  <c r="E318" i="104"/>
  <c r="E321" i="104"/>
  <c r="E323" i="104"/>
  <c r="E325" i="104"/>
  <c r="E327" i="104"/>
  <c r="E329" i="104"/>
  <c r="E103" i="104"/>
  <c r="E111" i="104"/>
  <c r="E119" i="104"/>
  <c r="E127" i="104"/>
  <c r="E135" i="104"/>
  <c r="E143" i="104"/>
  <c r="E152" i="104"/>
  <c r="E156" i="104"/>
  <c r="E160" i="104"/>
  <c r="E164" i="104"/>
  <c r="E168" i="104"/>
  <c r="E172" i="104"/>
  <c r="E176" i="104"/>
  <c r="E180" i="104"/>
  <c r="E184" i="104"/>
  <c r="E188" i="104"/>
  <c r="E192" i="104"/>
  <c r="E196" i="104"/>
  <c r="E200" i="104"/>
  <c r="E204" i="104"/>
  <c r="E208" i="104"/>
  <c r="E212" i="104"/>
  <c r="E216" i="104"/>
  <c r="E220" i="104"/>
  <c r="E224" i="104"/>
  <c r="E228" i="104"/>
  <c r="E232" i="104"/>
  <c r="E236" i="104"/>
  <c r="E240" i="104"/>
  <c r="E244" i="104"/>
  <c r="E248" i="104"/>
  <c r="E252" i="104"/>
  <c r="E256" i="104"/>
  <c r="E260" i="104"/>
  <c r="E264" i="104"/>
  <c r="E268" i="104"/>
  <c r="E272" i="104"/>
  <c r="E276" i="104"/>
  <c r="E280" i="104"/>
  <c r="E284" i="104"/>
  <c r="E288" i="104"/>
  <c r="E292" i="104"/>
  <c r="E296" i="104"/>
  <c r="E300" i="104"/>
  <c r="E304" i="104"/>
  <c r="E308" i="104"/>
  <c r="E312" i="104"/>
  <c r="E316" i="104"/>
  <c r="E320" i="104"/>
  <c r="E322" i="104"/>
  <c r="E324" i="104"/>
  <c r="E326" i="104"/>
  <c r="E328" i="104"/>
  <c r="E330" i="104"/>
  <c r="E332" i="104"/>
  <c r="E334" i="104"/>
  <c r="E333" i="104"/>
  <c r="E337" i="104"/>
  <c r="E339" i="104"/>
  <c r="E341" i="104"/>
  <c r="E343" i="104"/>
  <c r="E345" i="104"/>
  <c r="E347" i="104"/>
  <c r="E349" i="104"/>
  <c r="E351" i="104"/>
  <c r="E353" i="104"/>
  <c r="E355" i="104"/>
  <c r="E357" i="104"/>
  <c r="E359" i="104"/>
  <c r="E361" i="104"/>
  <c r="E363" i="104"/>
  <c r="E365" i="104"/>
  <c r="E367" i="104"/>
  <c r="E369" i="104"/>
  <c r="E371" i="104"/>
  <c r="E373" i="104"/>
  <c r="E375" i="104"/>
  <c r="E377" i="104"/>
  <c r="E379" i="104"/>
  <c r="E381" i="104"/>
  <c r="E383" i="104"/>
  <c r="E385" i="104"/>
  <c r="E387" i="104"/>
  <c r="E389" i="104"/>
  <c r="E391" i="104"/>
  <c r="E393" i="104"/>
  <c r="E395" i="104"/>
  <c r="E397" i="104"/>
  <c r="E399" i="104"/>
  <c r="E401" i="104"/>
  <c r="E403" i="104"/>
  <c r="E405" i="104"/>
  <c r="E407" i="104"/>
  <c r="E409" i="104"/>
  <c r="E411" i="104"/>
  <c r="E413" i="104"/>
  <c r="E415" i="104"/>
  <c r="E417" i="104"/>
  <c r="E419" i="104"/>
  <c r="E421" i="104"/>
  <c r="E423" i="104"/>
  <c r="E425" i="104"/>
  <c r="E427" i="104"/>
  <c r="E429" i="104"/>
  <c r="E431" i="104"/>
  <c r="E433" i="104"/>
  <c r="E435" i="104"/>
  <c r="E437" i="104"/>
  <c r="E439" i="104"/>
  <c r="E441" i="104"/>
  <c r="E443" i="104"/>
  <c r="E445" i="104"/>
  <c r="E447" i="104"/>
  <c r="E449" i="104"/>
  <c r="E451" i="104"/>
  <c r="E453" i="104"/>
  <c r="E455" i="104"/>
  <c r="E457" i="104"/>
  <c r="E459" i="104"/>
  <c r="E461" i="104"/>
  <c r="E463" i="104"/>
  <c r="E465" i="104"/>
  <c r="E467" i="104"/>
  <c r="E469" i="104"/>
  <c r="E471" i="104"/>
  <c r="E473" i="104"/>
  <c r="E475" i="104"/>
  <c r="E477" i="104"/>
  <c r="E479" i="104"/>
  <c r="E481" i="104"/>
  <c r="E483" i="104"/>
  <c r="E485" i="104"/>
  <c r="E487" i="104"/>
  <c r="E489" i="104"/>
  <c r="E491" i="104"/>
  <c r="E493" i="104"/>
  <c r="E495" i="104"/>
  <c r="E497" i="104"/>
  <c r="E499" i="104"/>
  <c r="E501" i="104"/>
  <c r="E503" i="104"/>
  <c r="E505" i="104"/>
  <c r="E507" i="104"/>
  <c r="E509" i="104"/>
  <c r="E511" i="104"/>
  <c r="E513" i="104"/>
  <c r="E515" i="104"/>
  <c r="E517" i="104"/>
  <c r="E519" i="104"/>
  <c r="E521" i="104"/>
  <c r="E523" i="104"/>
  <c r="E525" i="104"/>
  <c r="E527" i="104"/>
  <c r="E529" i="104"/>
  <c r="E531" i="104"/>
  <c r="E533" i="104"/>
  <c r="E535" i="104"/>
  <c r="E537" i="104"/>
  <c r="E539" i="104"/>
  <c r="E541" i="104"/>
  <c r="E543" i="104"/>
  <c r="E545" i="104"/>
  <c r="E547" i="104"/>
  <c r="E549" i="104"/>
  <c r="E551" i="104"/>
  <c r="E553" i="104"/>
  <c r="E555" i="104"/>
  <c r="E557" i="104"/>
  <c r="E559" i="104"/>
  <c r="E561" i="104"/>
  <c r="E331" i="104"/>
  <c r="E335" i="104"/>
  <c r="E336" i="104"/>
  <c r="E338" i="104"/>
  <c r="E340" i="104"/>
  <c r="E342" i="104"/>
  <c r="E344" i="104"/>
  <c r="E346" i="104"/>
  <c r="E348" i="104"/>
  <c r="E350" i="104"/>
  <c r="E352" i="104"/>
  <c r="E354" i="104"/>
  <c r="E356" i="104"/>
  <c r="E358" i="104"/>
  <c r="E360" i="104"/>
  <c r="E362" i="104"/>
  <c r="E364" i="104"/>
  <c r="E366" i="104"/>
  <c r="E368" i="104"/>
  <c r="E370" i="104"/>
  <c r="E372" i="104"/>
  <c r="E374" i="104"/>
  <c r="E376" i="104"/>
  <c r="E378" i="104"/>
  <c r="E380" i="104"/>
  <c r="E382" i="104"/>
  <c r="E384" i="104"/>
  <c r="E386" i="104"/>
  <c r="E388" i="104"/>
  <c r="E390" i="104"/>
  <c r="E392" i="104"/>
  <c r="E394" i="104"/>
  <c r="E396" i="104"/>
  <c r="E398" i="104"/>
  <c r="E400" i="104"/>
  <c r="E402" i="104"/>
  <c r="E404" i="104"/>
  <c r="E406" i="104"/>
  <c r="E408" i="104"/>
  <c r="E410" i="104"/>
  <c r="E412" i="104"/>
  <c r="E414" i="104"/>
  <c r="E416" i="104"/>
  <c r="E418" i="104"/>
  <c r="E420" i="104"/>
  <c r="E422" i="104"/>
  <c r="E424" i="104"/>
  <c r="E426" i="104"/>
  <c r="E428" i="104"/>
  <c r="E430" i="104"/>
  <c r="E432" i="104"/>
  <c r="E434" i="104"/>
  <c r="E436" i="104"/>
  <c r="E438" i="104"/>
  <c r="E440" i="104"/>
  <c r="E442" i="104"/>
  <c r="E444" i="104"/>
  <c r="E446" i="104"/>
  <c r="E448" i="104"/>
  <c r="E450" i="104"/>
  <c r="E452" i="104"/>
  <c r="E454" i="104"/>
  <c r="E456" i="104"/>
  <c r="E458" i="104"/>
  <c r="E460" i="104"/>
  <c r="E462" i="104"/>
  <c r="E464" i="104"/>
  <c r="E466" i="104"/>
  <c r="E468" i="104"/>
  <c r="E470" i="104"/>
  <c r="E472" i="104"/>
  <c r="E474" i="104"/>
  <c r="E476" i="104"/>
  <c r="E478" i="104"/>
  <c r="E480" i="104"/>
  <c r="E482" i="104"/>
  <c r="E484" i="104"/>
  <c r="E486" i="104"/>
  <c r="E488" i="104"/>
  <c r="E490" i="104"/>
  <c r="E492" i="104"/>
  <c r="E494" i="104"/>
  <c r="E496" i="104"/>
  <c r="E498" i="104"/>
  <c r="E500" i="104"/>
  <c r="E502" i="104"/>
  <c r="E504" i="104"/>
  <c r="E506" i="104"/>
  <c r="E508" i="104"/>
  <c r="E510" i="104"/>
  <c r="E512" i="104"/>
  <c r="E514" i="104"/>
  <c r="E516" i="104"/>
  <c r="E518" i="104"/>
  <c r="E520" i="104"/>
  <c r="E522" i="104"/>
  <c r="E524" i="104"/>
  <c r="E526" i="104"/>
  <c r="E528" i="104"/>
  <c r="E530" i="104"/>
  <c r="E532" i="104"/>
  <c r="E534" i="104"/>
  <c r="E536" i="104"/>
  <c r="E538" i="104"/>
  <c r="E540" i="104"/>
  <c r="E542" i="104"/>
  <c r="E544" i="104"/>
  <c r="E546" i="104"/>
  <c r="E548" i="104"/>
  <c r="E550" i="104"/>
  <c r="E552" i="104"/>
  <c r="E554" i="104"/>
  <c r="E556" i="104"/>
  <c r="E558" i="104"/>
  <c r="E560" i="104"/>
  <c r="E563" i="104"/>
  <c r="E565" i="104"/>
  <c r="E567" i="104"/>
  <c r="E569" i="104"/>
  <c r="E571" i="104"/>
  <c r="E573" i="104"/>
  <c r="E575" i="104"/>
  <c r="E577" i="104"/>
  <c r="E579" i="104"/>
  <c r="E581" i="104"/>
  <c r="E583" i="104"/>
  <c r="E585" i="104"/>
  <c r="E587" i="104"/>
  <c r="E589" i="104"/>
  <c r="E591" i="104"/>
  <c r="E593" i="104"/>
  <c r="E595" i="104"/>
  <c r="E597" i="104"/>
  <c r="E599" i="104"/>
  <c r="E601" i="104"/>
  <c r="E603" i="104"/>
  <c r="E605" i="104"/>
  <c r="E607" i="104"/>
  <c r="E609" i="104"/>
  <c r="E611" i="104"/>
  <c r="E613" i="104"/>
  <c r="E615" i="104"/>
  <c r="E617" i="104"/>
  <c r="E619" i="104"/>
  <c r="E621" i="104"/>
  <c r="E623" i="104"/>
  <c r="E625" i="104"/>
  <c r="E627" i="104"/>
  <c r="E629" i="104"/>
  <c r="E631" i="104"/>
  <c r="E633" i="104"/>
  <c r="E635" i="104"/>
  <c r="E637" i="104"/>
  <c r="E639" i="104"/>
  <c r="E641" i="104"/>
  <c r="E643" i="104"/>
  <c r="E645" i="104"/>
  <c r="E647" i="104"/>
  <c r="E649" i="104"/>
  <c r="E651" i="104"/>
  <c r="E653" i="104"/>
  <c r="E655" i="104"/>
  <c r="E657" i="104"/>
  <c r="E659" i="104"/>
  <c r="E661" i="104"/>
  <c r="E663" i="104"/>
  <c r="E665" i="104"/>
  <c r="E667" i="104"/>
  <c r="E669" i="104"/>
  <c r="E671" i="104"/>
  <c r="E673" i="104"/>
  <c r="E675" i="104"/>
  <c r="E677" i="104"/>
  <c r="E679" i="104"/>
  <c r="E681" i="104"/>
  <c r="E683" i="104"/>
  <c r="E685" i="104"/>
  <c r="E687" i="104"/>
  <c r="E689" i="104"/>
  <c r="E691" i="104"/>
  <c r="E693" i="104"/>
  <c r="E695" i="104"/>
  <c r="E697" i="104"/>
  <c r="E699" i="104"/>
  <c r="E701" i="104"/>
  <c r="E703" i="104"/>
  <c r="E705" i="104"/>
  <c r="E707" i="104"/>
  <c r="E709" i="104"/>
  <c r="E711" i="104"/>
  <c r="E713" i="104"/>
  <c r="E715" i="104"/>
  <c r="E717" i="104"/>
  <c r="E719" i="104"/>
  <c r="E721" i="104"/>
  <c r="E723" i="104"/>
  <c r="E725" i="104"/>
  <c r="E727" i="104"/>
  <c r="E729" i="104"/>
  <c r="E731" i="104"/>
  <c r="E733" i="104"/>
  <c r="E735" i="104"/>
  <c r="E737" i="104"/>
  <c r="E739" i="104"/>
  <c r="E741" i="104"/>
  <c r="E743" i="104"/>
  <c r="E745" i="104"/>
  <c r="E747" i="104"/>
  <c r="E749" i="104"/>
  <c r="E751" i="104"/>
  <c r="E753" i="104"/>
  <c r="E755" i="104"/>
  <c r="E757" i="104"/>
  <c r="E759" i="104"/>
  <c r="E761" i="104"/>
  <c r="E763" i="104"/>
  <c r="E765" i="104"/>
  <c r="E767" i="104"/>
  <c r="E769" i="104"/>
  <c r="E771" i="104"/>
  <c r="E773" i="104"/>
  <c r="E775" i="104"/>
  <c r="E777" i="104"/>
  <c r="E779" i="104"/>
  <c r="E781" i="104"/>
  <c r="E783" i="104"/>
  <c r="E785" i="104"/>
  <c r="E787" i="104"/>
  <c r="E789" i="104"/>
  <c r="E791" i="104"/>
  <c r="E793" i="104"/>
  <c r="E795" i="104"/>
  <c r="E797" i="104"/>
  <c r="E799" i="104"/>
  <c r="E801" i="104"/>
  <c r="E803" i="104"/>
  <c r="E805" i="104"/>
  <c r="E807" i="104"/>
  <c r="E809" i="104"/>
  <c r="E811" i="104"/>
  <c r="E813" i="104"/>
  <c r="E815" i="104"/>
  <c r="E817" i="104"/>
  <c r="E819" i="104"/>
  <c r="E821" i="104"/>
  <c r="E823" i="104"/>
  <c r="E825" i="104"/>
  <c r="E827" i="104"/>
  <c r="E829" i="104"/>
  <c r="E831" i="104"/>
  <c r="E833" i="104"/>
  <c r="E835" i="104"/>
  <c r="E837" i="104"/>
  <c r="E839" i="104"/>
  <c r="E841" i="104"/>
  <c r="E843" i="104"/>
  <c r="E845" i="104"/>
  <c r="E847" i="104"/>
  <c r="E849" i="104"/>
  <c r="E851" i="104"/>
  <c r="E853" i="104"/>
  <c r="E855" i="104"/>
  <c r="E857" i="104"/>
  <c r="E859" i="104"/>
  <c r="E861" i="104"/>
  <c r="E863" i="104"/>
  <c r="E865" i="104"/>
  <c r="E867" i="104"/>
  <c r="E869" i="104"/>
  <c r="E871" i="104"/>
  <c r="E873" i="104"/>
  <c r="E875" i="104"/>
  <c r="E877" i="104"/>
  <c r="E879" i="104"/>
  <c r="E881" i="104"/>
  <c r="E883" i="104"/>
  <c r="E885" i="104"/>
  <c r="E887" i="104"/>
  <c r="E889" i="104"/>
  <c r="E891" i="104"/>
  <c r="E893" i="104"/>
  <c r="E895" i="104"/>
  <c r="E897" i="104"/>
  <c r="E899" i="104"/>
  <c r="E901" i="104"/>
  <c r="E903" i="104"/>
  <c r="E905" i="104"/>
  <c r="E907" i="104"/>
  <c r="E909" i="104"/>
  <c r="E911" i="104"/>
  <c r="E913" i="104"/>
  <c r="E915" i="104"/>
  <c r="E917" i="104"/>
  <c r="E919" i="104"/>
  <c r="E921" i="104"/>
  <c r="E923" i="104"/>
  <c r="E925" i="104"/>
  <c r="E927" i="104"/>
  <c r="E929" i="104"/>
  <c r="E931" i="104"/>
  <c r="E933" i="104"/>
  <c r="E935" i="104"/>
  <c r="E937" i="104"/>
  <c r="E939" i="104"/>
  <c r="E941" i="104"/>
  <c r="E943" i="104"/>
  <c r="E945" i="104"/>
  <c r="E947" i="104"/>
  <c r="E949" i="104"/>
  <c r="E951" i="104"/>
  <c r="E953" i="104"/>
  <c r="E955" i="104"/>
  <c r="E957" i="104"/>
  <c r="E959" i="104"/>
  <c r="E961" i="104"/>
  <c r="E963" i="104"/>
  <c r="E965" i="104"/>
  <c r="E967" i="104"/>
  <c r="E969" i="104"/>
  <c r="E971" i="104"/>
  <c r="E973" i="104"/>
  <c r="E975" i="104"/>
  <c r="E977" i="104"/>
  <c r="E979" i="104"/>
  <c r="E981" i="104"/>
  <c r="E983" i="104"/>
  <c r="E985" i="104"/>
  <c r="E987" i="104"/>
  <c r="E989" i="104"/>
  <c r="E991" i="104"/>
  <c r="E993" i="104"/>
  <c r="E995" i="104"/>
  <c r="E997" i="104"/>
  <c r="E999" i="104"/>
  <c r="E562" i="104"/>
  <c r="E564" i="104"/>
  <c r="E566" i="104"/>
  <c r="E568" i="104"/>
  <c r="E570" i="104"/>
  <c r="E572" i="104"/>
  <c r="E574" i="104"/>
  <c r="E576" i="104"/>
  <c r="E578" i="104"/>
  <c r="E580" i="104"/>
  <c r="E582" i="104"/>
  <c r="E584" i="104"/>
  <c r="E586" i="104"/>
  <c r="E588" i="104"/>
  <c r="E590" i="104"/>
  <c r="E592" i="104"/>
  <c r="E594" i="104"/>
  <c r="E596" i="104"/>
  <c r="E598" i="104"/>
  <c r="E600" i="104"/>
  <c r="E602" i="104"/>
  <c r="E604" i="104"/>
  <c r="E606" i="104"/>
  <c r="E608" i="104"/>
  <c r="E610" i="104"/>
  <c r="E612" i="104"/>
  <c r="E614" i="104"/>
  <c r="E616" i="104"/>
  <c r="E618" i="104"/>
  <c r="E620" i="104"/>
  <c r="E622" i="104"/>
  <c r="E624" i="104"/>
  <c r="E626" i="104"/>
  <c r="E628" i="104"/>
  <c r="E630" i="104"/>
  <c r="E632" i="104"/>
  <c r="E634" i="104"/>
  <c r="E636" i="104"/>
  <c r="E638" i="104"/>
  <c r="E640" i="104"/>
  <c r="E642" i="104"/>
  <c r="E644" i="104"/>
  <c r="E646" i="104"/>
  <c r="E648" i="104"/>
  <c r="E650" i="104"/>
  <c r="E652" i="104"/>
  <c r="E654" i="104"/>
  <c r="E656" i="104"/>
  <c r="E658" i="104"/>
  <c r="E660" i="104"/>
  <c r="E662" i="104"/>
  <c r="E664" i="104"/>
  <c r="E666" i="104"/>
  <c r="E668" i="104"/>
  <c r="E670" i="104"/>
  <c r="E672" i="104"/>
  <c r="E674" i="104"/>
  <c r="E676" i="104"/>
  <c r="E678" i="104"/>
  <c r="E680" i="104"/>
  <c r="E682" i="104"/>
  <c r="E684" i="104"/>
  <c r="E686" i="104"/>
  <c r="E688" i="104"/>
  <c r="E690" i="104"/>
  <c r="E692" i="104"/>
  <c r="E694" i="104"/>
  <c r="E696" i="104"/>
  <c r="E698" i="104"/>
  <c r="E700" i="104"/>
  <c r="E702" i="104"/>
  <c r="E704" i="104"/>
  <c r="E706" i="104"/>
  <c r="E708" i="104"/>
  <c r="E710" i="104"/>
  <c r="E712" i="104"/>
  <c r="E714" i="104"/>
  <c r="E716" i="104"/>
  <c r="E718" i="104"/>
  <c r="E720" i="104"/>
  <c r="E722" i="104"/>
  <c r="E724" i="104"/>
  <c r="E726" i="104"/>
  <c r="E728" i="104"/>
  <c r="E730" i="104"/>
  <c r="E732" i="104"/>
  <c r="E734" i="104"/>
  <c r="E736" i="104"/>
  <c r="E738" i="104"/>
  <c r="E740" i="104"/>
  <c r="E742" i="104"/>
  <c r="E744" i="104"/>
  <c r="E746" i="104"/>
  <c r="E748" i="104"/>
  <c r="E750" i="104"/>
  <c r="E752" i="104"/>
  <c r="E754" i="104"/>
  <c r="E756" i="104"/>
  <c r="E758" i="104"/>
  <c r="E760" i="104"/>
  <c r="E762" i="104"/>
  <c r="E764" i="104"/>
  <c r="E766" i="104"/>
  <c r="E768" i="104"/>
  <c r="E770" i="104"/>
  <c r="E772" i="104"/>
  <c r="E774" i="104"/>
  <c r="E776" i="104"/>
  <c r="E778" i="104"/>
  <c r="E780" i="104"/>
  <c r="E782" i="104"/>
  <c r="E784" i="104"/>
  <c r="E786" i="104"/>
  <c r="E788" i="104"/>
  <c r="E790" i="104"/>
  <c r="E792" i="104"/>
  <c r="E794" i="104"/>
  <c r="E796" i="104"/>
  <c r="E798" i="104"/>
  <c r="E800" i="104"/>
  <c r="E802" i="104"/>
  <c r="E804" i="104"/>
  <c r="E806" i="104"/>
  <c r="E808" i="104"/>
  <c r="E810" i="104"/>
  <c r="E812" i="104"/>
  <c r="E814" i="104"/>
  <c r="E816" i="104"/>
  <c r="E818" i="104"/>
  <c r="E820" i="104"/>
  <c r="E822" i="104"/>
  <c r="E824" i="104"/>
  <c r="E826" i="104"/>
  <c r="E828" i="104"/>
  <c r="E830" i="104"/>
  <c r="E832" i="104"/>
  <c r="E834" i="104"/>
  <c r="E836" i="104"/>
  <c r="E838" i="104"/>
  <c r="E840" i="104"/>
  <c r="E842" i="104"/>
  <c r="E844" i="104"/>
  <c r="E846" i="104"/>
  <c r="E848" i="104"/>
  <c r="E850" i="104"/>
  <c r="E852" i="104"/>
  <c r="E854" i="104"/>
  <c r="E856" i="104"/>
  <c r="E858" i="104"/>
  <c r="E860" i="104"/>
  <c r="E862" i="104"/>
  <c r="E864" i="104"/>
  <c r="E866" i="104"/>
  <c r="E868" i="104"/>
  <c r="E870" i="104"/>
  <c r="E872" i="104"/>
  <c r="E874" i="104"/>
  <c r="E876" i="104"/>
  <c r="E878" i="104"/>
  <c r="E880" i="104"/>
  <c r="E882" i="104"/>
  <c r="E884" i="104"/>
  <c r="E886" i="104"/>
  <c r="E888" i="104"/>
  <c r="E890" i="104"/>
  <c r="E892" i="104"/>
  <c r="E894" i="104"/>
  <c r="E896" i="104"/>
  <c r="E898" i="104"/>
  <c r="E900" i="104"/>
  <c r="E902" i="104"/>
  <c r="E904" i="104"/>
  <c r="E906" i="104"/>
  <c r="E908" i="104"/>
  <c r="E910" i="104"/>
  <c r="E912" i="104"/>
  <c r="E914" i="104"/>
  <c r="E916" i="104"/>
  <c r="E918" i="104"/>
  <c r="E920" i="104"/>
  <c r="E922" i="104"/>
  <c r="E924" i="104"/>
  <c r="E926" i="104"/>
  <c r="E928" i="104"/>
  <c r="E930" i="104"/>
  <c r="E932" i="104"/>
  <c r="E934" i="104"/>
  <c r="E936" i="104"/>
  <c r="E938" i="104"/>
  <c r="E940" i="104"/>
  <c r="E942" i="104"/>
  <c r="E944" i="104"/>
  <c r="E946" i="104"/>
  <c r="E948" i="104"/>
  <c r="E950" i="104"/>
  <c r="E952" i="104"/>
  <c r="E954" i="104"/>
  <c r="E956" i="104"/>
  <c r="E958" i="104"/>
  <c r="E960" i="104"/>
  <c r="E962" i="104"/>
  <c r="E964" i="104"/>
  <c r="E966" i="104"/>
  <c r="E968" i="104"/>
  <c r="E970" i="104"/>
  <c r="E972" i="104"/>
  <c r="E974" i="104"/>
  <c r="E976" i="104"/>
  <c r="E978" i="104"/>
  <c r="E980" i="104"/>
  <c r="E982" i="104"/>
  <c r="E984" i="104"/>
  <c r="E986" i="104"/>
  <c r="E988" i="104"/>
  <c r="E990" i="104"/>
  <c r="E992" i="104"/>
  <c r="E994" i="104"/>
  <c r="E996" i="104"/>
  <c r="E998" i="104"/>
  <c r="E1000" i="104"/>
  <c r="E1002" i="104"/>
  <c r="E1004" i="104"/>
  <c r="E1006" i="104"/>
  <c r="E1008" i="104"/>
  <c r="E1010" i="104"/>
  <c r="E1012" i="104"/>
  <c r="E1014" i="104"/>
  <c r="E1001" i="104"/>
  <c r="E1005" i="104"/>
  <c r="E1009" i="104"/>
  <c r="E1013" i="104"/>
  <c r="E1017" i="104"/>
  <c r="E1019" i="104"/>
  <c r="E1021" i="104"/>
  <c r="E1023" i="104"/>
  <c r="E1025" i="104"/>
  <c r="E1027" i="104"/>
  <c r="E1029" i="104"/>
  <c r="E1031" i="104"/>
  <c r="E1033" i="104"/>
  <c r="E1035" i="104"/>
  <c r="E1037" i="104"/>
  <c r="E1039" i="104"/>
  <c r="E1041" i="104"/>
  <c r="E1043" i="104"/>
  <c r="E1045" i="104"/>
  <c r="E1047" i="104"/>
  <c r="E1049" i="104"/>
  <c r="E1051" i="104"/>
  <c r="E1053" i="104"/>
  <c r="E1055" i="104"/>
  <c r="E1057" i="104"/>
  <c r="E1059" i="104"/>
  <c r="E1061" i="104"/>
  <c r="E1063" i="104"/>
  <c r="E1065" i="104"/>
  <c r="E1067" i="104"/>
  <c r="E1069" i="104"/>
  <c r="E1071" i="104"/>
  <c r="E1073" i="104"/>
  <c r="E1075" i="104"/>
  <c r="E1077" i="104"/>
  <c r="E1079" i="104"/>
  <c r="E1081" i="104"/>
  <c r="E1083" i="104"/>
  <c r="E1085" i="104"/>
  <c r="E1087" i="104"/>
  <c r="E1089" i="104"/>
  <c r="E1091" i="104"/>
  <c r="E1093" i="104"/>
  <c r="E1095" i="104"/>
  <c r="E1097" i="104"/>
  <c r="E1099" i="104"/>
  <c r="E1101" i="104"/>
  <c r="E1103" i="104"/>
  <c r="E1105" i="104"/>
  <c r="E1107" i="104"/>
  <c r="E1109" i="104"/>
  <c r="E1111" i="104"/>
  <c r="E1113" i="104"/>
  <c r="E1115" i="104"/>
  <c r="E1117" i="104"/>
  <c r="E1119" i="104"/>
  <c r="E1121" i="104"/>
  <c r="E1123" i="104"/>
  <c r="E1125" i="104"/>
  <c r="E1127" i="104"/>
  <c r="E1129" i="104"/>
  <c r="E1131" i="104"/>
  <c r="E1133" i="104"/>
  <c r="E1135" i="104"/>
  <c r="E1137" i="104"/>
  <c r="E1139" i="104"/>
  <c r="E1141" i="104"/>
  <c r="E1143" i="104"/>
  <c r="E1145" i="104"/>
  <c r="E1147" i="104"/>
  <c r="E1149" i="104"/>
  <c r="E1151" i="104"/>
  <c r="E1153" i="104"/>
  <c r="E1155" i="104"/>
  <c r="E1157" i="104"/>
  <c r="E1159" i="104"/>
  <c r="E1161" i="104"/>
  <c r="E1163" i="104"/>
  <c r="E1165" i="104"/>
  <c r="E1167" i="104"/>
  <c r="E1169" i="104"/>
  <c r="E1171" i="104"/>
  <c r="E1173" i="104"/>
  <c r="E1175" i="104"/>
  <c r="E1177" i="104"/>
  <c r="E1179" i="104"/>
  <c r="E1181" i="104"/>
  <c r="E1183" i="104"/>
  <c r="E1185" i="104"/>
  <c r="E1187" i="104"/>
  <c r="E1189" i="104"/>
  <c r="E1191" i="104"/>
  <c r="E1193" i="104"/>
  <c r="E1195" i="104"/>
  <c r="E1197" i="104"/>
  <c r="E1199" i="104"/>
  <c r="E1201" i="104"/>
  <c r="E1203" i="104"/>
  <c r="E1205" i="104"/>
  <c r="E1207" i="104"/>
  <c r="E1209" i="104"/>
  <c r="E1211" i="104"/>
  <c r="E1213" i="104"/>
  <c r="E1215" i="104"/>
  <c r="E1217" i="104"/>
  <c r="E1219" i="104"/>
  <c r="E1221" i="104"/>
  <c r="E1223" i="104"/>
  <c r="E1225" i="104"/>
  <c r="E1227" i="104"/>
  <c r="E1229" i="104"/>
  <c r="E1231" i="104"/>
  <c r="E1233" i="104"/>
  <c r="E1235" i="104"/>
  <c r="E1237" i="104"/>
  <c r="E1239" i="104"/>
  <c r="E1241" i="104"/>
  <c r="E1243" i="104"/>
  <c r="E1245" i="104"/>
  <c r="E1247" i="104"/>
  <c r="E1249" i="104"/>
  <c r="E1251" i="104"/>
  <c r="E1253" i="104"/>
  <c r="E1255" i="104"/>
  <c r="E1257" i="104"/>
  <c r="E1259" i="104"/>
  <c r="E1261" i="104"/>
  <c r="E1263" i="104"/>
  <c r="E1265" i="104"/>
  <c r="E1267" i="104"/>
  <c r="E1269" i="104"/>
  <c r="E1271" i="104"/>
  <c r="E1273" i="104"/>
  <c r="E1275" i="104"/>
  <c r="E1277" i="104"/>
  <c r="E1279" i="104"/>
  <c r="E1281" i="104"/>
  <c r="E1283" i="104"/>
  <c r="E1285" i="104"/>
  <c r="E1287" i="104"/>
  <c r="E1289" i="104"/>
  <c r="E1291" i="104"/>
  <c r="E1293" i="104"/>
  <c r="E1295" i="104"/>
  <c r="E1297" i="104"/>
  <c r="E1299" i="104"/>
  <c r="E1301" i="104"/>
  <c r="E1303" i="104"/>
  <c r="E1003" i="104"/>
  <c r="E1007" i="104"/>
  <c r="E1011" i="104"/>
  <c r="E1015" i="104"/>
  <c r="E1016" i="104"/>
  <c r="E1018" i="104"/>
  <c r="E1020" i="104"/>
  <c r="E1022" i="104"/>
  <c r="E1024" i="104"/>
  <c r="E1026" i="104"/>
  <c r="E1028" i="104"/>
  <c r="E1030" i="104"/>
  <c r="E1032" i="104"/>
  <c r="E1034" i="104"/>
  <c r="E1036" i="104"/>
  <c r="E1038" i="104"/>
  <c r="E1040" i="104"/>
  <c r="E1042" i="104"/>
  <c r="E1044" i="104"/>
  <c r="E1046" i="104"/>
  <c r="E1048" i="104"/>
  <c r="E1050" i="104"/>
  <c r="E1052" i="104"/>
  <c r="E1054" i="104"/>
  <c r="E1056" i="104"/>
  <c r="E1058" i="104"/>
  <c r="E1060" i="104"/>
  <c r="E1062" i="104"/>
  <c r="E1064" i="104"/>
  <c r="E1066" i="104"/>
  <c r="E1068" i="104"/>
  <c r="E1070" i="104"/>
  <c r="E1072" i="104"/>
  <c r="E1074" i="104"/>
  <c r="E1076" i="104"/>
  <c r="E1078" i="104"/>
  <c r="E1080" i="104"/>
  <c r="E1082" i="104"/>
  <c r="E1084" i="104"/>
  <c r="E1086" i="104"/>
  <c r="E1088" i="104"/>
  <c r="E1090" i="104"/>
  <c r="E1092" i="104"/>
  <c r="E1094" i="104"/>
  <c r="E1096" i="104"/>
  <c r="E1098" i="104"/>
  <c r="E1100" i="104"/>
  <c r="E1102" i="104"/>
  <c r="E1104" i="104"/>
  <c r="E1106" i="104"/>
  <c r="E1108" i="104"/>
  <c r="E1110" i="104"/>
  <c r="E1112" i="104"/>
  <c r="E1114" i="104"/>
  <c r="E1116" i="104"/>
  <c r="E1118" i="104"/>
  <c r="E1120" i="104"/>
  <c r="E1122" i="104"/>
  <c r="E1124" i="104"/>
  <c r="E1126" i="104"/>
  <c r="E1128" i="104"/>
  <c r="E1130" i="104"/>
  <c r="E1132" i="104"/>
  <c r="E1134" i="104"/>
  <c r="E1136" i="104"/>
  <c r="E1138" i="104"/>
  <c r="E1140" i="104"/>
  <c r="E1142" i="104"/>
  <c r="E1144" i="104"/>
  <c r="E1146" i="104"/>
  <c r="E1148" i="104"/>
  <c r="E1150" i="104"/>
  <c r="E1152" i="104"/>
  <c r="E1154" i="104"/>
  <c r="E1156" i="104"/>
  <c r="E1158" i="104"/>
  <c r="E1160" i="104"/>
  <c r="E1162" i="104"/>
  <c r="E1164" i="104"/>
  <c r="E1166" i="104"/>
  <c r="E1168" i="104"/>
  <c r="E1170" i="104"/>
  <c r="E1172" i="104"/>
  <c r="E1174" i="104"/>
  <c r="E1176" i="104"/>
  <c r="E1178" i="104"/>
  <c r="E1180" i="104"/>
  <c r="E1182" i="104"/>
  <c r="E1184" i="104"/>
  <c r="E1186" i="104"/>
  <c r="E1188" i="104"/>
  <c r="E1190" i="104"/>
  <c r="E1192" i="104"/>
  <c r="E1194" i="104"/>
  <c r="E1196" i="104"/>
  <c r="E1198" i="104"/>
  <c r="E1200" i="104"/>
  <c r="E1202" i="104"/>
  <c r="E1204" i="104"/>
  <c r="E1206" i="104"/>
  <c r="E1208" i="104"/>
  <c r="E1210" i="104"/>
  <c r="E1212" i="104"/>
  <c r="E1214" i="104"/>
  <c r="E1216" i="104"/>
  <c r="E1218" i="104"/>
  <c r="E1220" i="104"/>
  <c r="E1222" i="104"/>
  <c r="E1224" i="104"/>
  <c r="E1226" i="104"/>
  <c r="E1228" i="104"/>
  <c r="E1230" i="104"/>
  <c r="E1232" i="104"/>
  <c r="E1234" i="104"/>
  <c r="E1236" i="104"/>
  <c r="E1238" i="104"/>
  <c r="E1240" i="104"/>
  <c r="E1242" i="104"/>
  <c r="E1244" i="104"/>
  <c r="E1246" i="104"/>
  <c r="E1248" i="104"/>
  <c r="E1250" i="104"/>
  <c r="E1252" i="104"/>
  <c r="E1254" i="104"/>
  <c r="E1256" i="104"/>
  <c r="E1258" i="104"/>
  <c r="E1260" i="104"/>
  <c r="E1262" i="104"/>
  <c r="E1264" i="104"/>
  <c r="E1266" i="104"/>
  <c r="E1268" i="104"/>
  <c r="E1270" i="104"/>
  <c r="E1272" i="104"/>
  <c r="E1274" i="104"/>
  <c r="E1276" i="104"/>
  <c r="E1278" i="104"/>
  <c r="E1280" i="104"/>
  <c r="E1282" i="104"/>
  <c r="E1284" i="104"/>
  <c r="E1286" i="104"/>
  <c r="E1288" i="104"/>
  <c r="E1290" i="104"/>
  <c r="E1292" i="104"/>
  <c r="E1294" i="104"/>
  <c r="E1296" i="104"/>
  <c r="E1298" i="104"/>
  <c r="E1300" i="104"/>
  <c r="E1302" i="104"/>
  <c r="P14" i="104"/>
  <c r="P13" i="104"/>
  <c r="P11" i="104"/>
  <c r="P17" i="104"/>
  <c r="P15" i="104"/>
  <c r="P10" i="104"/>
  <c r="L18" i="104"/>
  <c r="M11" i="104"/>
  <c r="P9" i="104"/>
  <c r="P8" i="104"/>
  <c r="Q8" i="104" l="1"/>
  <c r="P18" i="104"/>
  <c r="M18" i="104"/>
  <c r="D9" i="104"/>
  <c r="D10" i="104" s="1"/>
  <c r="D11" i="104" s="1"/>
  <c r="D12" i="104" s="1"/>
  <c r="D13" i="104" s="1"/>
  <c r="D14" i="104" s="1"/>
  <c r="D15" i="104" s="1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D30" i="104" s="1"/>
  <c r="D31" i="104" s="1"/>
  <c r="D32" i="104" s="1"/>
  <c r="D33" i="104" s="1"/>
  <c r="D34" i="104" s="1"/>
  <c r="D35" i="104" s="1"/>
  <c r="D36" i="104" s="1"/>
  <c r="D37" i="104" s="1"/>
  <c r="D38" i="104" s="1"/>
  <c r="D39" i="104" s="1"/>
  <c r="D40" i="104" s="1"/>
  <c r="D41" i="104" s="1"/>
  <c r="D42" i="104" s="1"/>
  <c r="D43" i="104" s="1"/>
  <c r="D44" i="104" s="1"/>
  <c r="D45" i="104" s="1"/>
  <c r="D46" i="104" s="1"/>
  <c r="D47" i="104" s="1"/>
  <c r="D48" i="104" s="1"/>
  <c r="D49" i="104" s="1"/>
  <c r="D50" i="104" s="1"/>
  <c r="D51" i="104" s="1"/>
  <c r="D52" i="104" s="1"/>
  <c r="D53" i="104" s="1"/>
  <c r="D54" i="104" s="1"/>
  <c r="D55" i="104" s="1"/>
  <c r="D56" i="104" s="1"/>
  <c r="D57" i="104" s="1"/>
  <c r="D58" i="104" s="1"/>
  <c r="D59" i="104" s="1"/>
  <c r="D60" i="104" s="1"/>
  <c r="D61" i="104" s="1"/>
  <c r="D62" i="104" s="1"/>
  <c r="D63" i="104" s="1"/>
  <c r="D64" i="104" s="1"/>
  <c r="D65" i="104" s="1"/>
  <c r="D66" i="104" s="1"/>
  <c r="D67" i="104" s="1"/>
  <c r="D68" i="104" s="1"/>
  <c r="D69" i="104" s="1"/>
  <c r="D70" i="104" s="1"/>
  <c r="D71" i="104" s="1"/>
  <c r="D72" i="104" s="1"/>
  <c r="D73" i="104" s="1"/>
  <c r="D74" i="104" s="1"/>
  <c r="D75" i="104" s="1"/>
  <c r="D76" i="104" s="1"/>
  <c r="D77" i="104" s="1"/>
  <c r="D78" i="104" s="1"/>
  <c r="D79" i="104" s="1"/>
  <c r="D80" i="104" s="1"/>
  <c r="D81" i="104" s="1"/>
  <c r="D82" i="104" s="1"/>
  <c r="D83" i="104" s="1"/>
  <c r="D84" i="104" s="1"/>
  <c r="D85" i="104" s="1"/>
  <c r="D86" i="104" s="1"/>
  <c r="D87" i="104" s="1"/>
  <c r="D88" i="104" s="1"/>
  <c r="D89" i="104" s="1"/>
  <c r="D90" i="104" s="1"/>
  <c r="D91" i="104" s="1"/>
  <c r="D92" i="104" s="1"/>
  <c r="D93" i="104" s="1"/>
  <c r="D94" i="104" s="1"/>
  <c r="D95" i="104" s="1"/>
  <c r="D96" i="104" s="1"/>
  <c r="D97" i="104" s="1"/>
  <c r="D98" i="104" s="1"/>
  <c r="D99" i="104" s="1"/>
  <c r="D100" i="104" s="1"/>
  <c r="D101" i="104" s="1"/>
  <c r="D102" i="104" s="1"/>
  <c r="D103" i="104" s="1"/>
  <c r="D104" i="104" s="1"/>
  <c r="D105" i="104" s="1"/>
  <c r="D106" i="104" s="1"/>
  <c r="D107" i="104" s="1"/>
  <c r="D108" i="104" s="1"/>
  <c r="D109" i="104" s="1"/>
  <c r="D110" i="104" s="1"/>
  <c r="D111" i="104" s="1"/>
  <c r="D112" i="104" s="1"/>
  <c r="D113" i="104" s="1"/>
  <c r="D114" i="104" s="1"/>
  <c r="D115" i="104" s="1"/>
  <c r="D116" i="104" s="1"/>
  <c r="D117" i="104" s="1"/>
  <c r="D118" i="104" s="1"/>
  <c r="D119" i="104" s="1"/>
  <c r="D120" i="104" s="1"/>
  <c r="D121" i="104" s="1"/>
  <c r="D122" i="104" s="1"/>
  <c r="D123" i="104" s="1"/>
  <c r="D124" i="104" s="1"/>
  <c r="D125" i="104" s="1"/>
  <c r="D126" i="104" s="1"/>
  <c r="D127" i="104" s="1"/>
  <c r="D128" i="104" s="1"/>
  <c r="D129" i="104" s="1"/>
  <c r="D130" i="104" s="1"/>
  <c r="D131" i="104" s="1"/>
  <c r="D132" i="104" s="1"/>
  <c r="D133" i="104" s="1"/>
  <c r="D134" i="104" s="1"/>
  <c r="D135" i="104" s="1"/>
  <c r="D136" i="104" s="1"/>
  <c r="D137" i="104" s="1"/>
  <c r="D138" i="104" s="1"/>
  <c r="D139" i="104" s="1"/>
  <c r="D140" i="104" s="1"/>
  <c r="D141" i="104" s="1"/>
  <c r="D142" i="104" s="1"/>
  <c r="D143" i="104" s="1"/>
  <c r="D144" i="104" s="1"/>
  <c r="D145" i="104" s="1"/>
  <c r="D146" i="104" s="1"/>
  <c r="D147" i="104" s="1"/>
  <c r="D148" i="104" s="1"/>
  <c r="D149" i="104" s="1"/>
  <c r="D150" i="104" s="1"/>
  <c r="D151" i="104" s="1"/>
  <c r="D152" i="104" s="1"/>
  <c r="D153" i="104" s="1"/>
  <c r="D154" i="104" s="1"/>
  <c r="D155" i="104" s="1"/>
  <c r="D156" i="104" s="1"/>
  <c r="D157" i="104" s="1"/>
  <c r="D158" i="104" s="1"/>
  <c r="D159" i="104" s="1"/>
  <c r="D160" i="104" s="1"/>
  <c r="D161" i="104" s="1"/>
  <c r="D162" i="104" s="1"/>
  <c r="D163" i="104" s="1"/>
  <c r="D164" i="104" s="1"/>
  <c r="D165" i="104" s="1"/>
  <c r="D166" i="104" s="1"/>
  <c r="D167" i="104" s="1"/>
  <c r="D168" i="104" s="1"/>
  <c r="D169" i="104" s="1"/>
  <c r="D170" i="104" s="1"/>
  <c r="D171" i="104" s="1"/>
  <c r="D172" i="104" s="1"/>
  <c r="D173" i="104" s="1"/>
  <c r="D174" i="104" s="1"/>
  <c r="D175" i="104" s="1"/>
  <c r="D176" i="104" s="1"/>
  <c r="D177" i="104" s="1"/>
  <c r="D178" i="104" s="1"/>
  <c r="D179" i="104" s="1"/>
  <c r="D180" i="104" s="1"/>
  <c r="D181" i="104" s="1"/>
  <c r="D182" i="104" s="1"/>
  <c r="D183" i="104" s="1"/>
  <c r="D184" i="104" s="1"/>
  <c r="D185" i="104" s="1"/>
  <c r="D186" i="104" s="1"/>
  <c r="D187" i="104" s="1"/>
  <c r="D188" i="104" s="1"/>
  <c r="D189" i="104" s="1"/>
  <c r="D190" i="104" s="1"/>
  <c r="D191" i="104" s="1"/>
  <c r="D192" i="104" s="1"/>
  <c r="D193" i="104" s="1"/>
  <c r="D194" i="104" s="1"/>
  <c r="D195" i="104" s="1"/>
  <c r="D196" i="104" s="1"/>
  <c r="D197" i="104" s="1"/>
  <c r="D198" i="104" s="1"/>
  <c r="D199" i="104" s="1"/>
  <c r="D200" i="104" s="1"/>
  <c r="D201" i="104" s="1"/>
  <c r="D202" i="104" s="1"/>
  <c r="D203" i="104" s="1"/>
  <c r="D204" i="104" s="1"/>
  <c r="D205" i="104" s="1"/>
  <c r="D206" i="104" s="1"/>
  <c r="D207" i="104" s="1"/>
  <c r="D208" i="104" s="1"/>
  <c r="D209" i="104" s="1"/>
  <c r="D210" i="104" s="1"/>
  <c r="D211" i="104" s="1"/>
  <c r="D212" i="104" s="1"/>
  <c r="D213" i="104" s="1"/>
  <c r="D214" i="104" s="1"/>
  <c r="D215" i="104" s="1"/>
  <c r="D216" i="104" s="1"/>
  <c r="D217" i="104" s="1"/>
  <c r="D218" i="104" s="1"/>
  <c r="D219" i="104" s="1"/>
  <c r="D220" i="104" s="1"/>
  <c r="D221" i="104" s="1"/>
  <c r="D222" i="104" s="1"/>
  <c r="D223" i="104" s="1"/>
  <c r="D224" i="104" s="1"/>
  <c r="D225" i="104" s="1"/>
  <c r="D226" i="104" s="1"/>
  <c r="D227" i="104" s="1"/>
  <c r="D228" i="104" s="1"/>
  <c r="D229" i="104" s="1"/>
  <c r="D230" i="104" s="1"/>
  <c r="D231" i="104" s="1"/>
  <c r="D232" i="104" s="1"/>
  <c r="D233" i="104" s="1"/>
  <c r="D234" i="104" s="1"/>
  <c r="D235" i="104" s="1"/>
  <c r="D236" i="104" s="1"/>
  <c r="D237" i="104" s="1"/>
  <c r="D238" i="104" s="1"/>
  <c r="D239" i="104" s="1"/>
  <c r="D240" i="104" s="1"/>
  <c r="D241" i="104" s="1"/>
  <c r="D242" i="104" s="1"/>
  <c r="D243" i="104" s="1"/>
  <c r="D244" i="104" s="1"/>
  <c r="D245" i="104" s="1"/>
  <c r="D246" i="104" s="1"/>
  <c r="D247" i="104" s="1"/>
  <c r="D248" i="104" s="1"/>
  <c r="D249" i="104" s="1"/>
  <c r="D250" i="104" s="1"/>
  <c r="D251" i="104" s="1"/>
  <c r="D252" i="104" s="1"/>
  <c r="D253" i="104" s="1"/>
  <c r="D254" i="104" s="1"/>
  <c r="D255" i="104" s="1"/>
  <c r="D256" i="104" s="1"/>
  <c r="D257" i="104" s="1"/>
  <c r="D258" i="104" s="1"/>
  <c r="D259" i="104" s="1"/>
  <c r="D260" i="104" s="1"/>
  <c r="D261" i="104" s="1"/>
  <c r="D262" i="104" s="1"/>
  <c r="D263" i="104" s="1"/>
  <c r="D264" i="104" s="1"/>
  <c r="D265" i="104" s="1"/>
  <c r="D266" i="104" s="1"/>
  <c r="D267" i="104" s="1"/>
  <c r="D268" i="104" s="1"/>
  <c r="D269" i="104" s="1"/>
  <c r="D270" i="104" s="1"/>
  <c r="D271" i="104" s="1"/>
  <c r="D272" i="104" s="1"/>
  <c r="D273" i="104" s="1"/>
  <c r="D274" i="104" s="1"/>
  <c r="D275" i="104" s="1"/>
  <c r="D276" i="104" s="1"/>
  <c r="D277" i="104" s="1"/>
  <c r="D278" i="104" s="1"/>
  <c r="D279" i="104" s="1"/>
  <c r="D280" i="104" s="1"/>
  <c r="D281" i="104" s="1"/>
  <c r="D282" i="104" s="1"/>
  <c r="D283" i="104" s="1"/>
  <c r="D284" i="104" s="1"/>
  <c r="D285" i="104" s="1"/>
  <c r="D286" i="104" s="1"/>
  <c r="D287" i="104" s="1"/>
  <c r="D288" i="104" s="1"/>
  <c r="D289" i="104" s="1"/>
  <c r="D290" i="104" s="1"/>
  <c r="D291" i="104" s="1"/>
  <c r="D292" i="104" s="1"/>
  <c r="D293" i="104" s="1"/>
  <c r="D294" i="104" s="1"/>
  <c r="D295" i="104" s="1"/>
  <c r="D296" i="104" s="1"/>
  <c r="D297" i="104" s="1"/>
  <c r="D298" i="104" s="1"/>
  <c r="D299" i="104" s="1"/>
  <c r="D300" i="104" s="1"/>
  <c r="D301" i="104" s="1"/>
  <c r="D302" i="104" s="1"/>
  <c r="D303" i="104" s="1"/>
  <c r="D304" i="104" s="1"/>
  <c r="D305" i="104" s="1"/>
  <c r="D306" i="104" s="1"/>
  <c r="D307" i="104" s="1"/>
  <c r="D308" i="104" s="1"/>
  <c r="D309" i="104" s="1"/>
  <c r="D310" i="104" s="1"/>
  <c r="D311" i="104" s="1"/>
  <c r="D312" i="104" s="1"/>
  <c r="D313" i="104" s="1"/>
  <c r="D314" i="104" s="1"/>
  <c r="D315" i="104" s="1"/>
  <c r="D316" i="104" s="1"/>
  <c r="D317" i="104" s="1"/>
  <c r="D318" i="104" s="1"/>
  <c r="D319" i="104" s="1"/>
  <c r="D320" i="104" s="1"/>
  <c r="D321" i="104" s="1"/>
  <c r="D322" i="104" s="1"/>
  <c r="D323" i="104" s="1"/>
  <c r="D324" i="104" s="1"/>
  <c r="D325" i="104" s="1"/>
  <c r="D326" i="104" s="1"/>
  <c r="D327" i="104" s="1"/>
  <c r="D328" i="104" s="1"/>
  <c r="D329" i="104" s="1"/>
  <c r="D330" i="104" s="1"/>
  <c r="D331" i="104" s="1"/>
  <c r="D332" i="104" s="1"/>
  <c r="D333" i="104" s="1"/>
  <c r="D334" i="104" s="1"/>
  <c r="D335" i="104" s="1"/>
  <c r="D336" i="104" s="1"/>
  <c r="D337" i="104" s="1"/>
  <c r="D338" i="104" s="1"/>
  <c r="D339" i="104" s="1"/>
  <c r="D340" i="104" s="1"/>
  <c r="D341" i="104" s="1"/>
  <c r="D342" i="104" s="1"/>
  <c r="D343" i="104" s="1"/>
  <c r="D344" i="104" s="1"/>
  <c r="D345" i="104" s="1"/>
  <c r="D346" i="104" s="1"/>
  <c r="D347" i="104" s="1"/>
  <c r="D348" i="104" s="1"/>
  <c r="D349" i="104" s="1"/>
  <c r="D350" i="104" s="1"/>
  <c r="D351" i="104" s="1"/>
  <c r="D352" i="104" s="1"/>
  <c r="D353" i="104" s="1"/>
  <c r="D354" i="104" s="1"/>
  <c r="D355" i="104" s="1"/>
  <c r="D356" i="104" s="1"/>
  <c r="D357" i="104" s="1"/>
  <c r="D358" i="104" s="1"/>
  <c r="D359" i="104" s="1"/>
  <c r="D360" i="104" s="1"/>
  <c r="D361" i="104" s="1"/>
  <c r="D362" i="104" s="1"/>
  <c r="D363" i="104" s="1"/>
  <c r="D364" i="104" s="1"/>
  <c r="D365" i="104" s="1"/>
  <c r="D366" i="104" s="1"/>
  <c r="D367" i="104" s="1"/>
  <c r="D368" i="104" s="1"/>
  <c r="D369" i="104" s="1"/>
  <c r="D370" i="104" s="1"/>
  <c r="D371" i="104" s="1"/>
  <c r="D372" i="104" s="1"/>
  <c r="D373" i="104" s="1"/>
  <c r="D374" i="104" s="1"/>
  <c r="D375" i="104" s="1"/>
  <c r="D376" i="104" s="1"/>
  <c r="D377" i="104" s="1"/>
  <c r="D378" i="104" s="1"/>
  <c r="D379" i="104" s="1"/>
  <c r="D380" i="104" s="1"/>
  <c r="D381" i="104" s="1"/>
  <c r="D382" i="104" s="1"/>
  <c r="D383" i="104" s="1"/>
  <c r="D384" i="104" s="1"/>
  <c r="D385" i="104" s="1"/>
  <c r="D386" i="104" s="1"/>
  <c r="D387" i="104" s="1"/>
  <c r="D388" i="104" s="1"/>
  <c r="D389" i="104" s="1"/>
  <c r="D390" i="104" s="1"/>
  <c r="D391" i="104" s="1"/>
  <c r="D392" i="104" s="1"/>
  <c r="D393" i="104" s="1"/>
  <c r="D394" i="104" s="1"/>
  <c r="D395" i="104" s="1"/>
  <c r="D396" i="104" s="1"/>
  <c r="D397" i="104" s="1"/>
  <c r="D398" i="104" s="1"/>
  <c r="D399" i="104" s="1"/>
  <c r="D400" i="104" s="1"/>
  <c r="D401" i="104" s="1"/>
  <c r="D402" i="104" s="1"/>
  <c r="D403" i="104" s="1"/>
  <c r="D404" i="104" s="1"/>
  <c r="D405" i="104" s="1"/>
  <c r="D406" i="104" s="1"/>
  <c r="D407" i="104" s="1"/>
  <c r="D408" i="104" s="1"/>
  <c r="D409" i="104" s="1"/>
  <c r="D410" i="104" s="1"/>
  <c r="D411" i="104" s="1"/>
  <c r="D412" i="104" s="1"/>
  <c r="D413" i="104" s="1"/>
  <c r="D414" i="104" s="1"/>
  <c r="D415" i="104" s="1"/>
  <c r="D416" i="104" s="1"/>
  <c r="D417" i="104" s="1"/>
  <c r="D418" i="104" s="1"/>
  <c r="D419" i="104" s="1"/>
  <c r="D420" i="104" s="1"/>
  <c r="D421" i="104" s="1"/>
  <c r="D422" i="104" s="1"/>
  <c r="D423" i="104" s="1"/>
  <c r="D424" i="104" s="1"/>
  <c r="D425" i="104" s="1"/>
  <c r="D426" i="104" s="1"/>
  <c r="D427" i="104" s="1"/>
  <c r="D428" i="104" s="1"/>
  <c r="D429" i="104" s="1"/>
  <c r="D430" i="104" s="1"/>
  <c r="D431" i="104" s="1"/>
  <c r="D432" i="104" s="1"/>
  <c r="D433" i="104" s="1"/>
  <c r="D434" i="104" s="1"/>
  <c r="D435" i="104" s="1"/>
  <c r="D436" i="104" s="1"/>
  <c r="D437" i="104" s="1"/>
  <c r="D438" i="104" s="1"/>
  <c r="D439" i="104" s="1"/>
  <c r="D440" i="104" s="1"/>
  <c r="D441" i="104" s="1"/>
  <c r="D442" i="104" s="1"/>
  <c r="D443" i="104" s="1"/>
  <c r="D444" i="104" s="1"/>
  <c r="D445" i="104" s="1"/>
  <c r="D446" i="104" s="1"/>
  <c r="D447" i="104" s="1"/>
  <c r="D448" i="104" s="1"/>
  <c r="D449" i="104" s="1"/>
  <c r="D450" i="104" s="1"/>
  <c r="D451" i="104" s="1"/>
  <c r="D452" i="104" s="1"/>
  <c r="D453" i="104" s="1"/>
  <c r="D454" i="104" s="1"/>
  <c r="D455" i="104" s="1"/>
  <c r="D456" i="104" s="1"/>
  <c r="D457" i="104" s="1"/>
  <c r="D458" i="104" s="1"/>
  <c r="D459" i="104" s="1"/>
  <c r="D460" i="104" s="1"/>
  <c r="D461" i="104" s="1"/>
  <c r="D462" i="104" s="1"/>
  <c r="D463" i="104" s="1"/>
  <c r="D464" i="104" s="1"/>
  <c r="D465" i="104" s="1"/>
  <c r="D466" i="104" s="1"/>
  <c r="D467" i="104" s="1"/>
  <c r="D468" i="104" s="1"/>
  <c r="D469" i="104" s="1"/>
  <c r="D470" i="104" s="1"/>
  <c r="D471" i="104" s="1"/>
  <c r="D472" i="104" s="1"/>
  <c r="D473" i="104" s="1"/>
  <c r="D474" i="104" s="1"/>
  <c r="D475" i="104" s="1"/>
  <c r="D476" i="104" s="1"/>
  <c r="D477" i="104" s="1"/>
  <c r="D478" i="104" s="1"/>
  <c r="D479" i="104" s="1"/>
  <c r="D480" i="104" s="1"/>
  <c r="D481" i="104" s="1"/>
  <c r="D482" i="104" s="1"/>
  <c r="D483" i="104" s="1"/>
  <c r="D484" i="104" s="1"/>
  <c r="D485" i="104" s="1"/>
  <c r="D486" i="104" s="1"/>
  <c r="D487" i="104" s="1"/>
  <c r="D488" i="104" s="1"/>
  <c r="D489" i="104" s="1"/>
  <c r="D490" i="104" s="1"/>
  <c r="D491" i="104" s="1"/>
  <c r="D492" i="104" s="1"/>
  <c r="D493" i="104" s="1"/>
  <c r="D494" i="104" s="1"/>
  <c r="D495" i="104" s="1"/>
  <c r="D496" i="104" s="1"/>
  <c r="D497" i="104" s="1"/>
  <c r="D498" i="104" s="1"/>
  <c r="D499" i="104" s="1"/>
  <c r="D500" i="104" s="1"/>
  <c r="D501" i="104" s="1"/>
  <c r="D502" i="104" s="1"/>
  <c r="D503" i="104" s="1"/>
  <c r="D504" i="104" s="1"/>
  <c r="D505" i="104" s="1"/>
  <c r="D506" i="104" s="1"/>
  <c r="D507" i="104" s="1"/>
  <c r="D508" i="104" s="1"/>
  <c r="D509" i="104" s="1"/>
  <c r="D510" i="104" s="1"/>
  <c r="D511" i="104" s="1"/>
  <c r="D512" i="104" s="1"/>
  <c r="D513" i="104" s="1"/>
  <c r="D514" i="104" s="1"/>
  <c r="D515" i="104" s="1"/>
  <c r="D516" i="104" s="1"/>
  <c r="D517" i="104" s="1"/>
  <c r="D518" i="104" s="1"/>
  <c r="D519" i="104" s="1"/>
  <c r="D520" i="104" s="1"/>
  <c r="D521" i="104" s="1"/>
  <c r="D522" i="104" s="1"/>
  <c r="D523" i="104" s="1"/>
  <c r="D524" i="104" s="1"/>
  <c r="D525" i="104" s="1"/>
  <c r="D526" i="104" s="1"/>
  <c r="D527" i="104" s="1"/>
  <c r="D528" i="104" s="1"/>
  <c r="D529" i="104" s="1"/>
  <c r="D530" i="104" s="1"/>
  <c r="D531" i="104" s="1"/>
  <c r="D532" i="104" s="1"/>
  <c r="D533" i="104" s="1"/>
  <c r="D534" i="104" s="1"/>
  <c r="D535" i="104" s="1"/>
  <c r="D536" i="104" s="1"/>
  <c r="D537" i="104" s="1"/>
  <c r="D538" i="104" s="1"/>
  <c r="D539" i="104" s="1"/>
  <c r="D540" i="104" s="1"/>
  <c r="D541" i="104" s="1"/>
  <c r="D542" i="104" s="1"/>
  <c r="D543" i="104" s="1"/>
  <c r="D544" i="104" s="1"/>
  <c r="D545" i="104" s="1"/>
  <c r="D546" i="104" s="1"/>
  <c r="D547" i="104" s="1"/>
  <c r="D548" i="104" s="1"/>
  <c r="D549" i="104" s="1"/>
  <c r="D550" i="104" s="1"/>
  <c r="D551" i="104" s="1"/>
  <c r="D552" i="104" s="1"/>
  <c r="D553" i="104" s="1"/>
  <c r="D554" i="104" s="1"/>
  <c r="D555" i="104" s="1"/>
  <c r="D556" i="104" s="1"/>
  <c r="D557" i="104" s="1"/>
  <c r="D558" i="104" s="1"/>
  <c r="D559" i="104" s="1"/>
  <c r="D560" i="104" s="1"/>
  <c r="D561" i="104" s="1"/>
  <c r="D562" i="104" s="1"/>
  <c r="D563" i="104" s="1"/>
  <c r="D564" i="104" s="1"/>
  <c r="D565" i="104" s="1"/>
  <c r="D566" i="104" s="1"/>
  <c r="D567" i="104" s="1"/>
  <c r="D568" i="104" s="1"/>
  <c r="D569" i="104" s="1"/>
  <c r="D570" i="104" s="1"/>
  <c r="D571" i="104" s="1"/>
  <c r="D572" i="104" s="1"/>
  <c r="D573" i="104" s="1"/>
  <c r="D574" i="104" s="1"/>
  <c r="D575" i="104" s="1"/>
  <c r="D576" i="104" s="1"/>
  <c r="D577" i="104" s="1"/>
  <c r="D578" i="104" s="1"/>
  <c r="D579" i="104" s="1"/>
  <c r="D580" i="104" s="1"/>
  <c r="D581" i="104" s="1"/>
  <c r="D582" i="104" s="1"/>
  <c r="D583" i="104" s="1"/>
  <c r="D584" i="104" s="1"/>
  <c r="D585" i="104" s="1"/>
  <c r="D586" i="104" s="1"/>
  <c r="D587" i="104" s="1"/>
  <c r="D588" i="104" s="1"/>
  <c r="D589" i="104" s="1"/>
  <c r="D590" i="104" s="1"/>
  <c r="D591" i="104" s="1"/>
  <c r="D592" i="104" s="1"/>
  <c r="D593" i="104" s="1"/>
  <c r="D594" i="104" s="1"/>
  <c r="D595" i="104" s="1"/>
  <c r="D596" i="104" s="1"/>
  <c r="D597" i="104" s="1"/>
  <c r="D598" i="104" s="1"/>
  <c r="D599" i="104" s="1"/>
  <c r="D600" i="104" s="1"/>
  <c r="D601" i="104" s="1"/>
  <c r="D602" i="104" s="1"/>
  <c r="D603" i="104" s="1"/>
  <c r="D604" i="104" s="1"/>
  <c r="D605" i="104" s="1"/>
  <c r="D606" i="104" s="1"/>
  <c r="D607" i="104" s="1"/>
  <c r="D608" i="104" s="1"/>
  <c r="D609" i="104" s="1"/>
  <c r="D610" i="104" s="1"/>
  <c r="D611" i="104" s="1"/>
  <c r="D612" i="104" s="1"/>
  <c r="D613" i="104" s="1"/>
  <c r="D614" i="104" s="1"/>
  <c r="D615" i="104" s="1"/>
  <c r="D616" i="104" s="1"/>
  <c r="D617" i="104" s="1"/>
  <c r="D618" i="104" s="1"/>
  <c r="D619" i="104" s="1"/>
  <c r="D620" i="104" s="1"/>
  <c r="D621" i="104" s="1"/>
  <c r="D622" i="104" s="1"/>
  <c r="D623" i="104" s="1"/>
  <c r="D624" i="104" s="1"/>
  <c r="D625" i="104" s="1"/>
  <c r="D626" i="104" s="1"/>
  <c r="D627" i="104" s="1"/>
  <c r="D628" i="104" s="1"/>
  <c r="D629" i="104" s="1"/>
  <c r="D630" i="104" s="1"/>
  <c r="D631" i="104" s="1"/>
  <c r="D632" i="104" s="1"/>
  <c r="D633" i="104" s="1"/>
  <c r="D634" i="104" s="1"/>
  <c r="D635" i="104" s="1"/>
  <c r="D636" i="104" s="1"/>
  <c r="D637" i="104" s="1"/>
  <c r="D638" i="104" s="1"/>
  <c r="D639" i="104" s="1"/>
  <c r="D640" i="104" s="1"/>
  <c r="D641" i="104" s="1"/>
  <c r="D642" i="104" s="1"/>
  <c r="D643" i="104" s="1"/>
  <c r="D644" i="104" s="1"/>
  <c r="D645" i="104" s="1"/>
  <c r="D646" i="104" s="1"/>
  <c r="D647" i="104" s="1"/>
  <c r="D648" i="104" s="1"/>
  <c r="D649" i="104" s="1"/>
  <c r="D650" i="104" s="1"/>
  <c r="D651" i="104" s="1"/>
  <c r="D652" i="104" s="1"/>
  <c r="D653" i="104" s="1"/>
  <c r="D654" i="104" s="1"/>
  <c r="D655" i="104" s="1"/>
  <c r="D656" i="104" s="1"/>
  <c r="D657" i="104" s="1"/>
  <c r="D658" i="104" s="1"/>
  <c r="D659" i="104" s="1"/>
  <c r="D660" i="104" s="1"/>
  <c r="D661" i="104" s="1"/>
  <c r="D662" i="104" s="1"/>
  <c r="D663" i="104" s="1"/>
  <c r="D664" i="104" s="1"/>
  <c r="D665" i="104" s="1"/>
  <c r="D666" i="104" s="1"/>
  <c r="D667" i="104" s="1"/>
  <c r="D668" i="104" s="1"/>
  <c r="D669" i="104" s="1"/>
  <c r="D670" i="104" s="1"/>
  <c r="D671" i="104" s="1"/>
  <c r="D672" i="104" s="1"/>
  <c r="D673" i="104" s="1"/>
  <c r="D674" i="104" s="1"/>
  <c r="D675" i="104" s="1"/>
  <c r="D676" i="104" s="1"/>
  <c r="D677" i="104" s="1"/>
  <c r="D678" i="104" s="1"/>
  <c r="D679" i="104" s="1"/>
  <c r="D680" i="104" s="1"/>
  <c r="D681" i="104" s="1"/>
  <c r="D682" i="104" s="1"/>
  <c r="D683" i="104" s="1"/>
  <c r="D684" i="104" s="1"/>
  <c r="D685" i="104" s="1"/>
  <c r="D686" i="104" s="1"/>
  <c r="D687" i="104" s="1"/>
  <c r="D688" i="104" s="1"/>
  <c r="D689" i="104" s="1"/>
  <c r="D690" i="104" s="1"/>
  <c r="D691" i="104" s="1"/>
  <c r="D692" i="104" s="1"/>
  <c r="D693" i="104" s="1"/>
  <c r="D694" i="104" s="1"/>
  <c r="D695" i="104" s="1"/>
  <c r="D696" i="104" s="1"/>
  <c r="D697" i="104" s="1"/>
  <c r="D698" i="104" s="1"/>
  <c r="D699" i="104" s="1"/>
  <c r="D700" i="104" s="1"/>
  <c r="D701" i="104" s="1"/>
  <c r="D702" i="104" s="1"/>
  <c r="D703" i="104" s="1"/>
  <c r="D704" i="104" s="1"/>
  <c r="D705" i="104" s="1"/>
  <c r="D706" i="104" s="1"/>
  <c r="D707" i="104" s="1"/>
  <c r="D708" i="104" s="1"/>
  <c r="D709" i="104" s="1"/>
  <c r="D710" i="104" s="1"/>
  <c r="D711" i="104" s="1"/>
  <c r="D712" i="104" s="1"/>
  <c r="D713" i="104" s="1"/>
  <c r="D714" i="104" s="1"/>
  <c r="D715" i="104" s="1"/>
  <c r="D716" i="104" s="1"/>
  <c r="D717" i="104" s="1"/>
  <c r="D718" i="104" s="1"/>
  <c r="D719" i="104" s="1"/>
  <c r="D720" i="104" s="1"/>
  <c r="D721" i="104" s="1"/>
  <c r="D722" i="104" s="1"/>
  <c r="D723" i="104" s="1"/>
  <c r="D724" i="104" s="1"/>
  <c r="D725" i="104" s="1"/>
  <c r="D726" i="104" s="1"/>
  <c r="D727" i="104" s="1"/>
  <c r="D728" i="104" s="1"/>
  <c r="D729" i="104" s="1"/>
  <c r="D730" i="104" s="1"/>
  <c r="D731" i="104" s="1"/>
  <c r="D732" i="104" s="1"/>
  <c r="D733" i="104" s="1"/>
  <c r="D734" i="104" s="1"/>
  <c r="D735" i="104" s="1"/>
  <c r="D736" i="104" s="1"/>
  <c r="D737" i="104" s="1"/>
  <c r="D738" i="104" s="1"/>
  <c r="D739" i="104" s="1"/>
  <c r="D740" i="104" s="1"/>
  <c r="D741" i="104" s="1"/>
  <c r="D742" i="104" s="1"/>
  <c r="D743" i="104" s="1"/>
  <c r="D744" i="104" s="1"/>
  <c r="D745" i="104" s="1"/>
  <c r="D746" i="104" s="1"/>
  <c r="D747" i="104" s="1"/>
  <c r="D748" i="104" s="1"/>
  <c r="D749" i="104" s="1"/>
  <c r="D750" i="104" s="1"/>
  <c r="D751" i="104" s="1"/>
  <c r="D752" i="104" s="1"/>
  <c r="D753" i="104" s="1"/>
  <c r="D754" i="104" s="1"/>
  <c r="D755" i="104" s="1"/>
  <c r="D756" i="104" s="1"/>
  <c r="D757" i="104" s="1"/>
  <c r="D758" i="104" s="1"/>
  <c r="D759" i="104" s="1"/>
  <c r="D760" i="104" s="1"/>
  <c r="D761" i="104" s="1"/>
  <c r="D762" i="104" s="1"/>
  <c r="D763" i="104" s="1"/>
  <c r="D764" i="104" s="1"/>
  <c r="D765" i="104" s="1"/>
  <c r="D766" i="104" s="1"/>
  <c r="D767" i="104" s="1"/>
  <c r="D768" i="104" s="1"/>
  <c r="D769" i="104" s="1"/>
  <c r="D770" i="104" s="1"/>
  <c r="D771" i="104" s="1"/>
  <c r="D772" i="104" s="1"/>
  <c r="D773" i="104" s="1"/>
  <c r="D774" i="104" s="1"/>
  <c r="D775" i="104" s="1"/>
  <c r="D776" i="104" s="1"/>
  <c r="D777" i="104" s="1"/>
  <c r="D778" i="104" s="1"/>
  <c r="D779" i="104" s="1"/>
  <c r="D780" i="104" s="1"/>
  <c r="D781" i="104" s="1"/>
  <c r="D782" i="104" s="1"/>
  <c r="D783" i="104" s="1"/>
  <c r="D784" i="104" s="1"/>
  <c r="D785" i="104" s="1"/>
  <c r="D786" i="104" s="1"/>
  <c r="D787" i="104" s="1"/>
  <c r="D788" i="104" s="1"/>
  <c r="D789" i="104" s="1"/>
  <c r="D790" i="104" s="1"/>
  <c r="D791" i="104" s="1"/>
  <c r="D792" i="104" s="1"/>
  <c r="D793" i="104" s="1"/>
  <c r="D794" i="104" s="1"/>
  <c r="D795" i="104" s="1"/>
  <c r="D796" i="104" s="1"/>
  <c r="D797" i="104" s="1"/>
  <c r="D798" i="104" s="1"/>
  <c r="D799" i="104" s="1"/>
  <c r="D800" i="104" s="1"/>
  <c r="D801" i="104" s="1"/>
  <c r="D802" i="104" s="1"/>
  <c r="D803" i="104" s="1"/>
  <c r="D804" i="104" s="1"/>
  <c r="D805" i="104" s="1"/>
  <c r="D806" i="104" s="1"/>
  <c r="D807" i="104" s="1"/>
  <c r="D808" i="104" s="1"/>
  <c r="D809" i="104" s="1"/>
  <c r="D810" i="104" s="1"/>
  <c r="D811" i="104" s="1"/>
  <c r="D812" i="104" s="1"/>
  <c r="D813" i="104" s="1"/>
  <c r="D814" i="104" s="1"/>
  <c r="D815" i="104" s="1"/>
  <c r="D816" i="104" s="1"/>
  <c r="D817" i="104" s="1"/>
  <c r="D818" i="104" s="1"/>
  <c r="D819" i="104" s="1"/>
  <c r="D820" i="104" s="1"/>
  <c r="D821" i="104" s="1"/>
  <c r="D822" i="104" s="1"/>
  <c r="D823" i="104" s="1"/>
  <c r="D824" i="104" s="1"/>
  <c r="D825" i="104" s="1"/>
  <c r="D826" i="104" s="1"/>
  <c r="D827" i="104" s="1"/>
  <c r="D828" i="104" s="1"/>
  <c r="D829" i="104" s="1"/>
  <c r="D830" i="104" s="1"/>
  <c r="D831" i="104" s="1"/>
  <c r="D832" i="104" s="1"/>
  <c r="D833" i="104" s="1"/>
  <c r="D834" i="104" s="1"/>
  <c r="D835" i="104" s="1"/>
  <c r="D836" i="104" s="1"/>
  <c r="D837" i="104" s="1"/>
  <c r="D838" i="104" s="1"/>
  <c r="D839" i="104" s="1"/>
  <c r="D840" i="104" s="1"/>
  <c r="D841" i="104" s="1"/>
  <c r="D842" i="104" s="1"/>
  <c r="D843" i="104" s="1"/>
  <c r="D844" i="104" s="1"/>
  <c r="D845" i="104" s="1"/>
  <c r="D846" i="104" s="1"/>
  <c r="D847" i="104" s="1"/>
  <c r="D848" i="104" s="1"/>
  <c r="D849" i="104" s="1"/>
  <c r="D850" i="104" s="1"/>
  <c r="D851" i="104" s="1"/>
  <c r="D852" i="104" s="1"/>
  <c r="D853" i="104" s="1"/>
  <c r="D854" i="104" s="1"/>
  <c r="D855" i="104" s="1"/>
  <c r="D856" i="104" s="1"/>
  <c r="D857" i="104" s="1"/>
  <c r="D858" i="104" s="1"/>
  <c r="D859" i="104" s="1"/>
  <c r="D860" i="104" s="1"/>
  <c r="D861" i="104" s="1"/>
  <c r="D862" i="104" s="1"/>
  <c r="D863" i="104" s="1"/>
  <c r="D864" i="104" s="1"/>
  <c r="D865" i="104" s="1"/>
  <c r="D866" i="104" s="1"/>
  <c r="D867" i="104" s="1"/>
  <c r="D868" i="104" s="1"/>
  <c r="D869" i="104" s="1"/>
  <c r="D870" i="104" s="1"/>
  <c r="D871" i="104" s="1"/>
  <c r="D872" i="104" s="1"/>
  <c r="D873" i="104" s="1"/>
  <c r="D874" i="104" s="1"/>
  <c r="D875" i="104" s="1"/>
  <c r="D876" i="104" s="1"/>
  <c r="D877" i="104" s="1"/>
  <c r="D878" i="104" s="1"/>
  <c r="D879" i="104" s="1"/>
  <c r="D880" i="104" s="1"/>
  <c r="D881" i="104" s="1"/>
  <c r="D882" i="104" s="1"/>
  <c r="D883" i="104" s="1"/>
  <c r="D884" i="104" s="1"/>
  <c r="D885" i="104" s="1"/>
  <c r="D886" i="104" s="1"/>
  <c r="D887" i="104" s="1"/>
  <c r="D888" i="104" s="1"/>
  <c r="D889" i="104" s="1"/>
  <c r="D890" i="104" s="1"/>
  <c r="D891" i="104" s="1"/>
  <c r="D892" i="104" s="1"/>
  <c r="D893" i="104" s="1"/>
  <c r="D894" i="104" s="1"/>
  <c r="D895" i="104" s="1"/>
  <c r="D896" i="104" s="1"/>
  <c r="D897" i="104" s="1"/>
  <c r="D898" i="104" s="1"/>
  <c r="D899" i="104" s="1"/>
  <c r="D900" i="104" s="1"/>
  <c r="D901" i="104" s="1"/>
  <c r="D902" i="104" s="1"/>
  <c r="D903" i="104" s="1"/>
  <c r="D904" i="104" s="1"/>
  <c r="D905" i="104" s="1"/>
  <c r="D906" i="104" s="1"/>
  <c r="D907" i="104" s="1"/>
  <c r="D908" i="104" s="1"/>
  <c r="D909" i="104" s="1"/>
  <c r="D910" i="104" s="1"/>
  <c r="D911" i="104" s="1"/>
  <c r="D912" i="104" s="1"/>
  <c r="D913" i="104" s="1"/>
  <c r="D914" i="104" s="1"/>
  <c r="D915" i="104" s="1"/>
  <c r="D916" i="104" s="1"/>
  <c r="D917" i="104" s="1"/>
  <c r="D918" i="104" s="1"/>
  <c r="D919" i="104" s="1"/>
  <c r="D920" i="104" s="1"/>
  <c r="D921" i="104" s="1"/>
  <c r="D922" i="104" s="1"/>
  <c r="D923" i="104" s="1"/>
  <c r="D924" i="104" s="1"/>
  <c r="D925" i="104" s="1"/>
  <c r="D926" i="104" s="1"/>
  <c r="D927" i="104" s="1"/>
  <c r="D928" i="104" s="1"/>
  <c r="D929" i="104" s="1"/>
  <c r="D930" i="104" s="1"/>
  <c r="D931" i="104" s="1"/>
  <c r="D932" i="104" s="1"/>
  <c r="D933" i="104" s="1"/>
  <c r="D934" i="104" s="1"/>
  <c r="D935" i="104" s="1"/>
  <c r="D936" i="104" s="1"/>
  <c r="D937" i="104" s="1"/>
  <c r="D938" i="104" s="1"/>
  <c r="D939" i="104" s="1"/>
  <c r="D940" i="104" s="1"/>
  <c r="D941" i="104" s="1"/>
  <c r="D942" i="104" s="1"/>
  <c r="D943" i="104" s="1"/>
  <c r="D944" i="104" s="1"/>
  <c r="D945" i="104" s="1"/>
  <c r="D946" i="104" s="1"/>
  <c r="M12" i="104"/>
  <c r="F9" i="104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F37" i="104" s="1"/>
  <c r="F38" i="104" s="1"/>
  <c r="F39" i="104" s="1"/>
  <c r="F40" i="104" s="1"/>
  <c r="F41" i="104" s="1"/>
  <c r="F42" i="104" s="1"/>
  <c r="F43" i="104" s="1"/>
  <c r="F44" i="104" s="1"/>
  <c r="F45" i="104" s="1"/>
  <c r="F46" i="104" s="1"/>
  <c r="F47" i="104" s="1"/>
  <c r="F48" i="104" s="1"/>
  <c r="F49" i="104" s="1"/>
  <c r="F50" i="104" s="1"/>
  <c r="F51" i="104" s="1"/>
  <c r="F52" i="104" s="1"/>
  <c r="F53" i="104" s="1"/>
  <c r="F54" i="104" s="1"/>
  <c r="F55" i="104" s="1"/>
  <c r="F56" i="104" s="1"/>
  <c r="F57" i="104" s="1"/>
  <c r="F58" i="104" s="1"/>
  <c r="F59" i="104" s="1"/>
  <c r="F60" i="104" s="1"/>
  <c r="F61" i="104" s="1"/>
  <c r="F62" i="104" s="1"/>
  <c r="F63" i="104" s="1"/>
  <c r="F64" i="104" s="1"/>
  <c r="F65" i="104" s="1"/>
  <c r="F66" i="104" s="1"/>
  <c r="F67" i="104" s="1"/>
  <c r="F68" i="104" s="1"/>
  <c r="F69" i="104" s="1"/>
  <c r="F70" i="104" s="1"/>
  <c r="F71" i="104" s="1"/>
  <c r="F72" i="104" s="1"/>
  <c r="F73" i="104" s="1"/>
  <c r="F74" i="104" s="1"/>
  <c r="F75" i="104" s="1"/>
  <c r="F76" i="104" s="1"/>
  <c r="F77" i="104" s="1"/>
  <c r="F78" i="104" s="1"/>
  <c r="F79" i="104" s="1"/>
  <c r="F80" i="104" s="1"/>
  <c r="F81" i="104" s="1"/>
  <c r="F82" i="104" s="1"/>
  <c r="F83" i="104" s="1"/>
  <c r="F84" i="104" s="1"/>
  <c r="F85" i="104" s="1"/>
  <c r="F86" i="104" s="1"/>
  <c r="F87" i="104" s="1"/>
  <c r="F88" i="104" s="1"/>
  <c r="F89" i="104" s="1"/>
  <c r="F90" i="104" s="1"/>
  <c r="F91" i="104" s="1"/>
  <c r="F92" i="104" s="1"/>
  <c r="F93" i="104" s="1"/>
  <c r="F94" i="104" s="1"/>
  <c r="F95" i="104" s="1"/>
  <c r="F96" i="104" s="1"/>
  <c r="F97" i="104" s="1"/>
  <c r="F98" i="104" s="1"/>
  <c r="F99" i="104" s="1"/>
  <c r="F100" i="104" s="1"/>
  <c r="F101" i="104" s="1"/>
  <c r="F102" i="104" s="1"/>
  <c r="F103" i="104" s="1"/>
  <c r="F104" i="104" s="1"/>
  <c r="F105" i="104" s="1"/>
  <c r="F106" i="104" s="1"/>
  <c r="F107" i="104" s="1"/>
  <c r="F108" i="104" s="1"/>
  <c r="F109" i="104" s="1"/>
  <c r="F110" i="104" s="1"/>
  <c r="F111" i="104" s="1"/>
  <c r="F112" i="104" s="1"/>
  <c r="F113" i="104" s="1"/>
  <c r="F114" i="104" s="1"/>
  <c r="F115" i="104" s="1"/>
  <c r="F116" i="104" s="1"/>
  <c r="F117" i="104" s="1"/>
  <c r="F118" i="104" s="1"/>
  <c r="F119" i="104" s="1"/>
  <c r="F120" i="104" s="1"/>
  <c r="F121" i="104" s="1"/>
  <c r="F122" i="104" s="1"/>
  <c r="F123" i="104" s="1"/>
  <c r="F124" i="104" s="1"/>
  <c r="F125" i="104" s="1"/>
  <c r="F126" i="104" s="1"/>
  <c r="F127" i="104" s="1"/>
  <c r="F128" i="104" s="1"/>
  <c r="F129" i="104" s="1"/>
  <c r="F130" i="104" s="1"/>
  <c r="F131" i="104" s="1"/>
  <c r="F132" i="104" s="1"/>
  <c r="F133" i="104" s="1"/>
  <c r="F134" i="104" s="1"/>
  <c r="F135" i="104" s="1"/>
  <c r="F136" i="104" s="1"/>
  <c r="F137" i="104" s="1"/>
  <c r="F138" i="104" s="1"/>
  <c r="F139" i="104" s="1"/>
  <c r="F140" i="104" s="1"/>
  <c r="F141" i="104" s="1"/>
  <c r="F142" i="104" s="1"/>
  <c r="F143" i="104" s="1"/>
  <c r="F144" i="104" s="1"/>
  <c r="F145" i="104" s="1"/>
  <c r="F146" i="104" s="1"/>
  <c r="F147" i="104" s="1"/>
  <c r="F148" i="104" s="1"/>
  <c r="F149" i="104" s="1"/>
  <c r="F150" i="104" s="1"/>
  <c r="F151" i="104" s="1"/>
  <c r="F152" i="104" s="1"/>
  <c r="F153" i="104" s="1"/>
  <c r="F154" i="104" s="1"/>
  <c r="F155" i="104" s="1"/>
  <c r="F156" i="104" s="1"/>
  <c r="F157" i="104" s="1"/>
  <c r="F158" i="104" s="1"/>
  <c r="F159" i="104" s="1"/>
  <c r="F160" i="104" s="1"/>
  <c r="F161" i="104" s="1"/>
  <c r="F162" i="104" s="1"/>
  <c r="F163" i="104" s="1"/>
  <c r="F164" i="104" s="1"/>
  <c r="F165" i="104" s="1"/>
  <c r="F166" i="104" s="1"/>
  <c r="F167" i="104" s="1"/>
  <c r="F168" i="104" s="1"/>
  <c r="F169" i="104" s="1"/>
  <c r="F170" i="104" s="1"/>
  <c r="F171" i="104" s="1"/>
  <c r="F172" i="104" s="1"/>
  <c r="F173" i="104" s="1"/>
  <c r="F174" i="104" s="1"/>
  <c r="F175" i="104" s="1"/>
  <c r="F176" i="104" s="1"/>
  <c r="F177" i="104" s="1"/>
  <c r="F178" i="104" s="1"/>
  <c r="F179" i="104" s="1"/>
  <c r="F180" i="104" s="1"/>
  <c r="F181" i="104" s="1"/>
  <c r="F182" i="104" s="1"/>
  <c r="F183" i="104" s="1"/>
  <c r="F184" i="104" s="1"/>
  <c r="F185" i="104" s="1"/>
  <c r="F186" i="104" s="1"/>
  <c r="F187" i="104" s="1"/>
  <c r="F188" i="104" s="1"/>
  <c r="F189" i="104" s="1"/>
  <c r="F190" i="104" s="1"/>
  <c r="F191" i="104" s="1"/>
  <c r="F192" i="104" s="1"/>
  <c r="F193" i="104" s="1"/>
  <c r="F194" i="104" s="1"/>
  <c r="F195" i="104" s="1"/>
  <c r="F196" i="104" s="1"/>
  <c r="F197" i="104" s="1"/>
  <c r="F198" i="104" s="1"/>
  <c r="F199" i="104" s="1"/>
  <c r="F200" i="104" s="1"/>
  <c r="F201" i="104" s="1"/>
  <c r="F202" i="104" s="1"/>
  <c r="F203" i="104" s="1"/>
  <c r="F204" i="104" s="1"/>
  <c r="F205" i="104" s="1"/>
  <c r="F206" i="104" s="1"/>
  <c r="F207" i="104" s="1"/>
  <c r="F208" i="104" s="1"/>
  <c r="F209" i="104" s="1"/>
  <c r="F210" i="104" s="1"/>
  <c r="F211" i="104" s="1"/>
  <c r="F212" i="104" s="1"/>
  <c r="F213" i="104" s="1"/>
  <c r="F214" i="104" s="1"/>
  <c r="F215" i="104" s="1"/>
  <c r="F216" i="104" s="1"/>
  <c r="F217" i="104" s="1"/>
  <c r="F218" i="104" s="1"/>
  <c r="F219" i="104" s="1"/>
  <c r="F220" i="104" s="1"/>
  <c r="F221" i="104" s="1"/>
  <c r="F222" i="104" s="1"/>
  <c r="F223" i="104" s="1"/>
  <c r="F224" i="104" s="1"/>
  <c r="F225" i="104" s="1"/>
  <c r="F226" i="104" s="1"/>
  <c r="F227" i="104" s="1"/>
  <c r="F228" i="104" s="1"/>
  <c r="F229" i="104" s="1"/>
  <c r="F230" i="104" s="1"/>
  <c r="F231" i="104" s="1"/>
  <c r="F232" i="104" s="1"/>
  <c r="F233" i="104" s="1"/>
  <c r="F234" i="104" s="1"/>
  <c r="F235" i="104" s="1"/>
  <c r="F236" i="104" s="1"/>
  <c r="F237" i="104" s="1"/>
  <c r="F238" i="104" s="1"/>
  <c r="F239" i="104" s="1"/>
  <c r="F240" i="104" s="1"/>
  <c r="F241" i="104" s="1"/>
  <c r="F242" i="104" s="1"/>
  <c r="F243" i="104" s="1"/>
  <c r="F244" i="104" s="1"/>
  <c r="F245" i="104" s="1"/>
  <c r="F246" i="104" s="1"/>
  <c r="F247" i="104" s="1"/>
  <c r="F248" i="104" s="1"/>
  <c r="F249" i="104" s="1"/>
  <c r="F250" i="104" s="1"/>
  <c r="F251" i="104" s="1"/>
  <c r="F252" i="104" s="1"/>
  <c r="F253" i="104" s="1"/>
  <c r="F254" i="104" s="1"/>
  <c r="F255" i="104" s="1"/>
  <c r="F256" i="104" s="1"/>
  <c r="F257" i="104" s="1"/>
  <c r="F258" i="104" s="1"/>
  <c r="F259" i="104" s="1"/>
  <c r="F260" i="104" s="1"/>
  <c r="F261" i="104" s="1"/>
  <c r="F262" i="104" s="1"/>
  <c r="F263" i="104" s="1"/>
  <c r="F264" i="104" s="1"/>
  <c r="F265" i="104" s="1"/>
  <c r="F266" i="104" s="1"/>
  <c r="F267" i="104" s="1"/>
  <c r="F268" i="104" s="1"/>
  <c r="F269" i="104" s="1"/>
  <c r="F270" i="104" s="1"/>
  <c r="F271" i="104" s="1"/>
  <c r="F272" i="104" s="1"/>
  <c r="F273" i="104" s="1"/>
  <c r="F274" i="104" s="1"/>
  <c r="F275" i="104" s="1"/>
  <c r="F276" i="104" s="1"/>
  <c r="F277" i="104" s="1"/>
  <c r="F278" i="104" s="1"/>
  <c r="F279" i="104" s="1"/>
  <c r="F280" i="104" s="1"/>
  <c r="F281" i="104" s="1"/>
  <c r="F282" i="104" s="1"/>
  <c r="F283" i="104" s="1"/>
  <c r="F284" i="104" s="1"/>
  <c r="F285" i="104" s="1"/>
  <c r="F286" i="104" s="1"/>
  <c r="F287" i="104" s="1"/>
  <c r="F288" i="104" s="1"/>
  <c r="F289" i="104" s="1"/>
  <c r="F290" i="104" s="1"/>
  <c r="F291" i="104" s="1"/>
  <c r="F292" i="104" s="1"/>
  <c r="F293" i="104" s="1"/>
  <c r="F294" i="104" s="1"/>
  <c r="F295" i="104" s="1"/>
  <c r="F296" i="104" s="1"/>
  <c r="F297" i="104" s="1"/>
  <c r="F298" i="104" s="1"/>
  <c r="F299" i="104" s="1"/>
  <c r="F300" i="104" s="1"/>
  <c r="F301" i="104" s="1"/>
  <c r="F302" i="104" s="1"/>
  <c r="F303" i="104" s="1"/>
  <c r="F304" i="104" s="1"/>
  <c r="F305" i="104" s="1"/>
  <c r="F306" i="104" s="1"/>
  <c r="F307" i="104" s="1"/>
  <c r="F308" i="104" s="1"/>
  <c r="F309" i="104" s="1"/>
  <c r="F310" i="104" s="1"/>
  <c r="F311" i="104" s="1"/>
  <c r="F312" i="104" s="1"/>
  <c r="F313" i="104" s="1"/>
  <c r="F314" i="104" s="1"/>
  <c r="F315" i="104" s="1"/>
  <c r="F316" i="104" s="1"/>
  <c r="F317" i="104" s="1"/>
  <c r="F318" i="104" s="1"/>
  <c r="F319" i="104" s="1"/>
  <c r="F320" i="104" s="1"/>
  <c r="F321" i="104" s="1"/>
  <c r="F322" i="104" s="1"/>
  <c r="F323" i="104" s="1"/>
  <c r="F324" i="104" s="1"/>
  <c r="F325" i="104" s="1"/>
  <c r="F326" i="104" s="1"/>
  <c r="F327" i="104" s="1"/>
  <c r="F328" i="104" s="1"/>
  <c r="F329" i="104" s="1"/>
  <c r="F330" i="104" s="1"/>
  <c r="F331" i="104" s="1"/>
  <c r="F332" i="104" s="1"/>
  <c r="F333" i="104" s="1"/>
  <c r="F334" i="104" s="1"/>
  <c r="F335" i="104" s="1"/>
  <c r="F336" i="104" s="1"/>
  <c r="F337" i="104" s="1"/>
  <c r="F338" i="104" s="1"/>
  <c r="F339" i="104" s="1"/>
  <c r="F340" i="104" s="1"/>
  <c r="F341" i="104" s="1"/>
  <c r="F342" i="104" s="1"/>
  <c r="F343" i="104" s="1"/>
  <c r="F344" i="104" s="1"/>
  <c r="F345" i="104" s="1"/>
  <c r="F346" i="104" s="1"/>
  <c r="F347" i="104" s="1"/>
  <c r="F348" i="104" s="1"/>
  <c r="F349" i="104" s="1"/>
  <c r="F350" i="104" s="1"/>
  <c r="F351" i="104" s="1"/>
  <c r="F352" i="104" s="1"/>
  <c r="F353" i="104" s="1"/>
  <c r="F354" i="104" s="1"/>
  <c r="F355" i="104" s="1"/>
  <c r="F356" i="104" s="1"/>
  <c r="F357" i="104" s="1"/>
  <c r="F358" i="104" s="1"/>
  <c r="F359" i="104" s="1"/>
  <c r="F360" i="104" s="1"/>
  <c r="F361" i="104" s="1"/>
  <c r="F362" i="104" s="1"/>
  <c r="F363" i="104" s="1"/>
  <c r="F364" i="104" s="1"/>
  <c r="F365" i="104" s="1"/>
  <c r="F366" i="104" s="1"/>
  <c r="F367" i="104" s="1"/>
  <c r="F368" i="104" s="1"/>
  <c r="F369" i="104" s="1"/>
  <c r="F370" i="104" s="1"/>
  <c r="F371" i="104" s="1"/>
  <c r="F372" i="104" s="1"/>
  <c r="F373" i="104" s="1"/>
  <c r="F374" i="104" s="1"/>
  <c r="F375" i="104" s="1"/>
  <c r="F376" i="104" s="1"/>
  <c r="F377" i="104" s="1"/>
  <c r="F378" i="104" s="1"/>
  <c r="F379" i="104" s="1"/>
  <c r="F380" i="104" s="1"/>
  <c r="F381" i="104" s="1"/>
  <c r="F382" i="104" s="1"/>
  <c r="F383" i="104" s="1"/>
  <c r="F384" i="104" s="1"/>
  <c r="F385" i="104" s="1"/>
  <c r="F386" i="104" s="1"/>
  <c r="F387" i="104" s="1"/>
  <c r="F388" i="104" s="1"/>
  <c r="F389" i="104" s="1"/>
  <c r="F390" i="104" s="1"/>
  <c r="F391" i="104" s="1"/>
  <c r="F392" i="104" s="1"/>
  <c r="F393" i="104" s="1"/>
  <c r="F394" i="104" s="1"/>
  <c r="F395" i="104" s="1"/>
  <c r="F396" i="104" s="1"/>
  <c r="F397" i="104" s="1"/>
  <c r="F398" i="104" s="1"/>
  <c r="F399" i="104" s="1"/>
  <c r="F400" i="104" s="1"/>
  <c r="F401" i="104" s="1"/>
  <c r="F402" i="104" s="1"/>
  <c r="F403" i="104" s="1"/>
  <c r="F404" i="104" s="1"/>
  <c r="F405" i="104" s="1"/>
  <c r="F406" i="104" s="1"/>
  <c r="F407" i="104" s="1"/>
  <c r="F408" i="104" s="1"/>
  <c r="F409" i="104" s="1"/>
  <c r="F410" i="104" s="1"/>
  <c r="F411" i="104" s="1"/>
  <c r="F412" i="104" s="1"/>
  <c r="F413" i="104" s="1"/>
  <c r="F414" i="104" s="1"/>
  <c r="F415" i="104" s="1"/>
  <c r="F416" i="104" s="1"/>
  <c r="F417" i="104" s="1"/>
  <c r="F418" i="104" s="1"/>
  <c r="F419" i="104" s="1"/>
  <c r="F420" i="104" s="1"/>
  <c r="F421" i="104" s="1"/>
  <c r="F422" i="104" s="1"/>
  <c r="F423" i="104" s="1"/>
  <c r="F424" i="104" s="1"/>
  <c r="F425" i="104" s="1"/>
  <c r="F426" i="104" s="1"/>
  <c r="F427" i="104" s="1"/>
  <c r="F428" i="104" s="1"/>
  <c r="F429" i="104" s="1"/>
  <c r="F430" i="104" s="1"/>
  <c r="F431" i="104" s="1"/>
  <c r="F432" i="104" s="1"/>
  <c r="F433" i="104" s="1"/>
  <c r="F434" i="104" s="1"/>
  <c r="F435" i="104" s="1"/>
  <c r="F436" i="104" s="1"/>
  <c r="F437" i="104" s="1"/>
  <c r="F438" i="104" s="1"/>
  <c r="F439" i="104" s="1"/>
  <c r="F440" i="104" s="1"/>
  <c r="F441" i="104" s="1"/>
  <c r="F442" i="104" s="1"/>
  <c r="F443" i="104" s="1"/>
  <c r="F444" i="104" s="1"/>
  <c r="F445" i="104" s="1"/>
  <c r="F446" i="104" s="1"/>
  <c r="F447" i="104" s="1"/>
  <c r="F448" i="104" s="1"/>
  <c r="F449" i="104" s="1"/>
  <c r="F450" i="104" s="1"/>
  <c r="F451" i="104" s="1"/>
  <c r="F452" i="104" s="1"/>
  <c r="F453" i="104" s="1"/>
  <c r="F454" i="104" s="1"/>
  <c r="F455" i="104" s="1"/>
  <c r="F456" i="104" s="1"/>
  <c r="F457" i="104" s="1"/>
  <c r="F458" i="104" s="1"/>
  <c r="F459" i="104" s="1"/>
  <c r="F460" i="104" s="1"/>
  <c r="F461" i="104" s="1"/>
  <c r="F462" i="104" s="1"/>
  <c r="F463" i="104" s="1"/>
  <c r="F464" i="104" s="1"/>
  <c r="F465" i="104" s="1"/>
  <c r="F466" i="104" s="1"/>
  <c r="F467" i="104" s="1"/>
  <c r="F468" i="104" s="1"/>
  <c r="F469" i="104" s="1"/>
  <c r="F470" i="104" s="1"/>
  <c r="F471" i="104" s="1"/>
  <c r="F472" i="104" s="1"/>
  <c r="F473" i="104" s="1"/>
  <c r="F474" i="104" s="1"/>
  <c r="F475" i="104" s="1"/>
  <c r="F476" i="104" s="1"/>
  <c r="F477" i="104" s="1"/>
  <c r="F478" i="104" s="1"/>
  <c r="F479" i="104" s="1"/>
  <c r="F480" i="104" s="1"/>
  <c r="F481" i="104" s="1"/>
  <c r="F482" i="104" s="1"/>
  <c r="F483" i="104" s="1"/>
  <c r="F484" i="104" s="1"/>
  <c r="F485" i="104" s="1"/>
  <c r="F486" i="104" s="1"/>
  <c r="F487" i="104" s="1"/>
  <c r="F488" i="104" s="1"/>
  <c r="F489" i="104" s="1"/>
  <c r="F490" i="104" s="1"/>
  <c r="F491" i="104" s="1"/>
  <c r="F492" i="104" s="1"/>
  <c r="F493" i="104" s="1"/>
  <c r="F494" i="104" s="1"/>
  <c r="F495" i="104" s="1"/>
  <c r="F496" i="104" s="1"/>
  <c r="F497" i="104" s="1"/>
  <c r="F498" i="104" s="1"/>
  <c r="F499" i="104" s="1"/>
  <c r="F500" i="104" s="1"/>
  <c r="F501" i="104" s="1"/>
  <c r="F502" i="104" s="1"/>
  <c r="F503" i="104" s="1"/>
  <c r="F504" i="104" s="1"/>
  <c r="F505" i="104" s="1"/>
  <c r="F506" i="104" s="1"/>
  <c r="F507" i="104" s="1"/>
  <c r="F508" i="104" s="1"/>
  <c r="F509" i="104" s="1"/>
  <c r="F510" i="104" s="1"/>
  <c r="F511" i="104" s="1"/>
  <c r="F512" i="104" s="1"/>
  <c r="F513" i="104" s="1"/>
  <c r="F514" i="104" s="1"/>
  <c r="F515" i="104" s="1"/>
  <c r="F516" i="104" s="1"/>
  <c r="F517" i="104" s="1"/>
  <c r="F518" i="104" s="1"/>
  <c r="F519" i="104" s="1"/>
  <c r="F520" i="104" s="1"/>
  <c r="F521" i="104" s="1"/>
  <c r="F522" i="104" s="1"/>
  <c r="F523" i="104" s="1"/>
  <c r="F524" i="104" s="1"/>
  <c r="F525" i="104" s="1"/>
  <c r="F526" i="104" s="1"/>
  <c r="F527" i="104" s="1"/>
  <c r="F528" i="104" s="1"/>
  <c r="F529" i="104" s="1"/>
  <c r="F530" i="104" s="1"/>
  <c r="F531" i="104" s="1"/>
  <c r="F532" i="104" s="1"/>
  <c r="F533" i="104" s="1"/>
  <c r="F534" i="104" s="1"/>
  <c r="F535" i="104" s="1"/>
  <c r="F536" i="104" s="1"/>
  <c r="F537" i="104" s="1"/>
  <c r="F538" i="104" s="1"/>
  <c r="F539" i="104" s="1"/>
  <c r="F540" i="104" s="1"/>
  <c r="F541" i="104" s="1"/>
  <c r="F542" i="104" s="1"/>
  <c r="F543" i="104" s="1"/>
  <c r="F544" i="104" s="1"/>
  <c r="F545" i="104" s="1"/>
  <c r="F546" i="104" s="1"/>
  <c r="F547" i="104" s="1"/>
  <c r="F548" i="104" s="1"/>
  <c r="F549" i="104" s="1"/>
  <c r="F550" i="104" s="1"/>
  <c r="F551" i="104" s="1"/>
  <c r="F552" i="104" s="1"/>
  <c r="F553" i="104" s="1"/>
  <c r="F554" i="104" s="1"/>
  <c r="F555" i="104" s="1"/>
  <c r="F556" i="104" s="1"/>
  <c r="F557" i="104" s="1"/>
  <c r="F558" i="104" s="1"/>
  <c r="F559" i="104" s="1"/>
  <c r="F560" i="104" s="1"/>
  <c r="F561" i="104" s="1"/>
  <c r="F562" i="104" s="1"/>
  <c r="F563" i="104" s="1"/>
  <c r="F564" i="104" s="1"/>
  <c r="F565" i="104" s="1"/>
  <c r="F566" i="104" s="1"/>
  <c r="F567" i="104" s="1"/>
  <c r="F568" i="104" s="1"/>
  <c r="F569" i="104" s="1"/>
  <c r="F570" i="104" s="1"/>
  <c r="F571" i="104" s="1"/>
  <c r="F572" i="104" s="1"/>
  <c r="F573" i="104" s="1"/>
  <c r="F574" i="104" s="1"/>
  <c r="F575" i="104" s="1"/>
  <c r="F576" i="104" s="1"/>
  <c r="F577" i="104" s="1"/>
  <c r="F578" i="104" s="1"/>
  <c r="F579" i="104" s="1"/>
  <c r="F580" i="104" s="1"/>
  <c r="F581" i="104" s="1"/>
  <c r="F582" i="104" s="1"/>
  <c r="F583" i="104" s="1"/>
  <c r="F584" i="104" s="1"/>
  <c r="F585" i="104" s="1"/>
  <c r="F586" i="104" s="1"/>
  <c r="F587" i="104" s="1"/>
  <c r="F588" i="104" s="1"/>
  <c r="F589" i="104" s="1"/>
  <c r="F590" i="104" s="1"/>
  <c r="F591" i="104" s="1"/>
  <c r="F592" i="104" s="1"/>
  <c r="F593" i="104" s="1"/>
  <c r="F594" i="104" s="1"/>
  <c r="F595" i="104" s="1"/>
  <c r="F596" i="104" s="1"/>
  <c r="F597" i="104" s="1"/>
  <c r="F598" i="104" s="1"/>
  <c r="F599" i="104" s="1"/>
  <c r="F600" i="104" s="1"/>
  <c r="F601" i="104" s="1"/>
  <c r="F602" i="104" s="1"/>
  <c r="F603" i="104" s="1"/>
  <c r="F604" i="104" s="1"/>
  <c r="F605" i="104" s="1"/>
  <c r="F606" i="104" s="1"/>
  <c r="F607" i="104" s="1"/>
  <c r="F608" i="104" s="1"/>
  <c r="F609" i="104" s="1"/>
  <c r="F610" i="104" s="1"/>
  <c r="F611" i="104" s="1"/>
  <c r="F612" i="104" s="1"/>
  <c r="F613" i="104" s="1"/>
  <c r="F614" i="104" s="1"/>
  <c r="F615" i="104" s="1"/>
  <c r="F616" i="104" s="1"/>
  <c r="F617" i="104" s="1"/>
  <c r="F618" i="104" s="1"/>
  <c r="F619" i="104" s="1"/>
  <c r="F620" i="104" s="1"/>
  <c r="F621" i="104" s="1"/>
  <c r="F622" i="104" s="1"/>
  <c r="F623" i="104" s="1"/>
  <c r="F624" i="104" s="1"/>
  <c r="F625" i="104" s="1"/>
  <c r="F626" i="104" s="1"/>
  <c r="F627" i="104" s="1"/>
  <c r="F628" i="104" s="1"/>
  <c r="F629" i="104" s="1"/>
  <c r="F630" i="104" s="1"/>
  <c r="F631" i="104" s="1"/>
  <c r="F632" i="104" s="1"/>
  <c r="F633" i="104" s="1"/>
  <c r="F634" i="104" s="1"/>
  <c r="F635" i="104" s="1"/>
  <c r="F636" i="104" s="1"/>
  <c r="F637" i="104" s="1"/>
  <c r="F638" i="104" s="1"/>
  <c r="F639" i="104" s="1"/>
  <c r="F640" i="104" s="1"/>
  <c r="F641" i="104" s="1"/>
  <c r="F642" i="104" s="1"/>
  <c r="F643" i="104" s="1"/>
  <c r="F644" i="104" s="1"/>
  <c r="F645" i="104" s="1"/>
  <c r="F646" i="104" s="1"/>
  <c r="F647" i="104" s="1"/>
  <c r="F648" i="104" s="1"/>
  <c r="F649" i="104" s="1"/>
  <c r="F650" i="104" s="1"/>
  <c r="F651" i="104" s="1"/>
  <c r="F652" i="104" s="1"/>
  <c r="F653" i="104" s="1"/>
  <c r="F654" i="104" s="1"/>
  <c r="F655" i="104" s="1"/>
  <c r="F656" i="104" s="1"/>
  <c r="F657" i="104" s="1"/>
  <c r="F658" i="104" s="1"/>
  <c r="F659" i="104" s="1"/>
  <c r="F660" i="104" s="1"/>
  <c r="F661" i="104" s="1"/>
  <c r="F662" i="104" s="1"/>
  <c r="F663" i="104" s="1"/>
  <c r="F664" i="104" s="1"/>
  <c r="F665" i="104" s="1"/>
  <c r="F666" i="104" s="1"/>
  <c r="F667" i="104" s="1"/>
  <c r="F668" i="104" s="1"/>
  <c r="F669" i="104" s="1"/>
  <c r="F670" i="104" s="1"/>
  <c r="F671" i="104" s="1"/>
  <c r="F672" i="104" s="1"/>
  <c r="F673" i="104" s="1"/>
  <c r="F674" i="104" s="1"/>
  <c r="F675" i="104" s="1"/>
  <c r="F676" i="104" s="1"/>
  <c r="F677" i="104" s="1"/>
  <c r="F678" i="104" s="1"/>
  <c r="F679" i="104" s="1"/>
  <c r="F680" i="104" s="1"/>
  <c r="F681" i="104" s="1"/>
  <c r="F682" i="104" s="1"/>
  <c r="F683" i="104" s="1"/>
  <c r="F684" i="104" s="1"/>
  <c r="F685" i="104" s="1"/>
  <c r="F686" i="104" s="1"/>
  <c r="F687" i="104" s="1"/>
  <c r="F688" i="104" s="1"/>
  <c r="F689" i="104" s="1"/>
  <c r="F690" i="104" s="1"/>
  <c r="F691" i="104" s="1"/>
  <c r="F692" i="104" s="1"/>
  <c r="F693" i="104" s="1"/>
  <c r="F694" i="104" s="1"/>
  <c r="F695" i="104" s="1"/>
  <c r="F696" i="104" s="1"/>
  <c r="F697" i="104" s="1"/>
  <c r="F698" i="104" s="1"/>
  <c r="F699" i="104" s="1"/>
  <c r="F700" i="104" s="1"/>
  <c r="F701" i="104" s="1"/>
  <c r="F702" i="104" s="1"/>
  <c r="F703" i="104" s="1"/>
  <c r="F704" i="104" s="1"/>
  <c r="F705" i="104" s="1"/>
  <c r="F706" i="104" s="1"/>
  <c r="F707" i="104" s="1"/>
  <c r="F708" i="104" s="1"/>
  <c r="F709" i="104" s="1"/>
  <c r="F710" i="104" s="1"/>
  <c r="F711" i="104" s="1"/>
  <c r="F712" i="104" s="1"/>
  <c r="F713" i="104" s="1"/>
  <c r="F714" i="104" s="1"/>
  <c r="F715" i="104" s="1"/>
  <c r="F716" i="104" s="1"/>
  <c r="F717" i="104" s="1"/>
  <c r="F718" i="104" s="1"/>
  <c r="F719" i="104" s="1"/>
  <c r="F720" i="104" s="1"/>
  <c r="F721" i="104" s="1"/>
  <c r="F722" i="104" s="1"/>
  <c r="F723" i="104" s="1"/>
  <c r="F724" i="104" s="1"/>
  <c r="F725" i="104" s="1"/>
  <c r="F726" i="104" s="1"/>
  <c r="F727" i="104" s="1"/>
  <c r="F728" i="104" s="1"/>
  <c r="F729" i="104" s="1"/>
  <c r="F730" i="104" s="1"/>
  <c r="F731" i="104" s="1"/>
  <c r="F732" i="104" s="1"/>
  <c r="F733" i="104" s="1"/>
  <c r="F734" i="104" s="1"/>
  <c r="F735" i="104" s="1"/>
  <c r="F736" i="104" s="1"/>
  <c r="F737" i="104" s="1"/>
  <c r="F738" i="104" s="1"/>
  <c r="F739" i="104" s="1"/>
  <c r="F740" i="104" s="1"/>
  <c r="F741" i="104" s="1"/>
  <c r="F742" i="104" s="1"/>
  <c r="F743" i="104" s="1"/>
  <c r="F744" i="104" s="1"/>
  <c r="F745" i="104" s="1"/>
  <c r="F746" i="104" s="1"/>
  <c r="F747" i="104" s="1"/>
  <c r="F748" i="104" s="1"/>
  <c r="F749" i="104" s="1"/>
  <c r="F750" i="104" s="1"/>
  <c r="F751" i="104" s="1"/>
  <c r="F752" i="104" s="1"/>
  <c r="F753" i="104" s="1"/>
  <c r="F754" i="104" s="1"/>
  <c r="F755" i="104" s="1"/>
  <c r="F756" i="104" s="1"/>
  <c r="F757" i="104" s="1"/>
  <c r="F758" i="104" s="1"/>
  <c r="F759" i="104" s="1"/>
  <c r="F760" i="104" s="1"/>
  <c r="F761" i="104" s="1"/>
  <c r="F762" i="104" s="1"/>
  <c r="F763" i="104" s="1"/>
  <c r="F764" i="104" s="1"/>
  <c r="F765" i="104" s="1"/>
  <c r="F766" i="104" s="1"/>
  <c r="F767" i="104" s="1"/>
  <c r="F768" i="104" s="1"/>
  <c r="F769" i="104" s="1"/>
  <c r="F770" i="104" s="1"/>
  <c r="F771" i="104" s="1"/>
  <c r="F772" i="104" s="1"/>
  <c r="F773" i="104" s="1"/>
  <c r="F774" i="104" s="1"/>
  <c r="F775" i="104" s="1"/>
  <c r="F776" i="104" s="1"/>
  <c r="F777" i="104" s="1"/>
  <c r="F778" i="104" s="1"/>
  <c r="F779" i="104" s="1"/>
  <c r="F780" i="104" s="1"/>
  <c r="F781" i="104" s="1"/>
  <c r="F782" i="104" s="1"/>
  <c r="F783" i="104" s="1"/>
  <c r="F784" i="104" s="1"/>
  <c r="F785" i="104" s="1"/>
  <c r="F786" i="104" s="1"/>
  <c r="F787" i="104" s="1"/>
  <c r="F788" i="104" s="1"/>
  <c r="F789" i="104" s="1"/>
  <c r="F790" i="104" s="1"/>
  <c r="F791" i="104" s="1"/>
  <c r="F792" i="104" s="1"/>
  <c r="F793" i="104" s="1"/>
  <c r="F794" i="104" s="1"/>
  <c r="F795" i="104" s="1"/>
  <c r="F796" i="104" s="1"/>
  <c r="F797" i="104" s="1"/>
  <c r="F798" i="104" s="1"/>
  <c r="F799" i="104" s="1"/>
  <c r="F800" i="104" s="1"/>
  <c r="F801" i="104" s="1"/>
  <c r="F802" i="104" s="1"/>
  <c r="F803" i="104" s="1"/>
  <c r="F804" i="104" s="1"/>
  <c r="F805" i="104" s="1"/>
  <c r="F806" i="104" s="1"/>
  <c r="F807" i="104" s="1"/>
  <c r="F808" i="104" s="1"/>
  <c r="F809" i="104" s="1"/>
  <c r="F810" i="104" s="1"/>
  <c r="F811" i="104" s="1"/>
  <c r="F812" i="104" s="1"/>
  <c r="F813" i="104" s="1"/>
  <c r="F814" i="104" s="1"/>
  <c r="F815" i="104" s="1"/>
  <c r="F816" i="104" s="1"/>
  <c r="F817" i="104" s="1"/>
  <c r="F818" i="104" s="1"/>
  <c r="F819" i="104" s="1"/>
  <c r="F820" i="104" s="1"/>
  <c r="F821" i="104" s="1"/>
  <c r="F822" i="104" s="1"/>
  <c r="F823" i="104" s="1"/>
  <c r="F824" i="104" s="1"/>
  <c r="F825" i="104" s="1"/>
  <c r="F826" i="104" s="1"/>
  <c r="F827" i="104" s="1"/>
  <c r="F828" i="104" s="1"/>
  <c r="F829" i="104" s="1"/>
  <c r="F830" i="104" s="1"/>
  <c r="F831" i="104" s="1"/>
  <c r="F832" i="104" s="1"/>
  <c r="F833" i="104" s="1"/>
  <c r="F834" i="104" s="1"/>
  <c r="F835" i="104" s="1"/>
  <c r="F836" i="104" s="1"/>
  <c r="F837" i="104" s="1"/>
  <c r="F838" i="104" s="1"/>
  <c r="F839" i="104" s="1"/>
  <c r="F840" i="104" s="1"/>
  <c r="F841" i="104" s="1"/>
  <c r="F842" i="104" s="1"/>
  <c r="F843" i="104" s="1"/>
  <c r="F844" i="104" s="1"/>
  <c r="F845" i="104" s="1"/>
  <c r="F846" i="104" s="1"/>
  <c r="F847" i="104" s="1"/>
  <c r="F848" i="104" s="1"/>
  <c r="F849" i="104" s="1"/>
  <c r="F850" i="104" s="1"/>
  <c r="F851" i="104" s="1"/>
  <c r="F852" i="104" s="1"/>
  <c r="F853" i="104" s="1"/>
  <c r="F854" i="104" s="1"/>
  <c r="F855" i="104" s="1"/>
  <c r="F856" i="104" s="1"/>
  <c r="F857" i="104" s="1"/>
  <c r="F858" i="104" s="1"/>
  <c r="F859" i="104" s="1"/>
  <c r="F860" i="104" s="1"/>
  <c r="F861" i="104" s="1"/>
  <c r="F862" i="104" s="1"/>
  <c r="F863" i="104" s="1"/>
  <c r="F864" i="104" s="1"/>
  <c r="F865" i="104" s="1"/>
  <c r="F866" i="104" s="1"/>
  <c r="F867" i="104" s="1"/>
  <c r="F868" i="104" s="1"/>
  <c r="F869" i="104" s="1"/>
  <c r="F870" i="104" s="1"/>
  <c r="F871" i="104" s="1"/>
  <c r="F872" i="104" s="1"/>
  <c r="F873" i="104" s="1"/>
  <c r="F874" i="104" s="1"/>
  <c r="F875" i="104" s="1"/>
  <c r="F876" i="104" s="1"/>
  <c r="F877" i="104" s="1"/>
  <c r="F878" i="104" s="1"/>
  <c r="F879" i="104" s="1"/>
  <c r="F880" i="104" s="1"/>
  <c r="F881" i="104" s="1"/>
  <c r="F882" i="104" s="1"/>
  <c r="F883" i="104" s="1"/>
  <c r="F884" i="104" s="1"/>
  <c r="F885" i="104" s="1"/>
  <c r="F886" i="104" s="1"/>
  <c r="F887" i="104" s="1"/>
  <c r="F888" i="104" s="1"/>
  <c r="F889" i="104" s="1"/>
  <c r="F890" i="104" s="1"/>
  <c r="F891" i="104" s="1"/>
  <c r="F892" i="104" s="1"/>
  <c r="F893" i="104" s="1"/>
  <c r="F894" i="104" s="1"/>
  <c r="F895" i="104" s="1"/>
  <c r="F896" i="104" s="1"/>
  <c r="F897" i="104" s="1"/>
  <c r="F898" i="104" s="1"/>
  <c r="F899" i="104" s="1"/>
  <c r="F900" i="104" s="1"/>
  <c r="F901" i="104" s="1"/>
  <c r="F902" i="104" s="1"/>
  <c r="F903" i="104" s="1"/>
  <c r="F904" i="104" s="1"/>
  <c r="F905" i="104" s="1"/>
  <c r="F906" i="104" s="1"/>
  <c r="F907" i="104" s="1"/>
  <c r="F908" i="104" s="1"/>
  <c r="F909" i="104" s="1"/>
  <c r="F910" i="104" s="1"/>
  <c r="F911" i="104" s="1"/>
  <c r="F912" i="104" s="1"/>
  <c r="F913" i="104" s="1"/>
  <c r="F914" i="104" s="1"/>
  <c r="F915" i="104" s="1"/>
  <c r="F916" i="104" s="1"/>
  <c r="F917" i="104" s="1"/>
  <c r="F918" i="104" s="1"/>
  <c r="F919" i="104" s="1"/>
  <c r="F920" i="104" s="1"/>
  <c r="F921" i="104" s="1"/>
  <c r="F922" i="104" s="1"/>
  <c r="F923" i="104" s="1"/>
  <c r="F924" i="104" s="1"/>
  <c r="F925" i="104" s="1"/>
  <c r="F926" i="104" s="1"/>
  <c r="F927" i="104" s="1"/>
  <c r="F928" i="104" s="1"/>
  <c r="F929" i="104" s="1"/>
  <c r="F930" i="104" s="1"/>
  <c r="F931" i="104" s="1"/>
  <c r="F932" i="104" s="1"/>
  <c r="F933" i="104" s="1"/>
  <c r="F934" i="104" s="1"/>
  <c r="F935" i="104" s="1"/>
  <c r="F936" i="104" s="1"/>
  <c r="F937" i="104" s="1"/>
  <c r="F938" i="104" s="1"/>
  <c r="F939" i="104" s="1"/>
  <c r="F940" i="104" s="1"/>
  <c r="F941" i="104" s="1"/>
  <c r="F942" i="104" s="1"/>
  <c r="F943" i="104" s="1"/>
  <c r="F944" i="104" s="1"/>
  <c r="F945" i="104" s="1"/>
  <c r="F946" i="104" s="1"/>
  <c r="M13" i="104"/>
  <c r="M10" i="104"/>
  <c r="M15" i="104"/>
  <c r="M8" i="104"/>
  <c r="N8" i="104" s="1"/>
  <c r="M16" i="104"/>
  <c r="M9" i="104"/>
  <c r="M17" i="104"/>
  <c r="M14" i="104"/>
  <c r="K44" i="104" l="1"/>
  <c r="F947" i="104"/>
  <c r="F948" i="104" s="1"/>
  <c r="F949" i="104" s="1"/>
  <c r="F950" i="104" s="1"/>
  <c r="F951" i="104" s="1"/>
  <c r="F952" i="104" s="1"/>
  <c r="F953" i="104" s="1"/>
  <c r="F954" i="104" s="1"/>
  <c r="F955" i="104" s="1"/>
  <c r="F956" i="104" s="1"/>
  <c r="F957" i="104" s="1"/>
  <c r="F958" i="104" s="1"/>
  <c r="F959" i="104" s="1"/>
  <c r="F960" i="104" s="1"/>
  <c r="F961" i="104" s="1"/>
  <c r="F962" i="104" s="1"/>
  <c r="F963" i="104" s="1"/>
  <c r="F964" i="104" s="1"/>
  <c r="F965" i="104" s="1"/>
  <c r="F966" i="104" s="1"/>
  <c r="F967" i="104" s="1"/>
  <c r="F968" i="104" s="1"/>
  <c r="F969" i="104" s="1"/>
  <c r="F970" i="104" s="1"/>
  <c r="F971" i="104" s="1"/>
  <c r="F972" i="104" s="1"/>
  <c r="F973" i="104" s="1"/>
  <c r="F974" i="104" s="1"/>
  <c r="F975" i="104" s="1"/>
  <c r="F976" i="104" s="1"/>
  <c r="F977" i="104" s="1"/>
  <c r="F978" i="104" s="1"/>
  <c r="F979" i="104" s="1"/>
  <c r="F980" i="104" s="1"/>
  <c r="F981" i="104" s="1"/>
  <c r="F982" i="104" s="1"/>
  <c r="F983" i="104" s="1"/>
  <c r="F984" i="104" s="1"/>
  <c r="F985" i="104" s="1"/>
  <c r="F986" i="104" s="1"/>
  <c r="F987" i="104" s="1"/>
  <c r="F988" i="104" s="1"/>
  <c r="F989" i="104" s="1"/>
  <c r="F990" i="104" s="1"/>
  <c r="F991" i="104" s="1"/>
  <c r="F992" i="104" s="1"/>
  <c r="F993" i="104" s="1"/>
  <c r="F994" i="104" s="1"/>
  <c r="F995" i="104" s="1"/>
  <c r="F996" i="104" s="1"/>
  <c r="F997" i="104" s="1"/>
  <c r="F998" i="104" s="1"/>
  <c r="F999" i="104" s="1"/>
  <c r="F1000" i="104" s="1"/>
  <c r="F1001" i="104" s="1"/>
  <c r="F1002" i="104" s="1"/>
  <c r="F1003" i="104" s="1"/>
  <c r="F1004" i="104" s="1"/>
  <c r="F1005" i="104" s="1"/>
  <c r="F1006" i="104" s="1"/>
  <c r="F1007" i="104" s="1"/>
  <c r="F1008" i="104" s="1"/>
  <c r="F1009" i="104" s="1"/>
  <c r="F1010" i="104" s="1"/>
  <c r="F1011" i="104" s="1"/>
  <c r="F1012" i="104" s="1"/>
  <c r="F1013" i="104" s="1"/>
  <c r="F1014" i="104" s="1"/>
  <c r="F1015" i="104" s="1"/>
  <c r="F1016" i="104" s="1"/>
  <c r="F1017" i="104" s="1"/>
  <c r="F1018" i="104" s="1"/>
  <c r="F1019" i="104" s="1"/>
  <c r="F1020" i="104" s="1"/>
  <c r="F1021" i="104" s="1"/>
  <c r="F1022" i="104" s="1"/>
  <c r="F1023" i="104" s="1"/>
  <c r="F1024" i="104" s="1"/>
  <c r="F1025" i="104" s="1"/>
  <c r="F1026" i="104" s="1"/>
  <c r="F1027" i="104" s="1"/>
  <c r="F1028" i="104" s="1"/>
  <c r="F1029" i="104" s="1"/>
  <c r="F1030" i="104" s="1"/>
  <c r="F1031" i="104" s="1"/>
  <c r="F1032" i="104" s="1"/>
  <c r="F1033" i="104" s="1"/>
  <c r="F1034" i="104" s="1"/>
  <c r="F1035" i="104" s="1"/>
  <c r="F1036" i="104" s="1"/>
  <c r="F1037" i="104" s="1"/>
  <c r="F1038" i="104" s="1"/>
  <c r="F1039" i="104" s="1"/>
  <c r="F1040" i="104" s="1"/>
  <c r="F1041" i="104" s="1"/>
  <c r="F1042" i="104" s="1"/>
  <c r="F1043" i="104" s="1"/>
  <c r="F1044" i="104" s="1"/>
  <c r="F1045" i="104" s="1"/>
  <c r="F1046" i="104" s="1"/>
  <c r="F1047" i="104" s="1"/>
  <c r="F1048" i="104" s="1"/>
  <c r="F1049" i="104" s="1"/>
  <c r="F1050" i="104" s="1"/>
  <c r="F1051" i="104" s="1"/>
  <c r="F1052" i="104" s="1"/>
  <c r="F1053" i="104" s="1"/>
  <c r="F1054" i="104" s="1"/>
  <c r="F1055" i="104" s="1"/>
  <c r="F1056" i="104" s="1"/>
  <c r="F1057" i="104" s="1"/>
  <c r="F1058" i="104" s="1"/>
  <c r="F1059" i="104" s="1"/>
  <c r="F1060" i="104" s="1"/>
  <c r="F1061" i="104" s="1"/>
  <c r="F1062" i="104" s="1"/>
  <c r="F1063" i="104" s="1"/>
  <c r="F1064" i="104" s="1"/>
  <c r="F1065" i="104" s="1"/>
  <c r="F1066" i="104" s="1"/>
  <c r="F1067" i="104" s="1"/>
  <c r="F1068" i="104" s="1"/>
  <c r="F1069" i="104" s="1"/>
  <c r="F1070" i="104" s="1"/>
  <c r="F1071" i="104" s="1"/>
  <c r="F1072" i="104" s="1"/>
  <c r="F1073" i="104" s="1"/>
  <c r="F1074" i="104" s="1"/>
  <c r="F1075" i="104" s="1"/>
  <c r="F1076" i="104" s="1"/>
  <c r="F1077" i="104" s="1"/>
  <c r="F1078" i="104" s="1"/>
  <c r="F1079" i="104" s="1"/>
  <c r="F1080" i="104" s="1"/>
  <c r="F1081" i="104" s="1"/>
  <c r="F1082" i="104" s="1"/>
  <c r="F1083" i="104" s="1"/>
  <c r="F1084" i="104" s="1"/>
  <c r="F1085" i="104" s="1"/>
  <c r="F1086" i="104" s="1"/>
  <c r="F1087" i="104" s="1"/>
  <c r="F1088" i="104" s="1"/>
  <c r="F1089" i="104" s="1"/>
  <c r="F1090" i="104" s="1"/>
  <c r="F1091" i="104" s="1"/>
  <c r="F1092" i="104" s="1"/>
  <c r="F1093" i="104" s="1"/>
  <c r="F1094" i="104" s="1"/>
  <c r="F1095" i="104" s="1"/>
  <c r="F1096" i="104" s="1"/>
  <c r="F1097" i="104" s="1"/>
  <c r="F1098" i="104" s="1"/>
  <c r="F1099" i="104" s="1"/>
  <c r="F1100" i="104" s="1"/>
  <c r="F1101" i="104" s="1"/>
  <c r="F1102" i="104" s="1"/>
  <c r="F1103" i="104" s="1"/>
  <c r="F1104" i="104" s="1"/>
  <c r="F1105" i="104" s="1"/>
  <c r="F1106" i="104" s="1"/>
  <c r="F1107" i="104" s="1"/>
  <c r="F1108" i="104" s="1"/>
  <c r="F1109" i="104" s="1"/>
  <c r="F1110" i="104" s="1"/>
  <c r="F1111" i="104" s="1"/>
  <c r="F1112" i="104" s="1"/>
  <c r="F1113" i="104" s="1"/>
  <c r="F1114" i="104" s="1"/>
  <c r="F1115" i="104" s="1"/>
  <c r="F1116" i="104" s="1"/>
  <c r="F1117" i="104" s="1"/>
  <c r="F1118" i="104" s="1"/>
  <c r="F1119" i="104" s="1"/>
  <c r="F1120" i="104" s="1"/>
  <c r="F1121" i="104" s="1"/>
  <c r="F1122" i="104" s="1"/>
  <c r="F1123" i="104" s="1"/>
  <c r="F1124" i="104" s="1"/>
  <c r="F1125" i="104" s="1"/>
  <c r="F1126" i="104" s="1"/>
  <c r="F1127" i="104" s="1"/>
  <c r="F1128" i="104" s="1"/>
  <c r="F1129" i="104" s="1"/>
  <c r="F1130" i="104" s="1"/>
  <c r="F1131" i="104" s="1"/>
  <c r="F1132" i="104" s="1"/>
  <c r="F1133" i="104" s="1"/>
  <c r="F1134" i="104" s="1"/>
  <c r="F1135" i="104" s="1"/>
  <c r="F1136" i="104" s="1"/>
  <c r="F1137" i="104" s="1"/>
  <c r="F1138" i="104" s="1"/>
  <c r="F1139" i="104" s="1"/>
  <c r="F1140" i="104" s="1"/>
  <c r="F1141" i="104" s="1"/>
  <c r="F1142" i="104" s="1"/>
  <c r="F1143" i="104" s="1"/>
  <c r="F1144" i="104" s="1"/>
  <c r="F1145" i="104" s="1"/>
  <c r="F1146" i="104" s="1"/>
  <c r="F1147" i="104" s="1"/>
  <c r="F1148" i="104" s="1"/>
  <c r="F1149" i="104" s="1"/>
  <c r="F1150" i="104" s="1"/>
  <c r="F1151" i="104" s="1"/>
  <c r="F1152" i="104" s="1"/>
  <c r="F1153" i="104" s="1"/>
  <c r="F1154" i="104" s="1"/>
  <c r="F1155" i="104" s="1"/>
  <c r="F1156" i="104" s="1"/>
  <c r="F1157" i="104" s="1"/>
  <c r="F1158" i="104" s="1"/>
  <c r="F1159" i="104" s="1"/>
  <c r="F1160" i="104" s="1"/>
  <c r="F1161" i="104" s="1"/>
  <c r="F1162" i="104" s="1"/>
  <c r="F1163" i="104" s="1"/>
  <c r="F1164" i="104" s="1"/>
  <c r="F1165" i="104" s="1"/>
  <c r="F1166" i="104" s="1"/>
  <c r="F1167" i="104" s="1"/>
  <c r="F1168" i="104" s="1"/>
  <c r="F1169" i="104" s="1"/>
  <c r="F1170" i="104" s="1"/>
  <c r="F1171" i="104" s="1"/>
  <c r="F1172" i="104" s="1"/>
  <c r="F1173" i="104" s="1"/>
  <c r="F1174" i="104" s="1"/>
  <c r="F1175" i="104" s="1"/>
  <c r="F1176" i="104" s="1"/>
  <c r="F1177" i="104" s="1"/>
  <c r="F1178" i="104" s="1"/>
  <c r="F1179" i="104" s="1"/>
  <c r="F1180" i="104" s="1"/>
  <c r="F1181" i="104" s="1"/>
  <c r="F1182" i="104" s="1"/>
  <c r="F1183" i="104" s="1"/>
  <c r="F1184" i="104" s="1"/>
  <c r="F1185" i="104" s="1"/>
  <c r="F1186" i="104" s="1"/>
  <c r="F1187" i="104" s="1"/>
  <c r="F1188" i="104" s="1"/>
  <c r="F1189" i="104" s="1"/>
  <c r="F1190" i="104" s="1"/>
  <c r="F1191" i="104" s="1"/>
  <c r="F1192" i="104" s="1"/>
  <c r="F1193" i="104" s="1"/>
  <c r="F1194" i="104" s="1"/>
  <c r="F1195" i="104" s="1"/>
  <c r="F1196" i="104" s="1"/>
  <c r="F1197" i="104" s="1"/>
  <c r="F1198" i="104" s="1"/>
  <c r="F1199" i="104" s="1"/>
  <c r="F1200" i="104" s="1"/>
  <c r="F1201" i="104" s="1"/>
  <c r="F1202" i="104" s="1"/>
  <c r="F1203" i="104" s="1"/>
  <c r="F1204" i="104" s="1"/>
  <c r="F1205" i="104" s="1"/>
  <c r="F1206" i="104" s="1"/>
  <c r="F1207" i="104" s="1"/>
  <c r="F1208" i="104" s="1"/>
  <c r="F1209" i="104" s="1"/>
  <c r="F1210" i="104" s="1"/>
  <c r="F1211" i="104" s="1"/>
  <c r="F1212" i="104" s="1"/>
  <c r="F1213" i="104" s="1"/>
  <c r="F1214" i="104" s="1"/>
  <c r="F1215" i="104" s="1"/>
  <c r="F1216" i="104" s="1"/>
  <c r="F1217" i="104" s="1"/>
  <c r="F1218" i="104" s="1"/>
  <c r="F1219" i="104" s="1"/>
  <c r="F1220" i="104" s="1"/>
  <c r="F1221" i="104" s="1"/>
  <c r="F1222" i="104" s="1"/>
  <c r="F1223" i="104" s="1"/>
  <c r="F1224" i="104" s="1"/>
  <c r="F1225" i="104" s="1"/>
  <c r="F1226" i="104" s="1"/>
  <c r="F1227" i="104" s="1"/>
  <c r="F1228" i="104" s="1"/>
  <c r="F1229" i="104" s="1"/>
  <c r="F1230" i="104" s="1"/>
  <c r="F1231" i="104" s="1"/>
  <c r="F1232" i="104" s="1"/>
  <c r="F1233" i="104" s="1"/>
  <c r="F1234" i="104" s="1"/>
  <c r="F1235" i="104" s="1"/>
  <c r="F1236" i="104" s="1"/>
  <c r="F1237" i="104" s="1"/>
  <c r="F1238" i="104" s="1"/>
  <c r="F1239" i="104" s="1"/>
  <c r="F1240" i="104" s="1"/>
  <c r="F1241" i="104" s="1"/>
  <c r="F1242" i="104" s="1"/>
  <c r="F1243" i="104" s="1"/>
  <c r="F1244" i="104" s="1"/>
  <c r="F1245" i="104" s="1"/>
  <c r="F1246" i="104" s="1"/>
  <c r="F1247" i="104" s="1"/>
  <c r="F1248" i="104" s="1"/>
  <c r="F1249" i="104" s="1"/>
  <c r="F1250" i="104" s="1"/>
  <c r="F1251" i="104" s="1"/>
  <c r="F1252" i="104" s="1"/>
  <c r="F1253" i="104" s="1"/>
  <c r="F1254" i="104" s="1"/>
  <c r="F1255" i="104" s="1"/>
  <c r="F1256" i="104" s="1"/>
  <c r="F1257" i="104" s="1"/>
  <c r="F1258" i="104" s="1"/>
  <c r="F1259" i="104" s="1"/>
  <c r="F1260" i="104" s="1"/>
  <c r="F1261" i="104" s="1"/>
  <c r="F1262" i="104" s="1"/>
  <c r="F1263" i="104" s="1"/>
  <c r="F1264" i="104" s="1"/>
  <c r="F1265" i="104" s="1"/>
  <c r="F1266" i="104" s="1"/>
  <c r="F1267" i="104" s="1"/>
  <c r="F1268" i="104" s="1"/>
  <c r="F1269" i="104" s="1"/>
  <c r="F1270" i="104" s="1"/>
  <c r="F1271" i="104" s="1"/>
  <c r="F1272" i="104" s="1"/>
  <c r="F1273" i="104" s="1"/>
  <c r="F1274" i="104" s="1"/>
  <c r="F1275" i="104" s="1"/>
  <c r="F1276" i="104" s="1"/>
  <c r="F1277" i="104" s="1"/>
  <c r="F1278" i="104" s="1"/>
  <c r="F1279" i="104" s="1"/>
  <c r="F1280" i="104" s="1"/>
  <c r="F1281" i="104" s="1"/>
  <c r="F1282" i="104" s="1"/>
  <c r="F1283" i="104" s="1"/>
  <c r="F1284" i="104" s="1"/>
  <c r="F1285" i="104" s="1"/>
  <c r="F1286" i="104" s="1"/>
  <c r="F1287" i="104" s="1"/>
  <c r="F1288" i="104" s="1"/>
  <c r="F1289" i="104" s="1"/>
  <c r="F1290" i="104" s="1"/>
  <c r="F1291" i="104" s="1"/>
  <c r="F1292" i="104" s="1"/>
  <c r="F1293" i="104" s="1"/>
  <c r="F1294" i="104" s="1"/>
  <c r="F1295" i="104" s="1"/>
  <c r="F1296" i="104" s="1"/>
  <c r="F1297" i="104" s="1"/>
  <c r="F1298" i="104" s="1"/>
  <c r="F1299" i="104" s="1"/>
  <c r="F1300" i="104" s="1"/>
  <c r="F1301" i="104" s="1"/>
  <c r="F1302" i="104" s="1"/>
  <c r="F1303" i="104" s="1"/>
  <c r="N9" i="104"/>
  <c r="I22" i="104"/>
  <c r="J44" i="104"/>
  <c r="D947" i="104"/>
  <c r="D948" i="104" s="1"/>
  <c r="D949" i="104" s="1"/>
  <c r="D950" i="104" s="1"/>
  <c r="D951" i="104" s="1"/>
  <c r="D952" i="104" s="1"/>
  <c r="D953" i="104" s="1"/>
  <c r="D954" i="104" s="1"/>
  <c r="D955" i="104" s="1"/>
  <c r="D956" i="104" s="1"/>
  <c r="D957" i="104" s="1"/>
  <c r="D958" i="104" s="1"/>
  <c r="D959" i="104" s="1"/>
  <c r="D960" i="104" s="1"/>
  <c r="D961" i="104" s="1"/>
  <c r="D962" i="104" s="1"/>
  <c r="D963" i="104" s="1"/>
  <c r="D964" i="104" s="1"/>
  <c r="D965" i="104" s="1"/>
  <c r="D966" i="104" s="1"/>
  <c r="D967" i="104" s="1"/>
  <c r="D968" i="104" s="1"/>
  <c r="D969" i="104" s="1"/>
  <c r="D970" i="104" s="1"/>
  <c r="D971" i="104" s="1"/>
  <c r="D972" i="104" s="1"/>
  <c r="D973" i="104" s="1"/>
  <c r="D974" i="104" s="1"/>
  <c r="D975" i="104" s="1"/>
  <c r="D976" i="104" s="1"/>
  <c r="D977" i="104" s="1"/>
  <c r="D978" i="104" s="1"/>
  <c r="D979" i="104" s="1"/>
  <c r="D980" i="104" s="1"/>
  <c r="D981" i="104" s="1"/>
  <c r="D982" i="104" s="1"/>
  <c r="D983" i="104" s="1"/>
  <c r="D984" i="104" s="1"/>
  <c r="D985" i="104" s="1"/>
  <c r="D986" i="104" s="1"/>
  <c r="D987" i="104" s="1"/>
  <c r="D988" i="104" s="1"/>
  <c r="D989" i="104" s="1"/>
  <c r="D990" i="104" s="1"/>
  <c r="D991" i="104" s="1"/>
  <c r="D992" i="104" s="1"/>
  <c r="D993" i="104" s="1"/>
  <c r="D994" i="104" s="1"/>
  <c r="D995" i="104" s="1"/>
  <c r="D996" i="104" s="1"/>
  <c r="D997" i="104" s="1"/>
  <c r="D998" i="104" s="1"/>
  <c r="D999" i="104" s="1"/>
  <c r="D1000" i="104" s="1"/>
  <c r="D1001" i="104" s="1"/>
  <c r="D1002" i="104" s="1"/>
  <c r="D1003" i="104" s="1"/>
  <c r="D1004" i="104" s="1"/>
  <c r="D1005" i="104" s="1"/>
  <c r="D1006" i="104" s="1"/>
  <c r="D1007" i="104" s="1"/>
  <c r="D1008" i="104" s="1"/>
  <c r="D1009" i="104" s="1"/>
  <c r="D1010" i="104" s="1"/>
  <c r="D1011" i="104" s="1"/>
  <c r="D1012" i="104" s="1"/>
  <c r="D1013" i="104" s="1"/>
  <c r="D1014" i="104" s="1"/>
  <c r="D1015" i="104" s="1"/>
  <c r="D1016" i="104" s="1"/>
  <c r="D1017" i="104" s="1"/>
  <c r="D1018" i="104" s="1"/>
  <c r="D1019" i="104" s="1"/>
  <c r="D1020" i="104" s="1"/>
  <c r="D1021" i="104" s="1"/>
  <c r="D1022" i="104" s="1"/>
  <c r="D1023" i="104" s="1"/>
  <c r="D1024" i="104" s="1"/>
  <c r="D1025" i="104" s="1"/>
  <c r="D1026" i="104" s="1"/>
  <c r="D1027" i="104" s="1"/>
  <c r="D1028" i="104" s="1"/>
  <c r="D1029" i="104" s="1"/>
  <c r="D1030" i="104" s="1"/>
  <c r="D1031" i="104" s="1"/>
  <c r="D1032" i="104" s="1"/>
  <c r="D1033" i="104" s="1"/>
  <c r="D1034" i="104" s="1"/>
  <c r="D1035" i="104" s="1"/>
  <c r="D1036" i="104" s="1"/>
  <c r="D1037" i="104" s="1"/>
  <c r="D1038" i="104" s="1"/>
  <c r="D1039" i="104" s="1"/>
  <c r="D1040" i="104" s="1"/>
  <c r="D1041" i="104" s="1"/>
  <c r="D1042" i="104" s="1"/>
  <c r="D1043" i="104" s="1"/>
  <c r="D1044" i="104" s="1"/>
  <c r="D1045" i="104" s="1"/>
  <c r="D1046" i="104" s="1"/>
  <c r="D1047" i="104" s="1"/>
  <c r="D1048" i="104" s="1"/>
  <c r="D1049" i="104" s="1"/>
  <c r="D1050" i="104" s="1"/>
  <c r="D1051" i="104" s="1"/>
  <c r="D1052" i="104" s="1"/>
  <c r="D1053" i="104" s="1"/>
  <c r="D1054" i="104" s="1"/>
  <c r="D1055" i="104" s="1"/>
  <c r="D1056" i="104" s="1"/>
  <c r="D1057" i="104" s="1"/>
  <c r="D1058" i="104" s="1"/>
  <c r="D1059" i="104" s="1"/>
  <c r="D1060" i="104" s="1"/>
  <c r="D1061" i="104" s="1"/>
  <c r="D1062" i="104" s="1"/>
  <c r="D1063" i="104" s="1"/>
  <c r="D1064" i="104" s="1"/>
  <c r="D1065" i="104" s="1"/>
  <c r="D1066" i="104" s="1"/>
  <c r="D1067" i="104" s="1"/>
  <c r="D1068" i="104" s="1"/>
  <c r="D1069" i="104" s="1"/>
  <c r="D1070" i="104" s="1"/>
  <c r="D1071" i="104" s="1"/>
  <c r="D1072" i="104" s="1"/>
  <c r="D1073" i="104" s="1"/>
  <c r="D1074" i="104" s="1"/>
  <c r="D1075" i="104" s="1"/>
  <c r="D1076" i="104" s="1"/>
  <c r="D1077" i="104" s="1"/>
  <c r="D1078" i="104" s="1"/>
  <c r="D1079" i="104" s="1"/>
  <c r="D1080" i="104" s="1"/>
  <c r="D1081" i="104" s="1"/>
  <c r="D1082" i="104" s="1"/>
  <c r="D1083" i="104" s="1"/>
  <c r="D1084" i="104" s="1"/>
  <c r="D1085" i="104" s="1"/>
  <c r="D1086" i="104" s="1"/>
  <c r="D1087" i="104" s="1"/>
  <c r="D1088" i="104" s="1"/>
  <c r="D1089" i="104" s="1"/>
  <c r="D1090" i="104" s="1"/>
  <c r="D1091" i="104" s="1"/>
  <c r="D1092" i="104" s="1"/>
  <c r="D1093" i="104" s="1"/>
  <c r="D1094" i="104" s="1"/>
  <c r="D1095" i="104" s="1"/>
  <c r="D1096" i="104" s="1"/>
  <c r="D1097" i="104" s="1"/>
  <c r="D1098" i="104" s="1"/>
  <c r="D1099" i="104" s="1"/>
  <c r="D1100" i="104" s="1"/>
  <c r="D1101" i="104" s="1"/>
  <c r="D1102" i="104" s="1"/>
  <c r="D1103" i="104" s="1"/>
  <c r="D1104" i="104" s="1"/>
  <c r="D1105" i="104" s="1"/>
  <c r="D1106" i="104" s="1"/>
  <c r="D1107" i="104" s="1"/>
  <c r="D1108" i="104" s="1"/>
  <c r="D1109" i="104" s="1"/>
  <c r="D1110" i="104" s="1"/>
  <c r="D1111" i="104" s="1"/>
  <c r="D1112" i="104" s="1"/>
  <c r="D1113" i="104" s="1"/>
  <c r="D1114" i="104" s="1"/>
  <c r="D1115" i="104" s="1"/>
  <c r="D1116" i="104" s="1"/>
  <c r="D1117" i="104" s="1"/>
  <c r="D1118" i="104" s="1"/>
  <c r="D1119" i="104" s="1"/>
  <c r="D1120" i="104" s="1"/>
  <c r="D1121" i="104" s="1"/>
  <c r="D1122" i="104" s="1"/>
  <c r="D1123" i="104" s="1"/>
  <c r="D1124" i="104" s="1"/>
  <c r="D1125" i="104" s="1"/>
  <c r="D1126" i="104" s="1"/>
  <c r="D1127" i="104" s="1"/>
  <c r="D1128" i="104" s="1"/>
  <c r="D1129" i="104" s="1"/>
  <c r="D1130" i="104" s="1"/>
  <c r="D1131" i="104" s="1"/>
  <c r="D1132" i="104" s="1"/>
  <c r="D1133" i="104" s="1"/>
  <c r="D1134" i="104" s="1"/>
  <c r="D1135" i="104" s="1"/>
  <c r="D1136" i="104" s="1"/>
  <c r="D1137" i="104" s="1"/>
  <c r="D1138" i="104" s="1"/>
  <c r="D1139" i="104" s="1"/>
  <c r="D1140" i="104" s="1"/>
  <c r="D1141" i="104" s="1"/>
  <c r="D1142" i="104" s="1"/>
  <c r="D1143" i="104" s="1"/>
  <c r="D1144" i="104" s="1"/>
  <c r="D1145" i="104" s="1"/>
  <c r="D1146" i="104" s="1"/>
  <c r="D1147" i="104" s="1"/>
  <c r="D1148" i="104" s="1"/>
  <c r="D1149" i="104" s="1"/>
  <c r="D1150" i="104" s="1"/>
  <c r="D1151" i="104" s="1"/>
  <c r="D1152" i="104" s="1"/>
  <c r="D1153" i="104" s="1"/>
  <c r="D1154" i="104" s="1"/>
  <c r="D1155" i="104" s="1"/>
  <c r="D1156" i="104" s="1"/>
  <c r="D1157" i="104" s="1"/>
  <c r="D1158" i="104" s="1"/>
  <c r="D1159" i="104" s="1"/>
  <c r="D1160" i="104" s="1"/>
  <c r="D1161" i="104" s="1"/>
  <c r="D1162" i="104" s="1"/>
  <c r="D1163" i="104" s="1"/>
  <c r="D1164" i="104" s="1"/>
  <c r="D1165" i="104" s="1"/>
  <c r="D1166" i="104" s="1"/>
  <c r="D1167" i="104" s="1"/>
  <c r="D1168" i="104" s="1"/>
  <c r="D1169" i="104" s="1"/>
  <c r="D1170" i="104" s="1"/>
  <c r="D1171" i="104" s="1"/>
  <c r="D1172" i="104" s="1"/>
  <c r="D1173" i="104" s="1"/>
  <c r="D1174" i="104" s="1"/>
  <c r="D1175" i="104" s="1"/>
  <c r="D1176" i="104" s="1"/>
  <c r="D1177" i="104" s="1"/>
  <c r="D1178" i="104" s="1"/>
  <c r="D1179" i="104" s="1"/>
  <c r="D1180" i="104" s="1"/>
  <c r="D1181" i="104" s="1"/>
  <c r="D1182" i="104" s="1"/>
  <c r="D1183" i="104" s="1"/>
  <c r="D1184" i="104" s="1"/>
  <c r="D1185" i="104" s="1"/>
  <c r="D1186" i="104" s="1"/>
  <c r="D1187" i="104" s="1"/>
  <c r="D1188" i="104" s="1"/>
  <c r="D1189" i="104" s="1"/>
  <c r="D1190" i="104" s="1"/>
  <c r="D1191" i="104" s="1"/>
  <c r="D1192" i="104" s="1"/>
  <c r="D1193" i="104" s="1"/>
  <c r="D1194" i="104" s="1"/>
  <c r="D1195" i="104" s="1"/>
  <c r="D1196" i="104" s="1"/>
  <c r="D1197" i="104" s="1"/>
  <c r="D1198" i="104" s="1"/>
  <c r="D1199" i="104" s="1"/>
  <c r="D1200" i="104" s="1"/>
  <c r="D1201" i="104" s="1"/>
  <c r="D1202" i="104" s="1"/>
  <c r="D1203" i="104" s="1"/>
  <c r="D1204" i="104" s="1"/>
  <c r="D1205" i="104" s="1"/>
  <c r="D1206" i="104" s="1"/>
  <c r="D1207" i="104" s="1"/>
  <c r="D1208" i="104" s="1"/>
  <c r="D1209" i="104" s="1"/>
  <c r="D1210" i="104" s="1"/>
  <c r="D1211" i="104" s="1"/>
  <c r="D1212" i="104" s="1"/>
  <c r="D1213" i="104" s="1"/>
  <c r="D1214" i="104" s="1"/>
  <c r="D1215" i="104" s="1"/>
  <c r="D1216" i="104" s="1"/>
  <c r="D1217" i="104" s="1"/>
  <c r="D1218" i="104" s="1"/>
  <c r="D1219" i="104" s="1"/>
  <c r="D1220" i="104" s="1"/>
  <c r="D1221" i="104" s="1"/>
  <c r="D1222" i="104" s="1"/>
  <c r="D1223" i="104" s="1"/>
  <c r="D1224" i="104" s="1"/>
  <c r="D1225" i="104" s="1"/>
  <c r="D1226" i="104" s="1"/>
  <c r="D1227" i="104" s="1"/>
  <c r="D1228" i="104" s="1"/>
  <c r="D1229" i="104" s="1"/>
  <c r="D1230" i="104" s="1"/>
  <c r="D1231" i="104" s="1"/>
  <c r="D1232" i="104" s="1"/>
  <c r="D1233" i="104" s="1"/>
  <c r="D1234" i="104" s="1"/>
  <c r="D1235" i="104" s="1"/>
  <c r="D1236" i="104" s="1"/>
  <c r="D1237" i="104" s="1"/>
  <c r="D1238" i="104" s="1"/>
  <c r="D1239" i="104" s="1"/>
  <c r="D1240" i="104" s="1"/>
  <c r="D1241" i="104" s="1"/>
  <c r="D1242" i="104" s="1"/>
  <c r="D1243" i="104" s="1"/>
  <c r="D1244" i="104" s="1"/>
  <c r="D1245" i="104" s="1"/>
  <c r="D1246" i="104" s="1"/>
  <c r="D1247" i="104" s="1"/>
  <c r="D1248" i="104" s="1"/>
  <c r="D1249" i="104" s="1"/>
  <c r="D1250" i="104" s="1"/>
  <c r="D1251" i="104" s="1"/>
  <c r="D1252" i="104" s="1"/>
  <c r="D1253" i="104" s="1"/>
  <c r="D1254" i="104" s="1"/>
  <c r="D1255" i="104" s="1"/>
  <c r="D1256" i="104" s="1"/>
  <c r="D1257" i="104" s="1"/>
  <c r="D1258" i="104" s="1"/>
  <c r="D1259" i="104" s="1"/>
  <c r="D1260" i="104" s="1"/>
  <c r="D1261" i="104" s="1"/>
  <c r="D1262" i="104" s="1"/>
  <c r="D1263" i="104" s="1"/>
  <c r="D1264" i="104" s="1"/>
  <c r="D1265" i="104" s="1"/>
  <c r="D1266" i="104" s="1"/>
  <c r="D1267" i="104" s="1"/>
  <c r="D1268" i="104" s="1"/>
  <c r="D1269" i="104" s="1"/>
  <c r="D1270" i="104" s="1"/>
  <c r="D1271" i="104" s="1"/>
  <c r="D1272" i="104" s="1"/>
  <c r="D1273" i="104" s="1"/>
  <c r="D1274" i="104" s="1"/>
  <c r="D1275" i="104" s="1"/>
  <c r="D1276" i="104" s="1"/>
  <c r="D1277" i="104" s="1"/>
  <c r="D1278" i="104" s="1"/>
  <c r="D1279" i="104" s="1"/>
  <c r="D1280" i="104" s="1"/>
  <c r="D1281" i="104" s="1"/>
  <c r="D1282" i="104" s="1"/>
  <c r="D1283" i="104" s="1"/>
  <c r="D1284" i="104" s="1"/>
  <c r="D1285" i="104" s="1"/>
  <c r="D1286" i="104" s="1"/>
  <c r="D1287" i="104" s="1"/>
  <c r="D1288" i="104" s="1"/>
  <c r="D1289" i="104" s="1"/>
  <c r="D1290" i="104" s="1"/>
  <c r="D1291" i="104" s="1"/>
  <c r="D1292" i="104" s="1"/>
  <c r="D1293" i="104" s="1"/>
  <c r="D1294" i="104" s="1"/>
  <c r="D1295" i="104" s="1"/>
  <c r="D1296" i="104" s="1"/>
  <c r="D1297" i="104" s="1"/>
  <c r="D1298" i="104" s="1"/>
  <c r="D1299" i="104" s="1"/>
  <c r="D1300" i="104" s="1"/>
  <c r="D1301" i="104" s="1"/>
  <c r="D1302" i="104" s="1"/>
  <c r="D1303" i="104" s="1"/>
  <c r="J22" i="104"/>
  <c r="Q9" i="104"/>
  <c r="K22" i="104" l="1"/>
  <c r="Q10" i="104"/>
  <c r="J23" i="104"/>
  <c r="N10" i="104"/>
  <c r="I23" i="104"/>
  <c r="K23" i="104" s="1"/>
  <c r="J24" i="104" l="1"/>
  <c r="Q11" i="104"/>
  <c r="N11" i="104"/>
  <c r="I24" i="104"/>
  <c r="K24" i="104" s="1"/>
  <c r="Q12" i="104" l="1"/>
  <c r="J25" i="104"/>
  <c r="N12" i="104"/>
  <c r="I25" i="104"/>
  <c r="K25" i="104" s="1"/>
  <c r="N13" i="104" l="1"/>
  <c r="I26" i="104"/>
  <c r="J26" i="104"/>
  <c r="Q13" i="104"/>
  <c r="K26" i="104" l="1"/>
  <c r="Q14" i="104"/>
  <c r="J27" i="104"/>
  <c r="I27" i="104"/>
  <c r="K27" i="104" s="1"/>
  <c r="N14" i="104"/>
  <c r="N15" i="104" l="1"/>
  <c r="I28" i="104"/>
  <c r="J28" i="104"/>
  <c r="Q15" i="104"/>
  <c r="Q16" i="104" l="1"/>
  <c r="J29" i="104"/>
  <c r="K28" i="104"/>
  <c r="N16" i="104"/>
  <c r="I29" i="104"/>
  <c r="K29" i="104" s="1"/>
  <c r="J30" i="104" l="1"/>
  <c r="Q17" i="104"/>
  <c r="J31" i="104" s="1"/>
  <c r="N17" i="104"/>
  <c r="I31" i="104" s="1"/>
  <c r="K31" i="104" s="1"/>
  <c r="I30" i="104"/>
  <c r="K30" i="104" l="1"/>
  <c r="J33" i="104" s="1"/>
  <c r="F8" i="99" l="1"/>
  <c r="F9" i="99" s="1"/>
  <c r="F10" i="99" s="1"/>
  <c r="F11" i="99" s="1"/>
  <c r="F12" i="99" s="1"/>
  <c r="F13" i="99" s="1"/>
  <c r="F14" i="99" s="1"/>
  <c r="F15" i="99" s="1"/>
  <c r="F16" i="99" s="1"/>
  <c r="F17" i="99" s="1"/>
  <c r="F18" i="99" s="1"/>
  <c r="F19" i="99" s="1"/>
  <c r="F20" i="99" s="1"/>
  <c r="F21" i="99" s="1"/>
  <c r="F22" i="99" s="1"/>
  <c r="F23" i="99" s="1"/>
  <c r="F24" i="99" s="1"/>
  <c r="H8" i="99"/>
  <c r="I8" i="99"/>
  <c r="J8" i="99" s="1"/>
  <c r="H9" i="99"/>
  <c r="I9" i="99"/>
  <c r="J9" i="99" s="1"/>
  <c r="K9" i="99"/>
  <c r="H10" i="99"/>
  <c r="K10" i="99" s="1"/>
  <c r="I10" i="99"/>
  <c r="J10" i="99" s="1"/>
  <c r="H11" i="99"/>
  <c r="K11" i="99" s="1"/>
  <c r="I11" i="99"/>
  <c r="J11" i="99" s="1"/>
  <c r="H12" i="99"/>
  <c r="K12" i="99" s="1"/>
  <c r="I12" i="99"/>
  <c r="J12" i="99" s="1"/>
  <c r="H13" i="99"/>
  <c r="K13" i="99" s="1"/>
  <c r="I13" i="99"/>
  <c r="H14" i="99"/>
  <c r="K14" i="99" s="1"/>
  <c r="I14" i="99"/>
  <c r="H15" i="99"/>
  <c r="I15" i="99"/>
  <c r="K15" i="99"/>
  <c r="H16" i="99"/>
  <c r="K16" i="99" s="1"/>
  <c r="I16" i="99"/>
  <c r="J16" i="99" s="1"/>
  <c r="H17" i="99"/>
  <c r="K17" i="99" s="1"/>
  <c r="I17" i="99"/>
  <c r="H18" i="99"/>
  <c r="K18" i="99" s="1"/>
  <c r="I18" i="99"/>
  <c r="J18" i="99" s="1"/>
  <c r="H19" i="99"/>
  <c r="K19" i="99" s="1"/>
  <c r="I19" i="99"/>
  <c r="J19" i="99" s="1"/>
  <c r="H20" i="99"/>
  <c r="K20" i="99" s="1"/>
  <c r="I20" i="99"/>
  <c r="J20" i="99" s="1"/>
  <c r="H21" i="99"/>
  <c r="K21" i="99" s="1"/>
  <c r="I21" i="99"/>
  <c r="H22" i="99"/>
  <c r="K22" i="99" s="1"/>
  <c r="I22" i="99"/>
  <c r="H23" i="99"/>
  <c r="K23" i="99" s="1"/>
  <c r="I23" i="99"/>
  <c r="J23" i="99" s="1"/>
  <c r="H24" i="99"/>
  <c r="K24" i="99" s="1"/>
  <c r="I24" i="99"/>
  <c r="J24" i="99" s="1"/>
  <c r="D25" i="99"/>
  <c r="E9" i="99" s="1"/>
  <c r="J22" i="99" l="1"/>
  <c r="J14" i="99"/>
  <c r="J13" i="99"/>
  <c r="E23" i="99"/>
  <c r="E21" i="99"/>
  <c r="E19" i="99"/>
  <c r="E17" i="99"/>
  <c r="E15" i="99"/>
  <c r="E13" i="99"/>
  <c r="E11" i="99"/>
  <c r="K8" i="99"/>
  <c r="E8" i="99"/>
  <c r="E10" i="99"/>
  <c r="E12" i="99"/>
  <c r="E14" i="99"/>
  <c r="E16" i="99"/>
  <c r="E18" i="99"/>
  <c r="E20" i="99"/>
  <c r="E22" i="99"/>
  <c r="E24" i="99"/>
  <c r="J21" i="99"/>
  <c r="J17" i="99"/>
  <c r="J15" i="99"/>
  <c r="G8" i="99" l="1"/>
  <c r="E25" i="99"/>
  <c r="M8" i="99"/>
  <c r="M9" i="99" s="1"/>
  <c r="M10" i="99" s="1"/>
  <c r="M11" i="99" s="1"/>
  <c r="M12" i="99" s="1"/>
  <c r="M13" i="99" s="1"/>
  <c r="M14" i="99" s="1"/>
  <c r="M15" i="99" s="1"/>
  <c r="M16" i="99" s="1"/>
  <c r="M17" i="99" s="1"/>
  <c r="M18" i="99" s="1"/>
  <c r="M19" i="99" s="1"/>
  <c r="M20" i="99" s="1"/>
  <c r="M21" i="99" s="1"/>
  <c r="M22" i="99" s="1"/>
  <c r="M23" i="99" s="1"/>
  <c r="M24" i="99" s="1"/>
  <c r="K25" i="99"/>
  <c r="L8" i="99" s="1"/>
  <c r="G9" i="99" l="1"/>
  <c r="B30" i="99"/>
  <c r="N8" i="99"/>
  <c r="C30" i="99" s="1"/>
  <c r="L24" i="99"/>
  <c r="L20" i="99"/>
  <c r="L16" i="99"/>
  <c r="L12" i="99"/>
  <c r="L23" i="99"/>
  <c r="L19" i="99"/>
  <c r="L15" i="99"/>
  <c r="L11" i="99"/>
  <c r="L22" i="99"/>
  <c r="L18" i="99"/>
  <c r="L14" i="99"/>
  <c r="L10" i="99"/>
  <c r="L21" i="99"/>
  <c r="L17" i="99"/>
  <c r="L13" i="99"/>
  <c r="L9" i="99"/>
  <c r="G10" i="99" l="1"/>
  <c r="B31" i="99"/>
  <c r="L25" i="99"/>
  <c r="N9" i="99"/>
  <c r="N10" i="99" l="1"/>
  <c r="C31" i="99"/>
  <c r="G11" i="99"/>
  <c r="B32" i="99"/>
  <c r="G12" i="99" l="1"/>
  <c r="B33" i="99"/>
  <c r="N11" i="99"/>
  <c r="C32" i="99"/>
  <c r="N12" i="99" l="1"/>
  <c r="C33" i="99"/>
  <c r="G13" i="99"/>
  <c r="B34" i="99"/>
  <c r="B35" i="99" l="1"/>
  <c r="G14" i="99"/>
  <c r="N13" i="99"/>
  <c r="C34" i="99"/>
  <c r="N14" i="99" l="1"/>
  <c r="C35" i="99"/>
  <c r="G15" i="99"/>
  <c r="B36" i="99"/>
  <c r="G16" i="99" l="1"/>
  <c r="B37" i="99"/>
  <c r="N15" i="99"/>
  <c r="C36" i="99"/>
  <c r="N16" i="99" l="1"/>
  <c r="C37" i="99"/>
  <c r="B38" i="99"/>
  <c r="G17" i="99"/>
  <c r="J43" i="66"/>
  <c r="J8" i="66"/>
  <c r="K8" i="66"/>
  <c r="O8" i="66" l="1"/>
  <c r="G18" i="99"/>
  <c r="B39" i="99"/>
  <c r="N17" i="99"/>
  <c r="C38" i="99"/>
  <c r="J9" i="66"/>
  <c r="N18" i="99" l="1"/>
  <c r="C39" i="99"/>
  <c r="G19" i="99"/>
  <c r="B40" i="99"/>
  <c r="G20" i="99" l="1"/>
  <c r="B41" i="99"/>
  <c r="N19" i="99"/>
  <c r="C40" i="99"/>
  <c r="K9" i="66"/>
  <c r="O9" i="66" s="1"/>
  <c r="K10" i="66"/>
  <c r="J11" i="66" s="1"/>
  <c r="K11" i="66"/>
  <c r="J12" i="66" s="1"/>
  <c r="K12" i="66"/>
  <c r="J46" i="66" s="1"/>
  <c r="K13" i="66"/>
  <c r="J14" i="66" s="1"/>
  <c r="K14" i="66"/>
  <c r="J15" i="66" s="1"/>
  <c r="K15" i="66"/>
  <c r="J16" i="66" s="1"/>
  <c r="K16" i="66"/>
  <c r="J17" i="66" s="1"/>
  <c r="O15" i="66" l="1"/>
  <c r="O12" i="66"/>
  <c r="O14" i="66"/>
  <c r="O16" i="66"/>
  <c r="O11" i="66"/>
  <c r="N20" i="99"/>
  <c r="C41" i="99"/>
  <c r="B42" i="99"/>
  <c r="G21" i="99"/>
  <c r="J13" i="66"/>
  <c r="O13" i="66" s="1"/>
  <c r="J10" i="66"/>
  <c r="O10" i="66" s="1"/>
  <c r="C20" i="72"/>
  <c r="C32" i="72"/>
  <c r="D26" i="72" s="1"/>
  <c r="C41" i="72"/>
  <c r="D35" i="72" s="1"/>
  <c r="C13" i="71"/>
  <c r="D13" i="71"/>
  <c r="C21" i="71"/>
  <c r="D21" i="71"/>
  <c r="C22" i="71"/>
  <c r="D22" i="71"/>
  <c r="C23" i="71"/>
  <c r="D23" i="71"/>
  <c r="C24" i="71"/>
  <c r="D24" i="71"/>
  <c r="C25" i="71"/>
  <c r="D25" i="71"/>
  <c r="C26" i="71"/>
  <c r="G51" i="71" s="1"/>
  <c r="D26" i="71"/>
  <c r="C27" i="71"/>
  <c r="D27" i="71"/>
  <c r="C28" i="71"/>
  <c r="D28" i="71"/>
  <c r="C29" i="71"/>
  <c r="D29" i="71"/>
  <c r="G46" i="71"/>
  <c r="H46" i="71"/>
  <c r="G47" i="71"/>
  <c r="H47" i="71"/>
  <c r="G48" i="71"/>
  <c r="H48" i="71"/>
  <c r="C49" i="71"/>
  <c r="D49" i="71"/>
  <c r="G49" i="71"/>
  <c r="H49" i="71"/>
  <c r="C50" i="71"/>
  <c r="D50" i="71"/>
  <c r="G50" i="71"/>
  <c r="H50" i="71"/>
  <c r="C51" i="71"/>
  <c r="C52" i="71" s="1"/>
  <c r="H51" i="71"/>
  <c r="G52" i="71"/>
  <c r="H52" i="71"/>
  <c r="G53" i="71"/>
  <c r="H53" i="71"/>
  <c r="F60" i="71"/>
  <c r="G60" i="71"/>
  <c r="H60" i="71"/>
  <c r="C61" i="71"/>
  <c r="D61" i="71"/>
  <c r="F61" i="71"/>
  <c r="H61" i="71"/>
  <c r="C62" i="71"/>
  <c r="D62" i="71"/>
  <c r="F62" i="71"/>
  <c r="C63" i="71"/>
  <c r="D63" i="71"/>
  <c r="F63" i="71"/>
  <c r="C64" i="71"/>
  <c r="D64" i="71"/>
  <c r="F64" i="71"/>
  <c r="C65" i="71"/>
  <c r="D65" i="71"/>
  <c r="F65" i="71"/>
  <c r="C66" i="71"/>
  <c r="D66" i="71"/>
  <c r="F66" i="71"/>
  <c r="C67" i="71"/>
  <c r="D67" i="71"/>
  <c r="F67" i="71"/>
  <c r="C68" i="71"/>
  <c r="D68" i="71"/>
  <c r="F68" i="71"/>
  <c r="B18" i="70"/>
  <c r="C18" i="70"/>
  <c r="D18" i="70"/>
  <c r="B23" i="70"/>
  <c r="C23" i="70"/>
  <c r="D23" i="70"/>
  <c r="E23" i="70"/>
  <c r="B24" i="70"/>
  <c r="C24" i="70"/>
  <c r="D24" i="70"/>
  <c r="E24" i="70"/>
  <c r="B25" i="70"/>
  <c r="C25" i="70"/>
  <c r="D25" i="70"/>
  <c r="E25" i="70"/>
  <c r="B26" i="70"/>
  <c r="C26" i="70"/>
  <c r="D26" i="70"/>
  <c r="E26" i="70"/>
  <c r="B27" i="70"/>
  <c r="C27" i="70"/>
  <c r="D27" i="70"/>
  <c r="E27" i="70"/>
  <c r="B28" i="70"/>
  <c r="C28" i="70"/>
  <c r="D28" i="70"/>
  <c r="E28" i="70"/>
  <c r="B29" i="70"/>
  <c r="C29" i="70"/>
  <c r="D29" i="70"/>
  <c r="E29" i="70"/>
  <c r="B30" i="70"/>
  <c r="C30" i="70"/>
  <c r="D30" i="70"/>
  <c r="E30" i="70"/>
  <c r="B31" i="70"/>
  <c r="C31" i="70"/>
  <c r="D31" i="70"/>
  <c r="E31" i="70"/>
  <c r="B32" i="70"/>
  <c r="C32" i="70"/>
  <c r="D32" i="70"/>
  <c r="E32" i="70"/>
  <c r="C11" i="69"/>
  <c r="D11" i="69"/>
  <c r="D18" i="69" s="1"/>
  <c r="E11" i="69"/>
  <c r="C18" i="69"/>
  <c r="B29" i="69" s="1"/>
  <c r="E18" i="69"/>
  <c r="D29" i="69" s="1"/>
  <c r="C19" i="69"/>
  <c r="E19" i="69"/>
  <c r="C20" i="69"/>
  <c r="E20" i="69"/>
  <c r="C21" i="69"/>
  <c r="E21" i="69"/>
  <c r="E24" i="69" s="1"/>
  <c r="C22" i="69"/>
  <c r="E22" i="69"/>
  <c r="C23" i="69"/>
  <c r="E23" i="69"/>
  <c r="G22" i="99" l="1"/>
  <c r="B43" i="99"/>
  <c r="N21" i="99"/>
  <c r="C42" i="99"/>
  <c r="G54" i="71"/>
  <c r="H54" i="71"/>
  <c r="D51" i="71"/>
  <c r="D52" i="71" s="1"/>
  <c r="D21" i="69"/>
  <c r="B30" i="69"/>
  <c r="B31" i="69" s="1"/>
  <c r="B32" i="69" s="1"/>
  <c r="B33" i="69" s="1"/>
  <c r="B34" i="69" s="1"/>
  <c r="H62" i="71"/>
  <c r="H63" i="71" s="1"/>
  <c r="H64" i="71" s="1"/>
  <c r="H65" i="71" s="1"/>
  <c r="H66" i="71" s="1"/>
  <c r="H67" i="71" s="1"/>
  <c r="H68" i="71" s="1"/>
  <c r="C24" i="69"/>
  <c r="D23" i="69"/>
  <c r="D19" i="69"/>
  <c r="D30" i="69"/>
  <c r="D31" i="69" s="1"/>
  <c r="D32" i="69" s="1"/>
  <c r="D33" i="69" s="1"/>
  <c r="D34" i="69" s="1"/>
  <c r="G61" i="71"/>
  <c r="G62" i="71" s="1"/>
  <c r="G63" i="71" s="1"/>
  <c r="G64" i="71" s="1"/>
  <c r="G65" i="71" s="1"/>
  <c r="G66" i="71" s="1"/>
  <c r="G67" i="71" s="1"/>
  <c r="G68" i="71" s="1"/>
  <c r="D31" i="72"/>
  <c r="D30" i="72"/>
  <c r="D29" i="72"/>
  <c r="D28" i="72"/>
  <c r="D27" i="72"/>
  <c r="D40" i="72"/>
  <c r="D39" i="72"/>
  <c r="D38" i="72"/>
  <c r="D37" i="72"/>
  <c r="D36" i="72"/>
  <c r="C29" i="69"/>
  <c r="D22" i="69"/>
  <c r="D20" i="69"/>
  <c r="N22" i="99" l="1"/>
  <c r="C43" i="99"/>
  <c r="G23" i="99"/>
  <c r="B44" i="99"/>
  <c r="D24" i="69"/>
  <c r="C30" i="69"/>
  <c r="C31" i="69" s="1"/>
  <c r="C32" i="69" s="1"/>
  <c r="C33" i="69" s="1"/>
  <c r="C34" i="69" s="1"/>
  <c r="D41" i="72"/>
  <c r="D32" i="72"/>
  <c r="G24" i="99" l="1"/>
  <c r="B46" i="99" s="1"/>
  <c r="B45" i="99"/>
  <c r="N23" i="99"/>
  <c r="C44" i="99"/>
  <c r="K17" i="66"/>
  <c r="O17" i="66" s="1"/>
  <c r="N24" i="99" l="1"/>
  <c r="C46" i="99" s="1"/>
  <c r="C45" i="99"/>
  <c r="L8" i="66" a="1"/>
  <c r="L13" i="66" s="1"/>
  <c r="L14" i="66" l="1"/>
  <c r="L11" i="66"/>
  <c r="L12" i="66"/>
  <c r="L9" i="66"/>
  <c r="L8" i="66"/>
  <c r="L10" i="66"/>
  <c r="L17" i="66"/>
  <c r="L15" i="66"/>
  <c r="L16" i="66"/>
  <c r="O18" i="66"/>
  <c r="P11" i="66" s="1"/>
  <c r="E11" i="66" l="1"/>
  <c r="E13" i="66"/>
  <c r="E15" i="66"/>
  <c r="E17" i="66"/>
  <c r="E19" i="66"/>
  <c r="E21" i="66"/>
  <c r="E23" i="66"/>
  <c r="E25" i="66"/>
  <c r="E27" i="66"/>
  <c r="E29" i="66"/>
  <c r="E31" i="66"/>
  <c r="E33" i="66"/>
  <c r="E35" i="66"/>
  <c r="E37" i="66"/>
  <c r="E39" i="66"/>
  <c r="E41" i="66"/>
  <c r="E43" i="66"/>
  <c r="E45" i="66"/>
  <c r="E47" i="66"/>
  <c r="E49" i="66"/>
  <c r="E51" i="66"/>
  <c r="E53" i="66"/>
  <c r="E55" i="66"/>
  <c r="E57" i="66"/>
  <c r="E59" i="66"/>
  <c r="E61" i="66"/>
  <c r="E63" i="66"/>
  <c r="E65" i="66"/>
  <c r="E67" i="66"/>
  <c r="E69" i="66"/>
  <c r="E71" i="66"/>
  <c r="E73" i="66"/>
  <c r="E75" i="66"/>
  <c r="E77" i="66"/>
  <c r="E79" i="66"/>
  <c r="E81" i="66"/>
  <c r="E83" i="66"/>
  <c r="E85" i="66"/>
  <c r="E87" i="66"/>
  <c r="E89" i="66"/>
  <c r="E91" i="66"/>
  <c r="E93" i="66"/>
  <c r="E95" i="66"/>
  <c r="E97" i="66"/>
  <c r="E99" i="66"/>
  <c r="E101" i="66"/>
  <c r="E103" i="66"/>
  <c r="E105" i="66"/>
  <c r="E107" i="66"/>
  <c r="E109" i="66"/>
  <c r="E111" i="66"/>
  <c r="E113" i="66"/>
  <c r="E115" i="66"/>
  <c r="E117" i="66"/>
  <c r="E119" i="66"/>
  <c r="E121" i="66"/>
  <c r="E123" i="66"/>
  <c r="E125" i="66"/>
  <c r="E127" i="66"/>
  <c r="E129" i="66"/>
  <c r="E131" i="66"/>
  <c r="E133" i="66"/>
  <c r="E135" i="66"/>
  <c r="E137" i="66"/>
  <c r="E139" i="66"/>
  <c r="E141" i="66"/>
  <c r="E143" i="66"/>
  <c r="E145" i="66"/>
  <c r="E147" i="66"/>
  <c r="E149" i="66"/>
  <c r="E151" i="66"/>
  <c r="E153" i="66"/>
  <c r="E155" i="66"/>
  <c r="E157" i="66"/>
  <c r="E159" i="66"/>
  <c r="E161" i="66"/>
  <c r="E163" i="66"/>
  <c r="E165" i="66"/>
  <c r="E167" i="66"/>
  <c r="E12" i="66"/>
  <c r="E16" i="66"/>
  <c r="E20" i="66"/>
  <c r="E24" i="66"/>
  <c r="E28" i="66"/>
  <c r="E32" i="66"/>
  <c r="E36" i="66"/>
  <c r="E40" i="66"/>
  <c r="E44" i="66"/>
  <c r="E48" i="66"/>
  <c r="E52" i="66"/>
  <c r="E56" i="66"/>
  <c r="E60" i="66"/>
  <c r="E64" i="66"/>
  <c r="E68" i="66"/>
  <c r="E72" i="66"/>
  <c r="E76" i="66"/>
  <c r="E80" i="66"/>
  <c r="E84" i="66"/>
  <c r="E88" i="66"/>
  <c r="E92" i="66"/>
  <c r="E96" i="66"/>
  <c r="E100" i="66"/>
  <c r="E104" i="66"/>
  <c r="E108" i="66"/>
  <c r="E112" i="66"/>
  <c r="E116" i="66"/>
  <c r="E120" i="66"/>
  <c r="E124" i="66"/>
  <c r="E128" i="66"/>
  <c r="E132" i="66"/>
  <c r="E136" i="66"/>
  <c r="E140" i="66"/>
  <c r="E144" i="66"/>
  <c r="E148" i="66"/>
  <c r="E152" i="66"/>
  <c r="E156" i="66"/>
  <c r="E160" i="66"/>
  <c r="E164" i="66"/>
  <c r="E168" i="66"/>
  <c r="E170" i="66"/>
  <c r="E172" i="66"/>
  <c r="E174" i="66"/>
  <c r="E176" i="66"/>
  <c r="E178" i="66"/>
  <c r="E180" i="66"/>
  <c r="E182" i="66"/>
  <c r="E184" i="66"/>
  <c r="E186" i="66"/>
  <c r="E188" i="66"/>
  <c r="E190" i="66"/>
  <c r="E192" i="66"/>
  <c r="E194" i="66"/>
  <c r="E196" i="66"/>
  <c r="E198" i="66"/>
  <c r="E200" i="66"/>
  <c r="E202" i="66"/>
  <c r="E204" i="66"/>
  <c r="E206" i="66"/>
  <c r="E208" i="66"/>
  <c r="E210" i="66"/>
  <c r="E212" i="66"/>
  <c r="E214" i="66"/>
  <c r="E216" i="66"/>
  <c r="E218" i="66"/>
  <c r="E220" i="66"/>
  <c r="E222" i="66"/>
  <c r="E224" i="66"/>
  <c r="E226" i="66"/>
  <c r="E228" i="66"/>
  <c r="E230" i="66"/>
  <c r="E232" i="66"/>
  <c r="E234" i="66"/>
  <c r="E236" i="66"/>
  <c r="E238" i="66"/>
  <c r="E240" i="66"/>
  <c r="E242" i="66"/>
  <c r="E244" i="66"/>
  <c r="E246" i="66"/>
  <c r="E248" i="66"/>
  <c r="E250" i="66"/>
  <c r="E252" i="66"/>
  <c r="E254" i="66"/>
  <c r="E256" i="66"/>
  <c r="E258" i="66"/>
  <c r="E260" i="66"/>
  <c r="E262" i="66"/>
  <c r="E264" i="66"/>
  <c r="E266" i="66"/>
  <c r="E268" i="66"/>
  <c r="E270" i="66"/>
  <c r="E272" i="66"/>
  <c r="E274" i="66"/>
  <c r="E276" i="66"/>
  <c r="E278" i="66"/>
  <c r="E280" i="66"/>
  <c r="E282" i="66"/>
  <c r="E284" i="66"/>
  <c r="E286" i="66"/>
  <c r="E288" i="66"/>
  <c r="E290" i="66"/>
  <c r="E292" i="66"/>
  <c r="E294" i="66"/>
  <c r="E296" i="66"/>
  <c r="E298" i="66"/>
  <c r="E300" i="66"/>
  <c r="E302" i="66"/>
  <c r="E304" i="66"/>
  <c r="E306" i="66"/>
  <c r="E308" i="66"/>
  <c r="E310" i="66"/>
  <c r="E312" i="66"/>
  <c r="E314" i="66"/>
  <c r="E316" i="66"/>
  <c r="E318" i="66"/>
  <c r="E320" i="66"/>
  <c r="E322" i="66"/>
  <c r="E324" i="66"/>
  <c r="E326" i="66"/>
  <c r="E328" i="66"/>
  <c r="E330" i="66"/>
  <c r="E332" i="66"/>
  <c r="E334" i="66"/>
  <c r="E336" i="66"/>
  <c r="E338" i="66"/>
  <c r="E340" i="66"/>
  <c r="E342" i="66"/>
  <c r="E344" i="66"/>
  <c r="E346" i="66"/>
  <c r="E348" i="66"/>
  <c r="E350" i="66"/>
  <c r="E352" i="66"/>
  <c r="E354" i="66"/>
  <c r="E356" i="66"/>
  <c r="E358" i="66"/>
  <c r="E360" i="66"/>
  <c r="E362" i="66"/>
  <c r="E364" i="66"/>
  <c r="E366" i="66"/>
  <c r="E368" i="66"/>
  <c r="E370" i="66"/>
  <c r="E372" i="66"/>
  <c r="E374" i="66"/>
  <c r="E376" i="66"/>
  <c r="E378" i="66"/>
  <c r="E380" i="66"/>
  <c r="E382" i="66"/>
  <c r="E384" i="66"/>
  <c r="E386" i="66"/>
  <c r="E388" i="66"/>
  <c r="E390" i="66"/>
  <c r="E392" i="66"/>
  <c r="E394" i="66"/>
  <c r="E396" i="66"/>
  <c r="E398" i="66"/>
  <c r="E400" i="66"/>
  <c r="E402" i="66"/>
  <c r="E404" i="66"/>
  <c r="E406" i="66"/>
  <c r="E408" i="66"/>
  <c r="E410" i="66"/>
  <c r="E412" i="66"/>
  <c r="E414" i="66"/>
  <c r="E416" i="66"/>
  <c r="E418" i="66"/>
  <c r="E420" i="66"/>
  <c r="E422" i="66"/>
  <c r="E10" i="66"/>
  <c r="E18" i="66"/>
  <c r="E26" i="66"/>
  <c r="E34" i="66"/>
  <c r="E42" i="66"/>
  <c r="E50" i="66"/>
  <c r="E58" i="66"/>
  <c r="E66" i="66"/>
  <c r="E74" i="66"/>
  <c r="E82" i="66"/>
  <c r="E90" i="66"/>
  <c r="E98" i="66"/>
  <c r="E106" i="66"/>
  <c r="E114" i="66"/>
  <c r="E122" i="66"/>
  <c r="E130" i="66"/>
  <c r="E138" i="66"/>
  <c r="E146" i="66"/>
  <c r="E154" i="66"/>
  <c r="E162" i="66"/>
  <c r="E169" i="66"/>
  <c r="E173" i="66"/>
  <c r="E177" i="66"/>
  <c r="E181" i="66"/>
  <c r="E185" i="66"/>
  <c r="E189" i="66"/>
  <c r="E193" i="66"/>
  <c r="E197" i="66"/>
  <c r="E201" i="66"/>
  <c r="E205" i="66"/>
  <c r="E209" i="66"/>
  <c r="E213" i="66"/>
  <c r="E217" i="66"/>
  <c r="E221" i="66"/>
  <c r="E225" i="66"/>
  <c r="E229" i="66"/>
  <c r="E233" i="66"/>
  <c r="E237" i="66"/>
  <c r="E241" i="66"/>
  <c r="E245" i="66"/>
  <c r="E249" i="66"/>
  <c r="E253" i="66"/>
  <c r="E257" i="66"/>
  <c r="E261" i="66"/>
  <c r="E265" i="66"/>
  <c r="E269" i="66"/>
  <c r="E273" i="66"/>
  <c r="E277" i="66"/>
  <c r="E281" i="66"/>
  <c r="E285" i="66"/>
  <c r="E289" i="66"/>
  <c r="E293" i="66"/>
  <c r="E297" i="66"/>
  <c r="E301" i="66"/>
  <c r="E305" i="66"/>
  <c r="E309" i="66"/>
  <c r="E313" i="66"/>
  <c r="E317" i="66"/>
  <c r="E321" i="66"/>
  <c r="E325" i="66"/>
  <c r="E329" i="66"/>
  <c r="E333" i="66"/>
  <c r="E337" i="66"/>
  <c r="E341" i="66"/>
  <c r="E345" i="66"/>
  <c r="E349" i="66"/>
  <c r="E353" i="66"/>
  <c r="E357" i="66"/>
  <c r="E361" i="66"/>
  <c r="E365" i="66"/>
  <c r="E369" i="66"/>
  <c r="E373" i="66"/>
  <c r="E377" i="66"/>
  <c r="E381" i="66"/>
  <c r="E385" i="66"/>
  <c r="E389" i="66"/>
  <c r="E393" i="66"/>
  <c r="E397" i="66"/>
  <c r="E401" i="66"/>
  <c r="E405" i="66"/>
  <c r="E409" i="66"/>
  <c r="E413" i="66"/>
  <c r="E417" i="66"/>
  <c r="E421" i="66"/>
  <c r="E424" i="66"/>
  <c r="E426" i="66"/>
  <c r="E428" i="66"/>
  <c r="E430" i="66"/>
  <c r="E432" i="66"/>
  <c r="E434" i="66"/>
  <c r="E436" i="66"/>
  <c r="E438" i="66"/>
  <c r="E440" i="66"/>
  <c r="E442" i="66"/>
  <c r="E444" i="66"/>
  <c r="E446" i="66"/>
  <c r="E448" i="66"/>
  <c r="E450" i="66"/>
  <c r="E452" i="66"/>
  <c r="E454" i="66"/>
  <c r="E456" i="66"/>
  <c r="E458" i="66"/>
  <c r="E460" i="66"/>
  <c r="E462" i="66"/>
  <c r="E464" i="66"/>
  <c r="E466" i="66"/>
  <c r="E468" i="66"/>
  <c r="E470" i="66"/>
  <c r="E472" i="66"/>
  <c r="E474" i="66"/>
  <c r="E476" i="66"/>
  <c r="E478" i="66"/>
  <c r="E480" i="66"/>
  <c r="E482" i="66"/>
  <c r="E484" i="66"/>
  <c r="E486" i="66"/>
  <c r="E488" i="66"/>
  <c r="E490" i="66"/>
  <c r="E492" i="66"/>
  <c r="E494" i="66"/>
  <c r="E496" i="66"/>
  <c r="E498" i="66"/>
  <c r="E500" i="66"/>
  <c r="E502" i="66"/>
  <c r="E504" i="66"/>
  <c r="E506" i="66"/>
  <c r="E508" i="66"/>
  <c r="E510" i="66"/>
  <c r="E512" i="66"/>
  <c r="E514" i="66"/>
  <c r="E516" i="66"/>
  <c r="E518" i="66"/>
  <c r="E520" i="66"/>
  <c r="E522" i="66"/>
  <c r="E524" i="66"/>
  <c r="E526" i="66"/>
  <c r="E528" i="66"/>
  <c r="E530" i="66"/>
  <c r="E532" i="66"/>
  <c r="E534" i="66"/>
  <c r="E536" i="66"/>
  <c r="E538" i="66"/>
  <c r="E540" i="66"/>
  <c r="E542" i="66"/>
  <c r="E544" i="66"/>
  <c r="E546" i="66"/>
  <c r="E548" i="66"/>
  <c r="E550" i="66"/>
  <c r="E552" i="66"/>
  <c r="E554" i="66"/>
  <c r="E556" i="66"/>
  <c r="E558" i="66"/>
  <c r="E560" i="66"/>
  <c r="E562" i="66"/>
  <c r="E564" i="66"/>
  <c r="E566" i="66"/>
  <c r="E568" i="66"/>
  <c r="E570" i="66"/>
  <c r="E572" i="66"/>
  <c r="E574" i="66"/>
  <c r="E576" i="66"/>
  <c r="E578" i="66"/>
  <c r="E580" i="66"/>
  <c r="E582" i="66"/>
  <c r="E584" i="66"/>
  <c r="E586" i="66"/>
  <c r="E588" i="66"/>
  <c r="E590" i="66"/>
  <c r="E592" i="66"/>
  <c r="E594" i="66"/>
  <c r="E596" i="66"/>
  <c r="E598" i="66"/>
  <c r="E600" i="66"/>
  <c r="E602" i="66"/>
  <c r="E604" i="66"/>
  <c r="E606" i="66"/>
  <c r="E608" i="66"/>
  <c r="E610" i="66"/>
  <c r="E612" i="66"/>
  <c r="E614" i="66"/>
  <c r="E616" i="66"/>
  <c r="E618" i="66"/>
  <c r="E620" i="66"/>
  <c r="E622" i="66"/>
  <c r="E624" i="66"/>
  <c r="E626" i="66"/>
  <c r="E628" i="66"/>
  <c r="E630" i="66"/>
  <c r="E632" i="66"/>
  <c r="E634" i="66"/>
  <c r="E636" i="66"/>
  <c r="E638" i="66"/>
  <c r="E640" i="66"/>
  <c r="E642" i="66"/>
  <c r="E644" i="66"/>
  <c r="E646" i="66"/>
  <c r="E648" i="66"/>
  <c r="E650" i="66"/>
  <c r="E652" i="66"/>
  <c r="E654" i="66"/>
  <c r="E656" i="66"/>
  <c r="E658" i="66"/>
  <c r="E660" i="66"/>
  <c r="E662" i="66"/>
  <c r="E664" i="66"/>
  <c r="E666" i="66"/>
  <c r="E668" i="66"/>
  <c r="E670" i="66"/>
  <c r="E672" i="66"/>
  <c r="E674" i="66"/>
  <c r="E676" i="66"/>
  <c r="E678" i="66"/>
  <c r="E680" i="66"/>
  <c r="E682" i="66"/>
  <c r="E684" i="66"/>
  <c r="E686" i="66"/>
  <c r="E688" i="66"/>
  <c r="E690" i="66"/>
  <c r="E692" i="66"/>
  <c r="E694" i="66"/>
  <c r="E696" i="66"/>
  <c r="E698" i="66"/>
  <c r="E700" i="66"/>
  <c r="E702" i="66"/>
  <c r="E704" i="66"/>
  <c r="E706" i="66"/>
  <c r="E708" i="66"/>
  <c r="E710" i="66"/>
  <c r="E712" i="66"/>
  <c r="E714" i="66"/>
  <c r="E716" i="66"/>
  <c r="E718" i="66"/>
  <c r="E720" i="66"/>
  <c r="E722" i="66"/>
  <c r="E724" i="66"/>
  <c r="E726" i="66"/>
  <c r="E728" i="66"/>
  <c r="E730" i="66"/>
  <c r="E732" i="66"/>
  <c r="E734" i="66"/>
  <c r="E736" i="66"/>
  <c r="E738" i="66"/>
  <c r="E740" i="66"/>
  <c r="E742" i="66"/>
  <c r="E744" i="66"/>
  <c r="E746" i="66"/>
  <c r="E748" i="66"/>
  <c r="E750" i="66"/>
  <c r="E752" i="66"/>
  <c r="E754" i="66"/>
  <c r="E756" i="66"/>
  <c r="E758" i="66"/>
  <c r="E760" i="66"/>
  <c r="E762" i="66"/>
  <c r="E764" i="66"/>
  <c r="E766" i="66"/>
  <c r="E768" i="66"/>
  <c r="E770" i="66"/>
  <c r="E772" i="66"/>
  <c r="E774" i="66"/>
  <c r="E776" i="66"/>
  <c r="E778" i="66"/>
  <c r="E780" i="66"/>
  <c r="E782" i="66"/>
  <c r="E784" i="66"/>
  <c r="E786" i="66"/>
  <c r="E788" i="66"/>
  <c r="E790" i="66"/>
  <c r="E792" i="66"/>
  <c r="E794" i="66"/>
  <c r="E796" i="66"/>
  <c r="E798" i="66"/>
  <c r="E800" i="66"/>
  <c r="E802" i="66"/>
  <c r="E804" i="66"/>
  <c r="E806" i="66"/>
  <c r="E808" i="66"/>
  <c r="E810" i="66"/>
  <c r="E812" i="66"/>
  <c r="E814" i="66"/>
  <c r="E816" i="66"/>
  <c r="E818" i="66"/>
  <c r="E820" i="66"/>
  <c r="E822" i="66"/>
  <c r="E824" i="66"/>
  <c r="E826" i="66"/>
  <c r="E828" i="66"/>
  <c r="E830" i="66"/>
  <c r="E832" i="66"/>
  <c r="E834" i="66"/>
  <c r="E836" i="66"/>
  <c r="E838" i="66"/>
  <c r="E840" i="66"/>
  <c r="E842" i="66"/>
  <c r="E844" i="66"/>
  <c r="E846" i="66"/>
  <c r="E848" i="66"/>
  <c r="E850" i="66"/>
  <c r="E852" i="66"/>
  <c r="E854" i="66"/>
  <c r="E856" i="66"/>
  <c r="E858" i="66"/>
  <c r="E860" i="66"/>
  <c r="E862" i="66"/>
  <c r="E864" i="66"/>
  <c r="E866" i="66"/>
  <c r="E868" i="66"/>
  <c r="E870" i="66"/>
  <c r="E872" i="66"/>
  <c r="E874" i="66"/>
  <c r="E876" i="66"/>
  <c r="E878" i="66"/>
  <c r="E880" i="66"/>
  <c r="E882" i="66"/>
  <c r="E884" i="66"/>
  <c r="E886" i="66"/>
  <c r="E888" i="66"/>
  <c r="E890" i="66"/>
  <c r="E892" i="66"/>
  <c r="E894" i="66"/>
  <c r="E896" i="66"/>
  <c r="E898" i="66"/>
  <c r="E900" i="66"/>
  <c r="E902" i="66"/>
  <c r="E904" i="66"/>
  <c r="E906" i="66"/>
  <c r="E908" i="66"/>
  <c r="E910" i="66"/>
  <c r="E912" i="66"/>
  <c r="E914" i="66"/>
  <c r="E916" i="66"/>
  <c r="E918" i="66"/>
  <c r="E920" i="66"/>
  <c r="E922" i="66"/>
  <c r="E924" i="66"/>
  <c r="E926" i="66"/>
  <c r="E928" i="66"/>
  <c r="E930" i="66"/>
  <c r="E932" i="66"/>
  <c r="E934" i="66"/>
  <c r="E22" i="66"/>
  <c r="E38" i="66"/>
  <c r="E54" i="66"/>
  <c r="E70" i="66"/>
  <c r="E86" i="66"/>
  <c r="E102" i="66"/>
  <c r="E118" i="66"/>
  <c r="E134" i="66"/>
  <c r="E150" i="66"/>
  <c r="E166" i="66"/>
  <c r="E175" i="66"/>
  <c r="E183" i="66"/>
  <c r="E191" i="66"/>
  <c r="E199" i="66"/>
  <c r="E207" i="66"/>
  <c r="E215" i="66"/>
  <c r="E223" i="66"/>
  <c r="E231" i="66"/>
  <c r="E239" i="66"/>
  <c r="E247" i="66"/>
  <c r="E255" i="66"/>
  <c r="E263" i="66"/>
  <c r="E271" i="66"/>
  <c r="E279" i="66"/>
  <c r="E287" i="66"/>
  <c r="E295" i="66"/>
  <c r="E303" i="66"/>
  <c r="E311" i="66"/>
  <c r="E319" i="66"/>
  <c r="E327" i="66"/>
  <c r="E335" i="66"/>
  <c r="E343" i="66"/>
  <c r="E351" i="66"/>
  <c r="E359" i="66"/>
  <c r="E367" i="66"/>
  <c r="E375" i="66"/>
  <c r="E383" i="66"/>
  <c r="E391" i="66"/>
  <c r="E399" i="66"/>
  <c r="E407" i="66"/>
  <c r="E415" i="66"/>
  <c r="E423" i="66"/>
  <c r="E427" i="66"/>
  <c r="E431" i="66"/>
  <c r="E435" i="66"/>
  <c r="E439" i="66"/>
  <c r="E443" i="66"/>
  <c r="E447" i="66"/>
  <c r="E451" i="66"/>
  <c r="E455" i="66"/>
  <c r="E459" i="66"/>
  <c r="E463" i="66"/>
  <c r="E467" i="66"/>
  <c r="E471" i="66"/>
  <c r="E475" i="66"/>
  <c r="E479" i="66"/>
  <c r="E483" i="66"/>
  <c r="E487" i="66"/>
  <c r="E491" i="66"/>
  <c r="E495" i="66"/>
  <c r="E499" i="66"/>
  <c r="E503" i="66"/>
  <c r="E507" i="66"/>
  <c r="E511" i="66"/>
  <c r="E515" i="66"/>
  <c r="E519" i="66"/>
  <c r="E523" i="66"/>
  <c r="E527" i="66"/>
  <c r="E531" i="66"/>
  <c r="E535" i="66"/>
  <c r="E539" i="66"/>
  <c r="E543" i="66"/>
  <c r="E547" i="66"/>
  <c r="E551" i="66"/>
  <c r="E555" i="66"/>
  <c r="E559" i="66"/>
  <c r="E563" i="66"/>
  <c r="E567" i="66"/>
  <c r="E571" i="66"/>
  <c r="E575" i="66"/>
  <c r="E579" i="66"/>
  <c r="E583" i="66"/>
  <c r="E587" i="66"/>
  <c r="E591" i="66"/>
  <c r="E595" i="66"/>
  <c r="E599" i="66"/>
  <c r="E603" i="66"/>
  <c r="E607" i="66"/>
  <c r="E611" i="66"/>
  <c r="E615" i="66"/>
  <c r="E619" i="66"/>
  <c r="E623" i="66"/>
  <c r="E627" i="66"/>
  <c r="E631" i="66"/>
  <c r="E635" i="66"/>
  <c r="E639" i="66"/>
  <c r="E643" i="66"/>
  <c r="E647" i="66"/>
  <c r="E651" i="66"/>
  <c r="E655" i="66"/>
  <c r="E659" i="66"/>
  <c r="E663" i="66"/>
  <c r="E667" i="66"/>
  <c r="E671" i="66"/>
  <c r="E675" i="66"/>
  <c r="E679" i="66"/>
  <c r="E683" i="66"/>
  <c r="E687" i="66"/>
  <c r="E691" i="66"/>
  <c r="E695" i="66"/>
  <c r="E699" i="66"/>
  <c r="E703" i="66"/>
  <c r="E707" i="66"/>
  <c r="E711" i="66"/>
  <c r="E715" i="66"/>
  <c r="E719" i="66"/>
  <c r="E723" i="66"/>
  <c r="E727" i="66"/>
  <c r="E731" i="66"/>
  <c r="E735" i="66"/>
  <c r="E739" i="66"/>
  <c r="E743" i="66"/>
  <c r="E747" i="66"/>
  <c r="E751" i="66"/>
  <c r="E755" i="66"/>
  <c r="E759" i="66"/>
  <c r="E763" i="66"/>
  <c r="E767" i="66"/>
  <c r="E771" i="66"/>
  <c r="E775" i="66"/>
  <c r="E779" i="66"/>
  <c r="E783" i="66"/>
  <c r="E787" i="66"/>
  <c r="E791" i="66"/>
  <c r="E795" i="66"/>
  <c r="E799" i="66"/>
  <c r="E803" i="66"/>
  <c r="E807" i="66"/>
  <c r="E811" i="66"/>
  <c r="E815" i="66"/>
  <c r="E819" i="66"/>
  <c r="E823" i="66"/>
  <c r="E827" i="66"/>
  <c r="E831" i="66"/>
  <c r="E835" i="66"/>
  <c r="E839" i="66"/>
  <c r="E843" i="66"/>
  <c r="E847" i="66"/>
  <c r="E851" i="66"/>
  <c r="E855" i="66"/>
  <c r="E859" i="66"/>
  <c r="E863" i="66"/>
  <c r="E867" i="66"/>
  <c r="E871" i="66"/>
  <c r="E875" i="66"/>
  <c r="E879" i="66"/>
  <c r="E883" i="66"/>
  <c r="E887" i="66"/>
  <c r="E891" i="66"/>
  <c r="E895" i="66"/>
  <c r="E899" i="66"/>
  <c r="E903" i="66"/>
  <c r="E907" i="66"/>
  <c r="E911" i="66"/>
  <c r="E915" i="66"/>
  <c r="E919" i="66"/>
  <c r="E923" i="66"/>
  <c r="E927" i="66"/>
  <c r="E931" i="66"/>
  <c r="E935" i="66"/>
  <c r="E937" i="66"/>
  <c r="E939" i="66"/>
  <c r="E941" i="66"/>
  <c r="E943" i="66"/>
  <c r="E945" i="66"/>
  <c r="E947" i="66"/>
  <c r="E949" i="66"/>
  <c r="E951" i="66"/>
  <c r="E953" i="66"/>
  <c r="E955" i="66"/>
  <c r="E957" i="66"/>
  <c r="E959" i="66"/>
  <c r="E961" i="66"/>
  <c r="E963" i="66"/>
  <c r="E965" i="66"/>
  <c r="E967" i="66"/>
  <c r="E969" i="66"/>
  <c r="E971" i="66"/>
  <c r="E973" i="66"/>
  <c r="E975" i="66"/>
  <c r="E977" i="66"/>
  <c r="E979" i="66"/>
  <c r="E981" i="66"/>
  <c r="E983" i="66"/>
  <c r="E985" i="66"/>
  <c r="E987" i="66"/>
  <c r="E989" i="66"/>
  <c r="E991" i="66"/>
  <c r="E993" i="66"/>
  <c r="E995" i="66"/>
  <c r="E997" i="66"/>
  <c r="E999" i="66"/>
  <c r="E1001" i="66"/>
  <c r="E1003" i="66"/>
  <c r="E1005" i="66"/>
  <c r="E1007" i="66"/>
  <c r="E1009" i="66"/>
  <c r="E1011" i="66"/>
  <c r="E1013" i="66"/>
  <c r="E1015" i="66"/>
  <c r="E1017" i="66"/>
  <c r="E1019" i="66"/>
  <c r="E1021" i="66"/>
  <c r="E1023" i="66"/>
  <c r="E1025" i="66"/>
  <c r="E1027" i="66"/>
  <c r="E1029" i="66"/>
  <c r="E1031" i="66"/>
  <c r="E1033" i="66"/>
  <c r="E1035" i="66"/>
  <c r="E1037" i="66"/>
  <c r="E1039" i="66"/>
  <c r="E1041" i="66"/>
  <c r="E1043" i="66"/>
  <c r="E1045" i="66"/>
  <c r="E1047" i="66"/>
  <c r="E1049" i="66"/>
  <c r="E1051" i="66"/>
  <c r="E1053" i="66"/>
  <c r="E1055" i="66"/>
  <c r="E1057" i="66"/>
  <c r="E1059" i="66"/>
  <c r="E1061" i="66"/>
  <c r="E1063" i="66"/>
  <c r="E1065" i="66"/>
  <c r="E1067" i="66"/>
  <c r="E1069" i="66"/>
  <c r="E1071" i="66"/>
  <c r="E1073" i="66"/>
  <c r="E1075" i="66"/>
  <c r="E1077" i="66"/>
  <c r="E1079" i="66"/>
  <c r="E1081" i="66"/>
  <c r="E1083" i="66"/>
  <c r="E1085" i="66"/>
  <c r="E1087" i="66"/>
  <c r="E1089" i="66"/>
  <c r="E1091" i="66"/>
  <c r="E1093" i="66"/>
  <c r="E1095" i="66"/>
  <c r="E1097" i="66"/>
  <c r="E1099" i="66"/>
  <c r="E1101" i="66"/>
  <c r="E1103" i="66"/>
  <c r="E1105" i="66"/>
  <c r="E1107" i="66"/>
  <c r="E1109" i="66"/>
  <c r="E1111" i="66"/>
  <c r="E1113" i="66"/>
  <c r="E1115" i="66"/>
  <c r="E1117" i="66"/>
  <c r="E1119" i="66"/>
  <c r="E1121" i="66"/>
  <c r="E1123" i="66"/>
  <c r="E1125" i="66"/>
  <c r="E1127" i="66"/>
  <c r="E1129" i="66"/>
  <c r="E1131" i="66"/>
  <c r="E1133" i="66"/>
  <c r="E1135" i="66"/>
  <c r="E1137" i="66"/>
  <c r="E1139" i="66"/>
  <c r="E1141" i="66"/>
  <c r="E1143" i="66"/>
  <c r="E1145" i="66"/>
  <c r="E1147" i="66"/>
  <c r="E1149" i="66"/>
  <c r="E1151" i="66"/>
  <c r="E1153" i="66"/>
  <c r="E1155" i="66"/>
  <c r="E1157" i="66"/>
  <c r="E1159" i="66"/>
  <c r="E1161" i="66"/>
  <c r="E1163" i="66"/>
  <c r="E1165" i="66"/>
  <c r="E1167" i="66"/>
  <c r="E1169" i="66"/>
  <c r="E1171" i="66"/>
  <c r="E1173" i="66"/>
  <c r="E1175" i="66"/>
  <c r="E1177" i="66"/>
  <c r="E1179" i="66"/>
  <c r="E1181" i="66"/>
  <c r="E1183" i="66"/>
  <c r="E1185" i="66"/>
  <c r="E1187" i="66"/>
  <c r="E1189" i="66"/>
  <c r="E1191" i="66"/>
  <c r="E1193" i="66"/>
  <c r="E1195" i="66"/>
  <c r="E1197" i="66"/>
  <c r="E1199" i="66"/>
  <c r="E1201" i="66"/>
  <c r="E1203" i="66"/>
  <c r="E1205" i="66"/>
  <c r="E1207" i="66"/>
  <c r="E1209" i="66"/>
  <c r="E1211" i="66"/>
  <c r="E1213" i="66"/>
  <c r="E1215" i="66"/>
  <c r="E1217" i="66"/>
  <c r="E1219" i="66"/>
  <c r="E1221" i="66"/>
  <c r="E1223" i="66"/>
  <c r="E1225" i="66"/>
  <c r="E1227" i="66"/>
  <c r="E1229" i="66"/>
  <c r="E1231" i="66"/>
  <c r="E1233" i="66"/>
  <c r="E1235" i="66"/>
  <c r="E1237" i="66"/>
  <c r="E1239" i="66"/>
  <c r="E1241" i="66"/>
  <c r="E1243" i="66"/>
  <c r="E1245" i="66"/>
  <c r="E1247" i="66"/>
  <c r="E1249" i="66"/>
  <c r="E1251" i="66"/>
  <c r="E1253" i="66"/>
  <c r="E1255" i="66"/>
  <c r="E1257" i="66"/>
  <c r="E1259" i="66"/>
  <c r="E1261" i="66"/>
  <c r="E1263" i="66"/>
  <c r="E1265" i="66"/>
  <c r="E1267" i="66"/>
  <c r="E1269" i="66"/>
  <c r="E1271" i="66"/>
  <c r="E1273" i="66"/>
  <c r="E1275" i="66"/>
  <c r="E1277" i="66"/>
  <c r="E1279" i="66"/>
  <c r="E1281" i="66"/>
  <c r="E1283" i="66"/>
  <c r="E1285" i="66"/>
  <c r="E1287" i="66"/>
  <c r="E1289" i="66"/>
  <c r="E1291" i="66"/>
  <c r="E1293" i="66"/>
  <c r="E1295" i="66"/>
  <c r="E1297" i="66"/>
  <c r="E1299" i="66"/>
  <c r="E1301" i="66"/>
  <c r="E1303" i="66"/>
  <c r="E1305" i="66"/>
  <c r="E1307" i="66"/>
  <c r="E1309" i="66"/>
  <c r="E1311" i="66"/>
  <c r="E1313" i="66"/>
  <c r="E1315" i="66"/>
  <c r="E1317" i="66"/>
  <c r="E1319" i="66"/>
  <c r="E1321" i="66"/>
  <c r="E1323" i="66"/>
  <c r="E1325" i="66"/>
  <c r="E1327" i="66"/>
  <c r="E1329" i="66"/>
  <c r="E1331" i="66"/>
  <c r="E1333" i="66"/>
  <c r="E1335" i="66"/>
  <c r="E1337" i="66"/>
  <c r="E1339" i="66"/>
  <c r="E1341" i="66"/>
  <c r="E1343" i="66"/>
  <c r="E1345" i="66"/>
  <c r="E1347" i="66"/>
  <c r="E1349" i="66"/>
  <c r="E1351" i="66"/>
  <c r="E1353" i="66"/>
  <c r="E1355" i="66"/>
  <c r="E1357" i="66"/>
  <c r="E1359" i="66"/>
  <c r="E1361" i="66"/>
  <c r="E1363" i="66"/>
  <c r="E1365" i="66"/>
  <c r="E1367" i="66"/>
  <c r="E1369" i="66"/>
  <c r="E1371" i="66"/>
  <c r="E1373" i="66"/>
  <c r="E1375" i="66"/>
  <c r="E1377" i="66"/>
  <c r="E1379" i="66"/>
  <c r="E1381" i="66"/>
  <c r="E1383" i="66"/>
  <c r="E1385" i="66"/>
  <c r="E1387" i="66"/>
  <c r="E1389" i="66"/>
  <c r="E1391" i="66"/>
  <c r="E1393" i="66"/>
  <c r="E1395" i="66"/>
  <c r="E1397" i="66"/>
  <c r="E1399" i="66"/>
  <c r="E1401" i="66"/>
  <c r="E1403" i="66"/>
  <c r="E1405" i="66"/>
  <c r="E1407" i="66"/>
  <c r="E1409" i="66"/>
  <c r="E1411" i="66"/>
  <c r="E1413" i="66"/>
  <c r="E1415" i="66"/>
  <c r="E1417" i="66"/>
  <c r="E1419" i="66"/>
  <c r="E1421" i="66"/>
  <c r="E1423" i="66"/>
  <c r="E1425" i="66"/>
  <c r="E1427" i="66"/>
  <c r="E1429" i="66"/>
  <c r="E1431" i="66"/>
  <c r="E1433" i="66"/>
  <c r="E1435" i="66"/>
  <c r="E1437" i="66"/>
  <c r="E1439" i="66"/>
  <c r="E1441" i="66"/>
  <c r="E1443" i="66"/>
  <c r="E1445" i="66"/>
  <c r="E1447" i="66"/>
  <c r="E1449" i="66"/>
  <c r="E1451" i="66"/>
  <c r="E1453" i="66"/>
  <c r="E1455" i="66"/>
  <c r="E1457" i="66"/>
  <c r="E1459" i="66"/>
  <c r="E1461" i="66"/>
  <c r="E1463" i="66"/>
  <c r="E1465" i="66"/>
  <c r="E1467" i="66"/>
  <c r="E1469" i="66"/>
  <c r="E1471" i="66"/>
  <c r="E1473" i="66"/>
  <c r="E1475" i="66"/>
  <c r="E1477" i="66"/>
  <c r="E1479" i="66"/>
  <c r="E1481" i="66"/>
  <c r="E1483" i="66"/>
  <c r="E1485" i="66"/>
  <c r="E1487" i="66"/>
  <c r="E1489" i="66"/>
  <c r="E1491" i="66"/>
  <c r="E1493" i="66"/>
  <c r="E1495" i="66"/>
  <c r="E1497" i="66"/>
  <c r="E1499" i="66"/>
  <c r="E1501" i="66"/>
  <c r="E1503" i="66"/>
  <c r="E1505" i="66"/>
  <c r="E1507" i="66"/>
  <c r="E1509" i="66"/>
  <c r="E1511" i="66"/>
  <c r="E1513" i="66"/>
  <c r="E1515" i="66"/>
  <c r="E1517" i="66"/>
  <c r="E1519" i="66"/>
  <c r="E1521" i="66"/>
  <c r="E1523" i="66"/>
  <c r="E1525" i="66"/>
  <c r="E1527" i="66"/>
  <c r="E1529" i="66"/>
  <c r="E1531" i="66"/>
  <c r="E1533" i="66"/>
  <c r="E1535" i="66"/>
  <c r="E1537" i="66"/>
  <c r="E1539" i="66"/>
  <c r="E1541" i="66"/>
  <c r="E1543" i="66"/>
  <c r="E1545" i="66"/>
  <c r="E1547" i="66"/>
  <c r="E1549" i="66"/>
  <c r="E1551" i="66"/>
  <c r="E1553" i="66"/>
  <c r="E1555" i="66"/>
  <c r="E1557" i="66"/>
  <c r="E1559" i="66"/>
  <c r="E1561" i="66"/>
  <c r="E1563" i="66"/>
  <c r="E1565" i="66"/>
  <c r="E1567" i="66"/>
  <c r="E1569" i="66"/>
  <c r="E1571" i="66"/>
  <c r="E1573" i="66"/>
  <c r="E1575" i="66"/>
  <c r="E1577" i="66"/>
  <c r="E1579" i="66"/>
  <c r="E1581" i="66"/>
  <c r="E1583" i="66"/>
  <c r="E1585" i="66"/>
  <c r="E1587" i="66"/>
  <c r="E1589" i="66"/>
  <c r="E1591" i="66"/>
  <c r="E1593" i="66"/>
  <c r="E1595" i="66"/>
  <c r="E1597" i="66"/>
  <c r="E1599" i="66"/>
  <c r="E1601" i="66"/>
  <c r="E1603" i="66"/>
  <c r="E1605" i="66"/>
  <c r="E1607" i="66"/>
  <c r="E1609" i="66"/>
  <c r="E1611" i="66"/>
  <c r="E1613" i="66"/>
  <c r="E1615" i="66"/>
  <c r="E1617" i="66"/>
  <c r="E1619" i="66"/>
  <c r="E1621" i="66"/>
  <c r="E1623" i="66"/>
  <c r="E1625" i="66"/>
  <c r="E1627" i="66"/>
  <c r="E1629" i="66"/>
  <c r="E1631" i="66"/>
  <c r="E1633" i="66"/>
  <c r="E1635" i="66"/>
  <c r="E1637" i="66"/>
  <c r="E1639" i="66"/>
  <c r="E1641" i="66"/>
  <c r="E1643" i="66"/>
  <c r="E1645" i="66"/>
  <c r="E1647" i="66"/>
  <c r="E1649" i="66"/>
  <c r="E1651" i="66"/>
  <c r="E1653" i="66"/>
  <c r="E1655" i="66"/>
  <c r="E1657" i="66"/>
  <c r="E1659" i="66"/>
  <c r="E1661" i="66"/>
  <c r="E1663" i="66"/>
  <c r="E1665" i="66"/>
  <c r="E1667" i="66"/>
  <c r="E1669" i="66"/>
  <c r="E1671" i="66"/>
  <c r="E1673" i="66"/>
  <c r="E1675" i="66"/>
  <c r="E1677" i="66"/>
  <c r="E1679" i="66"/>
  <c r="E1681" i="66"/>
  <c r="E1683" i="66"/>
  <c r="E1685" i="66"/>
  <c r="E1687" i="66"/>
  <c r="E1689" i="66"/>
  <c r="E1691" i="66"/>
  <c r="E1693" i="66"/>
  <c r="E1695" i="66"/>
  <c r="E1697" i="66"/>
  <c r="E1699" i="66"/>
  <c r="E1701" i="66"/>
  <c r="E1703" i="66"/>
  <c r="E1705" i="66"/>
  <c r="E1707" i="66"/>
  <c r="E1709" i="66"/>
  <c r="E1711" i="66"/>
  <c r="E1713" i="66"/>
  <c r="E1715" i="66"/>
  <c r="E1717" i="66"/>
  <c r="E1719" i="66"/>
  <c r="E1721" i="66"/>
  <c r="E1723" i="66"/>
  <c r="E1725" i="66"/>
  <c r="E1727" i="66"/>
  <c r="E1729" i="66"/>
  <c r="E1731" i="66"/>
  <c r="E1733" i="66"/>
  <c r="E1735" i="66"/>
  <c r="E1737" i="66"/>
  <c r="E1739" i="66"/>
  <c r="E1741" i="66"/>
  <c r="E1743" i="66"/>
  <c r="E1745" i="66"/>
  <c r="E1747" i="66"/>
  <c r="E1749" i="66"/>
  <c r="E1751" i="66"/>
  <c r="E1753" i="66"/>
  <c r="E1755" i="66"/>
  <c r="E1757" i="66"/>
  <c r="E1759" i="66"/>
  <c r="E1761" i="66"/>
  <c r="E1763" i="66"/>
  <c r="E1765" i="66"/>
  <c r="E1767" i="66"/>
  <c r="E1769" i="66"/>
  <c r="E1771" i="66"/>
  <c r="E1773" i="66"/>
  <c r="E1775" i="66"/>
  <c r="E1777" i="66"/>
  <c r="E1779" i="66"/>
  <c r="E1781" i="66"/>
  <c r="E1783" i="66"/>
  <c r="E1785" i="66"/>
  <c r="E1787" i="66"/>
  <c r="E1789" i="66"/>
  <c r="E1791" i="66"/>
  <c r="E1793" i="66"/>
  <c r="E1795" i="66"/>
  <c r="E1797" i="66"/>
  <c r="E1799" i="66"/>
  <c r="E1801" i="66"/>
  <c r="E1803" i="66"/>
  <c r="E1805" i="66"/>
  <c r="E1807" i="66"/>
  <c r="E1809" i="66"/>
  <c r="E1811" i="66"/>
  <c r="E1813" i="66"/>
  <c r="E1815" i="66"/>
  <c r="E1817" i="66"/>
  <c r="E1819" i="66"/>
  <c r="E1821" i="66"/>
  <c r="E1823" i="66"/>
  <c r="E1825" i="66"/>
  <c r="E1827" i="66"/>
  <c r="E1829" i="66"/>
  <c r="E1831" i="66"/>
  <c r="E1833" i="66"/>
  <c r="E1835" i="66"/>
  <c r="E1837" i="66"/>
  <c r="E1839" i="66"/>
  <c r="E1841" i="66"/>
  <c r="E1843" i="66"/>
  <c r="E1845" i="66"/>
  <c r="E1847" i="66"/>
  <c r="E1849" i="66"/>
  <c r="E1851" i="66"/>
  <c r="E1853" i="66"/>
  <c r="E1855" i="66"/>
  <c r="E1857" i="66"/>
  <c r="E1859" i="66"/>
  <c r="E1861" i="66"/>
  <c r="E1863" i="66"/>
  <c r="E1865" i="66"/>
  <c r="E1867" i="66"/>
  <c r="E1869" i="66"/>
  <c r="E1871" i="66"/>
  <c r="E1873" i="66"/>
  <c r="E1875" i="66"/>
  <c r="E1877" i="66"/>
  <c r="E1879" i="66"/>
  <c r="E1881" i="66"/>
  <c r="E1883" i="66"/>
  <c r="E1885" i="66"/>
  <c r="E1887" i="66"/>
  <c r="E1889" i="66"/>
  <c r="E1891" i="66"/>
  <c r="E1893" i="66"/>
  <c r="E1895" i="66"/>
  <c r="E1897" i="66"/>
  <c r="E1899" i="66"/>
  <c r="E1901" i="66"/>
  <c r="E1903" i="66"/>
  <c r="E1905" i="66"/>
  <c r="E1907" i="66"/>
  <c r="E1909" i="66"/>
  <c r="E1911" i="66"/>
  <c r="E1913" i="66"/>
  <c r="E1915" i="66"/>
  <c r="E1917" i="66"/>
  <c r="E1919" i="66"/>
  <c r="E1921" i="66"/>
  <c r="E1923" i="66"/>
  <c r="E1925" i="66"/>
  <c r="E1927" i="66"/>
  <c r="E1929" i="66"/>
  <c r="E1931" i="66"/>
  <c r="E1933" i="66"/>
  <c r="E1935" i="66"/>
  <c r="E1937" i="66"/>
  <c r="E1939" i="66"/>
  <c r="E1941" i="66"/>
  <c r="E1943" i="66"/>
  <c r="E1945" i="66"/>
  <c r="E1947" i="66"/>
  <c r="E1949" i="66"/>
  <c r="E1951" i="66"/>
  <c r="E1953" i="66"/>
  <c r="E1955" i="66"/>
  <c r="E1957" i="66"/>
  <c r="E14" i="66"/>
  <c r="E46" i="66"/>
  <c r="E78" i="66"/>
  <c r="E110" i="66"/>
  <c r="E142" i="66"/>
  <c r="E171" i="66"/>
  <c r="E187" i="66"/>
  <c r="E203" i="66"/>
  <c r="E219" i="66"/>
  <c r="E235" i="66"/>
  <c r="E251" i="66"/>
  <c r="E267" i="66"/>
  <c r="E283" i="66"/>
  <c r="E299" i="66"/>
  <c r="E315" i="66"/>
  <c r="E331" i="66"/>
  <c r="E347" i="66"/>
  <c r="E363" i="66"/>
  <c r="E379" i="66"/>
  <c r="E395" i="66"/>
  <c r="E411" i="66"/>
  <c r="E425" i="66"/>
  <c r="E433" i="66"/>
  <c r="E441" i="66"/>
  <c r="E449" i="66"/>
  <c r="E457" i="66"/>
  <c r="E465" i="66"/>
  <c r="E473" i="66"/>
  <c r="E481" i="66"/>
  <c r="E489" i="66"/>
  <c r="E497" i="66"/>
  <c r="E505" i="66"/>
  <c r="E513" i="66"/>
  <c r="E521" i="66"/>
  <c r="E529" i="66"/>
  <c r="E537" i="66"/>
  <c r="E545" i="66"/>
  <c r="E553" i="66"/>
  <c r="E561" i="66"/>
  <c r="E569" i="66"/>
  <c r="E577" i="66"/>
  <c r="E585" i="66"/>
  <c r="E593" i="66"/>
  <c r="E601" i="66"/>
  <c r="E609" i="66"/>
  <c r="E617" i="66"/>
  <c r="E625" i="66"/>
  <c r="E633" i="66"/>
  <c r="E641" i="66"/>
  <c r="E649" i="66"/>
  <c r="E657" i="66"/>
  <c r="E665" i="66"/>
  <c r="E673" i="66"/>
  <c r="E681" i="66"/>
  <c r="E689" i="66"/>
  <c r="E697" i="66"/>
  <c r="E705" i="66"/>
  <c r="E713" i="66"/>
  <c r="E721" i="66"/>
  <c r="E729" i="66"/>
  <c r="E737" i="66"/>
  <c r="E745" i="66"/>
  <c r="E753" i="66"/>
  <c r="E761" i="66"/>
  <c r="E769" i="66"/>
  <c r="E777" i="66"/>
  <c r="E785" i="66"/>
  <c r="E793" i="66"/>
  <c r="E801" i="66"/>
  <c r="E809" i="66"/>
  <c r="E817" i="66"/>
  <c r="E825" i="66"/>
  <c r="E833" i="66"/>
  <c r="E841" i="66"/>
  <c r="E849" i="66"/>
  <c r="E857" i="66"/>
  <c r="E865" i="66"/>
  <c r="E873" i="66"/>
  <c r="E881" i="66"/>
  <c r="E889" i="66"/>
  <c r="E897" i="66"/>
  <c r="E905" i="66"/>
  <c r="E913" i="66"/>
  <c r="E921" i="66"/>
  <c r="E929" i="66"/>
  <c r="E936" i="66"/>
  <c r="E940" i="66"/>
  <c r="E944" i="66"/>
  <c r="E948" i="66"/>
  <c r="E952" i="66"/>
  <c r="E956" i="66"/>
  <c r="E960" i="66"/>
  <c r="E964" i="66"/>
  <c r="E968" i="66"/>
  <c r="E972" i="66"/>
  <c r="E976" i="66"/>
  <c r="E980" i="66"/>
  <c r="E984" i="66"/>
  <c r="E988" i="66"/>
  <c r="E992" i="66"/>
  <c r="E996" i="66"/>
  <c r="E1000" i="66"/>
  <c r="E1004" i="66"/>
  <c r="E1008" i="66"/>
  <c r="E1012" i="66"/>
  <c r="E1016" i="66"/>
  <c r="E1020" i="66"/>
  <c r="E1024" i="66"/>
  <c r="E1028" i="66"/>
  <c r="E1032" i="66"/>
  <c r="E1036" i="66"/>
  <c r="E1040" i="66"/>
  <c r="E1044" i="66"/>
  <c r="E1048" i="66"/>
  <c r="E1052" i="66"/>
  <c r="E1056" i="66"/>
  <c r="E1060" i="66"/>
  <c r="E1064" i="66"/>
  <c r="E1068" i="66"/>
  <c r="E1072" i="66"/>
  <c r="E1076" i="66"/>
  <c r="E1080" i="66"/>
  <c r="E1084" i="66"/>
  <c r="E1088" i="66"/>
  <c r="E1092" i="66"/>
  <c r="E1096" i="66"/>
  <c r="E1100" i="66"/>
  <c r="E1104" i="66"/>
  <c r="E1108" i="66"/>
  <c r="E1112" i="66"/>
  <c r="E1116" i="66"/>
  <c r="E1120" i="66"/>
  <c r="E1124" i="66"/>
  <c r="E1128" i="66"/>
  <c r="E1132" i="66"/>
  <c r="E1136" i="66"/>
  <c r="E1140" i="66"/>
  <c r="E1144" i="66"/>
  <c r="E1148" i="66"/>
  <c r="E1152" i="66"/>
  <c r="E1156" i="66"/>
  <c r="E1160" i="66"/>
  <c r="E1164" i="66"/>
  <c r="E1168" i="66"/>
  <c r="E1172" i="66"/>
  <c r="E1176" i="66"/>
  <c r="E1180" i="66"/>
  <c r="E1184" i="66"/>
  <c r="E1188" i="66"/>
  <c r="E1192" i="66"/>
  <c r="E1196" i="66"/>
  <c r="E1200" i="66"/>
  <c r="E1204" i="66"/>
  <c r="E1208" i="66"/>
  <c r="E1212" i="66"/>
  <c r="E1216" i="66"/>
  <c r="E1220" i="66"/>
  <c r="E1224" i="66"/>
  <c r="E1228" i="66"/>
  <c r="E1232" i="66"/>
  <c r="E1236" i="66"/>
  <c r="E1240" i="66"/>
  <c r="E1244" i="66"/>
  <c r="E1248" i="66"/>
  <c r="E1252" i="66"/>
  <c r="E1256" i="66"/>
  <c r="E1260" i="66"/>
  <c r="E1264" i="66"/>
  <c r="E1268" i="66"/>
  <c r="E1272" i="66"/>
  <c r="E1276" i="66"/>
  <c r="E1280" i="66"/>
  <c r="E1284" i="66"/>
  <c r="E1288" i="66"/>
  <c r="E1292" i="66"/>
  <c r="E1296" i="66"/>
  <c r="E1300" i="66"/>
  <c r="E1304" i="66"/>
  <c r="E1308" i="66"/>
  <c r="E1312" i="66"/>
  <c r="E1316" i="66"/>
  <c r="E1320" i="66"/>
  <c r="E1324" i="66"/>
  <c r="E1328" i="66"/>
  <c r="E1332" i="66"/>
  <c r="E1336" i="66"/>
  <c r="E1340" i="66"/>
  <c r="E1344" i="66"/>
  <c r="E1348" i="66"/>
  <c r="E1352" i="66"/>
  <c r="E1356" i="66"/>
  <c r="E1360" i="66"/>
  <c r="E1364" i="66"/>
  <c r="E1368" i="66"/>
  <c r="E1372" i="66"/>
  <c r="E1376" i="66"/>
  <c r="E1380" i="66"/>
  <c r="E1384" i="66"/>
  <c r="E1388" i="66"/>
  <c r="E1392" i="66"/>
  <c r="E1396" i="66"/>
  <c r="E1400" i="66"/>
  <c r="E1404" i="66"/>
  <c r="E1408" i="66"/>
  <c r="E1412" i="66"/>
  <c r="E1416" i="66"/>
  <c r="E1420" i="66"/>
  <c r="E1424" i="66"/>
  <c r="E1428" i="66"/>
  <c r="E1432" i="66"/>
  <c r="E1436" i="66"/>
  <c r="E1440" i="66"/>
  <c r="E1444" i="66"/>
  <c r="E1448" i="66"/>
  <c r="E1452" i="66"/>
  <c r="E1456" i="66"/>
  <c r="E1460" i="66"/>
  <c r="E1464" i="66"/>
  <c r="E1468" i="66"/>
  <c r="E1472" i="66"/>
  <c r="E1476" i="66"/>
  <c r="E1480" i="66"/>
  <c r="E1484" i="66"/>
  <c r="E1488" i="66"/>
  <c r="E1492" i="66"/>
  <c r="E1496" i="66"/>
  <c r="E1500" i="66"/>
  <c r="E1504" i="66"/>
  <c r="E1508" i="66"/>
  <c r="E1512" i="66"/>
  <c r="E1516" i="66"/>
  <c r="E1520" i="66"/>
  <c r="E1524" i="66"/>
  <c r="E1528" i="66"/>
  <c r="E1532" i="66"/>
  <c r="E1536" i="66"/>
  <c r="E1540" i="66"/>
  <c r="E1544" i="66"/>
  <c r="E1548" i="66"/>
  <c r="E1552" i="66"/>
  <c r="E1556" i="66"/>
  <c r="E1560" i="66"/>
  <c r="E1564" i="66"/>
  <c r="E1568" i="66"/>
  <c r="E1572" i="66"/>
  <c r="E1576" i="66"/>
  <c r="E1580" i="66"/>
  <c r="E1584" i="66"/>
  <c r="E1588" i="66"/>
  <c r="E1592" i="66"/>
  <c r="E1596" i="66"/>
  <c r="E1600" i="66"/>
  <c r="E1604" i="66"/>
  <c r="E1608" i="66"/>
  <c r="E1612" i="66"/>
  <c r="E1616" i="66"/>
  <c r="E1620" i="66"/>
  <c r="E1624" i="66"/>
  <c r="E1628" i="66"/>
  <c r="E1632" i="66"/>
  <c r="E1636" i="66"/>
  <c r="E1640" i="66"/>
  <c r="E1644" i="66"/>
  <c r="E1648" i="66"/>
  <c r="E1652" i="66"/>
  <c r="E1656" i="66"/>
  <c r="E1660" i="66"/>
  <c r="E1664" i="66"/>
  <c r="E1668" i="66"/>
  <c r="E1672" i="66"/>
  <c r="E1676" i="66"/>
  <c r="E1680" i="66"/>
  <c r="E1684" i="66"/>
  <c r="E1688" i="66"/>
  <c r="E1692" i="66"/>
  <c r="E1696" i="66"/>
  <c r="E1700" i="66"/>
  <c r="E1704" i="66"/>
  <c r="E1708" i="66"/>
  <c r="E1712" i="66"/>
  <c r="E1716" i="66"/>
  <c r="E1720" i="66"/>
  <c r="E1724" i="66"/>
  <c r="E1728" i="66"/>
  <c r="E1732" i="66"/>
  <c r="E1736" i="66"/>
  <c r="E1740" i="66"/>
  <c r="E1744" i="66"/>
  <c r="E1748" i="66"/>
  <c r="E1752" i="66"/>
  <c r="E1756" i="66"/>
  <c r="E1760" i="66"/>
  <c r="E1764" i="66"/>
  <c r="E1768" i="66"/>
  <c r="E1772" i="66"/>
  <c r="E1776" i="66"/>
  <c r="E1780" i="66"/>
  <c r="E1784" i="66"/>
  <c r="E1788" i="66"/>
  <c r="E1792" i="66"/>
  <c r="E1796" i="66"/>
  <c r="E1800" i="66"/>
  <c r="E1804" i="66"/>
  <c r="E1808" i="66"/>
  <c r="E1812" i="66"/>
  <c r="E1816" i="66"/>
  <c r="E1820" i="66"/>
  <c r="E1824" i="66"/>
  <c r="E1828" i="66"/>
  <c r="E1832" i="66"/>
  <c r="E1836" i="66"/>
  <c r="E1840" i="66"/>
  <c r="E1844" i="66"/>
  <c r="E1848" i="66"/>
  <c r="E1852" i="66"/>
  <c r="E1856" i="66"/>
  <c r="E1860" i="66"/>
  <c r="E1864" i="66"/>
  <c r="E1868" i="66"/>
  <c r="E1872" i="66"/>
  <c r="E1876" i="66"/>
  <c r="E1880" i="66"/>
  <c r="E1884" i="66"/>
  <c r="E1888" i="66"/>
  <c r="E1892" i="66"/>
  <c r="E1896" i="66"/>
  <c r="E1900" i="66"/>
  <c r="E1904" i="66"/>
  <c r="E1908" i="66"/>
  <c r="E1912" i="66"/>
  <c r="E1916" i="66"/>
  <c r="E1920" i="66"/>
  <c r="E1924" i="66"/>
  <c r="E1928" i="66"/>
  <c r="E1932" i="66"/>
  <c r="E1936" i="66"/>
  <c r="E1940" i="66"/>
  <c r="E1944" i="66"/>
  <c r="E1948" i="66"/>
  <c r="E1952" i="66"/>
  <c r="E1956" i="66"/>
  <c r="E1959" i="66"/>
  <c r="E1961" i="66"/>
  <c r="E1963" i="66"/>
  <c r="E1965" i="66"/>
  <c r="E1967" i="66"/>
  <c r="E1969" i="66"/>
  <c r="E1971" i="66"/>
  <c r="E1973" i="66"/>
  <c r="E1975" i="66"/>
  <c r="E1977" i="66"/>
  <c r="E1979" i="66"/>
  <c r="E1981" i="66"/>
  <c r="E1983" i="66"/>
  <c r="E1985" i="66"/>
  <c r="E1987" i="66"/>
  <c r="E1989" i="66"/>
  <c r="E1991" i="66"/>
  <c r="E1993" i="66"/>
  <c r="E1995" i="66"/>
  <c r="E1997" i="66"/>
  <c r="E1999" i="66"/>
  <c r="E2001" i="66"/>
  <c r="E2003" i="66"/>
  <c r="E2005" i="66"/>
  <c r="E2007" i="66"/>
  <c r="E2009" i="66"/>
  <c r="E2011" i="66"/>
  <c r="E2013" i="66"/>
  <c r="E2015" i="66"/>
  <c r="E2017" i="66"/>
  <c r="E2019" i="66"/>
  <c r="E2021" i="66"/>
  <c r="E2023" i="66"/>
  <c r="E2025" i="66"/>
  <c r="E2027" i="66"/>
  <c r="E2029" i="66"/>
  <c r="E2031" i="66"/>
  <c r="E2033" i="66"/>
  <c r="E2035" i="66"/>
  <c r="E2037" i="66"/>
  <c r="E2039" i="66"/>
  <c r="E2041" i="66"/>
  <c r="E2043" i="66"/>
  <c r="E2045" i="66"/>
  <c r="E2047" i="66"/>
  <c r="E2049" i="66"/>
  <c r="E2051" i="66"/>
  <c r="E2053" i="66"/>
  <c r="E2055" i="66"/>
  <c r="E2057" i="66"/>
  <c r="E2059" i="66"/>
  <c r="E2061" i="66"/>
  <c r="E2063" i="66"/>
  <c r="E2065" i="66"/>
  <c r="E2067" i="66"/>
  <c r="E2069" i="66"/>
  <c r="E2071" i="66"/>
  <c r="E2073" i="66"/>
  <c r="E2075" i="66"/>
  <c r="E2077" i="66"/>
  <c r="E2079" i="66"/>
  <c r="E2081" i="66"/>
  <c r="E2083" i="66"/>
  <c r="E2085" i="66"/>
  <c r="E2087" i="66"/>
  <c r="E2089" i="66"/>
  <c r="E2091" i="66"/>
  <c r="E2093" i="66"/>
  <c r="E2095" i="66"/>
  <c r="E2097" i="66"/>
  <c r="E2099" i="66"/>
  <c r="E2101" i="66"/>
  <c r="E2103" i="66"/>
  <c r="E2105" i="66"/>
  <c r="E2107" i="66"/>
  <c r="E2109" i="66"/>
  <c r="E2111" i="66"/>
  <c r="E2113" i="66"/>
  <c r="E2115" i="66"/>
  <c r="E2117" i="66"/>
  <c r="E2119" i="66"/>
  <c r="E2121" i="66"/>
  <c r="E2123" i="66"/>
  <c r="E2125" i="66"/>
  <c r="E2127" i="66"/>
  <c r="E2129" i="66"/>
  <c r="E2131" i="66"/>
  <c r="E2133" i="66"/>
  <c r="E2135" i="66"/>
  <c r="E2137" i="66"/>
  <c r="E2139" i="66"/>
  <c r="E2141" i="66"/>
  <c r="E2143" i="66"/>
  <c r="E2145" i="66"/>
  <c r="E2147" i="66"/>
  <c r="E2149" i="66"/>
  <c r="E2151" i="66"/>
  <c r="E2153" i="66"/>
  <c r="E2155" i="66"/>
  <c r="E2157" i="66"/>
  <c r="E2159" i="66"/>
  <c r="E2161" i="66"/>
  <c r="E2163" i="66"/>
  <c r="E2165" i="66"/>
  <c r="E2167" i="66"/>
  <c r="E2169" i="66"/>
  <c r="E2171" i="66"/>
  <c r="E2173" i="66"/>
  <c r="E2175" i="66"/>
  <c r="E2177" i="66"/>
  <c r="E2179" i="66"/>
  <c r="E2181" i="66"/>
  <c r="E2183" i="66"/>
  <c r="E2185" i="66"/>
  <c r="E2187" i="66"/>
  <c r="E2189" i="66"/>
  <c r="E2191" i="66"/>
  <c r="E2193" i="66"/>
  <c r="E2195" i="66"/>
  <c r="E2197" i="66"/>
  <c r="E2199" i="66"/>
  <c r="E2201" i="66"/>
  <c r="E2203" i="66"/>
  <c r="E2205" i="66"/>
  <c r="E2207" i="66"/>
  <c r="E2209" i="66"/>
  <c r="E2211" i="66"/>
  <c r="E2213" i="66"/>
  <c r="E2215" i="66"/>
  <c r="E2217" i="66"/>
  <c r="E2219" i="66"/>
  <c r="E2221" i="66"/>
  <c r="E2223" i="66"/>
  <c r="E2225" i="66"/>
  <c r="E2227" i="66"/>
  <c r="E2229" i="66"/>
  <c r="E2231" i="66"/>
  <c r="E2233" i="66"/>
  <c r="E2235" i="66"/>
  <c r="E2237" i="66"/>
  <c r="E2239" i="66"/>
  <c r="E2241" i="66"/>
  <c r="E2243" i="66"/>
  <c r="E2245" i="66"/>
  <c r="E2247" i="66"/>
  <c r="E2249" i="66"/>
  <c r="E2251" i="66"/>
  <c r="E2253" i="66"/>
  <c r="E2255" i="66"/>
  <c r="E2257" i="66"/>
  <c r="E2259" i="66"/>
  <c r="E2261" i="66"/>
  <c r="E2263" i="66"/>
  <c r="E2265" i="66"/>
  <c r="E2267" i="66"/>
  <c r="E2269" i="66"/>
  <c r="E2271" i="66"/>
  <c r="E2273" i="66"/>
  <c r="E2275" i="66"/>
  <c r="E2277" i="66"/>
  <c r="E2279" i="66"/>
  <c r="E2281" i="66"/>
  <c r="E2283" i="66"/>
  <c r="E2285" i="66"/>
  <c r="E2287" i="66"/>
  <c r="E2289" i="66"/>
  <c r="E2291" i="66"/>
  <c r="E2293" i="66"/>
  <c r="E2295" i="66"/>
  <c r="E2297" i="66"/>
  <c r="E2299" i="66"/>
  <c r="E2301" i="66"/>
  <c r="E2303" i="66"/>
  <c r="E2305" i="66"/>
  <c r="E2307" i="66"/>
  <c r="E2309" i="66"/>
  <c r="E2311" i="66"/>
  <c r="E2313" i="66"/>
  <c r="E2315" i="66"/>
  <c r="E2317" i="66"/>
  <c r="E2319" i="66"/>
  <c r="E2321" i="66"/>
  <c r="E2323" i="66"/>
  <c r="E2325" i="66"/>
  <c r="E2327" i="66"/>
  <c r="E2329" i="66"/>
  <c r="E2331" i="66"/>
  <c r="E2333" i="66"/>
  <c r="E2335" i="66"/>
  <c r="E2337" i="66"/>
  <c r="E2339" i="66"/>
  <c r="E2341" i="66"/>
  <c r="E2343" i="66"/>
  <c r="E2345" i="66"/>
  <c r="E2347" i="66"/>
  <c r="E2349" i="66"/>
  <c r="E2351" i="66"/>
  <c r="E2353" i="66"/>
  <c r="E2355" i="66"/>
  <c r="E2357" i="66"/>
  <c r="E2359" i="66"/>
  <c r="E2361" i="66"/>
  <c r="E2363" i="66"/>
  <c r="E2365" i="66"/>
  <c r="E2367" i="66"/>
  <c r="E2369" i="66"/>
  <c r="E2371" i="66"/>
  <c r="E2373" i="66"/>
  <c r="E2375" i="66"/>
  <c r="E2377" i="66"/>
  <c r="E2379" i="66"/>
  <c r="E2381" i="66"/>
  <c r="E2383" i="66"/>
  <c r="E2385" i="66"/>
  <c r="E2387" i="66"/>
  <c r="E2389" i="66"/>
  <c r="E2391" i="66"/>
  <c r="E2393" i="66"/>
  <c r="E2395" i="66"/>
  <c r="E2397" i="66"/>
  <c r="E2399" i="66"/>
  <c r="E2401" i="66"/>
  <c r="E2403" i="66"/>
  <c r="E2405" i="66"/>
  <c r="E2407" i="66"/>
  <c r="E2409" i="66"/>
  <c r="E2411" i="66"/>
  <c r="E2413" i="66"/>
  <c r="E2415" i="66"/>
  <c r="E2417" i="66"/>
  <c r="E2419" i="66"/>
  <c r="E2421" i="66"/>
  <c r="E2423" i="66"/>
  <c r="E2425" i="66"/>
  <c r="E2427" i="66"/>
  <c r="E2429" i="66"/>
  <c r="E2431" i="66"/>
  <c r="E2433" i="66"/>
  <c r="E2435" i="66"/>
  <c r="E2437" i="66"/>
  <c r="E2439" i="66"/>
  <c r="E2441" i="66"/>
  <c r="E2443" i="66"/>
  <c r="E2445" i="66"/>
  <c r="E2447" i="66"/>
  <c r="E2449" i="66"/>
  <c r="E2451" i="66"/>
  <c r="E2453" i="66"/>
  <c r="E2455" i="66"/>
  <c r="E2457" i="66"/>
  <c r="E2459" i="66"/>
  <c r="E2461" i="66"/>
  <c r="E2463" i="66"/>
  <c r="E2465" i="66"/>
  <c r="E2467" i="66"/>
  <c r="E2469" i="66"/>
  <c r="E2471" i="66"/>
  <c r="E2473" i="66"/>
  <c r="E2475" i="66"/>
  <c r="E2477" i="66"/>
  <c r="E2479" i="66"/>
  <c r="E2481" i="66"/>
  <c r="E2483" i="66"/>
  <c r="E2485" i="66"/>
  <c r="E2487" i="66"/>
  <c r="E2489" i="66"/>
  <c r="E2491" i="66"/>
  <c r="E2493" i="66"/>
  <c r="E2495" i="66"/>
  <c r="E2497" i="66"/>
  <c r="E2499" i="66"/>
  <c r="E2501" i="66"/>
  <c r="E2503" i="66"/>
  <c r="E2505" i="66"/>
  <c r="E2507" i="66"/>
  <c r="E2509" i="66"/>
  <c r="E2511" i="66"/>
  <c r="E2513" i="66"/>
  <c r="E2515" i="66"/>
  <c r="E2517" i="66"/>
  <c r="E2519" i="66"/>
  <c r="E2521" i="66"/>
  <c r="E2523" i="66"/>
  <c r="E2525" i="66"/>
  <c r="E2527" i="66"/>
  <c r="E2529" i="66"/>
  <c r="E2531" i="66"/>
  <c r="E2533" i="66"/>
  <c r="E2535" i="66"/>
  <c r="E2537" i="66"/>
  <c r="E2539" i="66"/>
  <c r="E2541" i="66"/>
  <c r="E2543" i="66"/>
  <c r="E2545" i="66"/>
  <c r="E2547" i="66"/>
  <c r="E2549" i="66"/>
  <c r="E2551" i="66"/>
  <c r="E2553" i="66"/>
  <c r="E2555" i="66"/>
  <c r="E2557" i="66"/>
  <c r="E2559" i="66"/>
  <c r="E2561" i="66"/>
  <c r="E2563" i="66"/>
  <c r="E2565" i="66"/>
  <c r="E2567" i="66"/>
  <c r="E2569" i="66"/>
  <c r="E2571" i="66"/>
  <c r="E2573" i="66"/>
  <c r="E2575" i="66"/>
  <c r="E2577" i="66"/>
  <c r="E2579" i="66"/>
  <c r="E2581" i="66"/>
  <c r="E2583" i="66"/>
  <c r="E2585" i="66"/>
  <c r="E2587" i="66"/>
  <c r="E2589" i="66"/>
  <c r="E2591" i="66"/>
  <c r="E2593" i="66"/>
  <c r="E2595" i="66"/>
  <c r="E2597" i="66"/>
  <c r="E2599" i="66"/>
  <c r="E2601" i="66"/>
  <c r="E2603" i="66"/>
  <c r="E2605" i="66"/>
  <c r="E2607" i="66"/>
  <c r="E2609" i="66"/>
  <c r="E2611" i="66"/>
  <c r="E2613" i="66"/>
  <c r="E2615" i="66"/>
  <c r="E2617" i="66"/>
  <c r="E2619" i="66"/>
  <c r="E2621" i="66"/>
  <c r="E2623" i="66"/>
  <c r="E2625" i="66"/>
  <c r="E2627" i="66"/>
  <c r="E2629" i="66"/>
  <c r="E2631" i="66"/>
  <c r="E2633" i="66"/>
  <c r="E2635" i="66"/>
  <c r="E2637" i="66"/>
  <c r="E2639" i="66"/>
  <c r="E2641" i="66"/>
  <c r="E2643" i="66"/>
  <c r="E2645" i="66"/>
  <c r="E2647" i="66"/>
  <c r="E2649" i="66"/>
  <c r="E2651" i="66"/>
  <c r="E2653" i="66"/>
  <c r="E2655" i="66"/>
  <c r="E2657" i="66"/>
  <c r="E2659" i="66"/>
  <c r="E2661" i="66"/>
  <c r="E2663" i="66"/>
  <c r="E2665" i="66"/>
  <c r="E2667" i="66"/>
  <c r="E2669" i="66"/>
  <c r="E2671" i="66"/>
  <c r="E2673" i="66"/>
  <c r="E2675" i="66"/>
  <c r="E2677" i="66"/>
  <c r="E2679" i="66"/>
  <c r="E2681" i="66"/>
  <c r="E2683" i="66"/>
  <c r="E2685" i="66"/>
  <c r="E2687" i="66"/>
  <c r="E2689" i="66"/>
  <c r="E2691" i="66"/>
  <c r="E2693" i="66"/>
  <c r="E2695" i="66"/>
  <c r="E2697" i="66"/>
  <c r="E2699" i="66"/>
  <c r="E2701" i="66"/>
  <c r="E2703" i="66"/>
  <c r="E2705" i="66"/>
  <c r="E2707" i="66"/>
  <c r="E2709" i="66"/>
  <c r="E2711" i="66"/>
  <c r="E2713" i="66"/>
  <c r="E2715" i="66"/>
  <c r="E2717" i="66"/>
  <c r="E2719" i="66"/>
  <c r="E2721" i="66"/>
  <c r="E2723" i="66"/>
  <c r="E2725" i="66"/>
  <c r="E2727" i="66"/>
  <c r="E2729" i="66"/>
  <c r="E2731" i="66"/>
  <c r="E2733" i="66"/>
  <c r="E2735" i="66"/>
  <c r="E2737" i="66"/>
  <c r="E2739" i="66"/>
  <c r="E2741" i="66"/>
  <c r="E2743" i="66"/>
  <c r="E2745" i="66"/>
  <c r="E2747" i="66"/>
  <c r="E2749" i="66"/>
  <c r="E2751" i="66"/>
  <c r="E2753" i="66"/>
  <c r="E2755" i="66"/>
  <c r="E2757" i="66"/>
  <c r="E2759" i="66"/>
  <c r="E2761" i="66"/>
  <c r="E2763" i="66"/>
  <c r="E2765" i="66"/>
  <c r="E2767" i="66"/>
  <c r="E2769" i="66"/>
  <c r="E2771" i="66"/>
  <c r="E2773" i="66"/>
  <c r="E2775" i="66"/>
  <c r="E2777" i="66"/>
  <c r="E2779" i="66"/>
  <c r="E2781" i="66"/>
  <c r="E2783" i="66"/>
  <c r="E2785" i="66"/>
  <c r="E2787" i="66"/>
  <c r="E2789" i="66"/>
  <c r="E2791" i="66"/>
  <c r="E2793" i="66"/>
  <c r="E2795" i="66"/>
  <c r="E2797" i="66"/>
  <c r="E2799" i="66"/>
  <c r="E2801" i="66"/>
  <c r="E2803" i="66"/>
  <c r="E2805" i="66"/>
  <c r="E2807" i="66"/>
  <c r="E2809" i="66"/>
  <c r="E2811" i="66"/>
  <c r="E2813" i="66"/>
  <c r="E2815" i="66"/>
  <c r="E2817" i="66"/>
  <c r="E2819" i="66"/>
  <c r="E2821" i="66"/>
  <c r="E2823" i="66"/>
  <c r="E2825" i="66"/>
  <c r="E2827" i="66"/>
  <c r="E2829" i="66"/>
  <c r="E2831" i="66"/>
  <c r="E2833" i="66"/>
  <c r="E2835" i="66"/>
  <c r="E2837" i="66"/>
  <c r="E2839" i="66"/>
  <c r="E2841" i="66"/>
  <c r="E2843" i="66"/>
  <c r="E2845" i="66"/>
  <c r="E2847" i="66"/>
  <c r="E2849" i="66"/>
  <c r="E2851" i="66"/>
  <c r="E2853" i="66"/>
  <c r="E2855" i="66"/>
  <c r="E2857" i="66"/>
  <c r="E2859" i="66"/>
  <c r="E2861" i="66"/>
  <c r="E2863" i="66"/>
  <c r="E2865" i="66"/>
  <c r="E2867" i="66"/>
  <c r="E2869" i="66"/>
  <c r="E2871" i="66"/>
  <c r="E2873" i="66"/>
  <c r="E2875" i="66"/>
  <c r="E2877" i="66"/>
  <c r="E2879" i="66"/>
  <c r="E2881" i="66"/>
  <c r="E2883" i="66"/>
  <c r="E2885" i="66"/>
  <c r="E2887" i="66"/>
  <c r="E2889" i="66"/>
  <c r="E2891" i="66"/>
  <c r="E2893" i="66"/>
  <c r="E2895" i="66"/>
  <c r="E2897" i="66"/>
  <c r="E2899" i="66"/>
  <c r="E2901" i="66"/>
  <c r="E2903" i="66"/>
  <c r="E2905" i="66"/>
  <c r="E2907" i="66"/>
  <c r="E2909" i="66"/>
  <c r="E2911" i="66"/>
  <c r="E2913" i="66"/>
  <c r="E2915" i="66"/>
  <c r="E2917" i="66"/>
  <c r="E2919" i="66"/>
  <c r="E2921" i="66"/>
  <c r="E2923" i="66"/>
  <c r="E2925" i="66"/>
  <c r="E2927" i="66"/>
  <c r="E2929" i="66"/>
  <c r="E2931" i="66"/>
  <c r="E2933" i="66"/>
  <c r="E2935" i="66"/>
  <c r="E2937" i="66"/>
  <c r="E2939" i="66"/>
  <c r="E2941" i="66"/>
  <c r="E2943" i="66"/>
  <c r="E2945" i="66"/>
  <c r="E2947" i="66"/>
  <c r="E2949" i="66"/>
  <c r="E2951" i="66"/>
  <c r="E2953" i="66"/>
  <c r="E2955" i="66"/>
  <c r="E2957" i="66"/>
  <c r="E2959" i="66"/>
  <c r="E2961" i="66"/>
  <c r="E2963" i="66"/>
  <c r="E2965" i="66"/>
  <c r="E2967" i="66"/>
  <c r="E2969" i="66"/>
  <c r="E2971" i="66"/>
  <c r="E2973" i="66"/>
  <c r="E2975" i="66"/>
  <c r="E2977" i="66"/>
  <c r="E2979" i="66"/>
  <c r="E2981" i="66"/>
  <c r="E2983" i="66"/>
  <c r="E2985" i="66"/>
  <c r="E2987" i="66"/>
  <c r="E2989" i="66"/>
  <c r="E2991" i="66"/>
  <c r="E2993" i="66"/>
  <c r="E2995" i="66"/>
  <c r="E2997" i="66"/>
  <c r="E2999" i="66"/>
  <c r="E3001" i="66"/>
  <c r="E3003" i="66"/>
  <c r="E3005" i="66"/>
  <c r="E3007" i="66"/>
  <c r="E3009" i="66"/>
  <c r="E3011" i="66"/>
  <c r="E3013" i="66"/>
  <c r="E3015" i="66"/>
  <c r="E3017" i="66"/>
  <c r="E3019" i="66"/>
  <c r="E3021" i="66"/>
  <c r="E3023" i="66"/>
  <c r="E3025" i="66"/>
  <c r="E3027" i="66"/>
  <c r="E3029" i="66"/>
  <c r="E3031" i="66"/>
  <c r="E3033" i="66"/>
  <c r="E3035" i="66"/>
  <c r="E3037" i="66"/>
  <c r="E3039" i="66"/>
  <c r="E3041" i="66"/>
  <c r="E3043" i="66"/>
  <c r="E3045" i="66"/>
  <c r="E3047" i="66"/>
  <c r="E3049" i="66"/>
  <c r="E3051" i="66"/>
  <c r="E3053" i="66"/>
  <c r="E3055" i="66"/>
  <c r="E3057" i="66"/>
  <c r="E3059" i="66"/>
  <c r="E3061" i="66"/>
  <c r="E3063" i="66"/>
  <c r="E3065" i="66"/>
  <c r="E3067" i="66"/>
  <c r="E3069" i="66"/>
  <c r="E3071" i="66"/>
  <c r="E3073" i="66"/>
  <c r="E3075" i="66"/>
  <c r="E3077" i="66"/>
  <c r="E3079" i="66"/>
  <c r="E3081" i="66"/>
  <c r="E3083" i="66"/>
  <c r="E3085" i="66"/>
  <c r="E3087" i="66"/>
  <c r="E3089" i="66"/>
  <c r="E3091" i="66"/>
  <c r="E3093" i="66"/>
  <c r="E3095" i="66"/>
  <c r="E3097" i="66"/>
  <c r="E3099" i="66"/>
  <c r="E3101" i="66"/>
  <c r="E3103" i="66"/>
  <c r="E3105" i="66"/>
  <c r="E3107" i="66"/>
  <c r="E3109" i="66"/>
  <c r="E3111" i="66"/>
  <c r="E3113" i="66"/>
  <c r="E3115" i="66"/>
  <c r="E3117" i="66"/>
  <c r="E3119" i="66"/>
  <c r="E3121" i="66"/>
  <c r="E3123" i="66"/>
  <c r="E3125" i="66"/>
  <c r="E3127" i="66"/>
  <c r="E3129" i="66"/>
  <c r="E3131" i="66"/>
  <c r="E3133" i="66"/>
  <c r="E3135" i="66"/>
  <c r="E3137" i="66"/>
  <c r="E3139" i="66"/>
  <c r="E3141" i="66"/>
  <c r="E3143" i="66"/>
  <c r="E3145" i="66"/>
  <c r="E3147" i="66"/>
  <c r="E3149" i="66"/>
  <c r="E3151" i="66"/>
  <c r="E3153" i="66"/>
  <c r="E3155" i="66"/>
  <c r="E3157" i="66"/>
  <c r="E3159" i="66"/>
  <c r="E3161" i="66"/>
  <c r="E3163" i="66"/>
  <c r="E3165" i="66"/>
  <c r="E3167" i="66"/>
  <c r="E3169" i="66"/>
  <c r="E3171" i="66"/>
  <c r="E3173" i="66"/>
  <c r="E3175" i="66"/>
  <c r="E3177" i="66"/>
  <c r="E3179" i="66"/>
  <c r="E3181" i="66"/>
  <c r="E3183" i="66"/>
  <c r="E3185" i="66"/>
  <c r="E30" i="66"/>
  <c r="E62" i="66"/>
  <c r="E94" i="66"/>
  <c r="E126" i="66"/>
  <c r="E158" i="66"/>
  <c r="E179" i="66"/>
  <c r="E195" i="66"/>
  <c r="E211" i="66"/>
  <c r="E227" i="66"/>
  <c r="E243" i="66"/>
  <c r="E259" i="66"/>
  <c r="E275" i="66"/>
  <c r="E291" i="66"/>
  <c r="E307" i="66"/>
  <c r="E323" i="66"/>
  <c r="E339" i="66"/>
  <c r="E355" i="66"/>
  <c r="E371" i="66"/>
  <c r="E387" i="66"/>
  <c r="E403" i="66"/>
  <c r="E419" i="66"/>
  <c r="E429" i="66"/>
  <c r="E437" i="66"/>
  <c r="E445" i="66"/>
  <c r="E453" i="66"/>
  <c r="E461" i="66"/>
  <c r="E469" i="66"/>
  <c r="E477" i="66"/>
  <c r="E485" i="66"/>
  <c r="E493" i="66"/>
  <c r="E501" i="66"/>
  <c r="E509" i="66"/>
  <c r="E517" i="66"/>
  <c r="E525" i="66"/>
  <c r="E533" i="66"/>
  <c r="E541" i="66"/>
  <c r="E549" i="66"/>
  <c r="E557" i="66"/>
  <c r="E565" i="66"/>
  <c r="E573" i="66"/>
  <c r="E581" i="66"/>
  <c r="E589" i="66"/>
  <c r="E597" i="66"/>
  <c r="E605" i="66"/>
  <c r="E613" i="66"/>
  <c r="E621" i="66"/>
  <c r="E629" i="66"/>
  <c r="E637" i="66"/>
  <c r="E645" i="66"/>
  <c r="E653" i="66"/>
  <c r="E661" i="66"/>
  <c r="E669" i="66"/>
  <c r="E677" i="66"/>
  <c r="E685" i="66"/>
  <c r="E693" i="66"/>
  <c r="E701" i="66"/>
  <c r="E709" i="66"/>
  <c r="E717" i="66"/>
  <c r="E725" i="66"/>
  <c r="E733" i="66"/>
  <c r="E741" i="66"/>
  <c r="E749" i="66"/>
  <c r="E757" i="66"/>
  <c r="E765" i="66"/>
  <c r="E773" i="66"/>
  <c r="E781" i="66"/>
  <c r="E789" i="66"/>
  <c r="E797" i="66"/>
  <c r="E805" i="66"/>
  <c r="E813" i="66"/>
  <c r="E821" i="66"/>
  <c r="E829" i="66"/>
  <c r="E837" i="66"/>
  <c r="E845" i="66"/>
  <c r="E853" i="66"/>
  <c r="E861" i="66"/>
  <c r="E869" i="66"/>
  <c r="E877" i="66"/>
  <c r="E885" i="66"/>
  <c r="E893" i="66"/>
  <c r="E901" i="66"/>
  <c r="E909" i="66"/>
  <c r="E917" i="66"/>
  <c r="E925" i="66"/>
  <c r="E933" i="66"/>
  <c r="E938" i="66"/>
  <c r="E942" i="66"/>
  <c r="E946" i="66"/>
  <c r="E950" i="66"/>
  <c r="E954" i="66"/>
  <c r="E958" i="66"/>
  <c r="E962" i="66"/>
  <c r="E966" i="66"/>
  <c r="E970" i="66"/>
  <c r="E974" i="66"/>
  <c r="E978" i="66"/>
  <c r="E982" i="66"/>
  <c r="E986" i="66"/>
  <c r="E990" i="66"/>
  <c r="E994" i="66"/>
  <c r="E998" i="66"/>
  <c r="E1002" i="66"/>
  <c r="E1006" i="66"/>
  <c r="E1010" i="66"/>
  <c r="E1014" i="66"/>
  <c r="E1018" i="66"/>
  <c r="E1022" i="66"/>
  <c r="E1026" i="66"/>
  <c r="E1030" i="66"/>
  <c r="E1034" i="66"/>
  <c r="E1038" i="66"/>
  <c r="E1042" i="66"/>
  <c r="E1046" i="66"/>
  <c r="E1050" i="66"/>
  <c r="E1054" i="66"/>
  <c r="E1058" i="66"/>
  <c r="E1062" i="66"/>
  <c r="E1066" i="66"/>
  <c r="E1070" i="66"/>
  <c r="E1074" i="66"/>
  <c r="E1078" i="66"/>
  <c r="E1082" i="66"/>
  <c r="E1086" i="66"/>
  <c r="E1090" i="66"/>
  <c r="E1094" i="66"/>
  <c r="E1098" i="66"/>
  <c r="E1102" i="66"/>
  <c r="E1106" i="66"/>
  <c r="E1110" i="66"/>
  <c r="E1114" i="66"/>
  <c r="E1118" i="66"/>
  <c r="E1122" i="66"/>
  <c r="E1126" i="66"/>
  <c r="E1130" i="66"/>
  <c r="E1134" i="66"/>
  <c r="E1138" i="66"/>
  <c r="E1142" i="66"/>
  <c r="E1146" i="66"/>
  <c r="E1150" i="66"/>
  <c r="E1154" i="66"/>
  <c r="E1158" i="66"/>
  <c r="E1162" i="66"/>
  <c r="E1166" i="66"/>
  <c r="E1170" i="66"/>
  <c r="E1174" i="66"/>
  <c r="E1178" i="66"/>
  <c r="E1182" i="66"/>
  <c r="E1186" i="66"/>
  <c r="E1190" i="66"/>
  <c r="E1194" i="66"/>
  <c r="E1198" i="66"/>
  <c r="E1202" i="66"/>
  <c r="E1206" i="66"/>
  <c r="E1210" i="66"/>
  <c r="E1214" i="66"/>
  <c r="E1218" i="66"/>
  <c r="E1222" i="66"/>
  <c r="E1226" i="66"/>
  <c r="E1230" i="66"/>
  <c r="E1234" i="66"/>
  <c r="E1238" i="66"/>
  <c r="E1242" i="66"/>
  <c r="E1246" i="66"/>
  <c r="E1250" i="66"/>
  <c r="E1254" i="66"/>
  <c r="E1258" i="66"/>
  <c r="E1262" i="66"/>
  <c r="E1266" i="66"/>
  <c r="E1270" i="66"/>
  <c r="E1274" i="66"/>
  <c r="E1278" i="66"/>
  <c r="E1282" i="66"/>
  <c r="E1286" i="66"/>
  <c r="E1290" i="66"/>
  <c r="E1294" i="66"/>
  <c r="E1298" i="66"/>
  <c r="E1302" i="66"/>
  <c r="E1306" i="66"/>
  <c r="E1310" i="66"/>
  <c r="E1314" i="66"/>
  <c r="E1318" i="66"/>
  <c r="E1322" i="66"/>
  <c r="E1326" i="66"/>
  <c r="E1330" i="66"/>
  <c r="E1334" i="66"/>
  <c r="E1338" i="66"/>
  <c r="E1342" i="66"/>
  <c r="E1346" i="66"/>
  <c r="E1350" i="66"/>
  <c r="E1354" i="66"/>
  <c r="E1358" i="66"/>
  <c r="E1362" i="66"/>
  <c r="E1366" i="66"/>
  <c r="E1370" i="66"/>
  <c r="E1374" i="66"/>
  <c r="E1378" i="66"/>
  <c r="E1382" i="66"/>
  <c r="E1386" i="66"/>
  <c r="E1390" i="66"/>
  <c r="E1394" i="66"/>
  <c r="E1398" i="66"/>
  <c r="E1402" i="66"/>
  <c r="E1406" i="66"/>
  <c r="E1410" i="66"/>
  <c r="E1414" i="66"/>
  <c r="E1418" i="66"/>
  <c r="E1422" i="66"/>
  <c r="E1426" i="66"/>
  <c r="E1430" i="66"/>
  <c r="E1434" i="66"/>
  <c r="E1438" i="66"/>
  <c r="E1442" i="66"/>
  <c r="E1446" i="66"/>
  <c r="E1450" i="66"/>
  <c r="E1454" i="66"/>
  <c r="E1458" i="66"/>
  <c r="E1462" i="66"/>
  <c r="E1466" i="66"/>
  <c r="E1470" i="66"/>
  <c r="E1474" i="66"/>
  <c r="E1478" i="66"/>
  <c r="E1482" i="66"/>
  <c r="E1486" i="66"/>
  <c r="E1490" i="66"/>
  <c r="E1494" i="66"/>
  <c r="E1498" i="66"/>
  <c r="E1502" i="66"/>
  <c r="E1506" i="66"/>
  <c r="E1510" i="66"/>
  <c r="E1514" i="66"/>
  <c r="E1518" i="66"/>
  <c r="E1522" i="66"/>
  <c r="E1526" i="66"/>
  <c r="E1530" i="66"/>
  <c r="E1534" i="66"/>
  <c r="E1538" i="66"/>
  <c r="E1542" i="66"/>
  <c r="E1546" i="66"/>
  <c r="E1550" i="66"/>
  <c r="E1554" i="66"/>
  <c r="E1558" i="66"/>
  <c r="E1562" i="66"/>
  <c r="E1566" i="66"/>
  <c r="E1570" i="66"/>
  <c r="E1574" i="66"/>
  <c r="E1578" i="66"/>
  <c r="E1582" i="66"/>
  <c r="E1586" i="66"/>
  <c r="E1590" i="66"/>
  <c r="E1594" i="66"/>
  <c r="E1598" i="66"/>
  <c r="E1602" i="66"/>
  <c r="E1606" i="66"/>
  <c r="E1610" i="66"/>
  <c r="E1614" i="66"/>
  <c r="E1618" i="66"/>
  <c r="E1622" i="66"/>
  <c r="E1626" i="66"/>
  <c r="E1630" i="66"/>
  <c r="E1634" i="66"/>
  <c r="E1638" i="66"/>
  <c r="E1642" i="66"/>
  <c r="E1646" i="66"/>
  <c r="E1650" i="66"/>
  <c r="E1654" i="66"/>
  <c r="E1658" i="66"/>
  <c r="E1662" i="66"/>
  <c r="E1666" i="66"/>
  <c r="E1670" i="66"/>
  <c r="E1674" i="66"/>
  <c r="E1678" i="66"/>
  <c r="E1682" i="66"/>
  <c r="E1686" i="66"/>
  <c r="E1690" i="66"/>
  <c r="E1694" i="66"/>
  <c r="E1698" i="66"/>
  <c r="E1702" i="66"/>
  <c r="E1706" i="66"/>
  <c r="E1710" i="66"/>
  <c r="E1714" i="66"/>
  <c r="E1718" i="66"/>
  <c r="E1722" i="66"/>
  <c r="E1726" i="66"/>
  <c r="E1730" i="66"/>
  <c r="E1734" i="66"/>
  <c r="E1738" i="66"/>
  <c r="E1742" i="66"/>
  <c r="E1746" i="66"/>
  <c r="E1750" i="66"/>
  <c r="E1754" i="66"/>
  <c r="E1758" i="66"/>
  <c r="E1762" i="66"/>
  <c r="E1766" i="66"/>
  <c r="E1770" i="66"/>
  <c r="E1774" i="66"/>
  <c r="E1778" i="66"/>
  <c r="E1782" i="66"/>
  <c r="E1786" i="66"/>
  <c r="E1790" i="66"/>
  <c r="E1794" i="66"/>
  <c r="E1798" i="66"/>
  <c r="E1802" i="66"/>
  <c r="E1806" i="66"/>
  <c r="E1810" i="66"/>
  <c r="E1814" i="66"/>
  <c r="E1818" i="66"/>
  <c r="E1822" i="66"/>
  <c r="E1826" i="66"/>
  <c r="E1830" i="66"/>
  <c r="E1834" i="66"/>
  <c r="E1838" i="66"/>
  <c r="E1842" i="66"/>
  <c r="E1846" i="66"/>
  <c r="E1850" i="66"/>
  <c r="E1854" i="66"/>
  <c r="E1858" i="66"/>
  <c r="E1862" i="66"/>
  <c r="E1866" i="66"/>
  <c r="E1870" i="66"/>
  <c r="E1874" i="66"/>
  <c r="E1878" i="66"/>
  <c r="E1882" i="66"/>
  <c r="E1886" i="66"/>
  <c r="E1890" i="66"/>
  <c r="E1894" i="66"/>
  <c r="E1898" i="66"/>
  <c r="E1902" i="66"/>
  <c r="E1906" i="66"/>
  <c r="E1910" i="66"/>
  <c r="E1914" i="66"/>
  <c r="E1918" i="66"/>
  <c r="E1922" i="66"/>
  <c r="E1926" i="66"/>
  <c r="E1930" i="66"/>
  <c r="E1934" i="66"/>
  <c r="E1938" i="66"/>
  <c r="E1942" i="66"/>
  <c r="E1946" i="66"/>
  <c r="E1950" i="66"/>
  <c r="E1954" i="66"/>
  <c r="E1958" i="66"/>
  <c r="E1960" i="66"/>
  <c r="E1962" i="66"/>
  <c r="E1964" i="66"/>
  <c r="E1966" i="66"/>
  <c r="E1968" i="66"/>
  <c r="E1970" i="66"/>
  <c r="E1972" i="66"/>
  <c r="E1974" i="66"/>
  <c r="E1976" i="66"/>
  <c r="E1978" i="66"/>
  <c r="E1980" i="66"/>
  <c r="E1982" i="66"/>
  <c r="E1984" i="66"/>
  <c r="E1986" i="66"/>
  <c r="E1988" i="66"/>
  <c r="E1990" i="66"/>
  <c r="E1992" i="66"/>
  <c r="E1994" i="66"/>
  <c r="E1996" i="66"/>
  <c r="E1998" i="66"/>
  <c r="E2000" i="66"/>
  <c r="E2002" i="66"/>
  <c r="E2004" i="66"/>
  <c r="E2006" i="66"/>
  <c r="E2008" i="66"/>
  <c r="E2010" i="66"/>
  <c r="E2012" i="66"/>
  <c r="E2014" i="66"/>
  <c r="E2016" i="66"/>
  <c r="E2018" i="66"/>
  <c r="E2020" i="66"/>
  <c r="E2022" i="66"/>
  <c r="E2024" i="66"/>
  <c r="E2026" i="66"/>
  <c r="E2028" i="66"/>
  <c r="E2030" i="66"/>
  <c r="E2032" i="66"/>
  <c r="E2034" i="66"/>
  <c r="E2036" i="66"/>
  <c r="E2038" i="66"/>
  <c r="E2040" i="66"/>
  <c r="E2042" i="66"/>
  <c r="E2044" i="66"/>
  <c r="E2046" i="66"/>
  <c r="E2048" i="66"/>
  <c r="E2050" i="66"/>
  <c r="E2052" i="66"/>
  <c r="E2054" i="66"/>
  <c r="E2056" i="66"/>
  <c r="E2058" i="66"/>
  <c r="E2060" i="66"/>
  <c r="E2062" i="66"/>
  <c r="E2064" i="66"/>
  <c r="E2066" i="66"/>
  <c r="E2068" i="66"/>
  <c r="E2070" i="66"/>
  <c r="E2072" i="66"/>
  <c r="E2074" i="66"/>
  <c r="E2076" i="66"/>
  <c r="E2078" i="66"/>
  <c r="E2080" i="66"/>
  <c r="E2082" i="66"/>
  <c r="E2084" i="66"/>
  <c r="E2086" i="66"/>
  <c r="E2088" i="66"/>
  <c r="E2090" i="66"/>
  <c r="E2092" i="66"/>
  <c r="E2094" i="66"/>
  <c r="E2096" i="66"/>
  <c r="E2098" i="66"/>
  <c r="E2102" i="66"/>
  <c r="E2106" i="66"/>
  <c r="E2110" i="66"/>
  <c r="E2114" i="66"/>
  <c r="E2118" i="66"/>
  <c r="E2122" i="66"/>
  <c r="E2126" i="66"/>
  <c r="E2130" i="66"/>
  <c r="E2134" i="66"/>
  <c r="E2138" i="66"/>
  <c r="E2142" i="66"/>
  <c r="E2146" i="66"/>
  <c r="E2150" i="66"/>
  <c r="E2154" i="66"/>
  <c r="E2158" i="66"/>
  <c r="E2162" i="66"/>
  <c r="E2166" i="66"/>
  <c r="E2170" i="66"/>
  <c r="E2174" i="66"/>
  <c r="E2178" i="66"/>
  <c r="E2182" i="66"/>
  <c r="E2186" i="66"/>
  <c r="E2190" i="66"/>
  <c r="E2194" i="66"/>
  <c r="E2198" i="66"/>
  <c r="E2202" i="66"/>
  <c r="E2206" i="66"/>
  <c r="E2210" i="66"/>
  <c r="E2214" i="66"/>
  <c r="E2218" i="66"/>
  <c r="E2222" i="66"/>
  <c r="E2226" i="66"/>
  <c r="E2230" i="66"/>
  <c r="E2234" i="66"/>
  <c r="E2238" i="66"/>
  <c r="E2242" i="66"/>
  <c r="E2246" i="66"/>
  <c r="E2250" i="66"/>
  <c r="E2254" i="66"/>
  <c r="E2258" i="66"/>
  <c r="E2262" i="66"/>
  <c r="E2266" i="66"/>
  <c r="E2270" i="66"/>
  <c r="E2274" i="66"/>
  <c r="E2278" i="66"/>
  <c r="E2282" i="66"/>
  <c r="E2286" i="66"/>
  <c r="E2290" i="66"/>
  <c r="E2294" i="66"/>
  <c r="E2298" i="66"/>
  <c r="E2302" i="66"/>
  <c r="E2306" i="66"/>
  <c r="E2310" i="66"/>
  <c r="E2314" i="66"/>
  <c r="E2318" i="66"/>
  <c r="E2322" i="66"/>
  <c r="E2326" i="66"/>
  <c r="E2330" i="66"/>
  <c r="E2334" i="66"/>
  <c r="E2338" i="66"/>
  <c r="E2342" i="66"/>
  <c r="E2346" i="66"/>
  <c r="E2350" i="66"/>
  <c r="E2354" i="66"/>
  <c r="E2358" i="66"/>
  <c r="E2362" i="66"/>
  <c r="E2366" i="66"/>
  <c r="E2370" i="66"/>
  <c r="E2374" i="66"/>
  <c r="E2378" i="66"/>
  <c r="E2382" i="66"/>
  <c r="E2386" i="66"/>
  <c r="E2390" i="66"/>
  <c r="E2394" i="66"/>
  <c r="E2398" i="66"/>
  <c r="E2402" i="66"/>
  <c r="E2406" i="66"/>
  <c r="E2410" i="66"/>
  <c r="E2414" i="66"/>
  <c r="E2418" i="66"/>
  <c r="E2422" i="66"/>
  <c r="E2426" i="66"/>
  <c r="E2430" i="66"/>
  <c r="E2434" i="66"/>
  <c r="E2438" i="66"/>
  <c r="E2442" i="66"/>
  <c r="E2446" i="66"/>
  <c r="E2450" i="66"/>
  <c r="E2454" i="66"/>
  <c r="E2458" i="66"/>
  <c r="E2462" i="66"/>
  <c r="E2466" i="66"/>
  <c r="E2470" i="66"/>
  <c r="E2474" i="66"/>
  <c r="E2478" i="66"/>
  <c r="E2482" i="66"/>
  <c r="E2486" i="66"/>
  <c r="E2490" i="66"/>
  <c r="E2494" i="66"/>
  <c r="E2498" i="66"/>
  <c r="E2502" i="66"/>
  <c r="E2506" i="66"/>
  <c r="E2510" i="66"/>
  <c r="E2514" i="66"/>
  <c r="E2518" i="66"/>
  <c r="E2522" i="66"/>
  <c r="E2526" i="66"/>
  <c r="E2530" i="66"/>
  <c r="E2534" i="66"/>
  <c r="E2538" i="66"/>
  <c r="E2542" i="66"/>
  <c r="E2546" i="66"/>
  <c r="E2550" i="66"/>
  <c r="E2554" i="66"/>
  <c r="E2558" i="66"/>
  <c r="E2562" i="66"/>
  <c r="E2566" i="66"/>
  <c r="E2570" i="66"/>
  <c r="E2574" i="66"/>
  <c r="E2578" i="66"/>
  <c r="E2582" i="66"/>
  <c r="E2586" i="66"/>
  <c r="E2590" i="66"/>
  <c r="E2594" i="66"/>
  <c r="E2598" i="66"/>
  <c r="E2602" i="66"/>
  <c r="E2606" i="66"/>
  <c r="E2610" i="66"/>
  <c r="E2614" i="66"/>
  <c r="E2618" i="66"/>
  <c r="E2622" i="66"/>
  <c r="E2626" i="66"/>
  <c r="E2630" i="66"/>
  <c r="E2634" i="66"/>
  <c r="E2638" i="66"/>
  <c r="E2642" i="66"/>
  <c r="E2646" i="66"/>
  <c r="E2650" i="66"/>
  <c r="E2654" i="66"/>
  <c r="E2658" i="66"/>
  <c r="E2662" i="66"/>
  <c r="E2666" i="66"/>
  <c r="E2670" i="66"/>
  <c r="E2674" i="66"/>
  <c r="E2678" i="66"/>
  <c r="E2682" i="66"/>
  <c r="E2686" i="66"/>
  <c r="E2690" i="66"/>
  <c r="E2694" i="66"/>
  <c r="E2698" i="66"/>
  <c r="E2702" i="66"/>
  <c r="E2706" i="66"/>
  <c r="E2710" i="66"/>
  <c r="E2714" i="66"/>
  <c r="E2718" i="66"/>
  <c r="E2722" i="66"/>
  <c r="E2726" i="66"/>
  <c r="E2730" i="66"/>
  <c r="E2734" i="66"/>
  <c r="E2738" i="66"/>
  <c r="E2742" i="66"/>
  <c r="E2746" i="66"/>
  <c r="E2750" i="66"/>
  <c r="E2754" i="66"/>
  <c r="E2758" i="66"/>
  <c r="E2762" i="66"/>
  <c r="E2766" i="66"/>
  <c r="E2770" i="66"/>
  <c r="E2774" i="66"/>
  <c r="E2778" i="66"/>
  <c r="E2782" i="66"/>
  <c r="E2786" i="66"/>
  <c r="E2790" i="66"/>
  <c r="E2794" i="66"/>
  <c r="E2798" i="66"/>
  <c r="E2802" i="66"/>
  <c r="E2806" i="66"/>
  <c r="E2810" i="66"/>
  <c r="E2814" i="66"/>
  <c r="E2818" i="66"/>
  <c r="E2822" i="66"/>
  <c r="E2826" i="66"/>
  <c r="E2830" i="66"/>
  <c r="E2834" i="66"/>
  <c r="E2838" i="66"/>
  <c r="E2842" i="66"/>
  <c r="E2846" i="66"/>
  <c r="E2850" i="66"/>
  <c r="E2854" i="66"/>
  <c r="E2858" i="66"/>
  <c r="E2862" i="66"/>
  <c r="E2866" i="66"/>
  <c r="E2870" i="66"/>
  <c r="E2874" i="66"/>
  <c r="E2878" i="66"/>
  <c r="E2882" i="66"/>
  <c r="E2886" i="66"/>
  <c r="E2890" i="66"/>
  <c r="E2894" i="66"/>
  <c r="E2898" i="66"/>
  <c r="E2902" i="66"/>
  <c r="E2906" i="66"/>
  <c r="E2910" i="66"/>
  <c r="E2914" i="66"/>
  <c r="E2918" i="66"/>
  <c r="E2922" i="66"/>
  <c r="E2926" i="66"/>
  <c r="E2930" i="66"/>
  <c r="E2934" i="66"/>
  <c r="E2938" i="66"/>
  <c r="E2942" i="66"/>
  <c r="E2946" i="66"/>
  <c r="E2950" i="66"/>
  <c r="E2954" i="66"/>
  <c r="E2958" i="66"/>
  <c r="E2962" i="66"/>
  <c r="E2966" i="66"/>
  <c r="E2970" i="66"/>
  <c r="E2974" i="66"/>
  <c r="E2978" i="66"/>
  <c r="E2982" i="66"/>
  <c r="E2986" i="66"/>
  <c r="E2990" i="66"/>
  <c r="E2994" i="66"/>
  <c r="E2998" i="66"/>
  <c r="E3002" i="66"/>
  <c r="E3006" i="66"/>
  <c r="E3010" i="66"/>
  <c r="E3014" i="66"/>
  <c r="E3018" i="66"/>
  <c r="E3022" i="66"/>
  <c r="E3026" i="66"/>
  <c r="E3030" i="66"/>
  <c r="E3034" i="66"/>
  <c r="E3038" i="66"/>
  <c r="E3042" i="66"/>
  <c r="E3046" i="66"/>
  <c r="E3050" i="66"/>
  <c r="E3054" i="66"/>
  <c r="E3058" i="66"/>
  <c r="E3062" i="66"/>
  <c r="E3066" i="66"/>
  <c r="E3070" i="66"/>
  <c r="E3074" i="66"/>
  <c r="E3078" i="66"/>
  <c r="E3082" i="66"/>
  <c r="E3086" i="66"/>
  <c r="E3090" i="66"/>
  <c r="E3094" i="66"/>
  <c r="E3098" i="66"/>
  <c r="E3102" i="66"/>
  <c r="E3106" i="66"/>
  <c r="E3110" i="66"/>
  <c r="E3114" i="66"/>
  <c r="E3118" i="66"/>
  <c r="E3122" i="66"/>
  <c r="E3126" i="66"/>
  <c r="E3130" i="66"/>
  <c r="E3134" i="66"/>
  <c r="E3138" i="66"/>
  <c r="E3142" i="66"/>
  <c r="E3146" i="66"/>
  <c r="E3150" i="66"/>
  <c r="E3154" i="66"/>
  <c r="E3158" i="66"/>
  <c r="E3162" i="66"/>
  <c r="E3166" i="66"/>
  <c r="E3170" i="66"/>
  <c r="E3174" i="66"/>
  <c r="E3178" i="66"/>
  <c r="E3182" i="66"/>
  <c r="E9" i="66"/>
  <c r="E2100" i="66"/>
  <c r="E2104" i="66"/>
  <c r="E2108" i="66"/>
  <c r="E2112" i="66"/>
  <c r="E2116" i="66"/>
  <c r="E2120" i="66"/>
  <c r="E2124" i="66"/>
  <c r="E2128" i="66"/>
  <c r="E2132" i="66"/>
  <c r="E2136" i="66"/>
  <c r="E2140" i="66"/>
  <c r="E2144" i="66"/>
  <c r="E2148" i="66"/>
  <c r="E2152" i="66"/>
  <c r="E2156" i="66"/>
  <c r="E2160" i="66"/>
  <c r="E2164" i="66"/>
  <c r="E2168" i="66"/>
  <c r="E2172" i="66"/>
  <c r="E2176" i="66"/>
  <c r="E2180" i="66"/>
  <c r="E2184" i="66"/>
  <c r="E2188" i="66"/>
  <c r="E2192" i="66"/>
  <c r="E2196" i="66"/>
  <c r="E2200" i="66"/>
  <c r="E2204" i="66"/>
  <c r="E2208" i="66"/>
  <c r="E2212" i="66"/>
  <c r="E2216" i="66"/>
  <c r="E2220" i="66"/>
  <c r="E2224" i="66"/>
  <c r="E2228" i="66"/>
  <c r="E2232" i="66"/>
  <c r="E2236" i="66"/>
  <c r="E2240" i="66"/>
  <c r="E2244" i="66"/>
  <c r="E2248" i="66"/>
  <c r="E2252" i="66"/>
  <c r="E2256" i="66"/>
  <c r="E2260" i="66"/>
  <c r="E2264" i="66"/>
  <c r="E2268" i="66"/>
  <c r="E2272" i="66"/>
  <c r="E2276" i="66"/>
  <c r="E2280" i="66"/>
  <c r="E2284" i="66"/>
  <c r="E2288" i="66"/>
  <c r="E2292" i="66"/>
  <c r="E2296" i="66"/>
  <c r="E2300" i="66"/>
  <c r="E2304" i="66"/>
  <c r="E2308" i="66"/>
  <c r="E2312" i="66"/>
  <c r="E2316" i="66"/>
  <c r="E2320" i="66"/>
  <c r="E2324" i="66"/>
  <c r="E2328" i="66"/>
  <c r="E2332" i="66"/>
  <c r="E2336" i="66"/>
  <c r="E2340" i="66"/>
  <c r="E2344" i="66"/>
  <c r="E2348" i="66"/>
  <c r="E2352" i="66"/>
  <c r="E2356" i="66"/>
  <c r="E2360" i="66"/>
  <c r="E2364" i="66"/>
  <c r="E2368" i="66"/>
  <c r="E2372" i="66"/>
  <c r="E2376" i="66"/>
  <c r="E2380" i="66"/>
  <c r="E2384" i="66"/>
  <c r="E2388" i="66"/>
  <c r="E2392" i="66"/>
  <c r="E2396" i="66"/>
  <c r="E2400" i="66"/>
  <c r="E2404" i="66"/>
  <c r="E2408" i="66"/>
  <c r="E2412" i="66"/>
  <c r="E2416" i="66"/>
  <c r="E2420" i="66"/>
  <c r="E2424" i="66"/>
  <c r="E2428" i="66"/>
  <c r="E2432" i="66"/>
  <c r="E2436" i="66"/>
  <c r="E2440" i="66"/>
  <c r="E2444" i="66"/>
  <c r="E2448" i="66"/>
  <c r="E2452" i="66"/>
  <c r="E2456" i="66"/>
  <c r="E2460" i="66"/>
  <c r="E2464" i="66"/>
  <c r="E2468" i="66"/>
  <c r="E2472" i="66"/>
  <c r="E2476" i="66"/>
  <c r="E2480" i="66"/>
  <c r="E2484" i="66"/>
  <c r="E2488" i="66"/>
  <c r="E2492" i="66"/>
  <c r="E2496" i="66"/>
  <c r="E2500" i="66"/>
  <c r="E2504" i="66"/>
  <c r="E2508" i="66"/>
  <c r="E2512" i="66"/>
  <c r="E2516" i="66"/>
  <c r="E2520" i="66"/>
  <c r="E2524" i="66"/>
  <c r="E2528" i="66"/>
  <c r="E2532" i="66"/>
  <c r="E2536" i="66"/>
  <c r="E2540" i="66"/>
  <c r="E2544" i="66"/>
  <c r="E2548" i="66"/>
  <c r="E2552" i="66"/>
  <c r="E2556" i="66"/>
  <c r="E2560" i="66"/>
  <c r="E2564" i="66"/>
  <c r="E2568" i="66"/>
  <c r="E2572" i="66"/>
  <c r="E2576" i="66"/>
  <c r="E2580" i="66"/>
  <c r="E2584" i="66"/>
  <c r="E2588" i="66"/>
  <c r="E2592" i="66"/>
  <c r="E2596" i="66"/>
  <c r="E2600" i="66"/>
  <c r="E2604" i="66"/>
  <c r="E2608" i="66"/>
  <c r="E2612" i="66"/>
  <c r="E2616" i="66"/>
  <c r="E2620" i="66"/>
  <c r="E2624" i="66"/>
  <c r="E2628" i="66"/>
  <c r="E2632" i="66"/>
  <c r="E2636" i="66"/>
  <c r="E2640" i="66"/>
  <c r="E2644" i="66"/>
  <c r="E2648" i="66"/>
  <c r="E2652" i="66"/>
  <c r="E2656" i="66"/>
  <c r="E2660" i="66"/>
  <c r="E2664" i="66"/>
  <c r="E2668" i="66"/>
  <c r="E2672" i="66"/>
  <c r="E2676" i="66"/>
  <c r="E2680" i="66"/>
  <c r="E2684" i="66"/>
  <c r="E2688" i="66"/>
  <c r="E2692" i="66"/>
  <c r="E2696" i="66"/>
  <c r="E2700" i="66"/>
  <c r="E2704" i="66"/>
  <c r="E2708" i="66"/>
  <c r="E2712" i="66"/>
  <c r="E2716" i="66"/>
  <c r="E2720" i="66"/>
  <c r="E2724" i="66"/>
  <c r="E2728" i="66"/>
  <c r="E2732" i="66"/>
  <c r="E2736" i="66"/>
  <c r="E2740" i="66"/>
  <c r="E2744" i="66"/>
  <c r="E2748" i="66"/>
  <c r="E2752" i="66"/>
  <c r="E2756" i="66"/>
  <c r="E2760" i="66"/>
  <c r="E2764" i="66"/>
  <c r="E2768" i="66"/>
  <c r="E2772" i="66"/>
  <c r="E2776" i="66"/>
  <c r="E2780" i="66"/>
  <c r="E2784" i="66"/>
  <c r="E2788" i="66"/>
  <c r="E2792" i="66"/>
  <c r="E2796" i="66"/>
  <c r="E2800" i="66"/>
  <c r="E2804" i="66"/>
  <c r="E2808" i="66"/>
  <c r="E2812" i="66"/>
  <c r="E2816" i="66"/>
  <c r="E2820" i="66"/>
  <c r="E2824" i="66"/>
  <c r="E2828" i="66"/>
  <c r="E2832" i="66"/>
  <c r="E2836" i="66"/>
  <c r="E2840" i="66"/>
  <c r="E2844" i="66"/>
  <c r="E2848" i="66"/>
  <c r="E2852" i="66"/>
  <c r="E2856" i="66"/>
  <c r="E2860" i="66"/>
  <c r="E2864" i="66"/>
  <c r="E2868" i="66"/>
  <c r="E2872" i="66"/>
  <c r="E2876" i="66"/>
  <c r="E2880" i="66"/>
  <c r="E2884" i="66"/>
  <c r="E2888" i="66"/>
  <c r="E2892" i="66"/>
  <c r="E2896" i="66"/>
  <c r="E2900" i="66"/>
  <c r="E2904" i="66"/>
  <c r="E2908" i="66"/>
  <c r="E2912" i="66"/>
  <c r="E2916" i="66"/>
  <c r="E2920" i="66"/>
  <c r="E2924" i="66"/>
  <c r="E2928" i="66"/>
  <c r="E2932" i="66"/>
  <c r="E2936" i="66"/>
  <c r="E2940" i="66"/>
  <c r="E2944" i="66"/>
  <c r="E2948" i="66"/>
  <c r="E2952" i="66"/>
  <c r="E2956" i="66"/>
  <c r="E2960" i="66"/>
  <c r="E2964" i="66"/>
  <c r="E2968" i="66"/>
  <c r="E2972" i="66"/>
  <c r="E2976" i="66"/>
  <c r="E2980" i="66"/>
  <c r="E2984" i="66"/>
  <c r="E2988" i="66"/>
  <c r="E2992" i="66"/>
  <c r="E2996" i="66"/>
  <c r="E3000" i="66"/>
  <c r="E3004" i="66"/>
  <c r="E3008" i="66"/>
  <c r="E3012" i="66"/>
  <c r="E3016" i="66"/>
  <c r="E3020" i="66"/>
  <c r="E3024" i="66"/>
  <c r="E3028" i="66"/>
  <c r="E3032" i="66"/>
  <c r="E3036" i="66"/>
  <c r="E3040" i="66"/>
  <c r="E3044" i="66"/>
  <c r="E3048" i="66"/>
  <c r="E3052" i="66"/>
  <c r="E3056" i="66"/>
  <c r="E3060" i="66"/>
  <c r="E3064" i="66"/>
  <c r="E3068" i="66"/>
  <c r="E3072" i="66"/>
  <c r="E3076" i="66"/>
  <c r="E3080" i="66"/>
  <c r="E3084" i="66"/>
  <c r="E3088" i="66"/>
  <c r="E3092" i="66"/>
  <c r="E3096" i="66"/>
  <c r="E3100" i="66"/>
  <c r="E3104" i="66"/>
  <c r="E3108" i="66"/>
  <c r="E3112" i="66"/>
  <c r="E3116" i="66"/>
  <c r="E3120" i="66"/>
  <c r="E3124" i="66"/>
  <c r="E3128" i="66"/>
  <c r="E3132" i="66"/>
  <c r="E3136" i="66"/>
  <c r="E3140" i="66"/>
  <c r="E3144" i="66"/>
  <c r="E3148" i="66"/>
  <c r="E3152" i="66"/>
  <c r="E3156" i="66"/>
  <c r="E3160" i="66"/>
  <c r="E3164" i="66"/>
  <c r="E3168" i="66"/>
  <c r="E3172" i="66"/>
  <c r="E3176" i="66"/>
  <c r="E3180" i="66"/>
  <c r="E3184" i="66"/>
  <c r="P17" i="66"/>
  <c r="P15" i="66"/>
  <c r="P16" i="66"/>
  <c r="L18" i="66"/>
  <c r="P8" i="66"/>
  <c r="P10" i="66"/>
  <c r="P12" i="66"/>
  <c r="P9" i="66"/>
  <c r="P13" i="66"/>
  <c r="P14" i="66"/>
  <c r="D9" i="66" l="1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D39" i="66" s="1"/>
  <c r="D40" i="66" s="1"/>
  <c r="D41" i="66" s="1"/>
  <c r="D42" i="66" s="1"/>
  <c r="D43" i="66" s="1"/>
  <c r="D44" i="66" s="1"/>
  <c r="D45" i="66" s="1"/>
  <c r="D46" i="66" s="1"/>
  <c r="D47" i="66" s="1"/>
  <c r="D48" i="66" s="1"/>
  <c r="D49" i="66" s="1"/>
  <c r="D50" i="66" s="1"/>
  <c r="D51" i="66" s="1"/>
  <c r="D52" i="66" s="1"/>
  <c r="D53" i="66" s="1"/>
  <c r="D54" i="66" s="1"/>
  <c r="D55" i="66" s="1"/>
  <c r="D56" i="66" s="1"/>
  <c r="D57" i="66" s="1"/>
  <c r="D58" i="66" s="1"/>
  <c r="D59" i="66" s="1"/>
  <c r="D60" i="66" s="1"/>
  <c r="D61" i="66" s="1"/>
  <c r="D62" i="66" s="1"/>
  <c r="D63" i="66" s="1"/>
  <c r="D64" i="66" s="1"/>
  <c r="D65" i="66" s="1"/>
  <c r="D66" i="66" s="1"/>
  <c r="D67" i="66" s="1"/>
  <c r="D68" i="66" s="1"/>
  <c r="D69" i="66" s="1"/>
  <c r="D70" i="66" s="1"/>
  <c r="D71" i="66" s="1"/>
  <c r="D72" i="66" s="1"/>
  <c r="D73" i="66" s="1"/>
  <c r="D74" i="66" s="1"/>
  <c r="D75" i="66" s="1"/>
  <c r="D76" i="66" s="1"/>
  <c r="D77" i="66" s="1"/>
  <c r="D78" i="66" s="1"/>
  <c r="D79" i="66" s="1"/>
  <c r="D80" i="66" s="1"/>
  <c r="D81" i="66" s="1"/>
  <c r="D82" i="66" s="1"/>
  <c r="D83" i="66" s="1"/>
  <c r="D84" i="66" s="1"/>
  <c r="D85" i="66" s="1"/>
  <c r="D86" i="66" s="1"/>
  <c r="D87" i="66" s="1"/>
  <c r="D88" i="66" s="1"/>
  <c r="D89" i="66" s="1"/>
  <c r="D90" i="66" s="1"/>
  <c r="D91" i="66" s="1"/>
  <c r="D92" i="66" s="1"/>
  <c r="D93" i="66" s="1"/>
  <c r="D94" i="66" s="1"/>
  <c r="D95" i="66" s="1"/>
  <c r="D96" i="66" s="1"/>
  <c r="D97" i="66" s="1"/>
  <c r="D98" i="66" s="1"/>
  <c r="D99" i="66" s="1"/>
  <c r="D100" i="66" s="1"/>
  <c r="D101" i="66" s="1"/>
  <c r="D102" i="66" s="1"/>
  <c r="D103" i="66" s="1"/>
  <c r="D104" i="66" s="1"/>
  <c r="D105" i="66" s="1"/>
  <c r="D106" i="66" s="1"/>
  <c r="D107" i="66" s="1"/>
  <c r="D108" i="66" s="1"/>
  <c r="D109" i="66" s="1"/>
  <c r="D110" i="66" s="1"/>
  <c r="D111" i="66" s="1"/>
  <c r="D112" i="66" s="1"/>
  <c r="D113" i="66" s="1"/>
  <c r="D114" i="66" s="1"/>
  <c r="D115" i="66" s="1"/>
  <c r="D116" i="66" s="1"/>
  <c r="D117" i="66" s="1"/>
  <c r="D118" i="66" s="1"/>
  <c r="D119" i="66" s="1"/>
  <c r="D120" i="66" s="1"/>
  <c r="D121" i="66" s="1"/>
  <c r="D122" i="66" s="1"/>
  <c r="D123" i="66" s="1"/>
  <c r="D124" i="66" s="1"/>
  <c r="D125" i="66" s="1"/>
  <c r="D126" i="66" s="1"/>
  <c r="D127" i="66" s="1"/>
  <c r="D128" i="66" s="1"/>
  <c r="D129" i="66" s="1"/>
  <c r="D130" i="66" s="1"/>
  <c r="D131" i="66" s="1"/>
  <c r="D132" i="66" s="1"/>
  <c r="D133" i="66" s="1"/>
  <c r="D134" i="66" s="1"/>
  <c r="D135" i="66" s="1"/>
  <c r="D136" i="66" s="1"/>
  <c r="D137" i="66" s="1"/>
  <c r="D138" i="66" s="1"/>
  <c r="D139" i="66" s="1"/>
  <c r="D140" i="66" s="1"/>
  <c r="D141" i="66" s="1"/>
  <c r="D142" i="66" s="1"/>
  <c r="D143" i="66" s="1"/>
  <c r="D144" i="66" s="1"/>
  <c r="D145" i="66" s="1"/>
  <c r="D146" i="66" s="1"/>
  <c r="D147" i="66" s="1"/>
  <c r="D148" i="66" s="1"/>
  <c r="D149" i="66" s="1"/>
  <c r="D150" i="66" s="1"/>
  <c r="D151" i="66" s="1"/>
  <c r="D152" i="66" s="1"/>
  <c r="D153" i="66" s="1"/>
  <c r="D154" i="66" s="1"/>
  <c r="D155" i="66" s="1"/>
  <c r="D156" i="66" s="1"/>
  <c r="D157" i="66" s="1"/>
  <c r="D158" i="66" s="1"/>
  <c r="D159" i="66" s="1"/>
  <c r="D160" i="66" s="1"/>
  <c r="D161" i="66" s="1"/>
  <c r="D162" i="66" s="1"/>
  <c r="D163" i="66" s="1"/>
  <c r="D164" i="66" s="1"/>
  <c r="D165" i="66" s="1"/>
  <c r="D166" i="66" s="1"/>
  <c r="D167" i="66" s="1"/>
  <c r="D168" i="66" s="1"/>
  <c r="D169" i="66" s="1"/>
  <c r="D170" i="66" s="1"/>
  <c r="D171" i="66" s="1"/>
  <c r="D172" i="66" s="1"/>
  <c r="D173" i="66" s="1"/>
  <c r="D174" i="66" s="1"/>
  <c r="D175" i="66" s="1"/>
  <c r="D176" i="66" s="1"/>
  <c r="D177" i="66" s="1"/>
  <c r="D178" i="66" s="1"/>
  <c r="D179" i="66" s="1"/>
  <c r="D180" i="66" s="1"/>
  <c r="D181" i="66" s="1"/>
  <c r="D182" i="66" s="1"/>
  <c r="D183" i="66" s="1"/>
  <c r="D184" i="66" s="1"/>
  <c r="D185" i="66" s="1"/>
  <c r="D186" i="66" s="1"/>
  <c r="D187" i="66" s="1"/>
  <c r="D188" i="66" s="1"/>
  <c r="D189" i="66" s="1"/>
  <c r="D190" i="66" s="1"/>
  <c r="D191" i="66" s="1"/>
  <c r="D192" i="66" s="1"/>
  <c r="D193" i="66" s="1"/>
  <c r="D194" i="66" s="1"/>
  <c r="D195" i="66" s="1"/>
  <c r="D196" i="66" s="1"/>
  <c r="D197" i="66" s="1"/>
  <c r="D198" i="66" s="1"/>
  <c r="D199" i="66" s="1"/>
  <c r="D200" i="66" s="1"/>
  <c r="D201" i="66" s="1"/>
  <c r="D202" i="66" s="1"/>
  <c r="D203" i="66" s="1"/>
  <c r="D204" i="66" s="1"/>
  <c r="D205" i="66" s="1"/>
  <c r="D206" i="66" s="1"/>
  <c r="D207" i="66" s="1"/>
  <c r="D208" i="66" s="1"/>
  <c r="D209" i="66" s="1"/>
  <c r="D210" i="66" s="1"/>
  <c r="D211" i="66" s="1"/>
  <c r="D212" i="66" s="1"/>
  <c r="D213" i="66" s="1"/>
  <c r="D214" i="66" s="1"/>
  <c r="D215" i="66" s="1"/>
  <c r="D216" i="66" s="1"/>
  <c r="D217" i="66" s="1"/>
  <c r="D218" i="66" s="1"/>
  <c r="D219" i="66" s="1"/>
  <c r="D220" i="66" s="1"/>
  <c r="D221" i="66" s="1"/>
  <c r="D222" i="66" s="1"/>
  <c r="D223" i="66" s="1"/>
  <c r="D224" i="66" s="1"/>
  <c r="D225" i="66" s="1"/>
  <c r="D226" i="66" s="1"/>
  <c r="D227" i="66" s="1"/>
  <c r="D228" i="66" s="1"/>
  <c r="D229" i="66" s="1"/>
  <c r="D230" i="66" s="1"/>
  <c r="D231" i="66" s="1"/>
  <c r="D232" i="66" s="1"/>
  <c r="D233" i="66" s="1"/>
  <c r="D234" i="66" s="1"/>
  <c r="D235" i="66" s="1"/>
  <c r="D236" i="66" s="1"/>
  <c r="D237" i="66" s="1"/>
  <c r="D238" i="66" s="1"/>
  <c r="D239" i="66" s="1"/>
  <c r="D240" i="66" s="1"/>
  <c r="D241" i="66" s="1"/>
  <c r="D242" i="66" s="1"/>
  <c r="D243" i="66" s="1"/>
  <c r="D244" i="66" s="1"/>
  <c r="D245" i="66" s="1"/>
  <c r="D246" i="66" s="1"/>
  <c r="D247" i="66" s="1"/>
  <c r="D248" i="66" s="1"/>
  <c r="D249" i="66" s="1"/>
  <c r="D250" i="66" s="1"/>
  <c r="D251" i="66" s="1"/>
  <c r="D252" i="66" s="1"/>
  <c r="D253" i="66" s="1"/>
  <c r="D254" i="66" s="1"/>
  <c r="D255" i="66" s="1"/>
  <c r="D256" i="66" s="1"/>
  <c r="D257" i="66" s="1"/>
  <c r="D258" i="66" s="1"/>
  <c r="D259" i="66" s="1"/>
  <c r="D260" i="66" s="1"/>
  <c r="D261" i="66" s="1"/>
  <c r="D262" i="66" s="1"/>
  <c r="D263" i="66" s="1"/>
  <c r="D264" i="66" s="1"/>
  <c r="D265" i="66" s="1"/>
  <c r="D266" i="66" s="1"/>
  <c r="D267" i="66" s="1"/>
  <c r="D268" i="66" s="1"/>
  <c r="D269" i="66" s="1"/>
  <c r="D270" i="66" s="1"/>
  <c r="D271" i="66" s="1"/>
  <c r="D272" i="66" s="1"/>
  <c r="D273" i="66" s="1"/>
  <c r="D274" i="66" s="1"/>
  <c r="D275" i="66" s="1"/>
  <c r="D276" i="66" s="1"/>
  <c r="D277" i="66" s="1"/>
  <c r="D278" i="66" s="1"/>
  <c r="D279" i="66" s="1"/>
  <c r="D280" i="66" s="1"/>
  <c r="D281" i="66" s="1"/>
  <c r="D282" i="66" s="1"/>
  <c r="D283" i="66" s="1"/>
  <c r="D284" i="66" s="1"/>
  <c r="D285" i="66" s="1"/>
  <c r="D286" i="66" s="1"/>
  <c r="D287" i="66" s="1"/>
  <c r="D288" i="66" s="1"/>
  <c r="D289" i="66" s="1"/>
  <c r="D290" i="66" s="1"/>
  <c r="D291" i="66" s="1"/>
  <c r="D292" i="66" s="1"/>
  <c r="D293" i="66" s="1"/>
  <c r="D294" i="66" s="1"/>
  <c r="D295" i="66" s="1"/>
  <c r="D296" i="66" s="1"/>
  <c r="D297" i="66" s="1"/>
  <c r="D298" i="66" s="1"/>
  <c r="D299" i="66" s="1"/>
  <c r="D300" i="66" s="1"/>
  <c r="D301" i="66" s="1"/>
  <c r="D302" i="66" s="1"/>
  <c r="D303" i="66" s="1"/>
  <c r="D304" i="66" s="1"/>
  <c r="D305" i="66" s="1"/>
  <c r="D306" i="66" s="1"/>
  <c r="D307" i="66" s="1"/>
  <c r="D308" i="66" s="1"/>
  <c r="D309" i="66" s="1"/>
  <c r="D310" i="66" s="1"/>
  <c r="D311" i="66" s="1"/>
  <c r="D312" i="66" s="1"/>
  <c r="D313" i="66" s="1"/>
  <c r="D314" i="66" s="1"/>
  <c r="D315" i="66" s="1"/>
  <c r="D316" i="66" s="1"/>
  <c r="D317" i="66" s="1"/>
  <c r="D318" i="66" s="1"/>
  <c r="D319" i="66" s="1"/>
  <c r="D320" i="66" s="1"/>
  <c r="D321" i="66" s="1"/>
  <c r="D322" i="66" s="1"/>
  <c r="D323" i="66" s="1"/>
  <c r="D324" i="66" s="1"/>
  <c r="D325" i="66" s="1"/>
  <c r="D326" i="66" s="1"/>
  <c r="D327" i="66" s="1"/>
  <c r="D328" i="66" s="1"/>
  <c r="D329" i="66" s="1"/>
  <c r="D330" i="66" s="1"/>
  <c r="D331" i="66" s="1"/>
  <c r="D332" i="66" s="1"/>
  <c r="D333" i="66" s="1"/>
  <c r="D334" i="66" s="1"/>
  <c r="D335" i="66" s="1"/>
  <c r="D336" i="66" s="1"/>
  <c r="D337" i="66" s="1"/>
  <c r="D338" i="66" s="1"/>
  <c r="D339" i="66" s="1"/>
  <c r="D340" i="66" s="1"/>
  <c r="D341" i="66" s="1"/>
  <c r="D342" i="66" s="1"/>
  <c r="D343" i="66" s="1"/>
  <c r="D344" i="66" s="1"/>
  <c r="D345" i="66" s="1"/>
  <c r="D346" i="66" s="1"/>
  <c r="D347" i="66" s="1"/>
  <c r="D348" i="66" s="1"/>
  <c r="D349" i="66" s="1"/>
  <c r="D350" i="66" s="1"/>
  <c r="D351" i="66" s="1"/>
  <c r="D352" i="66" s="1"/>
  <c r="D353" i="66" s="1"/>
  <c r="D354" i="66" s="1"/>
  <c r="D355" i="66" s="1"/>
  <c r="D356" i="66" s="1"/>
  <c r="D357" i="66" s="1"/>
  <c r="D358" i="66" s="1"/>
  <c r="D359" i="66" s="1"/>
  <c r="D360" i="66" s="1"/>
  <c r="D361" i="66" s="1"/>
  <c r="D362" i="66" s="1"/>
  <c r="D363" i="66" s="1"/>
  <c r="D364" i="66" s="1"/>
  <c r="D365" i="66" s="1"/>
  <c r="D366" i="66" s="1"/>
  <c r="D367" i="66" s="1"/>
  <c r="D368" i="66" s="1"/>
  <c r="D369" i="66" s="1"/>
  <c r="D370" i="66" s="1"/>
  <c r="D371" i="66" s="1"/>
  <c r="D372" i="66" s="1"/>
  <c r="D373" i="66" s="1"/>
  <c r="D374" i="66" s="1"/>
  <c r="D375" i="66" s="1"/>
  <c r="D376" i="66" s="1"/>
  <c r="D377" i="66" s="1"/>
  <c r="D378" i="66" s="1"/>
  <c r="D379" i="66" s="1"/>
  <c r="D380" i="66" s="1"/>
  <c r="D381" i="66" s="1"/>
  <c r="D382" i="66" s="1"/>
  <c r="D383" i="66" s="1"/>
  <c r="D384" i="66" s="1"/>
  <c r="D385" i="66" s="1"/>
  <c r="D386" i="66" s="1"/>
  <c r="D387" i="66" s="1"/>
  <c r="D388" i="66" s="1"/>
  <c r="D389" i="66" s="1"/>
  <c r="D390" i="66" s="1"/>
  <c r="D391" i="66" s="1"/>
  <c r="D392" i="66" s="1"/>
  <c r="D393" i="66" s="1"/>
  <c r="D394" i="66" s="1"/>
  <c r="D395" i="66" s="1"/>
  <c r="D396" i="66" s="1"/>
  <c r="D397" i="66" s="1"/>
  <c r="D398" i="66" s="1"/>
  <c r="D399" i="66" s="1"/>
  <c r="D400" i="66" s="1"/>
  <c r="D401" i="66" s="1"/>
  <c r="D402" i="66" s="1"/>
  <c r="D403" i="66" s="1"/>
  <c r="D404" i="66" s="1"/>
  <c r="D405" i="66" s="1"/>
  <c r="D406" i="66" s="1"/>
  <c r="D407" i="66" s="1"/>
  <c r="D408" i="66" s="1"/>
  <c r="D409" i="66" s="1"/>
  <c r="D410" i="66" s="1"/>
  <c r="D411" i="66" s="1"/>
  <c r="D412" i="66" s="1"/>
  <c r="D413" i="66" s="1"/>
  <c r="D414" i="66" s="1"/>
  <c r="D415" i="66" s="1"/>
  <c r="D416" i="66" s="1"/>
  <c r="D417" i="66" s="1"/>
  <c r="D418" i="66" s="1"/>
  <c r="D419" i="66" s="1"/>
  <c r="D420" i="66" s="1"/>
  <c r="D421" i="66" s="1"/>
  <c r="D422" i="66" s="1"/>
  <c r="D423" i="66" s="1"/>
  <c r="D424" i="66" s="1"/>
  <c r="D425" i="66" s="1"/>
  <c r="D426" i="66" s="1"/>
  <c r="D427" i="66" s="1"/>
  <c r="D428" i="66" s="1"/>
  <c r="D429" i="66" s="1"/>
  <c r="D430" i="66" s="1"/>
  <c r="D431" i="66" s="1"/>
  <c r="D432" i="66" s="1"/>
  <c r="D433" i="66" s="1"/>
  <c r="D434" i="66" s="1"/>
  <c r="D435" i="66" s="1"/>
  <c r="D436" i="66" s="1"/>
  <c r="D437" i="66" s="1"/>
  <c r="D438" i="66" s="1"/>
  <c r="D439" i="66" s="1"/>
  <c r="D440" i="66" s="1"/>
  <c r="D441" i="66" s="1"/>
  <c r="D442" i="66" s="1"/>
  <c r="D443" i="66" s="1"/>
  <c r="D444" i="66" s="1"/>
  <c r="D445" i="66" s="1"/>
  <c r="D446" i="66" s="1"/>
  <c r="D447" i="66" s="1"/>
  <c r="D448" i="66" s="1"/>
  <c r="D449" i="66" s="1"/>
  <c r="D450" i="66" s="1"/>
  <c r="D451" i="66" s="1"/>
  <c r="D452" i="66" s="1"/>
  <c r="D453" i="66" s="1"/>
  <c r="D454" i="66" s="1"/>
  <c r="D455" i="66" s="1"/>
  <c r="D456" i="66" s="1"/>
  <c r="D457" i="66" s="1"/>
  <c r="D458" i="66" s="1"/>
  <c r="D459" i="66" s="1"/>
  <c r="D460" i="66" s="1"/>
  <c r="D461" i="66" s="1"/>
  <c r="D462" i="66" s="1"/>
  <c r="D463" i="66" s="1"/>
  <c r="D464" i="66" s="1"/>
  <c r="D465" i="66" s="1"/>
  <c r="D466" i="66" s="1"/>
  <c r="D467" i="66" s="1"/>
  <c r="D468" i="66" s="1"/>
  <c r="D469" i="66" s="1"/>
  <c r="D470" i="66" s="1"/>
  <c r="D471" i="66" s="1"/>
  <c r="D472" i="66" s="1"/>
  <c r="D473" i="66" s="1"/>
  <c r="D474" i="66" s="1"/>
  <c r="D475" i="66" s="1"/>
  <c r="D476" i="66" s="1"/>
  <c r="D477" i="66" s="1"/>
  <c r="D478" i="66" s="1"/>
  <c r="D479" i="66" s="1"/>
  <c r="D480" i="66" s="1"/>
  <c r="D481" i="66" s="1"/>
  <c r="D482" i="66" s="1"/>
  <c r="D483" i="66" s="1"/>
  <c r="D484" i="66" s="1"/>
  <c r="D485" i="66" s="1"/>
  <c r="D486" i="66" s="1"/>
  <c r="D487" i="66" s="1"/>
  <c r="D488" i="66" s="1"/>
  <c r="D489" i="66" s="1"/>
  <c r="D490" i="66" s="1"/>
  <c r="D491" i="66" s="1"/>
  <c r="D492" i="66" s="1"/>
  <c r="D493" i="66" s="1"/>
  <c r="D494" i="66" s="1"/>
  <c r="D495" i="66" s="1"/>
  <c r="D496" i="66" s="1"/>
  <c r="D497" i="66" s="1"/>
  <c r="D498" i="66" s="1"/>
  <c r="D499" i="66" s="1"/>
  <c r="D500" i="66" s="1"/>
  <c r="D501" i="66" s="1"/>
  <c r="D502" i="66" s="1"/>
  <c r="D503" i="66" s="1"/>
  <c r="D504" i="66" s="1"/>
  <c r="D505" i="66" s="1"/>
  <c r="D506" i="66" s="1"/>
  <c r="D507" i="66" s="1"/>
  <c r="D508" i="66" s="1"/>
  <c r="D509" i="66" s="1"/>
  <c r="D510" i="66" s="1"/>
  <c r="D511" i="66" s="1"/>
  <c r="D512" i="66" s="1"/>
  <c r="D513" i="66" s="1"/>
  <c r="D514" i="66" s="1"/>
  <c r="D515" i="66" s="1"/>
  <c r="D516" i="66" s="1"/>
  <c r="D517" i="66" s="1"/>
  <c r="D518" i="66" s="1"/>
  <c r="D519" i="66" s="1"/>
  <c r="D520" i="66" s="1"/>
  <c r="D521" i="66" s="1"/>
  <c r="D522" i="66" s="1"/>
  <c r="D523" i="66" s="1"/>
  <c r="D524" i="66" s="1"/>
  <c r="D525" i="66" s="1"/>
  <c r="D526" i="66" s="1"/>
  <c r="D527" i="66" s="1"/>
  <c r="D528" i="66" s="1"/>
  <c r="D529" i="66" s="1"/>
  <c r="D530" i="66" s="1"/>
  <c r="D531" i="66" s="1"/>
  <c r="D532" i="66" s="1"/>
  <c r="D533" i="66" s="1"/>
  <c r="D534" i="66" s="1"/>
  <c r="D535" i="66" s="1"/>
  <c r="D536" i="66" s="1"/>
  <c r="D537" i="66" s="1"/>
  <c r="D538" i="66" s="1"/>
  <c r="D539" i="66" s="1"/>
  <c r="D540" i="66" s="1"/>
  <c r="D541" i="66" s="1"/>
  <c r="D542" i="66" s="1"/>
  <c r="D543" i="66" s="1"/>
  <c r="D544" i="66" s="1"/>
  <c r="D545" i="66" s="1"/>
  <c r="D546" i="66" s="1"/>
  <c r="D547" i="66" s="1"/>
  <c r="D548" i="66" s="1"/>
  <c r="D549" i="66" s="1"/>
  <c r="D550" i="66" s="1"/>
  <c r="D551" i="66" s="1"/>
  <c r="D552" i="66" s="1"/>
  <c r="D553" i="66" s="1"/>
  <c r="D554" i="66" s="1"/>
  <c r="D555" i="66" s="1"/>
  <c r="D556" i="66" s="1"/>
  <c r="D557" i="66" s="1"/>
  <c r="D558" i="66" s="1"/>
  <c r="D559" i="66" s="1"/>
  <c r="D560" i="66" s="1"/>
  <c r="D561" i="66" s="1"/>
  <c r="D562" i="66" s="1"/>
  <c r="D563" i="66" s="1"/>
  <c r="D564" i="66" s="1"/>
  <c r="D565" i="66" s="1"/>
  <c r="D566" i="66" s="1"/>
  <c r="D567" i="66" s="1"/>
  <c r="D568" i="66" s="1"/>
  <c r="D569" i="66" s="1"/>
  <c r="D570" i="66" s="1"/>
  <c r="D571" i="66" s="1"/>
  <c r="D572" i="66" s="1"/>
  <c r="D573" i="66" s="1"/>
  <c r="D574" i="66" s="1"/>
  <c r="D575" i="66" s="1"/>
  <c r="D576" i="66" s="1"/>
  <c r="D577" i="66" s="1"/>
  <c r="D578" i="66" s="1"/>
  <c r="D579" i="66" s="1"/>
  <c r="D580" i="66" s="1"/>
  <c r="D581" i="66" s="1"/>
  <c r="D582" i="66" s="1"/>
  <c r="D583" i="66" s="1"/>
  <c r="D584" i="66" s="1"/>
  <c r="D585" i="66" s="1"/>
  <c r="D586" i="66" s="1"/>
  <c r="D587" i="66" s="1"/>
  <c r="D588" i="66" s="1"/>
  <c r="D589" i="66" s="1"/>
  <c r="D590" i="66" s="1"/>
  <c r="D591" i="66" s="1"/>
  <c r="D592" i="66" s="1"/>
  <c r="D593" i="66" s="1"/>
  <c r="D594" i="66" s="1"/>
  <c r="D595" i="66" s="1"/>
  <c r="D596" i="66" s="1"/>
  <c r="D597" i="66" s="1"/>
  <c r="D598" i="66" s="1"/>
  <c r="D599" i="66" s="1"/>
  <c r="D600" i="66" s="1"/>
  <c r="D601" i="66" s="1"/>
  <c r="D602" i="66" s="1"/>
  <c r="D603" i="66" s="1"/>
  <c r="D604" i="66" s="1"/>
  <c r="D605" i="66" s="1"/>
  <c r="D606" i="66" s="1"/>
  <c r="D607" i="66" s="1"/>
  <c r="D608" i="66" s="1"/>
  <c r="D609" i="66" s="1"/>
  <c r="D610" i="66" s="1"/>
  <c r="D611" i="66" s="1"/>
  <c r="D612" i="66" s="1"/>
  <c r="D613" i="66" s="1"/>
  <c r="D614" i="66" s="1"/>
  <c r="D615" i="66" s="1"/>
  <c r="D616" i="66" s="1"/>
  <c r="D617" i="66" s="1"/>
  <c r="D618" i="66" s="1"/>
  <c r="D619" i="66" s="1"/>
  <c r="D620" i="66" s="1"/>
  <c r="D621" i="66" s="1"/>
  <c r="D622" i="66" s="1"/>
  <c r="D623" i="66" s="1"/>
  <c r="D624" i="66" s="1"/>
  <c r="D625" i="66" s="1"/>
  <c r="D626" i="66" s="1"/>
  <c r="D627" i="66" s="1"/>
  <c r="D628" i="66" s="1"/>
  <c r="D629" i="66" s="1"/>
  <c r="D630" i="66" s="1"/>
  <c r="D631" i="66" s="1"/>
  <c r="D632" i="66" s="1"/>
  <c r="D633" i="66" s="1"/>
  <c r="D634" i="66" s="1"/>
  <c r="D635" i="66" s="1"/>
  <c r="D636" i="66" s="1"/>
  <c r="D637" i="66" s="1"/>
  <c r="D638" i="66" s="1"/>
  <c r="D639" i="66" s="1"/>
  <c r="D640" i="66" s="1"/>
  <c r="D641" i="66" s="1"/>
  <c r="D642" i="66" s="1"/>
  <c r="D643" i="66" s="1"/>
  <c r="D644" i="66" s="1"/>
  <c r="D645" i="66" s="1"/>
  <c r="D646" i="66" s="1"/>
  <c r="D647" i="66" s="1"/>
  <c r="D648" i="66" s="1"/>
  <c r="D649" i="66" s="1"/>
  <c r="D650" i="66" s="1"/>
  <c r="D651" i="66" s="1"/>
  <c r="D652" i="66" s="1"/>
  <c r="D653" i="66" s="1"/>
  <c r="D654" i="66" s="1"/>
  <c r="D655" i="66" s="1"/>
  <c r="D656" i="66" s="1"/>
  <c r="D657" i="66" s="1"/>
  <c r="D658" i="66" s="1"/>
  <c r="D659" i="66" s="1"/>
  <c r="D660" i="66" s="1"/>
  <c r="D661" i="66" s="1"/>
  <c r="D662" i="66" s="1"/>
  <c r="D663" i="66" s="1"/>
  <c r="D664" i="66" s="1"/>
  <c r="D665" i="66" s="1"/>
  <c r="D666" i="66" s="1"/>
  <c r="D667" i="66" s="1"/>
  <c r="D668" i="66" s="1"/>
  <c r="D669" i="66" s="1"/>
  <c r="D670" i="66" s="1"/>
  <c r="D671" i="66" s="1"/>
  <c r="D672" i="66" s="1"/>
  <c r="D673" i="66" s="1"/>
  <c r="D674" i="66" s="1"/>
  <c r="D675" i="66" s="1"/>
  <c r="D676" i="66" s="1"/>
  <c r="D677" i="66" s="1"/>
  <c r="D678" i="66" s="1"/>
  <c r="D679" i="66" s="1"/>
  <c r="D680" i="66" s="1"/>
  <c r="D681" i="66" s="1"/>
  <c r="D682" i="66" s="1"/>
  <c r="D683" i="66" s="1"/>
  <c r="D684" i="66" s="1"/>
  <c r="D685" i="66" s="1"/>
  <c r="D686" i="66" s="1"/>
  <c r="D687" i="66" s="1"/>
  <c r="D688" i="66" s="1"/>
  <c r="D689" i="66" s="1"/>
  <c r="D690" i="66" s="1"/>
  <c r="D691" i="66" s="1"/>
  <c r="D692" i="66" s="1"/>
  <c r="D693" i="66" s="1"/>
  <c r="D694" i="66" s="1"/>
  <c r="D695" i="66" s="1"/>
  <c r="D696" i="66" s="1"/>
  <c r="D697" i="66" s="1"/>
  <c r="D698" i="66" s="1"/>
  <c r="D699" i="66" s="1"/>
  <c r="D700" i="66" s="1"/>
  <c r="D701" i="66" s="1"/>
  <c r="D702" i="66" s="1"/>
  <c r="D703" i="66" s="1"/>
  <c r="D704" i="66" s="1"/>
  <c r="D705" i="66" s="1"/>
  <c r="D706" i="66" s="1"/>
  <c r="D707" i="66" s="1"/>
  <c r="D708" i="66" s="1"/>
  <c r="D709" i="66" s="1"/>
  <c r="D710" i="66" s="1"/>
  <c r="D711" i="66" s="1"/>
  <c r="D712" i="66" s="1"/>
  <c r="D713" i="66" s="1"/>
  <c r="D714" i="66" s="1"/>
  <c r="D715" i="66" s="1"/>
  <c r="D716" i="66" s="1"/>
  <c r="D717" i="66" s="1"/>
  <c r="D718" i="66" s="1"/>
  <c r="D719" i="66" s="1"/>
  <c r="D720" i="66" s="1"/>
  <c r="D721" i="66" s="1"/>
  <c r="D722" i="66" s="1"/>
  <c r="D723" i="66" s="1"/>
  <c r="D724" i="66" s="1"/>
  <c r="D725" i="66" s="1"/>
  <c r="D726" i="66" s="1"/>
  <c r="D727" i="66" s="1"/>
  <c r="D728" i="66" s="1"/>
  <c r="D729" i="66" s="1"/>
  <c r="D730" i="66" s="1"/>
  <c r="D731" i="66" s="1"/>
  <c r="D732" i="66" s="1"/>
  <c r="D733" i="66" s="1"/>
  <c r="D734" i="66" s="1"/>
  <c r="D735" i="66" s="1"/>
  <c r="D736" i="66" s="1"/>
  <c r="D737" i="66" s="1"/>
  <c r="D738" i="66" s="1"/>
  <c r="D739" i="66" s="1"/>
  <c r="D740" i="66" s="1"/>
  <c r="D741" i="66" s="1"/>
  <c r="D742" i="66" s="1"/>
  <c r="D743" i="66" s="1"/>
  <c r="D744" i="66" s="1"/>
  <c r="D745" i="66" s="1"/>
  <c r="D746" i="66" s="1"/>
  <c r="D747" i="66" s="1"/>
  <c r="D748" i="66" s="1"/>
  <c r="D749" i="66" s="1"/>
  <c r="D750" i="66" s="1"/>
  <c r="D751" i="66" s="1"/>
  <c r="D752" i="66" s="1"/>
  <c r="D753" i="66" s="1"/>
  <c r="D754" i="66" s="1"/>
  <c r="D755" i="66" s="1"/>
  <c r="D756" i="66" s="1"/>
  <c r="D757" i="66" s="1"/>
  <c r="D758" i="66" s="1"/>
  <c r="D759" i="66" s="1"/>
  <c r="D760" i="66" s="1"/>
  <c r="D761" i="66" s="1"/>
  <c r="D762" i="66" s="1"/>
  <c r="D763" i="66" s="1"/>
  <c r="D764" i="66" s="1"/>
  <c r="D765" i="66" s="1"/>
  <c r="D766" i="66" s="1"/>
  <c r="D767" i="66" s="1"/>
  <c r="D768" i="66" s="1"/>
  <c r="D769" i="66" s="1"/>
  <c r="D770" i="66" s="1"/>
  <c r="D771" i="66" s="1"/>
  <c r="D772" i="66" s="1"/>
  <c r="D773" i="66" s="1"/>
  <c r="D774" i="66" s="1"/>
  <c r="D775" i="66" s="1"/>
  <c r="D776" i="66" s="1"/>
  <c r="D777" i="66" s="1"/>
  <c r="D778" i="66" s="1"/>
  <c r="D779" i="66" s="1"/>
  <c r="D780" i="66" s="1"/>
  <c r="D781" i="66" s="1"/>
  <c r="D782" i="66" s="1"/>
  <c r="D783" i="66" s="1"/>
  <c r="D784" i="66" s="1"/>
  <c r="D785" i="66" s="1"/>
  <c r="D786" i="66" s="1"/>
  <c r="D787" i="66" s="1"/>
  <c r="D788" i="66" s="1"/>
  <c r="D789" i="66" s="1"/>
  <c r="D790" i="66" s="1"/>
  <c r="D791" i="66" s="1"/>
  <c r="D792" i="66" s="1"/>
  <c r="D793" i="66" s="1"/>
  <c r="D794" i="66" s="1"/>
  <c r="D795" i="66" s="1"/>
  <c r="D796" i="66" s="1"/>
  <c r="D797" i="66" s="1"/>
  <c r="D798" i="66" s="1"/>
  <c r="D799" i="66" s="1"/>
  <c r="D800" i="66" s="1"/>
  <c r="D801" i="66" s="1"/>
  <c r="D802" i="66" s="1"/>
  <c r="D803" i="66" s="1"/>
  <c r="D804" i="66" s="1"/>
  <c r="D805" i="66" s="1"/>
  <c r="D806" i="66" s="1"/>
  <c r="D807" i="66" s="1"/>
  <c r="D808" i="66" s="1"/>
  <c r="D809" i="66" s="1"/>
  <c r="D810" i="66" s="1"/>
  <c r="D811" i="66" s="1"/>
  <c r="D812" i="66" s="1"/>
  <c r="D813" i="66" s="1"/>
  <c r="D814" i="66" s="1"/>
  <c r="D815" i="66" s="1"/>
  <c r="D816" i="66" s="1"/>
  <c r="D817" i="66" s="1"/>
  <c r="D818" i="66" s="1"/>
  <c r="D819" i="66" s="1"/>
  <c r="D820" i="66" s="1"/>
  <c r="D821" i="66" s="1"/>
  <c r="D822" i="66" s="1"/>
  <c r="D823" i="66" s="1"/>
  <c r="D824" i="66" s="1"/>
  <c r="D825" i="66" s="1"/>
  <c r="D826" i="66" s="1"/>
  <c r="D827" i="66" s="1"/>
  <c r="D828" i="66" s="1"/>
  <c r="D829" i="66" s="1"/>
  <c r="D830" i="66" s="1"/>
  <c r="D831" i="66" s="1"/>
  <c r="D832" i="66" s="1"/>
  <c r="D833" i="66" s="1"/>
  <c r="D834" i="66" s="1"/>
  <c r="D835" i="66" s="1"/>
  <c r="D836" i="66" s="1"/>
  <c r="D837" i="66" s="1"/>
  <c r="D838" i="66" s="1"/>
  <c r="D839" i="66" s="1"/>
  <c r="D840" i="66" s="1"/>
  <c r="D841" i="66" s="1"/>
  <c r="D842" i="66" s="1"/>
  <c r="D843" i="66" s="1"/>
  <c r="D844" i="66" s="1"/>
  <c r="D845" i="66" s="1"/>
  <c r="D846" i="66" s="1"/>
  <c r="D847" i="66" s="1"/>
  <c r="D848" i="66" s="1"/>
  <c r="D849" i="66" s="1"/>
  <c r="D850" i="66" s="1"/>
  <c r="D851" i="66" s="1"/>
  <c r="D852" i="66" s="1"/>
  <c r="D853" i="66" s="1"/>
  <c r="D854" i="66" s="1"/>
  <c r="D855" i="66" s="1"/>
  <c r="D856" i="66" s="1"/>
  <c r="D857" i="66" s="1"/>
  <c r="D858" i="66" s="1"/>
  <c r="D859" i="66" s="1"/>
  <c r="D860" i="66" s="1"/>
  <c r="D861" i="66" s="1"/>
  <c r="D862" i="66" s="1"/>
  <c r="D863" i="66" s="1"/>
  <c r="D864" i="66" s="1"/>
  <c r="D865" i="66" s="1"/>
  <c r="D866" i="66" s="1"/>
  <c r="D867" i="66" s="1"/>
  <c r="D868" i="66" s="1"/>
  <c r="D869" i="66" s="1"/>
  <c r="D870" i="66" s="1"/>
  <c r="D871" i="66" s="1"/>
  <c r="D872" i="66" s="1"/>
  <c r="D873" i="66" s="1"/>
  <c r="D874" i="66" s="1"/>
  <c r="D875" i="66" s="1"/>
  <c r="D876" i="66" s="1"/>
  <c r="D877" i="66" s="1"/>
  <c r="D878" i="66" s="1"/>
  <c r="D879" i="66" s="1"/>
  <c r="D880" i="66" s="1"/>
  <c r="D881" i="66" s="1"/>
  <c r="D882" i="66" s="1"/>
  <c r="D883" i="66" s="1"/>
  <c r="D884" i="66" s="1"/>
  <c r="D885" i="66" s="1"/>
  <c r="D886" i="66" s="1"/>
  <c r="D887" i="66" s="1"/>
  <c r="D888" i="66" s="1"/>
  <c r="D889" i="66" s="1"/>
  <c r="D890" i="66" s="1"/>
  <c r="D891" i="66" s="1"/>
  <c r="D892" i="66" s="1"/>
  <c r="D893" i="66" s="1"/>
  <c r="D894" i="66" s="1"/>
  <c r="D895" i="66" s="1"/>
  <c r="D896" i="66" s="1"/>
  <c r="D897" i="66" s="1"/>
  <c r="D898" i="66" s="1"/>
  <c r="D899" i="66" s="1"/>
  <c r="D900" i="66" s="1"/>
  <c r="D901" i="66" s="1"/>
  <c r="D902" i="66" s="1"/>
  <c r="D903" i="66" s="1"/>
  <c r="D904" i="66" s="1"/>
  <c r="D905" i="66" s="1"/>
  <c r="D906" i="66" s="1"/>
  <c r="D907" i="66" s="1"/>
  <c r="D908" i="66" s="1"/>
  <c r="D909" i="66" s="1"/>
  <c r="D910" i="66" s="1"/>
  <c r="D911" i="66" s="1"/>
  <c r="D912" i="66" s="1"/>
  <c r="D913" i="66" s="1"/>
  <c r="D914" i="66" s="1"/>
  <c r="D915" i="66" s="1"/>
  <c r="D916" i="66" s="1"/>
  <c r="D917" i="66" s="1"/>
  <c r="D918" i="66" s="1"/>
  <c r="D919" i="66" s="1"/>
  <c r="D920" i="66" s="1"/>
  <c r="D921" i="66" s="1"/>
  <c r="D922" i="66" s="1"/>
  <c r="D923" i="66" s="1"/>
  <c r="D924" i="66" s="1"/>
  <c r="D925" i="66" s="1"/>
  <c r="D926" i="66" s="1"/>
  <c r="D927" i="66" s="1"/>
  <c r="D928" i="66" s="1"/>
  <c r="D929" i="66" s="1"/>
  <c r="D930" i="66" s="1"/>
  <c r="D931" i="66" s="1"/>
  <c r="D932" i="66" s="1"/>
  <c r="D933" i="66" s="1"/>
  <c r="D934" i="66" s="1"/>
  <c r="D935" i="66" s="1"/>
  <c r="D936" i="66" s="1"/>
  <c r="D937" i="66" s="1"/>
  <c r="D938" i="66" s="1"/>
  <c r="D939" i="66" s="1"/>
  <c r="D940" i="66" s="1"/>
  <c r="D941" i="66" s="1"/>
  <c r="D942" i="66" s="1"/>
  <c r="D943" i="66" s="1"/>
  <c r="D944" i="66" s="1"/>
  <c r="D945" i="66" s="1"/>
  <c r="D946" i="66" s="1"/>
  <c r="D947" i="66" s="1"/>
  <c r="D948" i="66" s="1"/>
  <c r="D949" i="66" s="1"/>
  <c r="D950" i="66" s="1"/>
  <c r="D951" i="66" s="1"/>
  <c r="D952" i="66" s="1"/>
  <c r="D953" i="66" s="1"/>
  <c r="D954" i="66" s="1"/>
  <c r="D955" i="66" s="1"/>
  <c r="D956" i="66" s="1"/>
  <c r="D957" i="66" s="1"/>
  <c r="D958" i="66" s="1"/>
  <c r="D959" i="66" s="1"/>
  <c r="D960" i="66" s="1"/>
  <c r="D961" i="66" s="1"/>
  <c r="D962" i="66" s="1"/>
  <c r="D963" i="66" s="1"/>
  <c r="D964" i="66" s="1"/>
  <c r="D965" i="66" s="1"/>
  <c r="D966" i="66" s="1"/>
  <c r="D967" i="66" s="1"/>
  <c r="D968" i="66" s="1"/>
  <c r="D969" i="66" s="1"/>
  <c r="D970" i="66" s="1"/>
  <c r="D971" i="66" s="1"/>
  <c r="D972" i="66" s="1"/>
  <c r="D973" i="66" s="1"/>
  <c r="D974" i="66" s="1"/>
  <c r="D975" i="66" s="1"/>
  <c r="D976" i="66" s="1"/>
  <c r="D977" i="66" s="1"/>
  <c r="D978" i="66" s="1"/>
  <c r="D979" i="66" s="1"/>
  <c r="D980" i="66" s="1"/>
  <c r="D981" i="66" s="1"/>
  <c r="D982" i="66" s="1"/>
  <c r="D983" i="66" s="1"/>
  <c r="D984" i="66" s="1"/>
  <c r="D985" i="66" s="1"/>
  <c r="D986" i="66" s="1"/>
  <c r="D987" i="66" s="1"/>
  <c r="D988" i="66" s="1"/>
  <c r="D989" i="66" s="1"/>
  <c r="D990" i="66" s="1"/>
  <c r="D991" i="66" s="1"/>
  <c r="D992" i="66" s="1"/>
  <c r="D993" i="66" s="1"/>
  <c r="D994" i="66" s="1"/>
  <c r="D995" i="66" s="1"/>
  <c r="D996" i="66" s="1"/>
  <c r="D997" i="66" s="1"/>
  <c r="D998" i="66" s="1"/>
  <c r="D999" i="66" s="1"/>
  <c r="D1000" i="66" s="1"/>
  <c r="D1001" i="66" s="1"/>
  <c r="D1002" i="66" s="1"/>
  <c r="D1003" i="66" s="1"/>
  <c r="D1004" i="66" s="1"/>
  <c r="D1005" i="66" s="1"/>
  <c r="D1006" i="66" s="1"/>
  <c r="D1007" i="66" s="1"/>
  <c r="D1008" i="66" s="1"/>
  <c r="D1009" i="66" s="1"/>
  <c r="D1010" i="66" s="1"/>
  <c r="D1011" i="66" s="1"/>
  <c r="D1012" i="66" s="1"/>
  <c r="D1013" i="66" s="1"/>
  <c r="D1014" i="66" s="1"/>
  <c r="D1015" i="66" s="1"/>
  <c r="D1016" i="66" s="1"/>
  <c r="D1017" i="66" s="1"/>
  <c r="D1018" i="66" s="1"/>
  <c r="D1019" i="66" s="1"/>
  <c r="D1020" i="66" s="1"/>
  <c r="D1021" i="66" s="1"/>
  <c r="D1022" i="66" s="1"/>
  <c r="D1023" i="66" s="1"/>
  <c r="D1024" i="66" s="1"/>
  <c r="D1025" i="66" s="1"/>
  <c r="D1026" i="66" s="1"/>
  <c r="D1027" i="66" s="1"/>
  <c r="D1028" i="66" s="1"/>
  <c r="D1029" i="66" s="1"/>
  <c r="D1030" i="66" s="1"/>
  <c r="D1031" i="66" s="1"/>
  <c r="D1032" i="66" s="1"/>
  <c r="D1033" i="66" s="1"/>
  <c r="D1034" i="66" s="1"/>
  <c r="D1035" i="66" s="1"/>
  <c r="D1036" i="66" s="1"/>
  <c r="D1037" i="66" s="1"/>
  <c r="D1038" i="66" s="1"/>
  <c r="D1039" i="66" s="1"/>
  <c r="D1040" i="66" s="1"/>
  <c r="D1041" i="66" s="1"/>
  <c r="D1042" i="66" s="1"/>
  <c r="D1043" i="66" s="1"/>
  <c r="D1044" i="66" s="1"/>
  <c r="D1045" i="66" s="1"/>
  <c r="D1046" i="66" s="1"/>
  <c r="D1047" i="66" s="1"/>
  <c r="D1048" i="66" s="1"/>
  <c r="D1049" i="66" s="1"/>
  <c r="D1050" i="66" s="1"/>
  <c r="D1051" i="66" s="1"/>
  <c r="D1052" i="66" s="1"/>
  <c r="D1053" i="66" s="1"/>
  <c r="D1054" i="66" s="1"/>
  <c r="D1055" i="66" s="1"/>
  <c r="D1056" i="66" s="1"/>
  <c r="D1057" i="66" s="1"/>
  <c r="D1058" i="66" s="1"/>
  <c r="D1059" i="66" s="1"/>
  <c r="D1060" i="66" s="1"/>
  <c r="D1061" i="66" s="1"/>
  <c r="D1062" i="66" s="1"/>
  <c r="D1063" i="66" s="1"/>
  <c r="D1064" i="66" s="1"/>
  <c r="D1065" i="66" s="1"/>
  <c r="D1066" i="66" s="1"/>
  <c r="D1067" i="66" s="1"/>
  <c r="D1068" i="66" s="1"/>
  <c r="D1069" i="66" s="1"/>
  <c r="D1070" i="66" s="1"/>
  <c r="D1071" i="66" s="1"/>
  <c r="D1072" i="66" s="1"/>
  <c r="D1073" i="66" s="1"/>
  <c r="D1074" i="66" s="1"/>
  <c r="D1075" i="66" s="1"/>
  <c r="D1076" i="66" s="1"/>
  <c r="D1077" i="66" s="1"/>
  <c r="D1078" i="66" s="1"/>
  <c r="D1079" i="66" s="1"/>
  <c r="D1080" i="66" s="1"/>
  <c r="D1081" i="66" s="1"/>
  <c r="D1082" i="66" s="1"/>
  <c r="D1083" i="66" s="1"/>
  <c r="D1084" i="66" s="1"/>
  <c r="D1085" i="66" s="1"/>
  <c r="D1086" i="66" s="1"/>
  <c r="D1087" i="66" s="1"/>
  <c r="D1088" i="66" s="1"/>
  <c r="D1089" i="66" s="1"/>
  <c r="D1090" i="66" s="1"/>
  <c r="D1091" i="66" s="1"/>
  <c r="D1092" i="66" s="1"/>
  <c r="D1093" i="66" s="1"/>
  <c r="D1094" i="66" s="1"/>
  <c r="D1095" i="66" s="1"/>
  <c r="D1096" i="66" s="1"/>
  <c r="D1097" i="66" s="1"/>
  <c r="D1098" i="66" s="1"/>
  <c r="D1099" i="66" s="1"/>
  <c r="D1100" i="66" s="1"/>
  <c r="D1101" i="66" s="1"/>
  <c r="D1102" i="66" s="1"/>
  <c r="D1103" i="66" s="1"/>
  <c r="D1104" i="66" s="1"/>
  <c r="D1105" i="66" s="1"/>
  <c r="D1106" i="66" s="1"/>
  <c r="D1107" i="66" s="1"/>
  <c r="D1108" i="66" s="1"/>
  <c r="D1109" i="66" s="1"/>
  <c r="D1110" i="66" s="1"/>
  <c r="D1111" i="66" s="1"/>
  <c r="D1112" i="66" s="1"/>
  <c r="D1113" i="66" s="1"/>
  <c r="D1114" i="66" s="1"/>
  <c r="D1115" i="66" s="1"/>
  <c r="D1116" i="66" s="1"/>
  <c r="D1117" i="66" s="1"/>
  <c r="D1118" i="66" s="1"/>
  <c r="D1119" i="66" s="1"/>
  <c r="D1120" i="66" s="1"/>
  <c r="D1121" i="66" s="1"/>
  <c r="D1122" i="66" s="1"/>
  <c r="D1123" i="66" s="1"/>
  <c r="D1124" i="66" s="1"/>
  <c r="D1125" i="66" s="1"/>
  <c r="D1126" i="66" s="1"/>
  <c r="D1127" i="66" s="1"/>
  <c r="D1128" i="66" s="1"/>
  <c r="D1129" i="66" s="1"/>
  <c r="D1130" i="66" s="1"/>
  <c r="D1131" i="66" s="1"/>
  <c r="D1132" i="66" s="1"/>
  <c r="D1133" i="66" s="1"/>
  <c r="D1134" i="66" s="1"/>
  <c r="D1135" i="66" s="1"/>
  <c r="D1136" i="66" s="1"/>
  <c r="D1137" i="66" s="1"/>
  <c r="D1138" i="66" s="1"/>
  <c r="D1139" i="66" s="1"/>
  <c r="D1140" i="66" s="1"/>
  <c r="D1141" i="66" s="1"/>
  <c r="D1142" i="66" s="1"/>
  <c r="D1143" i="66" s="1"/>
  <c r="D1144" i="66" s="1"/>
  <c r="D1145" i="66" s="1"/>
  <c r="D1146" i="66" s="1"/>
  <c r="D1147" i="66" s="1"/>
  <c r="D1148" i="66" s="1"/>
  <c r="D1149" i="66" s="1"/>
  <c r="D1150" i="66" s="1"/>
  <c r="D1151" i="66" s="1"/>
  <c r="D1152" i="66" s="1"/>
  <c r="D1153" i="66" s="1"/>
  <c r="D1154" i="66" s="1"/>
  <c r="D1155" i="66" s="1"/>
  <c r="D1156" i="66" s="1"/>
  <c r="D1157" i="66" s="1"/>
  <c r="D1158" i="66" s="1"/>
  <c r="D1159" i="66" s="1"/>
  <c r="D1160" i="66" s="1"/>
  <c r="D1161" i="66" s="1"/>
  <c r="D1162" i="66" s="1"/>
  <c r="D1163" i="66" s="1"/>
  <c r="D1164" i="66" s="1"/>
  <c r="D1165" i="66" s="1"/>
  <c r="D1166" i="66" s="1"/>
  <c r="D1167" i="66" s="1"/>
  <c r="D1168" i="66" s="1"/>
  <c r="D1169" i="66" s="1"/>
  <c r="D1170" i="66" s="1"/>
  <c r="D1171" i="66" s="1"/>
  <c r="D1172" i="66" s="1"/>
  <c r="D1173" i="66" s="1"/>
  <c r="D1174" i="66" s="1"/>
  <c r="D1175" i="66" s="1"/>
  <c r="D1176" i="66" s="1"/>
  <c r="D1177" i="66" s="1"/>
  <c r="D1178" i="66" s="1"/>
  <c r="D1179" i="66" s="1"/>
  <c r="D1180" i="66" s="1"/>
  <c r="D1181" i="66" s="1"/>
  <c r="D1182" i="66" s="1"/>
  <c r="D1183" i="66" s="1"/>
  <c r="D1184" i="66" s="1"/>
  <c r="D1185" i="66" s="1"/>
  <c r="D1186" i="66" s="1"/>
  <c r="D1187" i="66" s="1"/>
  <c r="D1188" i="66" s="1"/>
  <c r="D1189" i="66" s="1"/>
  <c r="D1190" i="66" s="1"/>
  <c r="D1191" i="66" s="1"/>
  <c r="D1192" i="66" s="1"/>
  <c r="D1193" i="66" s="1"/>
  <c r="D1194" i="66" s="1"/>
  <c r="D1195" i="66" s="1"/>
  <c r="D1196" i="66" s="1"/>
  <c r="D1197" i="66" s="1"/>
  <c r="D1198" i="66" s="1"/>
  <c r="D1199" i="66" s="1"/>
  <c r="D1200" i="66" s="1"/>
  <c r="D1201" i="66" s="1"/>
  <c r="D1202" i="66" s="1"/>
  <c r="D1203" i="66" s="1"/>
  <c r="D1204" i="66" s="1"/>
  <c r="D1205" i="66" s="1"/>
  <c r="D1206" i="66" s="1"/>
  <c r="D1207" i="66" s="1"/>
  <c r="D1208" i="66" s="1"/>
  <c r="D1209" i="66" s="1"/>
  <c r="D1210" i="66" s="1"/>
  <c r="D1211" i="66" s="1"/>
  <c r="D1212" i="66" s="1"/>
  <c r="D1213" i="66" s="1"/>
  <c r="D1214" i="66" s="1"/>
  <c r="D1215" i="66" s="1"/>
  <c r="D1216" i="66" s="1"/>
  <c r="D1217" i="66" s="1"/>
  <c r="D1218" i="66" s="1"/>
  <c r="D1219" i="66" s="1"/>
  <c r="D1220" i="66" s="1"/>
  <c r="D1221" i="66" s="1"/>
  <c r="D1222" i="66" s="1"/>
  <c r="D1223" i="66" s="1"/>
  <c r="D1224" i="66" s="1"/>
  <c r="D1225" i="66" s="1"/>
  <c r="D1226" i="66" s="1"/>
  <c r="D1227" i="66" s="1"/>
  <c r="D1228" i="66" s="1"/>
  <c r="D1229" i="66" s="1"/>
  <c r="D1230" i="66" s="1"/>
  <c r="D1231" i="66" s="1"/>
  <c r="D1232" i="66" s="1"/>
  <c r="D1233" i="66" s="1"/>
  <c r="D1234" i="66" s="1"/>
  <c r="D1235" i="66" s="1"/>
  <c r="D1236" i="66" s="1"/>
  <c r="D1237" i="66" s="1"/>
  <c r="D1238" i="66" s="1"/>
  <c r="D1239" i="66" s="1"/>
  <c r="D1240" i="66" s="1"/>
  <c r="D1241" i="66" s="1"/>
  <c r="D1242" i="66" s="1"/>
  <c r="D1243" i="66" s="1"/>
  <c r="D1244" i="66" s="1"/>
  <c r="D1245" i="66" s="1"/>
  <c r="D1246" i="66" s="1"/>
  <c r="D1247" i="66" s="1"/>
  <c r="D1248" i="66" s="1"/>
  <c r="D1249" i="66" s="1"/>
  <c r="D1250" i="66" s="1"/>
  <c r="D1251" i="66" s="1"/>
  <c r="D1252" i="66" s="1"/>
  <c r="D1253" i="66" s="1"/>
  <c r="D1254" i="66" s="1"/>
  <c r="D1255" i="66" s="1"/>
  <c r="D1256" i="66" s="1"/>
  <c r="D1257" i="66" s="1"/>
  <c r="D1258" i="66" s="1"/>
  <c r="D1259" i="66" s="1"/>
  <c r="D1260" i="66" s="1"/>
  <c r="D1261" i="66" s="1"/>
  <c r="D1262" i="66" s="1"/>
  <c r="D1263" i="66" s="1"/>
  <c r="D1264" i="66" s="1"/>
  <c r="D1265" i="66" s="1"/>
  <c r="D1266" i="66" s="1"/>
  <c r="D1267" i="66" s="1"/>
  <c r="D1268" i="66" s="1"/>
  <c r="D1269" i="66" s="1"/>
  <c r="D1270" i="66" s="1"/>
  <c r="D1271" i="66" s="1"/>
  <c r="D1272" i="66" s="1"/>
  <c r="D1273" i="66" s="1"/>
  <c r="D1274" i="66" s="1"/>
  <c r="D1275" i="66" s="1"/>
  <c r="D1276" i="66" s="1"/>
  <c r="D1277" i="66" s="1"/>
  <c r="D1278" i="66" s="1"/>
  <c r="D1279" i="66" s="1"/>
  <c r="D1280" i="66" s="1"/>
  <c r="D1281" i="66" s="1"/>
  <c r="D1282" i="66" s="1"/>
  <c r="D1283" i="66" s="1"/>
  <c r="D1284" i="66" s="1"/>
  <c r="D1285" i="66" s="1"/>
  <c r="D1286" i="66" s="1"/>
  <c r="D1287" i="66" s="1"/>
  <c r="D1288" i="66" s="1"/>
  <c r="D1289" i="66" s="1"/>
  <c r="D1290" i="66" s="1"/>
  <c r="D1291" i="66" s="1"/>
  <c r="D1292" i="66" s="1"/>
  <c r="D1293" i="66" s="1"/>
  <c r="D1294" i="66" s="1"/>
  <c r="D1295" i="66" s="1"/>
  <c r="D1296" i="66" s="1"/>
  <c r="D1297" i="66" s="1"/>
  <c r="D1298" i="66" s="1"/>
  <c r="D1299" i="66" s="1"/>
  <c r="D1300" i="66" s="1"/>
  <c r="D1301" i="66" s="1"/>
  <c r="D1302" i="66" s="1"/>
  <c r="D1303" i="66" s="1"/>
  <c r="D1304" i="66" s="1"/>
  <c r="D1305" i="66" s="1"/>
  <c r="D1306" i="66" s="1"/>
  <c r="D1307" i="66" s="1"/>
  <c r="D1308" i="66" s="1"/>
  <c r="D1309" i="66" s="1"/>
  <c r="D1310" i="66" s="1"/>
  <c r="D1311" i="66" s="1"/>
  <c r="D1312" i="66" s="1"/>
  <c r="D1313" i="66" s="1"/>
  <c r="D1314" i="66" s="1"/>
  <c r="D1315" i="66" s="1"/>
  <c r="D1316" i="66" s="1"/>
  <c r="D1317" i="66" s="1"/>
  <c r="D1318" i="66" s="1"/>
  <c r="D1319" i="66" s="1"/>
  <c r="D1320" i="66" s="1"/>
  <c r="D1321" i="66" s="1"/>
  <c r="D1322" i="66" s="1"/>
  <c r="D1323" i="66" s="1"/>
  <c r="D1324" i="66" s="1"/>
  <c r="D1325" i="66" s="1"/>
  <c r="D1326" i="66" s="1"/>
  <c r="D1327" i="66" s="1"/>
  <c r="D1328" i="66" s="1"/>
  <c r="D1329" i="66" s="1"/>
  <c r="D1330" i="66" s="1"/>
  <c r="D1331" i="66" s="1"/>
  <c r="D1332" i="66" s="1"/>
  <c r="D1333" i="66" s="1"/>
  <c r="D1334" i="66" s="1"/>
  <c r="D1335" i="66" s="1"/>
  <c r="D1336" i="66" s="1"/>
  <c r="D1337" i="66" s="1"/>
  <c r="D1338" i="66" s="1"/>
  <c r="D1339" i="66" s="1"/>
  <c r="D1340" i="66" s="1"/>
  <c r="D1341" i="66" s="1"/>
  <c r="D1342" i="66" s="1"/>
  <c r="D1343" i="66" s="1"/>
  <c r="D1344" i="66" s="1"/>
  <c r="D1345" i="66" s="1"/>
  <c r="D1346" i="66" s="1"/>
  <c r="D1347" i="66" s="1"/>
  <c r="D1348" i="66" s="1"/>
  <c r="D1349" i="66" s="1"/>
  <c r="D1350" i="66" s="1"/>
  <c r="D1351" i="66" s="1"/>
  <c r="D1352" i="66" s="1"/>
  <c r="D1353" i="66" s="1"/>
  <c r="D1354" i="66" s="1"/>
  <c r="D1355" i="66" s="1"/>
  <c r="D1356" i="66" s="1"/>
  <c r="D1357" i="66" s="1"/>
  <c r="D1358" i="66" s="1"/>
  <c r="D1359" i="66" s="1"/>
  <c r="D1360" i="66" s="1"/>
  <c r="D1361" i="66" s="1"/>
  <c r="D1362" i="66" s="1"/>
  <c r="D1363" i="66" s="1"/>
  <c r="D1364" i="66" s="1"/>
  <c r="D1365" i="66" s="1"/>
  <c r="D1366" i="66" s="1"/>
  <c r="D1367" i="66" s="1"/>
  <c r="D1368" i="66" s="1"/>
  <c r="D1369" i="66" s="1"/>
  <c r="D1370" i="66" s="1"/>
  <c r="D1371" i="66" s="1"/>
  <c r="D1372" i="66" s="1"/>
  <c r="D1373" i="66" s="1"/>
  <c r="D1374" i="66" s="1"/>
  <c r="D1375" i="66" s="1"/>
  <c r="D1376" i="66" s="1"/>
  <c r="D1377" i="66" s="1"/>
  <c r="D1378" i="66" s="1"/>
  <c r="D1379" i="66" s="1"/>
  <c r="D1380" i="66" s="1"/>
  <c r="D1381" i="66" s="1"/>
  <c r="D1382" i="66" s="1"/>
  <c r="D1383" i="66" s="1"/>
  <c r="D1384" i="66" s="1"/>
  <c r="D1385" i="66" s="1"/>
  <c r="D1386" i="66" s="1"/>
  <c r="D1387" i="66" s="1"/>
  <c r="D1388" i="66" s="1"/>
  <c r="D1389" i="66" s="1"/>
  <c r="D1390" i="66" s="1"/>
  <c r="D1391" i="66" s="1"/>
  <c r="D1392" i="66" s="1"/>
  <c r="D1393" i="66" s="1"/>
  <c r="D1394" i="66" s="1"/>
  <c r="D1395" i="66" s="1"/>
  <c r="D1396" i="66" s="1"/>
  <c r="D1397" i="66" s="1"/>
  <c r="D1398" i="66" s="1"/>
  <c r="D1399" i="66" s="1"/>
  <c r="D1400" i="66" s="1"/>
  <c r="D1401" i="66" s="1"/>
  <c r="D1402" i="66" s="1"/>
  <c r="D1403" i="66" s="1"/>
  <c r="D1404" i="66" s="1"/>
  <c r="D1405" i="66" s="1"/>
  <c r="D1406" i="66" s="1"/>
  <c r="D1407" i="66" s="1"/>
  <c r="D1408" i="66" s="1"/>
  <c r="D1409" i="66" s="1"/>
  <c r="D1410" i="66" s="1"/>
  <c r="D1411" i="66" s="1"/>
  <c r="D1412" i="66" s="1"/>
  <c r="D1413" i="66" s="1"/>
  <c r="D1414" i="66" s="1"/>
  <c r="D1415" i="66" s="1"/>
  <c r="D1416" i="66" s="1"/>
  <c r="D1417" i="66" s="1"/>
  <c r="D1418" i="66" s="1"/>
  <c r="D1419" i="66" s="1"/>
  <c r="D1420" i="66" s="1"/>
  <c r="D1421" i="66" s="1"/>
  <c r="D1422" i="66" s="1"/>
  <c r="D1423" i="66" s="1"/>
  <c r="D1424" i="66" s="1"/>
  <c r="D1425" i="66" s="1"/>
  <c r="D1426" i="66" s="1"/>
  <c r="D1427" i="66" s="1"/>
  <c r="D1428" i="66" s="1"/>
  <c r="D1429" i="66" s="1"/>
  <c r="D1430" i="66" s="1"/>
  <c r="D1431" i="66" s="1"/>
  <c r="D1432" i="66" s="1"/>
  <c r="D1433" i="66" s="1"/>
  <c r="D1434" i="66" s="1"/>
  <c r="D1435" i="66" s="1"/>
  <c r="D1436" i="66" s="1"/>
  <c r="D1437" i="66" s="1"/>
  <c r="D1438" i="66" s="1"/>
  <c r="D1439" i="66" s="1"/>
  <c r="D1440" i="66" s="1"/>
  <c r="D1441" i="66" s="1"/>
  <c r="D1442" i="66" s="1"/>
  <c r="D1443" i="66" s="1"/>
  <c r="D1444" i="66" s="1"/>
  <c r="D1445" i="66" s="1"/>
  <c r="D1446" i="66" s="1"/>
  <c r="D1447" i="66" s="1"/>
  <c r="D1448" i="66" s="1"/>
  <c r="D1449" i="66" s="1"/>
  <c r="D1450" i="66" s="1"/>
  <c r="D1451" i="66" s="1"/>
  <c r="D1452" i="66" s="1"/>
  <c r="D1453" i="66" s="1"/>
  <c r="D1454" i="66" s="1"/>
  <c r="D1455" i="66" s="1"/>
  <c r="D1456" i="66" s="1"/>
  <c r="D1457" i="66" s="1"/>
  <c r="D1458" i="66" s="1"/>
  <c r="D1459" i="66" s="1"/>
  <c r="D1460" i="66" s="1"/>
  <c r="D1461" i="66" s="1"/>
  <c r="D1462" i="66" s="1"/>
  <c r="D1463" i="66" s="1"/>
  <c r="D1464" i="66" s="1"/>
  <c r="D1465" i="66" s="1"/>
  <c r="D1466" i="66" s="1"/>
  <c r="D1467" i="66" s="1"/>
  <c r="D1468" i="66" s="1"/>
  <c r="D1469" i="66" s="1"/>
  <c r="D1470" i="66" s="1"/>
  <c r="D1471" i="66" s="1"/>
  <c r="D1472" i="66" s="1"/>
  <c r="D1473" i="66" s="1"/>
  <c r="D1474" i="66" s="1"/>
  <c r="D1475" i="66" s="1"/>
  <c r="D1476" i="66" s="1"/>
  <c r="D1477" i="66" s="1"/>
  <c r="D1478" i="66" s="1"/>
  <c r="D1479" i="66" s="1"/>
  <c r="D1480" i="66" s="1"/>
  <c r="D1481" i="66" s="1"/>
  <c r="D1482" i="66" s="1"/>
  <c r="D1483" i="66" s="1"/>
  <c r="D1484" i="66" s="1"/>
  <c r="D1485" i="66" s="1"/>
  <c r="D1486" i="66" s="1"/>
  <c r="D1487" i="66" s="1"/>
  <c r="D1488" i="66" s="1"/>
  <c r="D1489" i="66" s="1"/>
  <c r="D1490" i="66" s="1"/>
  <c r="D1491" i="66" s="1"/>
  <c r="D1492" i="66" s="1"/>
  <c r="D1493" i="66" s="1"/>
  <c r="D1494" i="66" s="1"/>
  <c r="D1495" i="66" s="1"/>
  <c r="D1496" i="66" s="1"/>
  <c r="D1497" i="66" s="1"/>
  <c r="D1498" i="66" s="1"/>
  <c r="D1499" i="66" s="1"/>
  <c r="D1500" i="66" s="1"/>
  <c r="D1501" i="66" s="1"/>
  <c r="D1502" i="66" s="1"/>
  <c r="D1503" i="66" s="1"/>
  <c r="D1504" i="66" s="1"/>
  <c r="D1505" i="66" s="1"/>
  <c r="D1506" i="66" s="1"/>
  <c r="D1507" i="66" s="1"/>
  <c r="D1508" i="66" s="1"/>
  <c r="D1509" i="66" s="1"/>
  <c r="D1510" i="66" s="1"/>
  <c r="D1511" i="66" s="1"/>
  <c r="D1512" i="66" s="1"/>
  <c r="D1513" i="66" s="1"/>
  <c r="D1514" i="66" s="1"/>
  <c r="D1515" i="66" s="1"/>
  <c r="D1516" i="66" s="1"/>
  <c r="D1517" i="66" s="1"/>
  <c r="D1518" i="66" s="1"/>
  <c r="D1519" i="66" s="1"/>
  <c r="D1520" i="66" s="1"/>
  <c r="D1521" i="66" s="1"/>
  <c r="D1522" i="66" s="1"/>
  <c r="D1523" i="66" s="1"/>
  <c r="D1524" i="66" s="1"/>
  <c r="D1525" i="66" s="1"/>
  <c r="D1526" i="66" s="1"/>
  <c r="D1527" i="66" s="1"/>
  <c r="D1528" i="66" s="1"/>
  <c r="D1529" i="66" s="1"/>
  <c r="D1530" i="66" s="1"/>
  <c r="D1531" i="66" s="1"/>
  <c r="D1532" i="66" s="1"/>
  <c r="D1533" i="66" s="1"/>
  <c r="D1534" i="66" s="1"/>
  <c r="D1535" i="66" s="1"/>
  <c r="D1536" i="66" s="1"/>
  <c r="D1537" i="66" s="1"/>
  <c r="D1538" i="66" s="1"/>
  <c r="D1539" i="66" s="1"/>
  <c r="D1540" i="66" s="1"/>
  <c r="D1541" i="66" s="1"/>
  <c r="D1542" i="66" s="1"/>
  <c r="D1543" i="66" s="1"/>
  <c r="D1544" i="66" s="1"/>
  <c r="D1545" i="66" s="1"/>
  <c r="D1546" i="66" s="1"/>
  <c r="D1547" i="66" s="1"/>
  <c r="D1548" i="66" s="1"/>
  <c r="D1549" i="66" s="1"/>
  <c r="D1550" i="66" s="1"/>
  <c r="D1551" i="66" s="1"/>
  <c r="D1552" i="66" s="1"/>
  <c r="D1553" i="66" s="1"/>
  <c r="D1554" i="66" s="1"/>
  <c r="D1555" i="66" s="1"/>
  <c r="D1556" i="66" s="1"/>
  <c r="D1557" i="66" s="1"/>
  <c r="D1558" i="66" s="1"/>
  <c r="D1559" i="66" s="1"/>
  <c r="D1560" i="66" s="1"/>
  <c r="D1561" i="66" s="1"/>
  <c r="D1562" i="66" s="1"/>
  <c r="D1563" i="66" s="1"/>
  <c r="D1564" i="66" s="1"/>
  <c r="D1565" i="66" s="1"/>
  <c r="D1566" i="66" s="1"/>
  <c r="D1567" i="66" s="1"/>
  <c r="D1568" i="66" s="1"/>
  <c r="D1569" i="66" s="1"/>
  <c r="D1570" i="66" s="1"/>
  <c r="D1571" i="66" s="1"/>
  <c r="D1572" i="66" s="1"/>
  <c r="D1573" i="66" s="1"/>
  <c r="D1574" i="66" s="1"/>
  <c r="D1575" i="66" s="1"/>
  <c r="D1576" i="66" s="1"/>
  <c r="D1577" i="66" s="1"/>
  <c r="D1578" i="66" s="1"/>
  <c r="D1579" i="66" s="1"/>
  <c r="D1580" i="66" s="1"/>
  <c r="D1581" i="66" s="1"/>
  <c r="D1582" i="66" s="1"/>
  <c r="D1583" i="66" s="1"/>
  <c r="D1584" i="66" s="1"/>
  <c r="D1585" i="66" s="1"/>
  <c r="D1586" i="66" s="1"/>
  <c r="D1587" i="66" s="1"/>
  <c r="D1588" i="66" s="1"/>
  <c r="D1589" i="66" s="1"/>
  <c r="D1590" i="66" s="1"/>
  <c r="D1591" i="66" s="1"/>
  <c r="D1592" i="66" s="1"/>
  <c r="D1593" i="66" s="1"/>
  <c r="D1594" i="66" s="1"/>
  <c r="D1595" i="66" s="1"/>
  <c r="D1596" i="66" s="1"/>
  <c r="D1597" i="66" s="1"/>
  <c r="D1598" i="66" s="1"/>
  <c r="D1599" i="66" s="1"/>
  <c r="D1600" i="66" s="1"/>
  <c r="D1601" i="66" s="1"/>
  <c r="D1602" i="66" s="1"/>
  <c r="D1603" i="66" s="1"/>
  <c r="D1604" i="66" s="1"/>
  <c r="D1605" i="66" s="1"/>
  <c r="D1606" i="66" s="1"/>
  <c r="D1607" i="66" s="1"/>
  <c r="D1608" i="66" s="1"/>
  <c r="D1609" i="66" s="1"/>
  <c r="D1610" i="66" s="1"/>
  <c r="D1611" i="66" s="1"/>
  <c r="D1612" i="66" s="1"/>
  <c r="D1613" i="66" s="1"/>
  <c r="D1614" i="66" s="1"/>
  <c r="D1615" i="66" s="1"/>
  <c r="D1616" i="66" s="1"/>
  <c r="D1617" i="66" s="1"/>
  <c r="D1618" i="66" s="1"/>
  <c r="D1619" i="66" s="1"/>
  <c r="D1620" i="66" s="1"/>
  <c r="D1621" i="66" s="1"/>
  <c r="D1622" i="66" s="1"/>
  <c r="D1623" i="66" s="1"/>
  <c r="D1624" i="66" s="1"/>
  <c r="D1625" i="66" s="1"/>
  <c r="D1626" i="66" s="1"/>
  <c r="D1627" i="66" s="1"/>
  <c r="D1628" i="66" s="1"/>
  <c r="D1629" i="66" s="1"/>
  <c r="D1630" i="66" s="1"/>
  <c r="D1631" i="66" s="1"/>
  <c r="D1632" i="66" s="1"/>
  <c r="D1633" i="66" s="1"/>
  <c r="D1634" i="66" s="1"/>
  <c r="D1635" i="66" s="1"/>
  <c r="D1636" i="66" s="1"/>
  <c r="D1637" i="66" s="1"/>
  <c r="D1638" i="66" s="1"/>
  <c r="D1639" i="66" s="1"/>
  <c r="D1640" i="66" s="1"/>
  <c r="D1641" i="66" s="1"/>
  <c r="D1642" i="66" s="1"/>
  <c r="D1643" i="66" s="1"/>
  <c r="D1644" i="66" s="1"/>
  <c r="D1645" i="66" s="1"/>
  <c r="D1646" i="66" s="1"/>
  <c r="D1647" i="66" s="1"/>
  <c r="D1648" i="66" s="1"/>
  <c r="D1649" i="66" s="1"/>
  <c r="D1650" i="66" s="1"/>
  <c r="D1651" i="66" s="1"/>
  <c r="D1652" i="66" s="1"/>
  <c r="D1653" i="66" s="1"/>
  <c r="D1654" i="66" s="1"/>
  <c r="D1655" i="66" s="1"/>
  <c r="D1656" i="66" s="1"/>
  <c r="D1657" i="66" s="1"/>
  <c r="D1658" i="66" s="1"/>
  <c r="D1659" i="66" s="1"/>
  <c r="D1660" i="66" s="1"/>
  <c r="D1661" i="66" s="1"/>
  <c r="D1662" i="66" s="1"/>
  <c r="D1663" i="66" s="1"/>
  <c r="D1664" i="66" s="1"/>
  <c r="D1665" i="66" s="1"/>
  <c r="D1666" i="66" s="1"/>
  <c r="D1667" i="66" s="1"/>
  <c r="D1668" i="66" s="1"/>
  <c r="D1669" i="66" s="1"/>
  <c r="D1670" i="66" s="1"/>
  <c r="D1671" i="66" s="1"/>
  <c r="D1672" i="66" s="1"/>
  <c r="D1673" i="66" s="1"/>
  <c r="D1674" i="66" s="1"/>
  <c r="D1675" i="66" s="1"/>
  <c r="D1676" i="66" s="1"/>
  <c r="D1677" i="66" s="1"/>
  <c r="D1678" i="66" s="1"/>
  <c r="D1679" i="66" s="1"/>
  <c r="D1680" i="66" s="1"/>
  <c r="D1681" i="66" s="1"/>
  <c r="D1682" i="66" s="1"/>
  <c r="D1683" i="66" s="1"/>
  <c r="D1684" i="66" s="1"/>
  <c r="D1685" i="66" s="1"/>
  <c r="D1686" i="66" s="1"/>
  <c r="D1687" i="66" s="1"/>
  <c r="D1688" i="66" s="1"/>
  <c r="D1689" i="66" s="1"/>
  <c r="D1690" i="66" s="1"/>
  <c r="D1691" i="66" s="1"/>
  <c r="D1692" i="66" s="1"/>
  <c r="D1693" i="66" s="1"/>
  <c r="D1694" i="66" s="1"/>
  <c r="D1695" i="66" s="1"/>
  <c r="D1696" i="66" s="1"/>
  <c r="D1697" i="66" s="1"/>
  <c r="D1698" i="66" s="1"/>
  <c r="D1699" i="66" s="1"/>
  <c r="D1700" i="66" s="1"/>
  <c r="D1701" i="66" s="1"/>
  <c r="D1702" i="66" s="1"/>
  <c r="D1703" i="66" s="1"/>
  <c r="D1704" i="66" s="1"/>
  <c r="D1705" i="66" s="1"/>
  <c r="D1706" i="66" s="1"/>
  <c r="D1707" i="66" s="1"/>
  <c r="D1708" i="66" s="1"/>
  <c r="D1709" i="66" s="1"/>
  <c r="D1710" i="66" s="1"/>
  <c r="D1711" i="66" s="1"/>
  <c r="D1712" i="66" s="1"/>
  <c r="D1713" i="66" s="1"/>
  <c r="D1714" i="66" s="1"/>
  <c r="D1715" i="66" s="1"/>
  <c r="D1716" i="66" s="1"/>
  <c r="D1717" i="66" s="1"/>
  <c r="D1718" i="66" s="1"/>
  <c r="D1719" i="66" s="1"/>
  <c r="D1720" i="66" s="1"/>
  <c r="D1721" i="66" s="1"/>
  <c r="D1722" i="66" s="1"/>
  <c r="D1723" i="66" s="1"/>
  <c r="D1724" i="66" s="1"/>
  <c r="D1725" i="66" s="1"/>
  <c r="D1726" i="66" s="1"/>
  <c r="D1727" i="66" s="1"/>
  <c r="D1728" i="66" s="1"/>
  <c r="D1729" i="66" s="1"/>
  <c r="D1730" i="66" s="1"/>
  <c r="D1731" i="66" s="1"/>
  <c r="D1732" i="66" s="1"/>
  <c r="D1733" i="66" s="1"/>
  <c r="D1734" i="66" s="1"/>
  <c r="D1735" i="66" s="1"/>
  <c r="D1736" i="66" s="1"/>
  <c r="D1737" i="66" s="1"/>
  <c r="D1738" i="66" s="1"/>
  <c r="D1739" i="66" s="1"/>
  <c r="D1740" i="66" s="1"/>
  <c r="D1741" i="66" s="1"/>
  <c r="D1742" i="66" s="1"/>
  <c r="D1743" i="66" s="1"/>
  <c r="D1744" i="66" s="1"/>
  <c r="D1745" i="66" s="1"/>
  <c r="D1746" i="66" s="1"/>
  <c r="D1747" i="66" s="1"/>
  <c r="D1748" i="66" s="1"/>
  <c r="D1749" i="66" s="1"/>
  <c r="D1750" i="66" s="1"/>
  <c r="D1751" i="66" s="1"/>
  <c r="D1752" i="66" s="1"/>
  <c r="D1753" i="66" s="1"/>
  <c r="D1754" i="66" s="1"/>
  <c r="D1755" i="66" s="1"/>
  <c r="D1756" i="66" s="1"/>
  <c r="D1757" i="66" s="1"/>
  <c r="D1758" i="66" s="1"/>
  <c r="D1759" i="66" s="1"/>
  <c r="D1760" i="66" s="1"/>
  <c r="D1761" i="66" s="1"/>
  <c r="D1762" i="66" s="1"/>
  <c r="D1763" i="66" s="1"/>
  <c r="D1764" i="66" s="1"/>
  <c r="D1765" i="66" s="1"/>
  <c r="D1766" i="66" s="1"/>
  <c r="D1767" i="66" s="1"/>
  <c r="D1768" i="66" s="1"/>
  <c r="D1769" i="66" s="1"/>
  <c r="D1770" i="66" s="1"/>
  <c r="D1771" i="66" s="1"/>
  <c r="D1772" i="66" s="1"/>
  <c r="D1773" i="66" s="1"/>
  <c r="D1774" i="66" s="1"/>
  <c r="D1775" i="66" s="1"/>
  <c r="D1776" i="66" s="1"/>
  <c r="D1777" i="66" s="1"/>
  <c r="D1778" i="66" s="1"/>
  <c r="D1779" i="66" s="1"/>
  <c r="D1780" i="66" s="1"/>
  <c r="D1781" i="66" s="1"/>
  <c r="D1782" i="66" s="1"/>
  <c r="D1783" i="66" s="1"/>
  <c r="D1784" i="66" s="1"/>
  <c r="D1785" i="66" s="1"/>
  <c r="D1786" i="66" s="1"/>
  <c r="D1787" i="66" s="1"/>
  <c r="D1788" i="66" s="1"/>
  <c r="D1789" i="66" s="1"/>
  <c r="D1790" i="66" s="1"/>
  <c r="D1791" i="66" s="1"/>
  <c r="D1792" i="66" s="1"/>
  <c r="D1793" i="66" s="1"/>
  <c r="D1794" i="66" s="1"/>
  <c r="D1795" i="66" s="1"/>
  <c r="D1796" i="66" s="1"/>
  <c r="D1797" i="66" s="1"/>
  <c r="D1798" i="66" s="1"/>
  <c r="D1799" i="66" s="1"/>
  <c r="D1800" i="66" s="1"/>
  <c r="D1801" i="66" s="1"/>
  <c r="D1802" i="66" s="1"/>
  <c r="D1803" i="66" s="1"/>
  <c r="D1804" i="66" s="1"/>
  <c r="D1805" i="66" s="1"/>
  <c r="D1806" i="66" s="1"/>
  <c r="D1807" i="66" s="1"/>
  <c r="D1808" i="66" s="1"/>
  <c r="D1809" i="66" s="1"/>
  <c r="D1810" i="66" s="1"/>
  <c r="D1811" i="66" s="1"/>
  <c r="D1812" i="66" s="1"/>
  <c r="D1813" i="66" s="1"/>
  <c r="D1814" i="66" s="1"/>
  <c r="D1815" i="66" s="1"/>
  <c r="D1816" i="66" s="1"/>
  <c r="D1817" i="66" s="1"/>
  <c r="D1818" i="66" s="1"/>
  <c r="D1819" i="66" s="1"/>
  <c r="D1820" i="66" s="1"/>
  <c r="D1821" i="66" s="1"/>
  <c r="D1822" i="66" s="1"/>
  <c r="D1823" i="66" s="1"/>
  <c r="D1824" i="66" s="1"/>
  <c r="D1825" i="66" s="1"/>
  <c r="D1826" i="66" s="1"/>
  <c r="D1827" i="66" s="1"/>
  <c r="D1828" i="66" s="1"/>
  <c r="D1829" i="66" s="1"/>
  <c r="D1830" i="66" s="1"/>
  <c r="D1831" i="66" s="1"/>
  <c r="D1832" i="66" s="1"/>
  <c r="D1833" i="66" s="1"/>
  <c r="D1834" i="66" s="1"/>
  <c r="D1835" i="66" s="1"/>
  <c r="D1836" i="66" s="1"/>
  <c r="D1837" i="66" s="1"/>
  <c r="D1838" i="66" s="1"/>
  <c r="D1839" i="66" s="1"/>
  <c r="D1840" i="66" s="1"/>
  <c r="D1841" i="66" s="1"/>
  <c r="D1842" i="66" s="1"/>
  <c r="D1843" i="66" s="1"/>
  <c r="D1844" i="66" s="1"/>
  <c r="D1845" i="66" s="1"/>
  <c r="D1846" i="66" s="1"/>
  <c r="D1847" i="66" s="1"/>
  <c r="D1848" i="66" s="1"/>
  <c r="D1849" i="66" s="1"/>
  <c r="D1850" i="66" s="1"/>
  <c r="D1851" i="66" s="1"/>
  <c r="D1852" i="66" s="1"/>
  <c r="D1853" i="66" s="1"/>
  <c r="D1854" i="66" s="1"/>
  <c r="D1855" i="66" s="1"/>
  <c r="D1856" i="66" s="1"/>
  <c r="D1857" i="66" s="1"/>
  <c r="D1858" i="66" s="1"/>
  <c r="D1859" i="66" s="1"/>
  <c r="D1860" i="66" s="1"/>
  <c r="D1861" i="66" s="1"/>
  <c r="D1862" i="66" s="1"/>
  <c r="D1863" i="66" s="1"/>
  <c r="D1864" i="66" s="1"/>
  <c r="D1865" i="66" s="1"/>
  <c r="D1866" i="66" s="1"/>
  <c r="D1867" i="66" s="1"/>
  <c r="D1868" i="66" s="1"/>
  <c r="D1869" i="66" s="1"/>
  <c r="D1870" i="66" s="1"/>
  <c r="D1871" i="66" s="1"/>
  <c r="D1872" i="66" s="1"/>
  <c r="D1873" i="66" s="1"/>
  <c r="D1874" i="66" s="1"/>
  <c r="D1875" i="66" s="1"/>
  <c r="D1876" i="66" s="1"/>
  <c r="D1877" i="66" s="1"/>
  <c r="D1878" i="66" s="1"/>
  <c r="D1879" i="66" s="1"/>
  <c r="D1880" i="66" s="1"/>
  <c r="D1881" i="66" s="1"/>
  <c r="D1882" i="66" s="1"/>
  <c r="D1883" i="66" s="1"/>
  <c r="D1884" i="66" s="1"/>
  <c r="D1885" i="66" s="1"/>
  <c r="D1886" i="66" s="1"/>
  <c r="D1887" i="66" s="1"/>
  <c r="D1888" i="66" s="1"/>
  <c r="D1889" i="66" s="1"/>
  <c r="D1890" i="66" s="1"/>
  <c r="D1891" i="66" s="1"/>
  <c r="D1892" i="66" s="1"/>
  <c r="D1893" i="66" s="1"/>
  <c r="D1894" i="66" s="1"/>
  <c r="D1895" i="66" s="1"/>
  <c r="D1896" i="66" s="1"/>
  <c r="D1897" i="66" s="1"/>
  <c r="D1898" i="66" s="1"/>
  <c r="D1899" i="66" s="1"/>
  <c r="D1900" i="66" s="1"/>
  <c r="D1901" i="66" s="1"/>
  <c r="D1902" i="66" s="1"/>
  <c r="D1903" i="66" s="1"/>
  <c r="D1904" i="66" s="1"/>
  <c r="D1905" i="66" s="1"/>
  <c r="D1906" i="66" s="1"/>
  <c r="D1907" i="66" s="1"/>
  <c r="D1908" i="66" s="1"/>
  <c r="D1909" i="66" s="1"/>
  <c r="D1910" i="66" s="1"/>
  <c r="D1911" i="66" s="1"/>
  <c r="D1912" i="66" s="1"/>
  <c r="D1913" i="66" s="1"/>
  <c r="D1914" i="66" s="1"/>
  <c r="D1915" i="66" s="1"/>
  <c r="D1916" i="66" s="1"/>
  <c r="D1917" i="66" s="1"/>
  <c r="D1918" i="66" s="1"/>
  <c r="D1919" i="66" s="1"/>
  <c r="D1920" i="66" s="1"/>
  <c r="D1921" i="66" s="1"/>
  <c r="D1922" i="66" s="1"/>
  <c r="D1923" i="66" s="1"/>
  <c r="D1924" i="66" s="1"/>
  <c r="D1925" i="66" s="1"/>
  <c r="D1926" i="66" s="1"/>
  <c r="D1927" i="66" s="1"/>
  <c r="D1928" i="66" s="1"/>
  <c r="D1929" i="66" s="1"/>
  <c r="D1930" i="66" s="1"/>
  <c r="D1931" i="66" s="1"/>
  <c r="D1932" i="66" s="1"/>
  <c r="D1933" i="66" s="1"/>
  <c r="D1934" i="66" s="1"/>
  <c r="D1935" i="66" s="1"/>
  <c r="D1936" i="66" s="1"/>
  <c r="D1937" i="66" s="1"/>
  <c r="D1938" i="66" s="1"/>
  <c r="D1939" i="66" s="1"/>
  <c r="D1940" i="66" s="1"/>
  <c r="D1941" i="66" s="1"/>
  <c r="D1942" i="66" s="1"/>
  <c r="D1943" i="66" s="1"/>
  <c r="D1944" i="66" s="1"/>
  <c r="D1945" i="66" s="1"/>
  <c r="D1946" i="66" s="1"/>
  <c r="D1947" i="66" s="1"/>
  <c r="D1948" i="66" s="1"/>
  <c r="D1949" i="66" s="1"/>
  <c r="D1950" i="66" s="1"/>
  <c r="D1951" i="66" s="1"/>
  <c r="D1952" i="66" s="1"/>
  <c r="D1953" i="66" s="1"/>
  <c r="D1954" i="66" s="1"/>
  <c r="D1955" i="66" s="1"/>
  <c r="D1956" i="66" s="1"/>
  <c r="D1957" i="66" s="1"/>
  <c r="D1958" i="66" s="1"/>
  <c r="D1959" i="66" s="1"/>
  <c r="D1960" i="66" s="1"/>
  <c r="D1961" i="66" s="1"/>
  <c r="D1962" i="66" s="1"/>
  <c r="D1963" i="66" s="1"/>
  <c r="D1964" i="66" s="1"/>
  <c r="D1965" i="66" s="1"/>
  <c r="D1966" i="66" s="1"/>
  <c r="D1967" i="66" s="1"/>
  <c r="D1968" i="66" s="1"/>
  <c r="D1969" i="66" s="1"/>
  <c r="D1970" i="66" s="1"/>
  <c r="D1971" i="66" s="1"/>
  <c r="D1972" i="66" s="1"/>
  <c r="D1973" i="66" s="1"/>
  <c r="D1974" i="66" s="1"/>
  <c r="D1975" i="66" s="1"/>
  <c r="D1976" i="66" s="1"/>
  <c r="D1977" i="66" s="1"/>
  <c r="D1978" i="66" s="1"/>
  <c r="D1979" i="66" s="1"/>
  <c r="D1980" i="66" s="1"/>
  <c r="D1981" i="66" s="1"/>
  <c r="D1982" i="66" s="1"/>
  <c r="D1983" i="66" s="1"/>
  <c r="D1984" i="66" s="1"/>
  <c r="D1985" i="66" s="1"/>
  <c r="D1986" i="66" s="1"/>
  <c r="D1987" i="66" s="1"/>
  <c r="D1988" i="66" s="1"/>
  <c r="D1989" i="66" s="1"/>
  <c r="D1990" i="66" s="1"/>
  <c r="D1991" i="66" s="1"/>
  <c r="D1992" i="66" s="1"/>
  <c r="D1993" i="66" s="1"/>
  <c r="D1994" i="66" s="1"/>
  <c r="D1995" i="66" s="1"/>
  <c r="D1996" i="66" s="1"/>
  <c r="D1997" i="66" s="1"/>
  <c r="D1998" i="66" s="1"/>
  <c r="D1999" i="66" s="1"/>
  <c r="D2000" i="66" s="1"/>
  <c r="D2001" i="66" s="1"/>
  <c r="D2002" i="66" s="1"/>
  <c r="D2003" i="66" s="1"/>
  <c r="D2004" i="66" s="1"/>
  <c r="D2005" i="66" s="1"/>
  <c r="D2006" i="66" s="1"/>
  <c r="D2007" i="66" s="1"/>
  <c r="D2008" i="66" s="1"/>
  <c r="D2009" i="66" s="1"/>
  <c r="D2010" i="66" s="1"/>
  <c r="D2011" i="66" s="1"/>
  <c r="D2012" i="66" s="1"/>
  <c r="D2013" i="66" s="1"/>
  <c r="D2014" i="66" s="1"/>
  <c r="D2015" i="66" s="1"/>
  <c r="D2016" i="66" s="1"/>
  <c r="D2017" i="66" s="1"/>
  <c r="D2018" i="66" s="1"/>
  <c r="D2019" i="66" s="1"/>
  <c r="D2020" i="66" s="1"/>
  <c r="D2021" i="66" s="1"/>
  <c r="D2022" i="66" s="1"/>
  <c r="D2023" i="66" s="1"/>
  <c r="D2024" i="66" s="1"/>
  <c r="D2025" i="66" s="1"/>
  <c r="D2026" i="66" s="1"/>
  <c r="D2027" i="66" s="1"/>
  <c r="D2028" i="66" s="1"/>
  <c r="D2029" i="66" s="1"/>
  <c r="D2030" i="66" s="1"/>
  <c r="D2031" i="66" s="1"/>
  <c r="D2032" i="66" s="1"/>
  <c r="D2033" i="66" s="1"/>
  <c r="D2034" i="66" s="1"/>
  <c r="D2035" i="66" s="1"/>
  <c r="D2036" i="66" s="1"/>
  <c r="D2037" i="66" s="1"/>
  <c r="D2038" i="66" s="1"/>
  <c r="D2039" i="66" s="1"/>
  <c r="D2040" i="66" s="1"/>
  <c r="D2041" i="66" s="1"/>
  <c r="D2042" i="66" s="1"/>
  <c r="D2043" i="66" s="1"/>
  <c r="D2044" i="66" s="1"/>
  <c r="D2045" i="66" s="1"/>
  <c r="D2046" i="66" s="1"/>
  <c r="D2047" i="66" s="1"/>
  <c r="D2048" i="66" s="1"/>
  <c r="D2049" i="66" s="1"/>
  <c r="D2050" i="66" s="1"/>
  <c r="D2051" i="66" s="1"/>
  <c r="D2052" i="66" s="1"/>
  <c r="D2053" i="66" s="1"/>
  <c r="D2054" i="66" s="1"/>
  <c r="D2055" i="66" s="1"/>
  <c r="D2056" i="66" s="1"/>
  <c r="D2057" i="66" s="1"/>
  <c r="D2058" i="66" s="1"/>
  <c r="D2059" i="66" s="1"/>
  <c r="D2060" i="66" s="1"/>
  <c r="D2061" i="66" s="1"/>
  <c r="D2062" i="66" s="1"/>
  <c r="D2063" i="66" s="1"/>
  <c r="D2064" i="66" s="1"/>
  <c r="D2065" i="66" s="1"/>
  <c r="D2066" i="66" s="1"/>
  <c r="D2067" i="66" s="1"/>
  <c r="D2068" i="66" s="1"/>
  <c r="D2069" i="66" s="1"/>
  <c r="D2070" i="66" s="1"/>
  <c r="D2071" i="66" s="1"/>
  <c r="D2072" i="66" s="1"/>
  <c r="D2073" i="66" s="1"/>
  <c r="D2074" i="66" s="1"/>
  <c r="D2075" i="66" s="1"/>
  <c r="D2076" i="66" s="1"/>
  <c r="D2077" i="66" s="1"/>
  <c r="D2078" i="66" s="1"/>
  <c r="D2079" i="66" s="1"/>
  <c r="D2080" i="66" s="1"/>
  <c r="D2081" i="66" s="1"/>
  <c r="D2082" i="66" s="1"/>
  <c r="D2083" i="66" s="1"/>
  <c r="D2084" i="66" s="1"/>
  <c r="D2085" i="66" s="1"/>
  <c r="D2086" i="66" s="1"/>
  <c r="D2087" i="66" s="1"/>
  <c r="D2088" i="66" s="1"/>
  <c r="D2089" i="66" s="1"/>
  <c r="D2090" i="66" s="1"/>
  <c r="D2091" i="66" s="1"/>
  <c r="D2092" i="66" s="1"/>
  <c r="D2093" i="66" s="1"/>
  <c r="D2094" i="66" s="1"/>
  <c r="D2095" i="66" s="1"/>
  <c r="D2096" i="66" s="1"/>
  <c r="D2097" i="66" s="1"/>
  <c r="D2098" i="66" s="1"/>
  <c r="D2099" i="66" s="1"/>
  <c r="D2100" i="66" s="1"/>
  <c r="D2101" i="66" s="1"/>
  <c r="D2102" i="66" s="1"/>
  <c r="D2103" i="66" s="1"/>
  <c r="D2104" i="66" s="1"/>
  <c r="D2105" i="66" s="1"/>
  <c r="D2106" i="66" s="1"/>
  <c r="D2107" i="66" s="1"/>
  <c r="D2108" i="66" s="1"/>
  <c r="D2109" i="66" s="1"/>
  <c r="D2110" i="66" s="1"/>
  <c r="D2111" i="66" s="1"/>
  <c r="D2112" i="66" s="1"/>
  <c r="D2113" i="66" s="1"/>
  <c r="D2114" i="66" s="1"/>
  <c r="D2115" i="66" s="1"/>
  <c r="D2116" i="66" s="1"/>
  <c r="D2117" i="66" s="1"/>
  <c r="D2118" i="66" s="1"/>
  <c r="D2119" i="66" s="1"/>
  <c r="D2120" i="66" s="1"/>
  <c r="D2121" i="66" s="1"/>
  <c r="D2122" i="66" s="1"/>
  <c r="D2123" i="66" s="1"/>
  <c r="D2124" i="66" s="1"/>
  <c r="D2125" i="66" s="1"/>
  <c r="D2126" i="66" s="1"/>
  <c r="D2127" i="66" s="1"/>
  <c r="D2128" i="66" s="1"/>
  <c r="D2129" i="66" s="1"/>
  <c r="D2130" i="66" s="1"/>
  <c r="D2131" i="66" s="1"/>
  <c r="D2132" i="66" s="1"/>
  <c r="D2133" i="66" s="1"/>
  <c r="D2134" i="66" s="1"/>
  <c r="D2135" i="66" s="1"/>
  <c r="D2136" i="66" s="1"/>
  <c r="D2137" i="66" s="1"/>
  <c r="D2138" i="66" s="1"/>
  <c r="D2139" i="66" s="1"/>
  <c r="D2140" i="66" s="1"/>
  <c r="D2141" i="66" s="1"/>
  <c r="D2142" i="66" s="1"/>
  <c r="D2143" i="66" s="1"/>
  <c r="D2144" i="66" s="1"/>
  <c r="D2145" i="66" s="1"/>
  <c r="D2146" i="66" s="1"/>
  <c r="D2147" i="66" s="1"/>
  <c r="D2148" i="66" s="1"/>
  <c r="D2149" i="66" s="1"/>
  <c r="D2150" i="66" s="1"/>
  <c r="D2151" i="66" s="1"/>
  <c r="D2152" i="66" s="1"/>
  <c r="D2153" i="66" s="1"/>
  <c r="D2154" i="66" s="1"/>
  <c r="D2155" i="66" s="1"/>
  <c r="D2156" i="66" s="1"/>
  <c r="D2157" i="66" s="1"/>
  <c r="D2158" i="66" s="1"/>
  <c r="D2159" i="66" s="1"/>
  <c r="D2160" i="66" s="1"/>
  <c r="D2161" i="66" s="1"/>
  <c r="D2162" i="66" s="1"/>
  <c r="D2163" i="66" s="1"/>
  <c r="D2164" i="66" s="1"/>
  <c r="D2165" i="66" s="1"/>
  <c r="D2166" i="66" s="1"/>
  <c r="D2167" i="66" s="1"/>
  <c r="D2168" i="66" s="1"/>
  <c r="D2169" i="66" s="1"/>
  <c r="D2170" i="66" s="1"/>
  <c r="D2171" i="66" s="1"/>
  <c r="D2172" i="66" s="1"/>
  <c r="D2173" i="66" s="1"/>
  <c r="D2174" i="66" s="1"/>
  <c r="D2175" i="66" s="1"/>
  <c r="D2176" i="66" s="1"/>
  <c r="D2177" i="66" s="1"/>
  <c r="D2178" i="66" s="1"/>
  <c r="D2179" i="66" s="1"/>
  <c r="D2180" i="66" s="1"/>
  <c r="D2181" i="66" s="1"/>
  <c r="D2182" i="66" s="1"/>
  <c r="D2183" i="66" s="1"/>
  <c r="D2184" i="66" s="1"/>
  <c r="D2185" i="66" s="1"/>
  <c r="D2186" i="66" s="1"/>
  <c r="D2187" i="66" s="1"/>
  <c r="D2188" i="66" s="1"/>
  <c r="D2189" i="66" s="1"/>
  <c r="D2190" i="66" s="1"/>
  <c r="D2191" i="66" s="1"/>
  <c r="D2192" i="66" s="1"/>
  <c r="D2193" i="66" s="1"/>
  <c r="D2194" i="66" s="1"/>
  <c r="D2195" i="66" s="1"/>
  <c r="D2196" i="66" s="1"/>
  <c r="D2197" i="66" s="1"/>
  <c r="D2198" i="66" s="1"/>
  <c r="D2199" i="66" s="1"/>
  <c r="D2200" i="66" s="1"/>
  <c r="D2201" i="66" s="1"/>
  <c r="D2202" i="66" s="1"/>
  <c r="D2203" i="66" s="1"/>
  <c r="D2204" i="66" s="1"/>
  <c r="D2205" i="66" s="1"/>
  <c r="D2206" i="66" s="1"/>
  <c r="D2207" i="66" s="1"/>
  <c r="D2208" i="66" s="1"/>
  <c r="D2209" i="66" s="1"/>
  <c r="D2210" i="66" s="1"/>
  <c r="D2211" i="66" s="1"/>
  <c r="D2212" i="66" s="1"/>
  <c r="D2213" i="66" s="1"/>
  <c r="D2214" i="66" s="1"/>
  <c r="D2215" i="66" s="1"/>
  <c r="D2216" i="66" s="1"/>
  <c r="D2217" i="66" s="1"/>
  <c r="D2218" i="66" s="1"/>
  <c r="D2219" i="66" s="1"/>
  <c r="D2220" i="66" s="1"/>
  <c r="D2221" i="66" s="1"/>
  <c r="D2222" i="66" s="1"/>
  <c r="D2223" i="66" s="1"/>
  <c r="D2224" i="66" s="1"/>
  <c r="D2225" i="66" s="1"/>
  <c r="D2226" i="66" s="1"/>
  <c r="D2227" i="66" s="1"/>
  <c r="D2228" i="66" s="1"/>
  <c r="D2229" i="66" s="1"/>
  <c r="D2230" i="66" s="1"/>
  <c r="D2231" i="66" s="1"/>
  <c r="D2232" i="66" s="1"/>
  <c r="D2233" i="66" s="1"/>
  <c r="D2234" i="66" s="1"/>
  <c r="D2235" i="66" s="1"/>
  <c r="D2236" i="66" s="1"/>
  <c r="D2237" i="66" s="1"/>
  <c r="D2238" i="66" s="1"/>
  <c r="D2239" i="66" s="1"/>
  <c r="D2240" i="66" s="1"/>
  <c r="D2241" i="66" s="1"/>
  <c r="D2242" i="66" s="1"/>
  <c r="D2243" i="66" s="1"/>
  <c r="D2244" i="66" s="1"/>
  <c r="D2245" i="66" s="1"/>
  <c r="D2246" i="66" s="1"/>
  <c r="D2247" i="66" s="1"/>
  <c r="D2248" i="66" s="1"/>
  <c r="D2249" i="66" s="1"/>
  <c r="D2250" i="66" s="1"/>
  <c r="D2251" i="66" s="1"/>
  <c r="D2252" i="66" s="1"/>
  <c r="D2253" i="66" s="1"/>
  <c r="D2254" i="66" s="1"/>
  <c r="D2255" i="66" s="1"/>
  <c r="D2256" i="66" s="1"/>
  <c r="D2257" i="66" s="1"/>
  <c r="D2258" i="66" s="1"/>
  <c r="D2259" i="66" s="1"/>
  <c r="D2260" i="66" s="1"/>
  <c r="D2261" i="66" s="1"/>
  <c r="D2262" i="66" s="1"/>
  <c r="D2263" i="66" s="1"/>
  <c r="D2264" i="66" s="1"/>
  <c r="D2265" i="66" s="1"/>
  <c r="D2266" i="66" s="1"/>
  <c r="D2267" i="66" s="1"/>
  <c r="D2268" i="66" s="1"/>
  <c r="D2269" i="66" s="1"/>
  <c r="D2270" i="66" s="1"/>
  <c r="D2271" i="66" s="1"/>
  <c r="D2272" i="66" s="1"/>
  <c r="D2273" i="66" s="1"/>
  <c r="D2274" i="66" s="1"/>
  <c r="D2275" i="66" s="1"/>
  <c r="D2276" i="66" s="1"/>
  <c r="D2277" i="66" s="1"/>
  <c r="D2278" i="66" s="1"/>
  <c r="D2279" i="66" s="1"/>
  <c r="D2280" i="66" s="1"/>
  <c r="D2281" i="66" s="1"/>
  <c r="D2282" i="66" s="1"/>
  <c r="D2283" i="66" s="1"/>
  <c r="D2284" i="66" s="1"/>
  <c r="D2285" i="66" s="1"/>
  <c r="D2286" i="66" s="1"/>
  <c r="D2287" i="66" s="1"/>
  <c r="D2288" i="66" s="1"/>
  <c r="D2289" i="66" s="1"/>
  <c r="D2290" i="66" s="1"/>
  <c r="D2291" i="66" s="1"/>
  <c r="D2292" i="66" s="1"/>
  <c r="D2293" i="66" s="1"/>
  <c r="D2294" i="66" s="1"/>
  <c r="D2295" i="66" s="1"/>
  <c r="D2296" i="66" s="1"/>
  <c r="D2297" i="66" s="1"/>
  <c r="D2298" i="66" s="1"/>
  <c r="D2299" i="66" s="1"/>
  <c r="D2300" i="66" s="1"/>
  <c r="D2301" i="66" s="1"/>
  <c r="D2302" i="66" s="1"/>
  <c r="D2303" i="66" s="1"/>
  <c r="D2304" i="66" s="1"/>
  <c r="D2305" i="66" s="1"/>
  <c r="D2306" i="66" s="1"/>
  <c r="D2307" i="66" s="1"/>
  <c r="D2308" i="66" s="1"/>
  <c r="D2309" i="66" s="1"/>
  <c r="D2310" i="66" s="1"/>
  <c r="D2311" i="66" s="1"/>
  <c r="D2312" i="66" s="1"/>
  <c r="D2313" i="66" s="1"/>
  <c r="D2314" i="66" s="1"/>
  <c r="D2315" i="66" s="1"/>
  <c r="D2316" i="66" s="1"/>
  <c r="D2317" i="66" s="1"/>
  <c r="D2318" i="66" s="1"/>
  <c r="D2319" i="66" s="1"/>
  <c r="D2320" i="66" s="1"/>
  <c r="D2321" i="66" s="1"/>
  <c r="D2322" i="66" s="1"/>
  <c r="D2323" i="66" s="1"/>
  <c r="D2324" i="66" s="1"/>
  <c r="D2325" i="66" s="1"/>
  <c r="D2326" i="66" s="1"/>
  <c r="D2327" i="66" s="1"/>
  <c r="D2328" i="66" s="1"/>
  <c r="D2329" i="66" s="1"/>
  <c r="D2330" i="66" s="1"/>
  <c r="D2331" i="66" s="1"/>
  <c r="D2332" i="66" s="1"/>
  <c r="D2333" i="66" s="1"/>
  <c r="D2334" i="66" s="1"/>
  <c r="D2335" i="66" s="1"/>
  <c r="D2336" i="66" s="1"/>
  <c r="D2337" i="66" s="1"/>
  <c r="D2338" i="66" s="1"/>
  <c r="D2339" i="66" s="1"/>
  <c r="D2340" i="66" s="1"/>
  <c r="D2341" i="66" s="1"/>
  <c r="D2342" i="66" s="1"/>
  <c r="D2343" i="66" s="1"/>
  <c r="D2344" i="66" s="1"/>
  <c r="D2345" i="66" s="1"/>
  <c r="D2346" i="66" s="1"/>
  <c r="D2347" i="66" s="1"/>
  <c r="D2348" i="66" s="1"/>
  <c r="D2349" i="66" s="1"/>
  <c r="D2350" i="66" s="1"/>
  <c r="D2351" i="66" s="1"/>
  <c r="D2352" i="66" s="1"/>
  <c r="D2353" i="66" s="1"/>
  <c r="D2354" i="66" s="1"/>
  <c r="D2355" i="66" s="1"/>
  <c r="D2356" i="66" s="1"/>
  <c r="D2357" i="66" s="1"/>
  <c r="D2358" i="66" s="1"/>
  <c r="D2359" i="66" s="1"/>
  <c r="D2360" i="66" s="1"/>
  <c r="D2361" i="66" s="1"/>
  <c r="D2362" i="66" s="1"/>
  <c r="D2363" i="66" s="1"/>
  <c r="D2364" i="66" s="1"/>
  <c r="D2365" i="66" s="1"/>
  <c r="D2366" i="66" s="1"/>
  <c r="D2367" i="66" s="1"/>
  <c r="D2368" i="66" s="1"/>
  <c r="D2369" i="66" s="1"/>
  <c r="D2370" i="66" s="1"/>
  <c r="D2371" i="66" s="1"/>
  <c r="D2372" i="66" s="1"/>
  <c r="D2373" i="66" s="1"/>
  <c r="D2374" i="66" s="1"/>
  <c r="D2375" i="66" s="1"/>
  <c r="D2376" i="66" s="1"/>
  <c r="D2377" i="66" s="1"/>
  <c r="D2378" i="66" s="1"/>
  <c r="D2379" i="66" s="1"/>
  <c r="D2380" i="66" s="1"/>
  <c r="D2381" i="66" s="1"/>
  <c r="D2382" i="66" s="1"/>
  <c r="D2383" i="66" s="1"/>
  <c r="D2384" i="66" s="1"/>
  <c r="D2385" i="66" s="1"/>
  <c r="D2386" i="66" s="1"/>
  <c r="D2387" i="66" s="1"/>
  <c r="D2388" i="66" s="1"/>
  <c r="D2389" i="66" s="1"/>
  <c r="D2390" i="66" s="1"/>
  <c r="D2391" i="66" s="1"/>
  <c r="D2392" i="66" s="1"/>
  <c r="D2393" i="66" s="1"/>
  <c r="D2394" i="66" s="1"/>
  <c r="D2395" i="66" s="1"/>
  <c r="D2396" i="66" s="1"/>
  <c r="D2397" i="66" s="1"/>
  <c r="D2398" i="66" s="1"/>
  <c r="D2399" i="66" s="1"/>
  <c r="D2400" i="66" s="1"/>
  <c r="D2401" i="66" s="1"/>
  <c r="D2402" i="66" s="1"/>
  <c r="D2403" i="66" s="1"/>
  <c r="D2404" i="66" s="1"/>
  <c r="D2405" i="66" s="1"/>
  <c r="D2406" i="66" s="1"/>
  <c r="D2407" i="66" s="1"/>
  <c r="D2408" i="66" s="1"/>
  <c r="D2409" i="66" s="1"/>
  <c r="D2410" i="66" s="1"/>
  <c r="D2411" i="66" s="1"/>
  <c r="D2412" i="66" s="1"/>
  <c r="D2413" i="66" s="1"/>
  <c r="D2414" i="66" s="1"/>
  <c r="D2415" i="66" s="1"/>
  <c r="D2416" i="66" s="1"/>
  <c r="D2417" i="66" s="1"/>
  <c r="D2418" i="66" s="1"/>
  <c r="D2419" i="66" s="1"/>
  <c r="D2420" i="66" s="1"/>
  <c r="D2421" i="66" s="1"/>
  <c r="D2422" i="66" s="1"/>
  <c r="D2423" i="66" s="1"/>
  <c r="D2424" i="66" s="1"/>
  <c r="D2425" i="66" s="1"/>
  <c r="D2426" i="66" s="1"/>
  <c r="D2427" i="66" s="1"/>
  <c r="D2428" i="66" s="1"/>
  <c r="D2429" i="66" s="1"/>
  <c r="D2430" i="66" s="1"/>
  <c r="D2431" i="66" s="1"/>
  <c r="D2432" i="66" s="1"/>
  <c r="D2433" i="66" s="1"/>
  <c r="D2434" i="66" s="1"/>
  <c r="D2435" i="66" s="1"/>
  <c r="D2436" i="66" s="1"/>
  <c r="D2437" i="66" s="1"/>
  <c r="D2438" i="66" s="1"/>
  <c r="D2439" i="66" s="1"/>
  <c r="D2440" i="66" s="1"/>
  <c r="D2441" i="66" s="1"/>
  <c r="D2442" i="66" s="1"/>
  <c r="D2443" i="66" s="1"/>
  <c r="D2444" i="66" s="1"/>
  <c r="D2445" i="66" s="1"/>
  <c r="D2446" i="66" s="1"/>
  <c r="D2447" i="66" s="1"/>
  <c r="D2448" i="66" s="1"/>
  <c r="D2449" i="66" s="1"/>
  <c r="D2450" i="66" s="1"/>
  <c r="D2451" i="66" s="1"/>
  <c r="D2452" i="66" s="1"/>
  <c r="D2453" i="66" s="1"/>
  <c r="D2454" i="66" s="1"/>
  <c r="D2455" i="66" s="1"/>
  <c r="D2456" i="66" s="1"/>
  <c r="D2457" i="66" s="1"/>
  <c r="D2458" i="66" s="1"/>
  <c r="D2459" i="66" s="1"/>
  <c r="D2460" i="66" s="1"/>
  <c r="D2461" i="66" s="1"/>
  <c r="D2462" i="66" s="1"/>
  <c r="D2463" i="66" s="1"/>
  <c r="D2464" i="66" s="1"/>
  <c r="D2465" i="66" s="1"/>
  <c r="D2466" i="66" s="1"/>
  <c r="D2467" i="66" s="1"/>
  <c r="D2468" i="66" s="1"/>
  <c r="D2469" i="66" s="1"/>
  <c r="D2470" i="66" s="1"/>
  <c r="D2471" i="66" s="1"/>
  <c r="D2472" i="66" s="1"/>
  <c r="D2473" i="66" s="1"/>
  <c r="D2474" i="66" s="1"/>
  <c r="D2475" i="66" s="1"/>
  <c r="D2476" i="66" s="1"/>
  <c r="D2477" i="66" s="1"/>
  <c r="D2478" i="66" s="1"/>
  <c r="D2479" i="66" s="1"/>
  <c r="D2480" i="66" s="1"/>
  <c r="D2481" i="66" s="1"/>
  <c r="D2482" i="66" s="1"/>
  <c r="D2483" i="66" s="1"/>
  <c r="D2484" i="66" s="1"/>
  <c r="D2485" i="66" s="1"/>
  <c r="D2486" i="66" s="1"/>
  <c r="D2487" i="66" s="1"/>
  <c r="D2488" i="66" s="1"/>
  <c r="D2489" i="66" s="1"/>
  <c r="D2490" i="66" s="1"/>
  <c r="D2491" i="66" s="1"/>
  <c r="D2492" i="66" s="1"/>
  <c r="D2493" i="66" s="1"/>
  <c r="D2494" i="66" s="1"/>
  <c r="D2495" i="66" s="1"/>
  <c r="D2496" i="66" s="1"/>
  <c r="D2497" i="66" s="1"/>
  <c r="D2498" i="66" s="1"/>
  <c r="D2499" i="66" s="1"/>
  <c r="D2500" i="66" s="1"/>
  <c r="D2501" i="66" s="1"/>
  <c r="D2502" i="66" s="1"/>
  <c r="D2503" i="66" s="1"/>
  <c r="D2504" i="66" s="1"/>
  <c r="D2505" i="66" s="1"/>
  <c r="D2506" i="66" s="1"/>
  <c r="D2507" i="66" s="1"/>
  <c r="D2508" i="66" s="1"/>
  <c r="D2509" i="66" s="1"/>
  <c r="D2510" i="66" s="1"/>
  <c r="D2511" i="66" s="1"/>
  <c r="D2512" i="66" s="1"/>
  <c r="D2513" i="66" s="1"/>
  <c r="D2514" i="66" s="1"/>
  <c r="D2515" i="66" s="1"/>
  <c r="D2516" i="66" s="1"/>
  <c r="D2517" i="66" s="1"/>
  <c r="D2518" i="66" s="1"/>
  <c r="D2519" i="66" s="1"/>
  <c r="D2520" i="66" s="1"/>
  <c r="D2521" i="66" s="1"/>
  <c r="D2522" i="66" s="1"/>
  <c r="D2523" i="66" s="1"/>
  <c r="D2524" i="66" s="1"/>
  <c r="D2525" i="66" s="1"/>
  <c r="D2526" i="66" s="1"/>
  <c r="D2527" i="66" s="1"/>
  <c r="D2528" i="66" s="1"/>
  <c r="D2529" i="66" s="1"/>
  <c r="D2530" i="66" s="1"/>
  <c r="D2531" i="66" s="1"/>
  <c r="D2532" i="66" s="1"/>
  <c r="D2533" i="66" s="1"/>
  <c r="D2534" i="66" s="1"/>
  <c r="D2535" i="66" s="1"/>
  <c r="D2536" i="66" s="1"/>
  <c r="D2537" i="66" s="1"/>
  <c r="D2538" i="66" s="1"/>
  <c r="D2539" i="66" s="1"/>
  <c r="D2540" i="66" s="1"/>
  <c r="D2541" i="66" s="1"/>
  <c r="D2542" i="66" s="1"/>
  <c r="D2543" i="66" s="1"/>
  <c r="D2544" i="66" s="1"/>
  <c r="D2545" i="66" s="1"/>
  <c r="D2546" i="66" s="1"/>
  <c r="D2547" i="66" s="1"/>
  <c r="D2548" i="66" s="1"/>
  <c r="D2549" i="66" s="1"/>
  <c r="D2550" i="66" s="1"/>
  <c r="D2551" i="66" s="1"/>
  <c r="D2552" i="66" s="1"/>
  <c r="D2553" i="66" s="1"/>
  <c r="D2554" i="66" s="1"/>
  <c r="D2555" i="66" s="1"/>
  <c r="D2556" i="66" s="1"/>
  <c r="D2557" i="66" s="1"/>
  <c r="D2558" i="66" s="1"/>
  <c r="D2559" i="66" s="1"/>
  <c r="D2560" i="66" s="1"/>
  <c r="D2561" i="66" s="1"/>
  <c r="D2562" i="66" s="1"/>
  <c r="D2563" i="66" s="1"/>
  <c r="D2564" i="66" s="1"/>
  <c r="D2565" i="66" s="1"/>
  <c r="D2566" i="66" s="1"/>
  <c r="D2567" i="66" s="1"/>
  <c r="D2568" i="66" s="1"/>
  <c r="D2569" i="66" s="1"/>
  <c r="D2570" i="66" s="1"/>
  <c r="D2571" i="66" s="1"/>
  <c r="D2572" i="66" s="1"/>
  <c r="D2573" i="66" s="1"/>
  <c r="D2574" i="66" s="1"/>
  <c r="D2575" i="66" s="1"/>
  <c r="D2576" i="66" s="1"/>
  <c r="D2577" i="66" s="1"/>
  <c r="D2578" i="66" s="1"/>
  <c r="D2579" i="66" s="1"/>
  <c r="D2580" i="66" s="1"/>
  <c r="D2581" i="66" s="1"/>
  <c r="D2582" i="66" s="1"/>
  <c r="D2583" i="66" s="1"/>
  <c r="D2584" i="66" s="1"/>
  <c r="D2585" i="66" s="1"/>
  <c r="D2586" i="66" s="1"/>
  <c r="D2587" i="66" s="1"/>
  <c r="D2588" i="66" s="1"/>
  <c r="D2589" i="66" s="1"/>
  <c r="D2590" i="66" s="1"/>
  <c r="D2591" i="66" s="1"/>
  <c r="D2592" i="66" s="1"/>
  <c r="D2593" i="66" s="1"/>
  <c r="D2594" i="66" s="1"/>
  <c r="D2595" i="66" s="1"/>
  <c r="D2596" i="66" s="1"/>
  <c r="D2597" i="66" s="1"/>
  <c r="D2598" i="66" s="1"/>
  <c r="D2599" i="66" s="1"/>
  <c r="D2600" i="66" s="1"/>
  <c r="D2601" i="66" s="1"/>
  <c r="D2602" i="66" s="1"/>
  <c r="D2603" i="66" s="1"/>
  <c r="D2604" i="66" s="1"/>
  <c r="D2605" i="66" s="1"/>
  <c r="D2606" i="66" s="1"/>
  <c r="D2607" i="66" s="1"/>
  <c r="D2608" i="66" s="1"/>
  <c r="D2609" i="66" s="1"/>
  <c r="D2610" i="66" s="1"/>
  <c r="D2611" i="66" s="1"/>
  <c r="D2612" i="66" s="1"/>
  <c r="D2613" i="66" s="1"/>
  <c r="D2614" i="66" s="1"/>
  <c r="D2615" i="66" s="1"/>
  <c r="D2616" i="66" s="1"/>
  <c r="D2617" i="66" s="1"/>
  <c r="D2618" i="66" s="1"/>
  <c r="D2619" i="66" s="1"/>
  <c r="D2620" i="66" s="1"/>
  <c r="D2621" i="66" s="1"/>
  <c r="D2622" i="66" s="1"/>
  <c r="D2623" i="66" s="1"/>
  <c r="D2624" i="66" s="1"/>
  <c r="D2625" i="66" s="1"/>
  <c r="D2626" i="66" s="1"/>
  <c r="D2627" i="66" s="1"/>
  <c r="D2628" i="66" s="1"/>
  <c r="D2629" i="66" s="1"/>
  <c r="D2630" i="66" s="1"/>
  <c r="D2631" i="66" s="1"/>
  <c r="D2632" i="66" s="1"/>
  <c r="D2633" i="66" s="1"/>
  <c r="D2634" i="66" s="1"/>
  <c r="D2635" i="66" s="1"/>
  <c r="D2636" i="66" s="1"/>
  <c r="D2637" i="66" s="1"/>
  <c r="D2638" i="66" s="1"/>
  <c r="D2639" i="66" s="1"/>
  <c r="D2640" i="66" s="1"/>
  <c r="D2641" i="66" s="1"/>
  <c r="D2642" i="66" s="1"/>
  <c r="D2643" i="66" s="1"/>
  <c r="D2644" i="66" s="1"/>
  <c r="D2645" i="66" s="1"/>
  <c r="D2646" i="66" s="1"/>
  <c r="D2647" i="66" s="1"/>
  <c r="D2648" i="66" s="1"/>
  <c r="D2649" i="66" s="1"/>
  <c r="D2650" i="66" s="1"/>
  <c r="D2651" i="66" s="1"/>
  <c r="D2652" i="66" s="1"/>
  <c r="D2653" i="66" s="1"/>
  <c r="D2654" i="66" s="1"/>
  <c r="D2655" i="66" s="1"/>
  <c r="D2656" i="66" s="1"/>
  <c r="D2657" i="66" s="1"/>
  <c r="D2658" i="66" s="1"/>
  <c r="D2659" i="66" s="1"/>
  <c r="D2660" i="66" s="1"/>
  <c r="D2661" i="66" s="1"/>
  <c r="D2662" i="66" s="1"/>
  <c r="D2663" i="66" s="1"/>
  <c r="D2664" i="66" s="1"/>
  <c r="D2665" i="66" s="1"/>
  <c r="D2666" i="66" s="1"/>
  <c r="D2667" i="66" s="1"/>
  <c r="D2668" i="66" s="1"/>
  <c r="D2669" i="66" s="1"/>
  <c r="D2670" i="66" s="1"/>
  <c r="D2671" i="66" s="1"/>
  <c r="D2672" i="66" s="1"/>
  <c r="D2673" i="66" s="1"/>
  <c r="D2674" i="66" s="1"/>
  <c r="D2675" i="66" s="1"/>
  <c r="D2676" i="66" s="1"/>
  <c r="D2677" i="66" s="1"/>
  <c r="D2678" i="66" s="1"/>
  <c r="D2679" i="66" s="1"/>
  <c r="D2680" i="66" s="1"/>
  <c r="D2681" i="66" s="1"/>
  <c r="D2682" i="66" s="1"/>
  <c r="D2683" i="66" s="1"/>
  <c r="D2684" i="66" s="1"/>
  <c r="D2685" i="66" s="1"/>
  <c r="D2686" i="66" s="1"/>
  <c r="D2687" i="66" s="1"/>
  <c r="D2688" i="66" s="1"/>
  <c r="D2689" i="66" s="1"/>
  <c r="D2690" i="66" s="1"/>
  <c r="D2691" i="66" s="1"/>
  <c r="D2692" i="66" s="1"/>
  <c r="D2693" i="66" s="1"/>
  <c r="F9" i="66"/>
  <c r="F10" i="66" s="1"/>
  <c r="F11" i="66" s="1"/>
  <c r="F12" i="66" s="1"/>
  <c r="F13" i="66" s="1"/>
  <c r="F14" i="66" s="1"/>
  <c r="F15" i="66" s="1"/>
  <c r="F16" i="66" s="1"/>
  <c r="F17" i="66" s="1"/>
  <c r="F18" i="66" s="1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F36" i="66" s="1"/>
  <c r="F37" i="66" s="1"/>
  <c r="F38" i="66" s="1"/>
  <c r="F39" i="66" s="1"/>
  <c r="F40" i="66" s="1"/>
  <c r="F41" i="66" s="1"/>
  <c r="F42" i="66" s="1"/>
  <c r="F43" i="66" s="1"/>
  <c r="F44" i="66" s="1"/>
  <c r="F45" i="66" s="1"/>
  <c r="F46" i="66" s="1"/>
  <c r="F47" i="66" s="1"/>
  <c r="F48" i="66" s="1"/>
  <c r="F49" i="66" s="1"/>
  <c r="F50" i="66" s="1"/>
  <c r="F51" i="66" s="1"/>
  <c r="F52" i="66" s="1"/>
  <c r="F53" i="66" s="1"/>
  <c r="F54" i="66" s="1"/>
  <c r="F55" i="66" s="1"/>
  <c r="F56" i="66" s="1"/>
  <c r="F57" i="66" s="1"/>
  <c r="F58" i="66" s="1"/>
  <c r="F59" i="66" s="1"/>
  <c r="F60" i="66" s="1"/>
  <c r="F61" i="66" s="1"/>
  <c r="F62" i="66" s="1"/>
  <c r="F63" i="66" s="1"/>
  <c r="F64" i="66" s="1"/>
  <c r="F65" i="66" s="1"/>
  <c r="F66" i="66" s="1"/>
  <c r="F67" i="66" s="1"/>
  <c r="F68" i="66" s="1"/>
  <c r="F69" i="66" s="1"/>
  <c r="F70" i="66" s="1"/>
  <c r="F71" i="66" s="1"/>
  <c r="F72" i="66" s="1"/>
  <c r="F73" i="66" s="1"/>
  <c r="F74" i="66" s="1"/>
  <c r="F75" i="66" s="1"/>
  <c r="F76" i="66" s="1"/>
  <c r="F77" i="66" s="1"/>
  <c r="F78" i="66" s="1"/>
  <c r="F79" i="66" s="1"/>
  <c r="F80" i="66" s="1"/>
  <c r="F81" i="66" s="1"/>
  <c r="F82" i="66" s="1"/>
  <c r="F83" i="66" s="1"/>
  <c r="F84" i="66" s="1"/>
  <c r="F85" i="66" s="1"/>
  <c r="F86" i="66" s="1"/>
  <c r="F87" i="66" s="1"/>
  <c r="F88" i="66" s="1"/>
  <c r="F89" i="66" s="1"/>
  <c r="F90" i="66" s="1"/>
  <c r="F91" i="66" s="1"/>
  <c r="F92" i="66" s="1"/>
  <c r="F93" i="66" s="1"/>
  <c r="F94" i="66" s="1"/>
  <c r="F95" i="66" s="1"/>
  <c r="F96" i="66" s="1"/>
  <c r="F97" i="66" s="1"/>
  <c r="F98" i="66" s="1"/>
  <c r="F99" i="66" s="1"/>
  <c r="F100" i="66" s="1"/>
  <c r="F101" i="66" s="1"/>
  <c r="F102" i="66" s="1"/>
  <c r="F103" i="66" s="1"/>
  <c r="F104" i="66" s="1"/>
  <c r="F105" i="66" s="1"/>
  <c r="F106" i="66" s="1"/>
  <c r="F107" i="66" s="1"/>
  <c r="F108" i="66" s="1"/>
  <c r="F109" i="66" s="1"/>
  <c r="F110" i="66" s="1"/>
  <c r="F111" i="66" s="1"/>
  <c r="F112" i="66" s="1"/>
  <c r="F113" i="66" s="1"/>
  <c r="F114" i="66" s="1"/>
  <c r="F115" i="66" s="1"/>
  <c r="F116" i="66" s="1"/>
  <c r="F117" i="66" s="1"/>
  <c r="F118" i="66" s="1"/>
  <c r="F119" i="66" s="1"/>
  <c r="F120" i="66" s="1"/>
  <c r="F121" i="66" s="1"/>
  <c r="F122" i="66" s="1"/>
  <c r="F123" i="66" s="1"/>
  <c r="F124" i="66" s="1"/>
  <c r="F125" i="66" s="1"/>
  <c r="F126" i="66" s="1"/>
  <c r="F127" i="66" s="1"/>
  <c r="F128" i="66" s="1"/>
  <c r="F129" i="66" s="1"/>
  <c r="F130" i="66" s="1"/>
  <c r="F131" i="66" s="1"/>
  <c r="F132" i="66" s="1"/>
  <c r="F133" i="66" s="1"/>
  <c r="F134" i="66" s="1"/>
  <c r="F135" i="66" s="1"/>
  <c r="F136" i="66" s="1"/>
  <c r="F137" i="66" s="1"/>
  <c r="F138" i="66" s="1"/>
  <c r="F139" i="66" s="1"/>
  <c r="F140" i="66" s="1"/>
  <c r="F141" i="66" s="1"/>
  <c r="F142" i="66" s="1"/>
  <c r="F143" i="66" s="1"/>
  <c r="F144" i="66" s="1"/>
  <c r="F145" i="66" s="1"/>
  <c r="F146" i="66" s="1"/>
  <c r="F147" i="66" s="1"/>
  <c r="F148" i="66" s="1"/>
  <c r="F149" i="66" s="1"/>
  <c r="F150" i="66" s="1"/>
  <c r="F151" i="66" s="1"/>
  <c r="F152" i="66" s="1"/>
  <c r="F153" i="66" s="1"/>
  <c r="F154" i="66" s="1"/>
  <c r="F155" i="66" s="1"/>
  <c r="F156" i="66" s="1"/>
  <c r="F157" i="66" s="1"/>
  <c r="F158" i="66" s="1"/>
  <c r="F159" i="66" s="1"/>
  <c r="F160" i="66" s="1"/>
  <c r="F161" i="66" s="1"/>
  <c r="F162" i="66" s="1"/>
  <c r="F163" i="66" s="1"/>
  <c r="F164" i="66" s="1"/>
  <c r="F165" i="66" s="1"/>
  <c r="F166" i="66" s="1"/>
  <c r="F167" i="66" s="1"/>
  <c r="F168" i="66" s="1"/>
  <c r="F169" i="66" s="1"/>
  <c r="F170" i="66" s="1"/>
  <c r="F171" i="66" s="1"/>
  <c r="F172" i="66" s="1"/>
  <c r="F173" i="66" s="1"/>
  <c r="F174" i="66" s="1"/>
  <c r="F175" i="66" s="1"/>
  <c r="F176" i="66" s="1"/>
  <c r="F177" i="66" s="1"/>
  <c r="F178" i="66" s="1"/>
  <c r="F179" i="66" s="1"/>
  <c r="F180" i="66" s="1"/>
  <c r="F181" i="66" s="1"/>
  <c r="F182" i="66" s="1"/>
  <c r="F183" i="66" s="1"/>
  <c r="F184" i="66" s="1"/>
  <c r="F185" i="66" s="1"/>
  <c r="F186" i="66" s="1"/>
  <c r="F187" i="66" s="1"/>
  <c r="F188" i="66" s="1"/>
  <c r="F189" i="66" s="1"/>
  <c r="F190" i="66" s="1"/>
  <c r="F191" i="66" s="1"/>
  <c r="F192" i="66" s="1"/>
  <c r="F193" i="66" s="1"/>
  <c r="F194" i="66" s="1"/>
  <c r="F195" i="66" s="1"/>
  <c r="F196" i="66" s="1"/>
  <c r="F197" i="66" s="1"/>
  <c r="F198" i="66" s="1"/>
  <c r="F199" i="66" s="1"/>
  <c r="F200" i="66" s="1"/>
  <c r="F201" i="66" s="1"/>
  <c r="F202" i="66" s="1"/>
  <c r="F203" i="66" s="1"/>
  <c r="F204" i="66" s="1"/>
  <c r="F205" i="66" s="1"/>
  <c r="F206" i="66" s="1"/>
  <c r="F207" i="66" s="1"/>
  <c r="F208" i="66" s="1"/>
  <c r="F209" i="66" s="1"/>
  <c r="F210" i="66" s="1"/>
  <c r="F211" i="66" s="1"/>
  <c r="F212" i="66" s="1"/>
  <c r="F213" i="66" s="1"/>
  <c r="F214" i="66" s="1"/>
  <c r="F215" i="66" s="1"/>
  <c r="F216" i="66" s="1"/>
  <c r="F217" i="66" s="1"/>
  <c r="F218" i="66" s="1"/>
  <c r="F219" i="66" s="1"/>
  <c r="F220" i="66" s="1"/>
  <c r="F221" i="66" s="1"/>
  <c r="F222" i="66" s="1"/>
  <c r="F223" i="66" s="1"/>
  <c r="F224" i="66" s="1"/>
  <c r="F225" i="66" s="1"/>
  <c r="F226" i="66" s="1"/>
  <c r="F227" i="66" s="1"/>
  <c r="F228" i="66" s="1"/>
  <c r="F229" i="66" s="1"/>
  <c r="F230" i="66" s="1"/>
  <c r="F231" i="66" s="1"/>
  <c r="F232" i="66" s="1"/>
  <c r="F233" i="66" s="1"/>
  <c r="F234" i="66" s="1"/>
  <c r="F235" i="66" s="1"/>
  <c r="F236" i="66" s="1"/>
  <c r="F237" i="66" s="1"/>
  <c r="F238" i="66" s="1"/>
  <c r="F239" i="66" s="1"/>
  <c r="F240" i="66" s="1"/>
  <c r="F241" i="66" s="1"/>
  <c r="F242" i="66" s="1"/>
  <c r="F243" i="66" s="1"/>
  <c r="F244" i="66" s="1"/>
  <c r="F245" i="66" s="1"/>
  <c r="F246" i="66" s="1"/>
  <c r="F247" i="66" s="1"/>
  <c r="F248" i="66" s="1"/>
  <c r="F249" i="66" s="1"/>
  <c r="F250" i="66" s="1"/>
  <c r="F251" i="66" s="1"/>
  <c r="F252" i="66" s="1"/>
  <c r="F253" i="66" s="1"/>
  <c r="F254" i="66" s="1"/>
  <c r="F255" i="66" s="1"/>
  <c r="F256" i="66" s="1"/>
  <c r="F257" i="66" s="1"/>
  <c r="F258" i="66" s="1"/>
  <c r="F259" i="66" s="1"/>
  <c r="F260" i="66" s="1"/>
  <c r="F261" i="66" s="1"/>
  <c r="F262" i="66" s="1"/>
  <c r="F263" i="66" s="1"/>
  <c r="F264" i="66" s="1"/>
  <c r="F265" i="66" s="1"/>
  <c r="F266" i="66" s="1"/>
  <c r="F267" i="66" s="1"/>
  <c r="F268" i="66" s="1"/>
  <c r="F269" i="66" s="1"/>
  <c r="F270" i="66" s="1"/>
  <c r="F271" i="66" s="1"/>
  <c r="F272" i="66" s="1"/>
  <c r="F273" i="66" s="1"/>
  <c r="F274" i="66" s="1"/>
  <c r="F275" i="66" s="1"/>
  <c r="F276" i="66" s="1"/>
  <c r="F277" i="66" s="1"/>
  <c r="F278" i="66" s="1"/>
  <c r="F279" i="66" s="1"/>
  <c r="F280" i="66" s="1"/>
  <c r="F281" i="66" s="1"/>
  <c r="F282" i="66" s="1"/>
  <c r="F283" i="66" s="1"/>
  <c r="F284" i="66" s="1"/>
  <c r="F285" i="66" s="1"/>
  <c r="F286" i="66" s="1"/>
  <c r="F287" i="66" s="1"/>
  <c r="F288" i="66" s="1"/>
  <c r="F289" i="66" s="1"/>
  <c r="F290" i="66" s="1"/>
  <c r="F291" i="66" s="1"/>
  <c r="F292" i="66" s="1"/>
  <c r="F293" i="66" s="1"/>
  <c r="F294" i="66" s="1"/>
  <c r="F295" i="66" s="1"/>
  <c r="F296" i="66" s="1"/>
  <c r="F297" i="66" s="1"/>
  <c r="F298" i="66" s="1"/>
  <c r="F299" i="66" s="1"/>
  <c r="F300" i="66" s="1"/>
  <c r="F301" i="66" s="1"/>
  <c r="F302" i="66" s="1"/>
  <c r="F303" i="66" s="1"/>
  <c r="F304" i="66" s="1"/>
  <c r="F305" i="66" s="1"/>
  <c r="F306" i="66" s="1"/>
  <c r="F307" i="66" s="1"/>
  <c r="F308" i="66" s="1"/>
  <c r="F309" i="66" s="1"/>
  <c r="F310" i="66" s="1"/>
  <c r="F311" i="66" s="1"/>
  <c r="F312" i="66" s="1"/>
  <c r="F313" i="66" s="1"/>
  <c r="F314" i="66" s="1"/>
  <c r="F315" i="66" s="1"/>
  <c r="F316" i="66" s="1"/>
  <c r="F317" i="66" s="1"/>
  <c r="F318" i="66" s="1"/>
  <c r="F319" i="66" s="1"/>
  <c r="F320" i="66" s="1"/>
  <c r="F321" i="66" s="1"/>
  <c r="F322" i="66" s="1"/>
  <c r="F323" i="66" s="1"/>
  <c r="F324" i="66" s="1"/>
  <c r="F325" i="66" s="1"/>
  <c r="F326" i="66" s="1"/>
  <c r="F327" i="66" s="1"/>
  <c r="F328" i="66" s="1"/>
  <c r="F329" i="66" s="1"/>
  <c r="F330" i="66" s="1"/>
  <c r="F331" i="66" s="1"/>
  <c r="F332" i="66" s="1"/>
  <c r="F333" i="66" s="1"/>
  <c r="F334" i="66" s="1"/>
  <c r="F335" i="66" s="1"/>
  <c r="F336" i="66" s="1"/>
  <c r="F337" i="66" s="1"/>
  <c r="F338" i="66" s="1"/>
  <c r="F339" i="66" s="1"/>
  <c r="F340" i="66" s="1"/>
  <c r="F341" i="66" s="1"/>
  <c r="F342" i="66" s="1"/>
  <c r="F343" i="66" s="1"/>
  <c r="F344" i="66" s="1"/>
  <c r="F345" i="66" s="1"/>
  <c r="F346" i="66" s="1"/>
  <c r="F347" i="66" s="1"/>
  <c r="F348" i="66" s="1"/>
  <c r="F349" i="66" s="1"/>
  <c r="F350" i="66" s="1"/>
  <c r="F351" i="66" s="1"/>
  <c r="F352" i="66" s="1"/>
  <c r="F353" i="66" s="1"/>
  <c r="F354" i="66" s="1"/>
  <c r="F355" i="66" s="1"/>
  <c r="F356" i="66" s="1"/>
  <c r="F357" i="66" s="1"/>
  <c r="F358" i="66" s="1"/>
  <c r="F359" i="66" s="1"/>
  <c r="F360" i="66" s="1"/>
  <c r="F361" i="66" s="1"/>
  <c r="F362" i="66" s="1"/>
  <c r="F363" i="66" s="1"/>
  <c r="F364" i="66" s="1"/>
  <c r="F365" i="66" s="1"/>
  <c r="F366" i="66" s="1"/>
  <c r="F367" i="66" s="1"/>
  <c r="F368" i="66" s="1"/>
  <c r="F369" i="66" s="1"/>
  <c r="F370" i="66" s="1"/>
  <c r="F371" i="66" s="1"/>
  <c r="F372" i="66" s="1"/>
  <c r="F373" i="66" s="1"/>
  <c r="F374" i="66" s="1"/>
  <c r="F375" i="66" s="1"/>
  <c r="F376" i="66" s="1"/>
  <c r="F377" i="66" s="1"/>
  <c r="F378" i="66" s="1"/>
  <c r="F379" i="66" s="1"/>
  <c r="F380" i="66" s="1"/>
  <c r="F381" i="66" s="1"/>
  <c r="F382" i="66" s="1"/>
  <c r="F383" i="66" s="1"/>
  <c r="F384" i="66" s="1"/>
  <c r="F385" i="66" s="1"/>
  <c r="F386" i="66" s="1"/>
  <c r="F387" i="66" s="1"/>
  <c r="F388" i="66" s="1"/>
  <c r="F389" i="66" s="1"/>
  <c r="F390" i="66" s="1"/>
  <c r="F391" i="66" s="1"/>
  <c r="F392" i="66" s="1"/>
  <c r="F393" i="66" s="1"/>
  <c r="F394" i="66" s="1"/>
  <c r="F395" i="66" s="1"/>
  <c r="F396" i="66" s="1"/>
  <c r="F397" i="66" s="1"/>
  <c r="F398" i="66" s="1"/>
  <c r="F399" i="66" s="1"/>
  <c r="F400" i="66" s="1"/>
  <c r="F401" i="66" s="1"/>
  <c r="F402" i="66" s="1"/>
  <c r="F403" i="66" s="1"/>
  <c r="F404" i="66" s="1"/>
  <c r="F405" i="66" s="1"/>
  <c r="F406" i="66" s="1"/>
  <c r="F407" i="66" s="1"/>
  <c r="F408" i="66" s="1"/>
  <c r="F409" i="66" s="1"/>
  <c r="F410" i="66" s="1"/>
  <c r="F411" i="66" s="1"/>
  <c r="F412" i="66" s="1"/>
  <c r="F413" i="66" s="1"/>
  <c r="F414" i="66" s="1"/>
  <c r="F415" i="66" s="1"/>
  <c r="F416" i="66" s="1"/>
  <c r="F417" i="66" s="1"/>
  <c r="F418" i="66" s="1"/>
  <c r="F419" i="66" s="1"/>
  <c r="F420" i="66" s="1"/>
  <c r="F421" i="66" s="1"/>
  <c r="F422" i="66" s="1"/>
  <c r="F423" i="66" s="1"/>
  <c r="F424" i="66" s="1"/>
  <c r="F425" i="66" s="1"/>
  <c r="F426" i="66" s="1"/>
  <c r="F427" i="66" s="1"/>
  <c r="F428" i="66" s="1"/>
  <c r="F429" i="66" s="1"/>
  <c r="F430" i="66" s="1"/>
  <c r="F431" i="66" s="1"/>
  <c r="F432" i="66" s="1"/>
  <c r="F433" i="66" s="1"/>
  <c r="F434" i="66" s="1"/>
  <c r="F435" i="66" s="1"/>
  <c r="F436" i="66" s="1"/>
  <c r="F437" i="66" s="1"/>
  <c r="F438" i="66" s="1"/>
  <c r="F439" i="66" s="1"/>
  <c r="F440" i="66" s="1"/>
  <c r="F441" i="66" s="1"/>
  <c r="F442" i="66" s="1"/>
  <c r="F443" i="66" s="1"/>
  <c r="F444" i="66" s="1"/>
  <c r="F445" i="66" s="1"/>
  <c r="F446" i="66" s="1"/>
  <c r="F447" i="66" s="1"/>
  <c r="F448" i="66" s="1"/>
  <c r="F449" i="66" s="1"/>
  <c r="F450" i="66" s="1"/>
  <c r="F451" i="66" s="1"/>
  <c r="F452" i="66" s="1"/>
  <c r="F453" i="66" s="1"/>
  <c r="F454" i="66" s="1"/>
  <c r="F455" i="66" s="1"/>
  <c r="F456" i="66" s="1"/>
  <c r="F457" i="66" s="1"/>
  <c r="F458" i="66" s="1"/>
  <c r="F459" i="66" s="1"/>
  <c r="F460" i="66" s="1"/>
  <c r="F461" i="66" s="1"/>
  <c r="F462" i="66" s="1"/>
  <c r="F463" i="66" s="1"/>
  <c r="F464" i="66" s="1"/>
  <c r="F465" i="66" s="1"/>
  <c r="F466" i="66" s="1"/>
  <c r="F467" i="66" s="1"/>
  <c r="F468" i="66" s="1"/>
  <c r="F469" i="66" s="1"/>
  <c r="F470" i="66" s="1"/>
  <c r="F471" i="66" s="1"/>
  <c r="F472" i="66" s="1"/>
  <c r="F473" i="66" s="1"/>
  <c r="F474" i="66" s="1"/>
  <c r="F475" i="66" s="1"/>
  <c r="F476" i="66" s="1"/>
  <c r="F477" i="66" s="1"/>
  <c r="F478" i="66" s="1"/>
  <c r="F479" i="66" s="1"/>
  <c r="F480" i="66" s="1"/>
  <c r="F481" i="66" s="1"/>
  <c r="F482" i="66" s="1"/>
  <c r="F483" i="66" s="1"/>
  <c r="F484" i="66" s="1"/>
  <c r="F485" i="66" s="1"/>
  <c r="F486" i="66" s="1"/>
  <c r="F487" i="66" s="1"/>
  <c r="F488" i="66" s="1"/>
  <c r="F489" i="66" s="1"/>
  <c r="F490" i="66" s="1"/>
  <c r="F491" i="66" s="1"/>
  <c r="F492" i="66" s="1"/>
  <c r="F493" i="66" s="1"/>
  <c r="F494" i="66" s="1"/>
  <c r="F495" i="66" s="1"/>
  <c r="F496" i="66" s="1"/>
  <c r="F497" i="66" s="1"/>
  <c r="F498" i="66" s="1"/>
  <c r="F499" i="66" s="1"/>
  <c r="F500" i="66" s="1"/>
  <c r="F501" i="66" s="1"/>
  <c r="F502" i="66" s="1"/>
  <c r="F503" i="66" s="1"/>
  <c r="F504" i="66" s="1"/>
  <c r="F505" i="66" s="1"/>
  <c r="F506" i="66" s="1"/>
  <c r="F507" i="66" s="1"/>
  <c r="F508" i="66" s="1"/>
  <c r="F509" i="66" s="1"/>
  <c r="F510" i="66" s="1"/>
  <c r="F511" i="66" s="1"/>
  <c r="F512" i="66" s="1"/>
  <c r="F513" i="66" s="1"/>
  <c r="F514" i="66" s="1"/>
  <c r="F515" i="66" s="1"/>
  <c r="F516" i="66" s="1"/>
  <c r="F517" i="66" s="1"/>
  <c r="F518" i="66" s="1"/>
  <c r="F519" i="66" s="1"/>
  <c r="F520" i="66" s="1"/>
  <c r="F521" i="66" s="1"/>
  <c r="F522" i="66" s="1"/>
  <c r="F523" i="66" s="1"/>
  <c r="F524" i="66" s="1"/>
  <c r="F525" i="66" s="1"/>
  <c r="F526" i="66" s="1"/>
  <c r="F527" i="66" s="1"/>
  <c r="F528" i="66" s="1"/>
  <c r="F529" i="66" s="1"/>
  <c r="F530" i="66" s="1"/>
  <c r="F531" i="66" s="1"/>
  <c r="F532" i="66" s="1"/>
  <c r="F533" i="66" s="1"/>
  <c r="F534" i="66" s="1"/>
  <c r="F535" i="66" s="1"/>
  <c r="F536" i="66" s="1"/>
  <c r="F537" i="66" s="1"/>
  <c r="F538" i="66" s="1"/>
  <c r="F539" i="66" s="1"/>
  <c r="F540" i="66" s="1"/>
  <c r="F541" i="66" s="1"/>
  <c r="F542" i="66" s="1"/>
  <c r="F543" i="66" s="1"/>
  <c r="F544" i="66" s="1"/>
  <c r="F545" i="66" s="1"/>
  <c r="F546" i="66" s="1"/>
  <c r="F547" i="66" s="1"/>
  <c r="F548" i="66" s="1"/>
  <c r="F549" i="66" s="1"/>
  <c r="F550" i="66" s="1"/>
  <c r="F551" i="66" s="1"/>
  <c r="F552" i="66" s="1"/>
  <c r="F553" i="66" s="1"/>
  <c r="F554" i="66" s="1"/>
  <c r="F555" i="66" s="1"/>
  <c r="F556" i="66" s="1"/>
  <c r="F557" i="66" s="1"/>
  <c r="F558" i="66" s="1"/>
  <c r="F559" i="66" s="1"/>
  <c r="F560" i="66" s="1"/>
  <c r="F561" i="66" s="1"/>
  <c r="F562" i="66" s="1"/>
  <c r="F563" i="66" s="1"/>
  <c r="F564" i="66" s="1"/>
  <c r="F565" i="66" s="1"/>
  <c r="F566" i="66" s="1"/>
  <c r="F567" i="66" s="1"/>
  <c r="F568" i="66" s="1"/>
  <c r="F569" i="66" s="1"/>
  <c r="F570" i="66" s="1"/>
  <c r="F571" i="66" s="1"/>
  <c r="F572" i="66" s="1"/>
  <c r="F573" i="66" s="1"/>
  <c r="F574" i="66" s="1"/>
  <c r="F575" i="66" s="1"/>
  <c r="F576" i="66" s="1"/>
  <c r="F577" i="66" s="1"/>
  <c r="F578" i="66" s="1"/>
  <c r="F579" i="66" s="1"/>
  <c r="F580" i="66" s="1"/>
  <c r="F581" i="66" s="1"/>
  <c r="F582" i="66" s="1"/>
  <c r="F583" i="66" s="1"/>
  <c r="F584" i="66" s="1"/>
  <c r="F585" i="66" s="1"/>
  <c r="F586" i="66" s="1"/>
  <c r="F587" i="66" s="1"/>
  <c r="F588" i="66" s="1"/>
  <c r="F589" i="66" s="1"/>
  <c r="F590" i="66" s="1"/>
  <c r="F591" i="66" s="1"/>
  <c r="F592" i="66" s="1"/>
  <c r="F593" i="66" s="1"/>
  <c r="F594" i="66" s="1"/>
  <c r="F595" i="66" s="1"/>
  <c r="F596" i="66" s="1"/>
  <c r="F597" i="66" s="1"/>
  <c r="F598" i="66" s="1"/>
  <c r="F599" i="66" s="1"/>
  <c r="F600" i="66" s="1"/>
  <c r="F601" i="66" s="1"/>
  <c r="F602" i="66" s="1"/>
  <c r="F603" i="66" s="1"/>
  <c r="F604" i="66" s="1"/>
  <c r="F605" i="66" s="1"/>
  <c r="F606" i="66" s="1"/>
  <c r="F607" i="66" s="1"/>
  <c r="F608" i="66" s="1"/>
  <c r="F609" i="66" s="1"/>
  <c r="F610" i="66" s="1"/>
  <c r="F611" i="66" s="1"/>
  <c r="F612" i="66" s="1"/>
  <c r="F613" i="66" s="1"/>
  <c r="F614" i="66" s="1"/>
  <c r="F615" i="66" s="1"/>
  <c r="F616" i="66" s="1"/>
  <c r="F617" i="66" s="1"/>
  <c r="F618" i="66" s="1"/>
  <c r="F619" i="66" s="1"/>
  <c r="F620" i="66" s="1"/>
  <c r="F621" i="66" s="1"/>
  <c r="F622" i="66" s="1"/>
  <c r="F623" i="66" s="1"/>
  <c r="F624" i="66" s="1"/>
  <c r="F625" i="66" s="1"/>
  <c r="F626" i="66" s="1"/>
  <c r="F627" i="66" s="1"/>
  <c r="F628" i="66" s="1"/>
  <c r="F629" i="66" s="1"/>
  <c r="F630" i="66" s="1"/>
  <c r="F631" i="66" s="1"/>
  <c r="F632" i="66" s="1"/>
  <c r="F633" i="66" s="1"/>
  <c r="F634" i="66" s="1"/>
  <c r="F635" i="66" s="1"/>
  <c r="F636" i="66" s="1"/>
  <c r="F637" i="66" s="1"/>
  <c r="F638" i="66" s="1"/>
  <c r="F639" i="66" s="1"/>
  <c r="F640" i="66" s="1"/>
  <c r="F641" i="66" s="1"/>
  <c r="F642" i="66" s="1"/>
  <c r="F643" i="66" s="1"/>
  <c r="F644" i="66" s="1"/>
  <c r="F645" i="66" s="1"/>
  <c r="F646" i="66" s="1"/>
  <c r="F647" i="66" s="1"/>
  <c r="F648" i="66" s="1"/>
  <c r="F649" i="66" s="1"/>
  <c r="F650" i="66" s="1"/>
  <c r="F651" i="66" s="1"/>
  <c r="F652" i="66" s="1"/>
  <c r="F653" i="66" s="1"/>
  <c r="F654" i="66" s="1"/>
  <c r="F655" i="66" s="1"/>
  <c r="F656" i="66" s="1"/>
  <c r="F657" i="66" s="1"/>
  <c r="F658" i="66" s="1"/>
  <c r="F659" i="66" s="1"/>
  <c r="F660" i="66" s="1"/>
  <c r="F661" i="66" s="1"/>
  <c r="F662" i="66" s="1"/>
  <c r="F663" i="66" s="1"/>
  <c r="F664" i="66" s="1"/>
  <c r="F665" i="66" s="1"/>
  <c r="F666" i="66" s="1"/>
  <c r="F667" i="66" s="1"/>
  <c r="F668" i="66" s="1"/>
  <c r="F669" i="66" s="1"/>
  <c r="F670" i="66" s="1"/>
  <c r="F671" i="66" s="1"/>
  <c r="F672" i="66" s="1"/>
  <c r="F673" i="66" s="1"/>
  <c r="F674" i="66" s="1"/>
  <c r="F675" i="66" s="1"/>
  <c r="F676" i="66" s="1"/>
  <c r="F677" i="66" s="1"/>
  <c r="F678" i="66" s="1"/>
  <c r="F679" i="66" s="1"/>
  <c r="F680" i="66" s="1"/>
  <c r="F681" i="66" s="1"/>
  <c r="F682" i="66" s="1"/>
  <c r="F683" i="66" s="1"/>
  <c r="F684" i="66" s="1"/>
  <c r="F685" i="66" s="1"/>
  <c r="F686" i="66" s="1"/>
  <c r="F687" i="66" s="1"/>
  <c r="F688" i="66" s="1"/>
  <c r="F689" i="66" s="1"/>
  <c r="F690" i="66" s="1"/>
  <c r="F691" i="66" s="1"/>
  <c r="F692" i="66" s="1"/>
  <c r="F693" i="66" s="1"/>
  <c r="F694" i="66" s="1"/>
  <c r="F695" i="66" s="1"/>
  <c r="F696" i="66" s="1"/>
  <c r="F697" i="66" s="1"/>
  <c r="F698" i="66" s="1"/>
  <c r="F699" i="66" s="1"/>
  <c r="F700" i="66" s="1"/>
  <c r="F701" i="66" s="1"/>
  <c r="F702" i="66" s="1"/>
  <c r="F703" i="66" s="1"/>
  <c r="F704" i="66" s="1"/>
  <c r="F705" i="66" s="1"/>
  <c r="F706" i="66" s="1"/>
  <c r="F707" i="66" s="1"/>
  <c r="F708" i="66" s="1"/>
  <c r="F709" i="66" s="1"/>
  <c r="F710" i="66" s="1"/>
  <c r="F711" i="66" s="1"/>
  <c r="F712" i="66" s="1"/>
  <c r="F713" i="66" s="1"/>
  <c r="F714" i="66" s="1"/>
  <c r="F715" i="66" s="1"/>
  <c r="F716" i="66" s="1"/>
  <c r="F717" i="66" s="1"/>
  <c r="F718" i="66" s="1"/>
  <c r="F719" i="66" s="1"/>
  <c r="F720" i="66" s="1"/>
  <c r="F721" i="66" s="1"/>
  <c r="F722" i="66" s="1"/>
  <c r="F723" i="66" s="1"/>
  <c r="F724" i="66" s="1"/>
  <c r="F725" i="66" s="1"/>
  <c r="F726" i="66" s="1"/>
  <c r="F727" i="66" s="1"/>
  <c r="F728" i="66" s="1"/>
  <c r="F729" i="66" s="1"/>
  <c r="F730" i="66" s="1"/>
  <c r="F731" i="66" s="1"/>
  <c r="F732" i="66" s="1"/>
  <c r="F733" i="66" s="1"/>
  <c r="F734" i="66" s="1"/>
  <c r="F735" i="66" s="1"/>
  <c r="F736" i="66" s="1"/>
  <c r="F737" i="66" s="1"/>
  <c r="F738" i="66" s="1"/>
  <c r="F739" i="66" s="1"/>
  <c r="F740" i="66" s="1"/>
  <c r="F741" i="66" s="1"/>
  <c r="F742" i="66" s="1"/>
  <c r="F743" i="66" s="1"/>
  <c r="F744" i="66" s="1"/>
  <c r="F745" i="66" s="1"/>
  <c r="F746" i="66" s="1"/>
  <c r="F747" i="66" s="1"/>
  <c r="F748" i="66" s="1"/>
  <c r="F749" i="66" s="1"/>
  <c r="F750" i="66" s="1"/>
  <c r="F751" i="66" s="1"/>
  <c r="F752" i="66" s="1"/>
  <c r="F753" i="66" s="1"/>
  <c r="F754" i="66" s="1"/>
  <c r="F755" i="66" s="1"/>
  <c r="F756" i="66" s="1"/>
  <c r="F757" i="66" s="1"/>
  <c r="F758" i="66" s="1"/>
  <c r="F759" i="66" s="1"/>
  <c r="F760" i="66" s="1"/>
  <c r="F761" i="66" s="1"/>
  <c r="F762" i="66" s="1"/>
  <c r="F763" i="66" s="1"/>
  <c r="F764" i="66" s="1"/>
  <c r="F765" i="66" s="1"/>
  <c r="F766" i="66" s="1"/>
  <c r="F767" i="66" s="1"/>
  <c r="F768" i="66" s="1"/>
  <c r="F769" i="66" s="1"/>
  <c r="F770" i="66" s="1"/>
  <c r="F771" i="66" s="1"/>
  <c r="F772" i="66" s="1"/>
  <c r="F773" i="66" s="1"/>
  <c r="F774" i="66" s="1"/>
  <c r="F775" i="66" s="1"/>
  <c r="F776" i="66" s="1"/>
  <c r="F777" i="66" s="1"/>
  <c r="F778" i="66" s="1"/>
  <c r="F779" i="66" s="1"/>
  <c r="F780" i="66" s="1"/>
  <c r="F781" i="66" s="1"/>
  <c r="F782" i="66" s="1"/>
  <c r="F783" i="66" s="1"/>
  <c r="F784" i="66" s="1"/>
  <c r="F785" i="66" s="1"/>
  <c r="F786" i="66" s="1"/>
  <c r="F787" i="66" s="1"/>
  <c r="F788" i="66" s="1"/>
  <c r="F789" i="66" s="1"/>
  <c r="F790" i="66" s="1"/>
  <c r="F791" i="66" s="1"/>
  <c r="F792" i="66" s="1"/>
  <c r="F793" i="66" s="1"/>
  <c r="F794" i="66" s="1"/>
  <c r="F795" i="66" s="1"/>
  <c r="F796" i="66" s="1"/>
  <c r="F797" i="66" s="1"/>
  <c r="F798" i="66" s="1"/>
  <c r="F799" i="66" s="1"/>
  <c r="F800" i="66" s="1"/>
  <c r="F801" i="66" s="1"/>
  <c r="F802" i="66" s="1"/>
  <c r="F803" i="66" s="1"/>
  <c r="F804" i="66" s="1"/>
  <c r="F805" i="66" s="1"/>
  <c r="F806" i="66" s="1"/>
  <c r="F807" i="66" s="1"/>
  <c r="F808" i="66" s="1"/>
  <c r="F809" i="66" s="1"/>
  <c r="F810" i="66" s="1"/>
  <c r="F811" i="66" s="1"/>
  <c r="F812" i="66" s="1"/>
  <c r="F813" i="66" s="1"/>
  <c r="F814" i="66" s="1"/>
  <c r="F815" i="66" s="1"/>
  <c r="F816" i="66" s="1"/>
  <c r="F817" i="66" s="1"/>
  <c r="F818" i="66" s="1"/>
  <c r="F819" i="66" s="1"/>
  <c r="F820" i="66" s="1"/>
  <c r="F821" i="66" s="1"/>
  <c r="F822" i="66" s="1"/>
  <c r="F823" i="66" s="1"/>
  <c r="F824" i="66" s="1"/>
  <c r="F825" i="66" s="1"/>
  <c r="F826" i="66" s="1"/>
  <c r="F827" i="66" s="1"/>
  <c r="F828" i="66" s="1"/>
  <c r="F829" i="66" s="1"/>
  <c r="F830" i="66" s="1"/>
  <c r="F831" i="66" s="1"/>
  <c r="F832" i="66" s="1"/>
  <c r="F833" i="66" s="1"/>
  <c r="F834" i="66" s="1"/>
  <c r="F835" i="66" s="1"/>
  <c r="F836" i="66" s="1"/>
  <c r="F837" i="66" s="1"/>
  <c r="F838" i="66" s="1"/>
  <c r="F839" i="66" s="1"/>
  <c r="F840" i="66" s="1"/>
  <c r="F841" i="66" s="1"/>
  <c r="F842" i="66" s="1"/>
  <c r="F843" i="66" s="1"/>
  <c r="F844" i="66" s="1"/>
  <c r="F845" i="66" s="1"/>
  <c r="F846" i="66" s="1"/>
  <c r="F847" i="66" s="1"/>
  <c r="F848" i="66" s="1"/>
  <c r="F849" i="66" s="1"/>
  <c r="F850" i="66" s="1"/>
  <c r="F851" i="66" s="1"/>
  <c r="F852" i="66" s="1"/>
  <c r="F853" i="66" s="1"/>
  <c r="F854" i="66" s="1"/>
  <c r="F855" i="66" s="1"/>
  <c r="F856" i="66" s="1"/>
  <c r="F857" i="66" s="1"/>
  <c r="F858" i="66" s="1"/>
  <c r="F859" i="66" s="1"/>
  <c r="F860" i="66" s="1"/>
  <c r="F861" i="66" s="1"/>
  <c r="F862" i="66" s="1"/>
  <c r="F863" i="66" s="1"/>
  <c r="F864" i="66" s="1"/>
  <c r="F865" i="66" s="1"/>
  <c r="F866" i="66" s="1"/>
  <c r="F867" i="66" s="1"/>
  <c r="F868" i="66" s="1"/>
  <c r="F869" i="66" s="1"/>
  <c r="F870" i="66" s="1"/>
  <c r="F871" i="66" s="1"/>
  <c r="F872" i="66" s="1"/>
  <c r="F873" i="66" s="1"/>
  <c r="F874" i="66" s="1"/>
  <c r="F875" i="66" s="1"/>
  <c r="F876" i="66" s="1"/>
  <c r="F877" i="66" s="1"/>
  <c r="F878" i="66" s="1"/>
  <c r="F879" i="66" s="1"/>
  <c r="F880" i="66" s="1"/>
  <c r="F881" i="66" s="1"/>
  <c r="F882" i="66" s="1"/>
  <c r="F883" i="66" s="1"/>
  <c r="F884" i="66" s="1"/>
  <c r="F885" i="66" s="1"/>
  <c r="F886" i="66" s="1"/>
  <c r="F887" i="66" s="1"/>
  <c r="F888" i="66" s="1"/>
  <c r="F889" i="66" s="1"/>
  <c r="F890" i="66" s="1"/>
  <c r="F891" i="66" s="1"/>
  <c r="F892" i="66" s="1"/>
  <c r="F893" i="66" s="1"/>
  <c r="F894" i="66" s="1"/>
  <c r="F895" i="66" s="1"/>
  <c r="F896" i="66" s="1"/>
  <c r="F897" i="66" s="1"/>
  <c r="F898" i="66" s="1"/>
  <c r="F899" i="66" s="1"/>
  <c r="F900" i="66" s="1"/>
  <c r="F901" i="66" s="1"/>
  <c r="F902" i="66" s="1"/>
  <c r="F903" i="66" s="1"/>
  <c r="F904" i="66" s="1"/>
  <c r="F905" i="66" s="1"/>
  <c r="F906" i="66" s="1"/>
  <c r="F907" i="66" s="1"/>
  <c r="F908" i="66" s="1"/>
  <c r="F909" i="66" s="1"/>
  <c r="F910" i="66" s="1"/>
  <c r="F911" i="66" s="1"/>
  <c r="F912" i="66" s="1"/>
  <c r="F913" i="66" s="1"/>
  <c r="F914" i="66" s="1"/>
  <c r="F915" i="66" s="1"/>
  <c r="F916" i="66" s="1"/>
  <c r="F917" i="66" s="1"/>
  <c r="F918" i="66" s="1"/>
  <c r="F919" i="66" s="1"/>
  <c r="F920" i="66" s="1"/>
  <c r="F921" i="66" s="1"/>
  <c r="F922" i="66" s="1"/>
  <c r="F923" i="66" s="1"/>
  <c r="F924" i="66" s="1"/>
  <c r="F925" i="66" s="1"/>
  <c r="F926" i="66" s="1"/>
  <c r="F927" i="66" s="1"/>
  <c r="F928" i="66" s="1"/>
  <c r="F929" i="66" s="1"/>
  <c r="F930" i="66" s="1"/>
  <c r="F931" i="66" s="1"/>
  <c r="F932" i="66" s="1"/>
  <c r="F933" i="66" s="1"/>
  <c r="F934" i="66" s="1"/>
  <c r="F935" i="66" s="1"/>
  <c r="F936" i="66" s="1"/>
  <c r="F937" i="66" s="1"/>
  <c r="F938" i="66" s="1"/>
  <c r="F939" i="66" s="1"/>
  <c r="F940" i="66" s="1"/>
  <c r="F941" i="66" s="1"/>
  <c r="F942" i="66" s="1"/>
  <c r="F943" i="66" s="1"/>
  <c r="F944" i="66" s="1"/>
  <c r="F945" i="66" s="1"/>
  <c r="F946" i="66" s="1"/>
  <c r="F947" i="66" s="1"/>
  <c r="F948" i="66" s="1"/>
  <c r="F949" i="66" s="1"/>
  <c r="F950" i="66" s="1"/>
  <c r="F951" i="66" s="1"/>
  <c r="F952" i="66" s="1"/>
  <c r="F953" i="66" s="1"/>
  <c r="F954" i="66" s="1"/>
  <c r="F955" i="66" s="1"/>
  <c r="F956" i="66" s="1"/>
  <c r="F957" i="66" s="1"/>
  <c r="F958" i="66" s="1"/>
  <c r="F959" i="66" s="1"/>
  <c r="F960" i="66" s="1"/>
  <c r="F961" i="66" s="1"/>
  <c r="F962" i="66" s="1"/>
  <c r="F963" i="66" s="1"/>
  <c r="F964" i="66" s="1"/>
  <c r="F965" i="66" s="1"/>
  <c r="F966" i="66" s="1"/>
  <c r="F967" i="66" s="1"/>
  <c r="F968" i="66" s="1"/>
  <c r="F969" i="66" s="1"/>
  <c r="F970" i="66" s="1"/>
  <c r="F971" i="66" s="1"/>
  <c r="F972" i="66" s="1"/>
  <c r="F973" i="66" s="1"/>
  <c r="F974" i="66" s="1"/>
  <c r="F975" i="66" s="1"/>
  <c r="F976" i="66" s="1"/>
  <c r="F977" i="66" s="1"/>
  <c r="F978" i="66" s="1"/>
  <c r="F979" i="66" s="1"/>
  <c r="F980" i="66" s="1"/>
  <c r="F981" i="66" s="1"/>
  <c r="F982" i="66" s="1"/>
  <c r="F983" i="66" s="1"/>
  <c r="F984" i="66" s="1"/>
  <c r="F985" i="66" s="1"/>
  <c r="F986" i="66" s="1"/>
  <c r="F987" i="66" s="1"/>
  <c r="F988" i="66" s="1"/>
  <c r="F989" i="66" s="1"/>
  <c r="F990" i="66" s="1"/>
  <c r="F991" i="66" s="1"/>
  <c r="F992" i="66" s="1"/>
  <c r="F993" i="66" s="1"/>
  <c r="F994" i="66" s="1"/>
  <c r="F995" i="66" s="1"/>
  <c r="F996" i="66" s="1"/>
  <c r="F997" i="66" s="1"/>
  <c r="F998" i="66" s="1"/>
  <c r="F999" i="66" s="1"/>
  <c r="F1000" i="66" s="1"/>
  <c r="F1001" i="66" s="1"/>
  <c r="F1002" i="66" s="1"/>
  <c r="F1003" i="66" s="1"/>
  <c r="F1004" i="66" s="1"/>
  <c r="F1005" i="66" s="1"/>
  <c r="F1006" i="66" s="1"/>
  <c r="F1007" i="66" s="1"/>
  <c r="F1008" i="66" s="1"/>
  <c r="F1009" i="66" s="1"/>
  <c r="F1010" i="66" s="1"/>
  <c r="F1011" i="66" s="1"/>
  <c r="F1012" i="66" s="1"/>
  <c r="F1013" i="66" s="1"/>
  <c r="F1014" i="66" s="1"/>
  <c r="F1015" i="66" s="1"/>
  <c r="F1016" i="66" s="1"/>
  <c r="F1017" i="66" s="1"/>
  <c r="F1018" i="66" s="1"/>
  <c r="F1019" i="66" s="1"/>
  <c r="F1020" i="66" s="1"/>
  <c r="F1021" i="66" s="1"/>
  <c r="F1022" i="66" s="1"/>
  <c r="F1023" i="66" s="1"/>
  <c r="F1024" i="66" s="1"/>
  <c r="F1025" i="66" s="1"/>
  <c r="F1026" i="66" s="1"/>
  <c r="F1027" i="66" s="1"/>
  <c r="F1028" i="66" s="1"/>
  <c r="F1029" i="66" s="1"/>
  <c r="F1030" i="66" s="1"/>
  <c r="F1031" i="66" s="1"/>
  <c r="F1032" i="66" s="1"/>
  <c r="F1033" i="66" s="1"/>
  <c r="F1034" i="66" s="1"/>
  <c r="F1035" i="66" s="1"/>
  <c r="F1036" i="66" s="1"/>
  <c r="F1037" i="66" s="1"/>
  <c r="F1038" i="66" s="1"/>
  <c r="F1039" i="66" s="1"/>
  <c r="F1040" i="66" s="1"/>
  <c r="F1041" i="66" s="1"/>
  <c r="F1042" i="66" s="1"/>
  <c r="F1043" i="66" s="1"/>
  <c r="F1044" i="66" s="1"/>
  <c r="F1045" i="66" s="1"/>
  <c r="F1046" i="66" s="1"/>
  <c r="F1047" i="66" s="1"/>
  <c r="F1048" i="66" s="1"/>
  <c r="F1049" i="66" s="1"/>
  <c r="F1050" i="66" s="1"/>
  <c r="F1051" i="66" s="1"/>
  <c r="F1052" i="66" s="1"/>
  <c r="F1053" i="66" s="1"/>
  <c r="F1054" i="66" s="1"/>
  <c r="F1055" i="66" s="1"/>
  <c r="F1056" i="66" s="1"/>
  <c r="F1057" i="66" s="1"/>
  <c r="F1058" i="66" s="1"/>
  <c r="F1059" i="66" s="1"/>
  <c r="F1060" i="66" s="1"/>
  <c r="F1061" i="66" s="1"/>
  <c r="F1062" i="66" s="1"/>
  <c r="F1063" i="66" s="1"/>
  <c r="F1064" i="66" s="1"/>
  <c r="F1065" i="66" s="1"/>
  <c r="F1066" i="66" s="1"/>
  <c r="F1067" i="66" s="1"/>
  <c r="F1068" i="66" s="1"/>
  <c r="F1069" i="66" s="1"/>
  <c r="F1070" i="66" s="1"/>
  <c r="F1071" i="66" s="1"/>
  <c r="F1072" i="66" s="1"/>
  <c r="F1073" i="66" s="1"/>
  <c r="F1074" i="66" s="1"/>
  <c r="F1075" i="66" s="1"/>
  <c r="F1076" i="66" s="1"/>
  <c r="F1077" i="66" s="1"/>
  <c r="F1078" i="66" s="1"/>
  <c r="F1079" i="66" s="1"/>
  <c r="F1080" i="66" s="1"/>
  <c r="F1081" i="66" s="1"/>
  <c r="F1082" i="66" s="1"/>
  <c r="F1083" i="66" s="1"/>
  <c r="F1084" i="66" s="1"/>
  <c r="F1085" i="66" s="1"/>
  <c r="F1086" i="66" s="1"/>
  <c r="F1087" i="66" s="1"/>
  <c r="F1088" i="66" s="1"/>
  <c r="F1089" i="66" s="1"/>
  <c r="F1090" i="66" s="1"/>
  <c r="F1091" i="66" s="1"/>
  <c r="F1092" i="66" s="1"/>
  <c r="F1093" i="66" s="1"/>
  <c r="F1094" i="66" s="1"/>
  <c r="F1095" i="66" s="1"/>
  <c r="F1096" i="66" s="1"/>
  <c r="F1097" i="66" s="1"/>
  <c r="F1098" i="66" s="1"/>
  <c r="F1099" i="66" s="1"/>
  <c r="F1100" i="66" s="1"/>
  <c r="F1101" i="66" s="1"/>
  <c r="F1102" i="66" s="1"/>
  <c r="F1103" i="66" s="1"/>
  <c r="F1104" i="66" s="1"/>
  <c r="F1105" i="66" s="1"/>
  <c r="F1106" i="66" s="1"/>
  <c r="F1107" i="66" s="1"/>
  <c r="F1108" i="66" s="1"/>
  <c r="F1109" i="66" s="1"/>
  <c r="F1110" i="66" s="1"/>
  <c r="F1111" i="66" s="1"/>
  <c r="F1112" i="66" s="1"/>
  <c r="F1113" i="66" s="1"/>
  <c r="F1114" i="66" s="1"/>
  <c r="F1115" i="66" s="1"/>
  <c r="F1116" i="66" s="1"/>
  <c r="F1117" i="66" s="1"/>
  <c r="F1118" i="66" s="1"/>
  <c r="F1119" i="66" s="1"/>
  <c r="F1120" i="66" s="1"/>
  <c r="F1121" i="66" s="1"/>
  <c r="F1122" i="66" s="1"/>
  <c r="F1123" i="66" s="1"/>
  <c r="F1124" i="66" s="1"/>
  <c r="F1125" i="66" s="1"/>
  <c r="F1126" i="66" s="1"/>
  <c r="F1127" i="66" s="1"/>
  <c r="F1128" i="66" s="1"/>
  <c r="F1129" i="66" s="1"/>
  <c r="F1130" i="66" s="1"/>
  <c r="F1131" i="66" s="1"/>
  <c r="F1132" i="66" s="1"/>
  <c r="F1133" i="66" s="1"/>
  <c r="F1134" i="66" s="1"/>
  <c r="F1135" i="66" s="1"/>
  <c r="F1136" i="66" s="1"/>
  <c r="F1137" i="66" s="1"/>
  <c r="F1138" i="66" s="1"/>
  <c r="F1139" i="66" s="1"/>
  <c r="F1140" i="66" s="1"/>
  <c r="F1141" i="66" s="1"/>
  <c r="F1142" i="66" s="1"/>
  <c r="F1143" i="66" s="1"/>
  <c r="F1144" i="66" s="1"/>
  <c r="F1145" i="66" s="1"/>
  <c r="F1146" i="66" s="1"/>
  <c r="F1147" i="66" s="1"/>
  <c r="F1148" i="66" s="1"/>
  <c r="F1149" i="66" s="1"/>
  <c r="F1150" i="66" s="1"/>
  <c r="F1151" i="66" s="1"/>
  <c r="F1152" i="66" s="1"/>
  <c r="F1153" i="66" s="1"/>
  <c r="F1154" i="66" s="1"/>
  <c r="F1155" i="66" s="1"/>
  <c r="F1156" i="66" s="1"/>
  <c r="F1157" i="66" s="1"/>
  <c r="F1158" i="66" s="1"/>
  <c r="F1159" i="66" s="1"/>
  <c r="F1160" i="66" s="1"/>
  <c r="F1161" i="66" s="1"/>
  <c r="F1162" i="66" s="1"/>
  <c r="F1163" i="66" s="1"/>
  <c r="F1164" i="66" s="1"/>
  <c r="F1165" i="66" s="1"/>
  <c r="F1166" i="66" s="1"/>
  <c r="F1167" i="66" s="1"/>
  <c r="F1168" i="66" s="1"/>
  <c r="F1169" i="66" s="1"/>
  <c r="F1170" i="66" s="1"/>
  <c r="F1171" i="66" s="1"/>
  <c r="F1172" i="66" s="1"/>
  <c r="F1173" i="66" s="1"/>
  <c r="F1174" i="66" s="1"/>
  <c r="F1175" i="66" s="1"/>
  <c r="F1176" i="66" s="1"/>
  <c r="F1177" i="66" s="1"/>
  <c r="F1178" i="66" s="1"/>
  <c r="F1179" i="66" s="1"/>
  <c r="F1180" i="66" s="1"/>
  <c r="F1181" i="66" s="1"/>
  <c r="F1182" i="66" s="1"/>
  <c r="F1183" i="66" s="1"/>
  <c r="F1184" i="66" s="1"/>
  <c r="F1185" i="66" s="1"/>
  <c r="F1186" i="66" s="1"/>
  <c r="F1187" i="66" s="1"/>
  <c r="F1188" i="66" s="1"/>
  <c r="F1189" i="66" s="1"/>
  <c r="F1190" i="66" s="1"/>
  <c r="F1191" i="66" s="1"/>
  <c r="F1192" i="66" s="1"/>
  <c r="F1193" i="66" s="1"/>
  <c r="F1194" i="66" s="1"/>
  <c r="F1195" i="66" s="1"/>
  <c r="F1196" i="66" s="1"/>
  <c r="F1197" i="66" s="1"/>
  <c r="F1198" i="66" s="1"/>
  <c r="F1199" i="66" s="1"/>
  <c r="F1200" i="66" s="1"/>
  <c r="F1201" i="66" s="1"/>
  <c r="F1202" i="66" s="1"/>
  <c r="F1203" i="66" s="1"/>
  <c r="F1204" i="66" s="1"/>
  <c r="F1205" i="66" s="1"/>
  <c r="F1206" i="66" s="1"/>
  <c r="F1207" i="66" s="1"/>
  <c r="F1208" i="66" s="1"/>
  <c r="F1209" i="66" s="1"/>
  <c r="F1210" i="66" s="1"/>
  <c r="F1211" i="66" s="1"/>
  <c r="F1212" i="66" s="1"/>
  <c r="F1213" i="66" s="1"/>
  <c r="F1214" i="66" s="1"/>
  <c r="F1215" i="66" s="1"/>
  <c r="F1216" i="66" s="1"/>
  <c r="F1217" i="66" s="1"/>
  <c r="F1218" i="66" s="1"/>
  <c r="F1219" i="66" s="1"/>
  <c r="F1220" i="66" s="1"/>
  <c r="F1221" i="66" s="1"/>
  <c r="F1222" i="66" s="1"/>
  <c r="F1223" i="66" s="1"/>
  <c r="F1224" i="66" s="1"/>
  <c r="F1225" i="66" s="1"/>
  <c r="F1226" i="66" s="1"/>
  <c r="F1227" i="66" s="1"/>
  <c r="F1228" i="66" s="1"/>
  <c r="F1229" i="66" s="1"/>
  <c r="F1230" i="66" s="1"/>
  <c r="F1231" i="66" s="1"/>
  <c r="F1232" i="66" s="1"/>
  <c r="F1233" i="66" s="1"/>
  <c r="F1234" i="66" s="1"/>
  <c r="F1235" i="66" s="1"/>
  <c r="F1236" i="66" s="1"/>
  <c r="F1237" i="66" s="1"/>
  <c r="F1238" i="66" s="1"/>
  <c r="F1239" i="66" s="1"/>
  <c r="F1240" i="66" s="1"/>
  <c r="F1241" i="66" s="1"/>
  <c r="F1242" i="66" s="1"/>
  <c r="F1243" i="66" s="1"/>
  <c r="F1244" i="66" s="1"/>
  <c r="F1245" i="66" s="1"/>
  <c r="F1246" i="66" s="1"/>
  <c r="F1247" i="66" s="1"/>
  <c r="F1248" i="66" s="1"/>
  <c r="F1249" i="66" s="1"/>
  <c r="F1250" i="66" s="1"/>
  <c r="F1251" i="66" s="1"/>
  <c r="F1252" i="66" s="1"/>
  <c r="F1253" i="66" s="1"/>
  <c r="F1254" i="66" s="1"/>
  <c r="F1255" i="66" s="1"/>
  <c r="F1256" i="66" s="1"/>
  <c r="F1257" i="66" s="1"/>
  <c r="F1258" i="66" s="1"/>
  <c r="F1259" i="66" s="1"/>
  <c r="F1260" i="66" s="1"/>
  <c r="F1261" i="66" s="1"/>
  <c r="F1262" i="66" s="1"/>
  <c r="F1263" i="66" s="1"/>
  <c r="F1264" i="66" s="1"/>
  <c r="F1265" i="66" s="1"/>
  <c r="F1266" i="66" s="1"/>
  <c r="F1267" i="66" s="1"/>
  <c r="F1268" i="66" s="1"/>
  <c r="F1269" i="66" s="1"/>
  <c r="F1270" i="66" s="1"/>
  <c r="F1271" i="66" s="1"/>
  <c r="F1272" i="66" s="1"/>
  <c r="F1273" i="66" s="1"/>
  <c r="F1274" i="66" s="1"/>
  <c r="F1275" i="66" s="1"/>
  <c r="F1276" i="66" s="1"/>
  <c r="F1277" i="66" s="1"/>
  <c r="F1278" i="66" s="1"/>
  <c r="F1279" i="66" s="1"/>
  <c r="F1280" i="66" s="1"/>
  <c r="F1281" i="66" s="1"/>
  <c r="F1282" i="66" s="1"/>
  <c r="F1283" i="66" s="1"/>
  <c r="F1284" i="66" s="1"/>
  <c r="F1285" i="66" s="1"/>
  <c r="F1286" i="66" s="1"/>
  <c r="F1287" i="66" s="1"/>
  <c r="F1288" i="66" s="1"/>
  <c r="F1289" i="66" s="1"/>
  <c r="F1290" i="66" s="1"/>
  <c r="F1291" i="66" s="1"/>
  <c r="F1292" i="66" s="1"/>
  <c r="F1293" i="66" s="1"/>
  <c r="F1294" i="66" s="1"/>
  <c r="F1295" i="66" s="1"/>
  <c r="F1296" i="66" s="1"/>
  <c r="F1297" i="66" s="1"/>
  <c r="F1298" i="66" s="1"/>
  <c r="F1299" i="66" s="1"/>
  <c r="F1300" i="66" s="1"/>
  <c r="F1301" i="66" s="1"/>
  <c r="F1302" i="66" s="1"/>
  <c r="F1303" i="66" s="1"/>
  <c r="F1304" i="66" s="1"/>
  <c r="F1305" i="66" s="1"/>
  <c r="F1306" i="66" s="1"/>
  <c r="F1307" i="66" s="1"/>
  <c r="F1308" i="66" s="1"/>
  <c r="F1309" i="66" s="1"/>
  <c r="F1310" i="66" s="1"/>
  <c r="F1311" i="66" s="1"/>
  <c r="F1312" i="66" s="1"/>
  <c r="F1313" i="66" s="1"/>
  <c r="F1314" i="66" s="1"/>
  <c r="F1315" i="66" s="1"/>
  <c r="F1316" i="66" s="1"/>
  <c r="F1317" i="66" s="1"/>
  <c r="F1318" i="66" s="1"/>
  <c r="F1319" i="66" s="1"/>
  <c r="F1320" i="66" s="1"/>
  <c r="F1321" i="66" s="1"/>
  <c r="F1322" i="66" s="1"/>
  <c r="F1323" i="66" s="1"/>
  <c r="F1324" i="66" s="1"/>
  <c r="F1325" i="66" s="1"/>
  <c r="F1326" i="66" s="1"/>
  <c r="F1327" i="66" s="1"/>
  <c r="F1328" i="66" s="1"/>
  <c r="F1329" i="66" s="1"/>
  <c r="F1330" i="66" s="1"/>
  <c r="F1331" i="66" s="1"/>
  <c r="F1332" i="66" s="1"/>
  <c r="F1333" i="66" s="1"/>
  <c r="F1334" i="66" s="1"/>
  <c r="F1335" i="66" s="1"/>
  <c r="F1336" i="66" s="1"/>
  <c r="F1337" i="66" s="1"/>
  <c r="F1338" i="66" s="1"/>
  <c r="F1339" i="66" s="1"/>
  <c r="F1340" i="66" s="1"/>
  <c r="F1341" i="66" s="1"/>
  <c r="F1342" i="66" s="1"/>
  <c r="F1343" i="66" s="1"/>
  <c r="F1344" i="66" s="1"/>
  <c r="F1345" i="66" s="1"/>
  <c r="F1346" i="66" s="1"/>
  <c r="F1347" i="66" s="1"/>
  <c r="F1348" i="66" s="1"/>
  <c r="F1349" i="66" s="1"/>
  <c r="F1350" i="66" s="1"/>
  <c r="F1351" i="66" s="1"/>
  <c r="F1352" i="66" s="1"/>
  <c r="F1353" i="66" s="1"/>
  <c r="F1354" i="66" s="1"/>
  <c r="F1355" i="66" s="1"/>
  <c r="F1356" i="66" s="1"/>
  <c r="F1357" i="66" s="1"/>
  <c r="F1358" i="66" s="1"/>
  <c r="F1359" i="66" s="1"/>
  <c r="F1360" i="66" s="1"/>
  <c r="F1361" i="66" s="1"/>
  <c r="F1362" i="66" s="1"/>
  <c r="F1363" i="66" s="1"/>
  <c r="F1364" i="66" s="1"/>
  <c r="F1365" i="66" s="1"/>
  <c r="F1366" i="66" s="1"/>
  <c r="F1367" i="66" s="1"/>
  <c r="F1368" i="66" s="1"/>
  <c r="F1369" i="66" s="1"/>
  <c r="F1370" i="66" s="1"/>
  <c r="F1371" i="66" s="1"/>
  <c r="F1372" i="66" s="1"/>
  <c r="F1373" i="66" s="1"/>
  <c r="F1374" i="66" s="1"/>
  <c r="F1375" i="66" s="1"/>
  <c r="F1376" i="66" s="1"/>
  <c r="F1377" i="66" s="1"/>
  <c r="F1378" i="66" s="1"/>
  <c r="F1379" i="66" s="1"/>
  <c r="F1380" i="66" s="1"/>
  <c r="F1381" i="66" s="1"/>
  <c r="F1382" i="66" s="1"/>
  <c r="F1383" i="66" s="1"/>
  <c r="F1384" i="66" s="1"/>
  <c r="F1385" i="66" s="1"/>
  <c r="F1386" i="66" s="1"/>
  <c r="F1387" i="66" s="1"/>
  <c r="F1388" i="66" s="1"/>
  <c r="F1389" i="66" s="1"/>
  <c r="F1390" i="66" s="1"/>
  <c r="F1391" i="66" s="1"/>
  <c r="F1392" i="66" s="1"/>
  <c r="F1393" i="66" s="1"/>
  <c r="F1394" i="66" s="1"/>
  <c r="F1395" i="66" s="1"/>
  <c r="F1396" i="66" s="1"/>
  <c r="F1397" i="66" s="1"/>
  <c r="F1398" i="66" s="1"/>
  <c r="F1399" i="66" s="1"/>
  <c r="F1400" i="66" s="1"/>
  <c r="F1401" i="66" s="1"/>
  <c r="F1402" i="66" s="1"/>
  <c r="F1403" i="66" s="1"/>
  <c r="F1404" i="66" s="1"/>
  <c r="F1405" i="66" s="1"/>
  <c r="F1406" i="66" s="1"/>
  <c r="F1407" i="66" s="1"/>
  <c r="F1408" i="66" s="1"/>
  <c r="F1409" i="66" s="1"/>
  <c r="F1410" i="66" s="1"/>
  <c r="F1411" i="66" s="1"/>
  <c r="F1412" i="66" s="1"/>
  <c r="F1413" i="66" s="1"/>
  <c r="F1414" i="66" s="1"/>
  <c r="F1415" i="66" s="1"/>
  <c r="F1416" i="66" s="1"/>
  <c r="F1417" i="66" s="1"/>
  <c r="F1418" i="66" s="1"/>
  <c r="F1419" i="66" s="1"/>
  <c r="F1420" i="66" s="1"/>
  <c r="F1421" i="66" s="1"/>
  <c r="F1422" i="66" s="1"/>
  <c r="F1423" i="66" s="1"/>
  <c r="F1424" i="66" s="1"/>
  <c r="F1425" i="66" s="1"/>
  <c r="F1426" i="66" s="1"/>
  <c r="F1427" i="66" s="1"/>
  <c r="F1428" i="66" s="1"/>
  <c r="F1429" i="66" s="1"/>
  <c r="F1430" i="66" s="1"/>
  <c r="F1431" i="66" s="1"/>
  <c r="F1432" i="66" s="1"/>
  <c r="F1433" i="66" s="1"/>
  <c r="F1434" i="66" s="1"/>
  <c r="F1435" i="66" s="1"/>
  <c r="F1436" i="66" s="1"/>
  <c r="F1437" i="66" s="1"/>
  <c r="F1438" i="66" s="1"/>
  <c r="F1439" i="66" s="1"/>
  <c r="F1440" i="66" s="1"/>
  <c r="F1441" i="66" s="1"/>
  <c r="F1442" i="66" s="1"/>
  <c r="F1443" i="66" s="1"/>
  <c r="F1444" i="66" s="1"/>
  <c r="F1445" i="66" s="1"/>
  <c r="F1446" i="66" s="1"/>
  <c r="F1447" i="66" s="1"/>
  <c r="F1448" i="66" s="1"/>
  <c r="F1449" i="66" s="1"/>
  <c r="F1450" i="66" s="1"/>
  <c r="F1451" i="66" s="1"/>
  <c r="F1452" i="66" s="1"/>
  <c r="F1453" i="66" s="1"/>
  <c r="F1454" i="66" s="1"/>
  <c r="F1455" i="66" s="1"/>
  <c r="F1456" i="66" s="1"/>
  <c r="F1457" i="66" s="1"/>
  <c r="F1458" i="66" s="1"/>
  <c r="F1459" i="66" s="1"/>
  <c r="F1460" i="66" s="1"/>
  <c r="F1461" i="66" s="1"/>
  <c r="F1462" i="66" s="1"/>
  <c r="F1463" i="66" s="1"/>
  <c r="F1464" i="66" s="1"/>
  <c r="F1465" i="66" s="1"/>
  <c r="F1466" i="66" s="1"/>
  <c r="F1467" i="66" s="1"/>
  <c r="F1468" i="66" s="1"/>
  <c r="F1469" i="66" s="1"/>
  <c r="F1470" i="66" s="1"/>
  <c r="F1471" i="66" s="1"/>
  <c r="F1472" i="66" s="1"/>
  <c r="F1473" i="66" s="1"/>
  <c r="F1474" i="66" s="1"/>
  <c r="F1475" i="66" s="1"/>
  <c r="F1476" i="66" s="1"/>
  <c r="F1477" i="66" s="1"/>
  <c r="F1478" i="66" s="1"/>
  <c r="F1479" i="66" s="1"/>
  <c r="F1480" i="66" s="1"/>
  <c r="F1481" i="66" s="1"/>
  <c r="F1482" i="66" s="1"/>
  <c r="F1483" i="66" s="1"/>
  <c r="F1484" i="66" s="1"/>
  <c r="F1485" i="66" s="1"/>
  <c r="F1486" i="66" s="1"/>
  <c r="F1487" i="66" s="1"/>
  <c r="F1488" i="66" s="1"/>
  <c r="F1489" i="66" s="1"/>
  <c r="F1490" i="66" s="1"/>
  <c r="F1491" i="66" s="1"/>
  <c r="F1492" i="66" s="1"/>
  <c r="F1493" i="66" s="1"/>
  <c r="F1494" i="66" s="1"/>
  <c r="F1495" i="66" s="1"/>
  <c r="F1496" i="66" s="1"/>
  <c r="F1497" i="66" s="1"/>
  <c r="F1498" i="66" s="1"/>
  <c r="F1499" i="66" s="1"/>
  <c r="F1500" i="66" s="1"/>
  <c r="F1501" i="66" s="1"/>
  <c r="F1502" i="66" s="1"/>
  <c r="F1503" i="66" s="1"/>
  <c r="F1504" i="66" s="1"/>
  <c r="F1505" i="66" s="1"/>
  <c r="F1506" i="66" s="1"/>
  <c r="F1507" i="66" s="1"/>
  <c r="F1508" i="66" s="1"/>
  <c r="F1509" i="66" s="1"/>
  <c r="F1510" i="66" s="1"/>
  <c r="F1511" i="66" s="1"/>
  <c r="F1512" i="66" s="1"/>
  <c r="F1513" i="66" s="1"/>
  <c r="F1514" i="66" s="1"/>
  <c r="F1515" i="66" s="1"/>
  <c r="F1516" i="66" s="1"/>
  <c r="F1517" i="66" s="1"/>
  <c r="F1518" i="66" s="1"/>
  <c r="F1519" i="66" s="1"/>
  <c r="F1520" i="66" s="1"/>
  <c r="F1521" i="66" s="1"/>
  <c r="F1522" i="66" s="1"/>
  <c r="F1523" i="66" s="1"/>
  <c r="F1524" i="66" s="1"/>
  <c r="F1525" i="66" s="1"/>
  <c r="F1526" i="66" s="1"/>
  <c r="F1527" i="66" s="1"/>
  <c r="F1528" i="66" s="1"/>
  <c r="F1529" i="66" s="1"/>
  <c r="F1530" i="66" s="1"/>
  <c r="F1531" i="66" s="1"/>
  <c r="F1532" i="66" s="1"/>
  <c r="F1533" i="66" s="1"/>
  <c r="F1534" i="66" s="1"/>
  <c r="F1535" i="66" s="1"/>
  <c r="F1536" i="66" s="1"/>
  <c r="F1537" i="66" s="1"/>
  <c r="F1538" i="66" s="1"/>
  <c r="F1539" i="66" s="1"/>
  <c r="F1540" i="66" s="1"/>
  <c r="F1541" i="66" s="1"/>
  <c r="F1542" i="66" s="1"/>
  <c r="F1543" i="66" s="1"/>
  <c r="F1544" i="66" s="1"/>
  <c r="F1545" i="66" s="1"/>
  <c r="F1546" i="66" s="1"/>
  <c r="F1547" i="66" s="1"/>
  <c r="F1548" i="66" s="1"/>
  <c r="F1549" i="66" s="1"/>
  <c r="F1550" i="66" s="1"/>
  <c r="F1551" i="66" s="1"/>
  <c r="F1552" i="66" s="1"/>
  <c r="F1553" i="66" s="1"/>
  <c r="F1554" i="66" s="1"/>
  <c r="F1555" i="66" s="1"/>
  <c r="F1556" i="66" s="1"/>
  <c r="F1557" i="66" s="1"/>
  <c r="F1558" i="66" s="1"/>
  <c r="F1559" i="66" s="1"/>
  <c r="F1560" i="66" s="1"/>
  <c r="F1561" i="66" s="1"/>
  <c r="F1562" i="66" s="1"/>
  <c r="F1563" i="66" s="1"/>
  <c r="F1564" i="66" s="1"/>
  <c r="F1565" i="66" s="1"/>
  <c r="F1566" i="66" s="1"/>
  <c r="F1567" i="66" s="1"/>
  <c r="F1568" i="66" s="1"/>
  <c r="F1569" i="66" s="1"/>
  <c r="F1570" i="66" s="1"/>
  <c r="F1571" i="66" s="1"/>
  <c r="F1572" i="66" s="1"/>
  <c r="F1573" i="66" s="1"/>
  <c r="F1574" i="66" s="1"/>
  <c r="F1575" i="66" s="1"/>
  <c r="F1576" i="66" s="1"/>
  <c r="F1577" i="66" s="1"/>
  <c r="F1578" i="66" s="1"/>
  <c r="F1579" i="66" s="1"/>
  <c r="F1580" i="66" s="1"/>
  <c r="F1581" i="66" s="1"/>
  <c r="F1582" i="66" s="1"/>
  <c r="F1583" i="66" s="1"/>
  <c r="F1584" i="66" s="1"/>
  <c r="F1585" i="66" s="1"/>
  <c r="F1586" i="66" s="1"/>
  <c r="F1587" i="66" s="1"/>
  <c r="F1588" i="66" s="1"/>
  <c r="F1589" i="66" s="1"/>
  <c r="F1590" i="66" s="1"/>
  <c r="F1591" i="66" s="1"/>
  <c r="F1592" i="66" s="1"/>
  <c r="F1593" i="66" s="1"/>
  <c r="F1594" i="66" s="1"/>
  <c r="F1595" i="66" s="1"/>
  <c r="F1596" i="66" s="1"/>
  <c r="F1597" i="66" s="1"/>
  <c r="F1598" i="66" s="1"/>
  <c r="F1599" i="66" s="1"/>
  <c r="F1600" i="66" s="1"/>
  <c r="F1601" i="66" s="1"/>
  <c r="F1602" i="66" s="1"/>
  <c r="F1603" i="66" s="1"/>
  <c r="F1604" i="66" s="1"/>
  <c r="F1605" i="66" s="1"/>
  <c r="F1606" i="66" s="1"/>
  <c r="F1607" i="66" s="1"/>
  <c r="F1608" i="66" s="1"/>
  <c r="F1609" i="66" s="1"/>
  <c r="F1610" i="66" s="1"/>
  <c r="F1611" i="66" s="1"/>
  <c r="F1612" i="66" s="1"/>
  <c r="F1613" i="66" s="1"/>
  <c r="F1614" i="66" s="1"/>
  <c r="F1615" i="66" s="1"/>
  <c r="F1616" i="66" s="1"/>
  <c r="F1617" i="66" s="1"/>
  <c r="F1618" i="66" s="1"/>
  <c r="F1619" i="66" s="1"/>
  <c r="F1620" i="66" s="1"/>
  <c r="F1621" i="66" s="1"/>
  <c r="F1622" i="66" s="1"/>
  <c r="F1623" i="66" s="1"/>
  <c r="F1624" i="66" s="1"/>
  <c r="F1625" i="66" s="1"/>
  <c r="F1626" i="66" s="1"/>
  <c r="F1627" i="66" s="1"/>
  <c r="F1628" i="66" s="1"/>
  <c r="F1629" i="66" s="1"/>
  <c r="F1630" i="66" s="1"/>
  <c r="F1631" i="66" s="1"/>
  <c r="F1632" i="66" s="1"/>
  <c r="F1633" i="66" s="1"/>
  <c r="F1634" i="66" s="1"/>
  <c r="F1635" i="66" s="1"/>
  <c r="F1636" i="66" s="1"/>
  <c r="F1637" i="66" s="1"/>
  <c r="F1638" i="66" s="1"/>
  <c r="F1639" i="66" s="1"/>
  <c r="F1640" i="66" s="1"/>
  <c r="F1641" i="66" s="1"/>
  <c r="F1642" i="66" s="1"/>
  <c r="F1643" i="66" s="1"/>
  <c r="F1644" i="66" s="1"/>
  <c r="F1645" i="66" s="1"/>
  <c r="F1646" i="66" s="1"/>
  <c r="F1647" i="66" s="1"/>
  <c r="F1648" i="66" s="1"/>
  <c r="F1649" i="66" s="1"/>
  <c r="F1650" i="66" s="1"/>
  <c r="F1651" i="66" s="1"/>
  <c r="F1652" i="66" s="1"/>
  <c r="F1653" i="66" s="1"/>
  <c r="F1654" i="66" s="1"/>
  <c r="F1655" i="66" s="1"/>
  <c r="F1656" i="66" s="1"/>
  <c r="F1657" i="66" s="1"/>
  <c r="F1658" i="66" s="1"/>
  <c r="F1659" i="66" s="1"/>
  <c r="F1660" i="66" s="1"/>
  <c r="F1661" i="66" s="1"/>
  <c r="F1662" i="66" s="1"/>
  <c r="F1663" i="66" s="1"/>
  <c r="F1664" i="66" s="1"/>
  <c r="F1665" i="66" s="1"/>
  <c r="F1666" i="66" s="1"/>
  <c r="F1667" i="66" s="1"/>
  <c r="F1668" i="66" s="1"/>
  <c r="F1669" i="66" s="1"/>
  <c r="F1670" i="66" s="1"/>
  <c r="F1671" i="66" s="1"/>
  <c r="F1672" i="66" s="1"/>
  <c r="F1673" i="66" s="1"/>
  <c r="F1674" i="66" s="1"/>
  <c r="F1675" i="66" s="1"/>
  <c r="F1676" i="66" s="1"/>
  <c r="F1677" i="66" s="1"/>
  <c r="F1678" i="66" s="1"/>
  <c r="F1679" i="66" s="1"/>
  <c r="F1680" i="66" s="1"/>
  <c r="F1681" i="66" s="1"/>
  <c r="F1682" i="66" s="1"/>
  <c r="F1683" i="66" s="1"/>
  <c r="F1684" i="66" s="1"/>
  <c r="F1685" i="66" s="1"/>
  <c r="F1686" i="66" s="1"/>
  <c r="F1687" i="66" s="1"/>
  <c r="F1688" i="66" s="1"/>
  <c r="F1689" i="66" s="1"/>
  <c r="F1690" i="66" s="1"/>
  <c r="F1691" i="66" s="1"/>
  <c r="F1692" i="66" s="1"/>
  <c r="F1693" i="66" s="1"/>
  <c r="F1694" i="66" s="1"/>
  <c r="F1695" i="66" s="1"/>
  <c r="F1696" i="66" s="1"/>
  <c r="F1697" i="66" s="1"/>
  <c r="F1698" i="66" s="1"/>
  <c r="F1699" i="66" s="1"/>
  <c r="F1700" i="66" s="1"/>
  <c r="F1701" i="66" s="1"/>
  <c r="F1702" i="66" s="1"/>
  <c r="F1703" i="66" s="1"/>
  <c r="F1704" i="66" s="1"/>
  <c r="F1705" i="66" s="1"/>
  <c r="F1706" i="66" s="1"/>
  <c r="F1707" i="66" s="1"/>
  <c r="F1708" i="66" s="1"/>
  <c r="F1709" i="66" s="1"/>
  <c r="F1710" i="66" s="1"/>
  <c r="F1711" i="66" s="1"/>
  <c r="F1712" i="66" s="1"/>
  <c r="F1713" i="66" s="1"/>
  <c r="F1714" i="66" s="1"/>
  <c r="F1715" i="66" s="1"/>
  <c r="F1716" i="66" s="1"/>
  <c r="F1717" i="66" s="1"/>
  <c r="F1718" i="66" s="1"/>
  <c r="F1719" i="66" s="1"/>
  <c r="F1720" i="66" s="1"/>
  <c r="F1721" i="66" s="1"/>
  <c r="F1722" i="66" s="1"/>
  <c r="F1723" i="66" s="1"/>
  <c r="F1724" i="66" s="1"/>
  <c r="F1725" i="66" s="1"/>
  <c r="F1726" i="66" s="1"/>
  <c r="F1727" i="66" s="1"/>
  <c r="F1728" i="66" s="1"/>
  <c r="F1729" i="66" s="1"/>
  <c r="F1730" i="66" s="1"/>
  <c r="F1731" i="66" s="1"/>
  <c r="F1732" i="66" s="1"/>
  <c r="F1733" i="66" s="1"/>
  <c r="F1734" i="66" s="1"/>
  <c r="F1735" i="66" s="1"/>
  <c r="F1736" i="66" s="1"/>
  <c r="F1737" i="66" s="1"/>
  <c r="F1738" i="66" s="1"/>
  <c r="F1739" i="66" s="1"/>
  <c r="F1740" i="66" s="1"/>
  <c r="F1741" i="66" s="1"/>
  <c r="F1742" i="66" s="1"/>
  <c r="F1743" i="66" s="1"/>
  <c r="F1744" i="66" s="1"/>
  <c r="F1745" i="66" s="1"/>
  <c r="F1746" i="66" s="1"/>
  <c r="F1747" i="66" s="1"/>
  <c r="F1748" i="66" s="1"/>
  <c r="F1749" i="66" s="1"/>
  <c r="F1750" i="66" s="1"/>
  <c r="F1751" i="66" s="1"/>
  <c r="F1752" i="66" s="1"/>
  <c r="F1753" i="66" s="1"/>
  <c r="F1754" i="66" s="1"/>
  <c r="F1755" i="66" s="1"/>
  <c r="F1756" i="66" s="1"/>
  <c r="F1757" i="66" s="1"/>
  <c r="F1758" i="66" s="1"/>
  <c r="F1759" i="66" s="1"/>
  <c r="F1760" i="66" s="1"/>
  <c r="F1761" i="66" s="1"/>
  <c r="F1762" i="66" s="1"/>
  <c r="F1763" i="66" s="1"/>
  <c r="F1764" i="66" s="1"/>
  <c r="F1765" i="66" s="1"/>
  <c r="F1766" i="66" s="1"/>
  <c r="F1767" i="66" s="1"/>
  <c r="F1768" i="66" s="1"/>
  <c r="F1769" i="66" s="1"/>
  <c r="F1770" i="66" s="1"/>
  <c r="F1771" i="66" s="1"/>
  <c r="F1772" i="66" s="1"/>
  <c r="F1773" i="66" s="1"/>
  <c r="F1774" i="66" s="1"/>
  <c r="F1775" i="66" s="1"/>
  <c r="F1776" i="66" s="1"/>
  <c r="F1777" i="66" s="1"/>
  <c r="F1778" i="66" s="1"/>
  <c r="F1779" i="66" s="1"/>
  <c r="F1780" i="66" s="1"/>
  <c r="F1781" i="66" s="1"/>
  <c r="F1782" i="66" s="1"/>
  <c r="F1783" i="66" s="1"/>
  <c r="F1784" i="66" s="1"/>
  <c r="F1785" i="66" s="1"/>
  <c r="F1786" i="66" s="1"/>
  <c r="F1787" i="66" s="1"/>
  <c r="F1788" i="66" s="1"/>
  <c r="F1789" i="66" s="1"/>
  <c r="F1790" i="66" s="1"/>
  <c r="F1791" i="66" s="1"/>
  <c r="F1792" i="66" s="1"/>
  <c r="F1793" i="66" s="1"/>
  <c r="F1794" i="66" s="1"/>
  <c r="F1795" i="66" s="1"/>
  <c r="F1796" i="66" s="1"/>
  <c r="F1797" i="66" s="1"/>
  <c r="F1798" i="66" s="1"/>
  <c r="F1799" i="66" s="1"/>
  <c r="F1800" i="66" s="1"/>
  <c r="F1801" i="66" s="1"/>
  <c r="F1802" i="66" s="1"/>
  <c r="F1803" i="66" s="1"/>
  <c r="F1804" i="66" s="1"/>
  <c r="F1805" i="66" s="1"/>
  <c r="F1806" i="66" s="1"/>
  <c r="F1807" i="66" s="1"/>
  <c r="F1808" i="66" s="1"/>
  <c r="F1809" i="66" s="1"/>
  <c r="F1810" i="66" s="1"/>
  <c r="F1811" i="66" s="1"/>
  <c r="F1812" i="66" s="1"/>
  <c r="F1813" i="66" s="1"/>
  <c r="F1814" i="66" s="1"/>
  <c r="F1815" i="66" s="1"/>
  <c r="F1816" i="66" s="1"/>
  <c r="F1817" i="66" s="1"/>
  <c r="F1818" i="66" s="1"/>
  <c r="F1819" i="66" s="1"/>
  <c r="F1820" i="66" s="1"/>
  <c r="F1821" i="66" s="1"/>
  <c r="F1822" i="66" s="1"/>
  <c r="F1823" i="66" s="1"/>
  <c r="F1824" i="66" s="1"/>
  <c r="F1825" i="66" s="1"/>
  <c r="F1826" i="66" s="1"/>
  <c r="F1827" i="66" s="1"/>
  <c r="F1828" i="66" s="1"/>
  <c r="F1829" i="66" s="1"/>
  <c r="F1830" i="66" s="1"/>
  <c r="F1831" i="66" s="1"/>
  <c r="F1832" i="66" s="1"/>
  <c r="F1833" i="66" s="1"/>
  <c r="F1834" i="66" s="1"/>
  <c r="F1835" i="66" s="1"/>
  <c r="F1836" i="66" s="1"/>
  <c r="F1837" i="66" s="1"/>
  <c r="F1838" i="66" s="1"/>
  <c r="F1839" i="66" s="1"/>
  <c r="F1840" i="66" s="1"/>
  <c r="F1841" i="66" s="1"/>
  <c r="F1842" i="66" s="1"/>
  <c r="F1843" i="66" s="1"/>
  <c r="F1844" i="66" s="1"/>
  <c r="F1845" i="66" s="1"/>
  <c r="F1846" i="66" s="1"/>
  <c r="F1847" i="66" s="1"/>
  <c r="F1848" i="66" s="1"/>
  <c r="F1849" i="66" s="1"/>
  <c r="F1850" i="66" s="1"/>
  <c r="F1851" i="66" s="1"/>
  <c r="F1852" i="66" s="1"/>
  <c r="F1853" i="66" s="1"/>
  <c r="F1854" i="66" s="1"/>
  <c r="F1855" i="66" s="1"/>
  <c r="F1856" i="66" s="1"/>
  <c r="F1857" i="66" s="1"/>
  <c r="F1858" i="66" s="1"/>
  <c r="F1859" i="66" s="1"/>
  <c r="F1860" i="66" s="1"/>
  <c r="F1861" i="66" s="1"/>
  <c r="F1862" i="66" s="1"/>
  <c r="F1863" i="66" s="1"/>
  <c r="F1864" i="66" s="1"/>
  <c r="F1865" i="66" s="1"/>
  <c r="F1866" i="66" s="1"/>
  <c r="F1867" i="66" s="1"/>
  <c r="F1868" i="66" s="1"/>
  <c r="F1869" i="66" s="1"/>
  <c r="F1870" i="66" s="1"/>
  <c r="F1871" i="66" s="1"/>
  <c r="F1872" i="66" s="1"/>
  <c r="F1873" i="66" s="1"/>
  <c r="F1874" i="66" s="1"/>
  <c r="F1875" i="66" s="1"/>
  <c r="F1876" i="66" s="1"/>
  <c r="F1877" i="66" s="1"/>
  <c r="F1878" i="66" s="1"/>
  <c r="F1879" i="66" s="1"/>
  <c r="F1880" i="66" s="1"/>
  <c r="F1881" i="66" s="1"/>
  <c r="F1882" i="66" s="1"/>
  <c r="F1883" i="66" s="1"/>
  <c r="F1884" i="66" s="1"/>
  <c r="F1885" i="66" s="1"/>
  <c r="F1886" i="66" s="1"/>
  <c r="F1887" i="66" s="1"/>
  <c r="F1888" i="66" s="1"/>
  <c r="F1889" i="66" s="1"/>
  <c r="F1890" i="66" s="1"/>
  <c r="F1891" i="66" s="1"/>
  <c r="F1892" i="66" s="1"/>
  <c r="F1893" i="66" s="1"/>
  <c r="F1894" i="66" s="1"/>
  <c r="F1895" i="66" s="1"/>
  <c r="F1896" i="66" s="1"/>
  <c r="F1897" i="66" s="1"/>
  <c r="F1898" i="66" s="1"/>
  <c r="F1899" i="66" s="1"/>
  <c r="F1900" i="66" s="1"/>
  <c r="F1901" i="66" s="1"/>
  <c r="F1902" i="66" s="1"/>
  <c r="F1903" i="66" s="1"/>
  <c r="F1904" i="66" s="1"/>
  <c r="F1905" i="66" s="1"/>
  <c r="F1906" i="66" s="1"/>
  <c r="F1907" i="66" s="1"/>
  <c r="F1908" i="66" s="1"/>
  <c r="F1909" i="66" s="1"/>
  <c r="F1910" i="66" s="1"/>
  <c r="F1911" i="66" s="1"/>
  <c r="F1912" i="66" s="1"/>
  <c r="F1913" i="66" s="1"/>
  <c r="F1914" i="66" s="1"/>
  <c r="F1915" i="66" s="1"/>
  <c r="F1916" i="66" s="1"/>
  <c r="F1917" i="66" s="1"/>
  <c r="F1918" i="66" s="1"/>
  <c r="F1919" i="66" s="1"/>
  <c r="F1920" i="66" s="1"/>
  <c r="F1921" i="66" s="1"/>
  <c r="F1922" i="66" s="1"/>
  <c r="F1923" i="66" s="1"/>
  <c r="F1924" i="66" s="1"/>
  <c r="F1925" i="66" s="1"/>
  <c r="F1926" i="66" s="1"/>
  <c r="F1927" i="66" s="1"/>
  <c r="F1928" i="66" s="1"/>
  <c r="F1929" i="66" s="1"/>
  <c r="F1930" i="66" s="1"/>
  <c r="F1931" i="66" s="1"/>
  <c r="F1932" i="66" s="1"/>
  <c r="F1933" i="66" s="1"/>
  <c r="F1934" i="66" s="1"/>
  <c r="F1935" i="66" s="1"/>
  <c r="F1936" i="66" s="1"/>
  <c r="F1937" i="66" s="1"/>
  <c r="F1938" i="66" s="1"/>
  <c r="F1939" i="66" s="1"/>
  <c r="F1940" i="66" s="1"/>
  <c r="F1941" i="66" s="1"/>
  <c r="F1942" i="66" s="1"/>
  <c r="F1943" i="66" s="1"/>
  <c r="F1944" i="66" s="1"/>
  <c r="F1945" i="66" s="1"/>
  <c r="F1946" i="66" s="1"/>
  <c r="F1947" i="66" s="1"/>
  <c r="F1948" i="66" s="1"/>
  <c r="F1949" i="66" s="1"/>
  <c r="F1950" i="66" s="1"/>
  <c r="F1951" i="66" s="1"/>
  <c r="F1952" i="66" s="1"/>
  <c r="F1953" i="66" s="1"/>
  <c r="F1954" i="66" s="1"/>
  <c r="F1955" i="66" s="1"/>
  <c r="F1956" i="66" s="1"/>
  <c r="F1957" i="66" s="1"/>
  <c r="F1958" i="66" s="1"/>
  <c r="F1959" i="66" s="1"/>
  <c r="F1960" i="66" s="1"/>
  <c r="F1961" i="66" s="1"/>
  <c r="F1962" i="66" s="1"/>
  <c r="F1963" i="66" s="1"/>
  <c r="F1964" i="66" s="1"/>
  <c r="F1965" i="66" s="1"/>
  <c r="F1966" i="66" s="1"/>
  <c r="F1967" i="66" s="1"/>
  <c r="F1968" i="66" s="1"/>
  <c r="F1969" i="66" s="1"/>
  <c r="F1970" i="66" s="1"/>
  <c r="F1971" i="66" s="1"/>
  <c r="F1972" i="66" s="1"/>
  <c r="F1973" i="66" s="1"/>
  <c r="F1974" i="66" s="1"/>
  <c r="F1975" i="66" s="1"/>
  <c r="F1976" i="66" s="1"/>
  <c r="F1977" i="66" s="1"/>
  <c r="F1978" i="66" s="1"/>
  <c r="F1979" i="66" s="1"/>
  <c r="F1980" i="66" s="1"/>
  <c r="F1981" i="66" s="1"/>
  <c r="F1982" i="66" s="1"/>
  <c r="F1983" i="66" s="1"/>
  <c r="F1984" i="66" s="1"/>
  <c r="F1985" i="66" s="1"/>
  <c r="F1986" i="66" s="1"/>
  <c r="F1987" i="66" s="1"/>
  <c r="F1988" i="66" s="1"/>
  <c r="F1989" i="66" s="1"/>
  <c r="F1990" i="66" s="1"/>
  <c r="F1991" i="66" s="1"/>
  <c r="F1992" i="66" s="1"/>
  <c r="F1993" i="66" s="1"/>
  <c r="F1994" i="66" s="1"/>
  <c r="F1995" i="66" s="1"/>
  <c r="F1996" i="66" s="1"/>
  <c r="F1997" i="66" s="1"/>
  <c r="F1998" i="66" s="1"/>
  <c r="F1999" i="66" s="1"/>
  <c r="F2000" i="66" s="1"/>
  <c r="F2001" i="66" s="1"/>
  <c r="F2002" i="66" s="1"/>
  <c r="F2003" i="66" s="1"/>
  <c r="F2004" i="66" s="1"/>
  <c r="F2005" i="66" s="1"/>
  <c r="F2006" i="66" s="1"/>
  <c r="F2007" i="66" s="1"/>
  <c r="F2008" i="66" s="1"/>
  <c r="F2009" i="66" s="1"/>
  <c r="F2010" i="66" s="1"/>
  <c r="F2011" i="66" s="1"/>
  <c r="F2012" i="66" s="1"/>
  <c r="F2013" i="66" s="1"/>
  <c r="F2014" i="66" s="1"/>
  <c r="F2015" i="66" s="1"/>
  <c r="F2016" i="66" s="1"/>
  <c r="F2017" i="66" s="1"/>
  <c r="F2018" i="66" s="1"/>
  <c r="F2019" i="66" s="1"/>
  <c r="F2020" i="66" s="1"/>
  <c r="F2021" i="66" s="1"/>
  <c r="F2022" i="66" s="1"/>
  <c r="F2023" i="66" s="1"/>
  <c r="F2024" i="66" s="1"/>
  <c r="F2025" i="66" s="1"/>
  <c r="F2026" i="66" s="1"/>
  <c r="F2027" i="66" s="1"/>
  <c r="F2028" i="66" s="1"/>
  <c r="F2029" i="66" s="1"/>
  <c r="F2030" i="66" s="1"/>
  <c r="F2031" i="66" s="1"/>
  <c r="F2032" i="66" s="1"/>
  <c r="F2033" i="66" s="1"/>
  <c r="F2034" i="66" s="1"/>
  <c r="F2035" i="66" s="1"/>
  <c r="F2036" i="66" s="1"/>
  <c r="F2037" i="66" s="1"/>
  <c r="F2038" i="66" s="1"/>
  <c r="F2039" i="66" s="1"/>
  <c r="F2040" i="66" s="1"/>
  <c r="F2041" i="66" s="1"/>
  <c r="F2042" i="66" s="1"/>
  <c r="F2043" i="66" s="1"/>
  <c r="F2044" i="66" s="1"/>
  <c r="F2045" i="66" s="1"/>
  <c r="F2046" i="66" s="1"/>
  <c r="F2047" i="66" s="1"/>
  <c r="F2048" i="66" s="1"/>
  <c r="F2049" i="66" s="1"/>
  <c r="F2050" i="66" s="1"/>
  <c r="F2051" i="66" s="1"/>
  <c r="F2052" i="66" s="1"/>
  <c r="F2053" i="66" s="1"/>
  <c r="F2054" i="66" s="1"/>
  <c r="F2055" i="66" s="1"/>
  <c r="F2056" i="66" s="1"/>
  <c r="F2057" i="66" s="1"/>
  <c r="F2058" i="66" s="1"/>
  <c r="F2059" i="66" s="1"/>
  <c r="F2060" i="66" s="1"/>
  <c r="F2061" i="66" s="1"/>
  <c r="F2062" i="66" s="1"/>
  <c r="F2063" i="66" s="1"/>
  <c r="F2064" i="66" s="1"/>
  <c r="F2065" i="66" s="1"/>
  <c r="F2066" i="66" s="1"/>
  <c r="F2067" i="66" s="1"/>
  <c r="F2068" i="66" s="1"/>
  <c r="F2069" i="66" s="1"/>
  <c r="F2070" i="66" s="1"/>
  <c r="F2071" i="66" s="1"/>
  <c r="F2072" i="66" s="1"/>
  <c r="F2073" i="66" s="1"/>
  <c r="F2074" i="66" s="1"/>
  <c r="F2075" i="66" s="1"/>
  <c r="F2076" i="66" s="1"/>
  <c r="F2077" i="66" s="1"/>
  <c r="F2078" i="66" s="1"/>
  <c r="F2079" i="66" s="1"/>
  <c r="F2080" i="66" s="1"/>
  <c r="F2081" i="66" s="1"/>
  <c r="F2082" i="66" s="1"/>
  <c r="F2083" i="66" s="1"/>
  <c r="F2084" i="66" s="1"/>
  <c r="F2085" i="66" s="1"/>
  <c r="F2086" i="66" s="1"/>
  <c r="F2087" i="66" s="1"/>
  <c r="F2088" i="66" s="1"/>
  <c r="F2089" i="66" s="1"/>
  <c r="F2090" i="66" s="1"/>
  <c r="F2091" i="66" s="1"/>
  <c r="F2092" i="66" s="1"/>
  <c r="F2093" i="66" s="1"/>
  <c r="F2094" i="66" s="1"/>
  <c r="F2095" i="66" s="1"/>
  <c r="F2096" i="66" s="1"/>
  <c r="F2097" i="66" s="1"/>
  <c r="F2098" i="66" s="1"/>
  <c r="F2099" i="66" s="1"/>
  <c r="F2100" i="66" s="1"/>
  <c r="F2101" i="66" s="1"/>
  <c r="F2102" i="66" s="1"/>
  <c r="F2103" i="66" s="1"/>
  <c r="F2104" i="66" s="1"/>
  <c r="F2105" i="66" s="1"/>
  <c r="F2106" i="66" s="1"/>
  <c r="F2107" i="66" s="1"/>
  <c r="F2108" i="66" s="1"/>
  <c r="F2109" i="66" s="1"/>
  <c r="F2110" i="66" s="1"/>
  <c r="F2111" i="66" s="1"/>
  <c r="F2112" i="66" s="1"/>
  <c r="F2113" i="66" s="1"/>
  <c r="F2114" i="66" s="1"/>
  <c r="F2115" i="66" s="1"/>
  <c r="F2116" i="66" s="1"/>
  <c r="F2117" i="66" s="1"/>
  <c r="F2118" i="66" s="1"/>
  <c r="F2119" i="66" s="1"/>
  <c r="F2120" i="66" s="1"/>
  <c r="F2121" i="66" s="1"/>
  <c r="F2122" i="66" s="1"/>
  <c r="F2123" i="66" s="1"/>
  <c r="F2124" i="66" s="1"/>
  <c r="F2125" i="66" s="1"/>
  <c r="F2126" i="66" s="1"/>
  <c r="F2127" i="66" s="1"/>
  <c r="F2128" i="66" s="1"/>
  <c r="F2129" i="66" s="1"/>
  <c r="F2130" i="66" s="1"/>
  <c r="F2131" i="66" s="1"/>
  <c r="F2132" i="66" s="1"/>
  <c r="F2133" i="66" s="1"/>
  <c r="F2134" i="66" s="1"/>
  <c r="F2135" i="66" s="1"/>
  <c r="F2136" i="66" s="1"/>
  <c r="F2137" i="66" s="1"/>
  <c r="F2138" i="66" s="1"/>
  <c r="F2139" i="66" s="1"/>
  <c r="F2140" i="66" s="1"/>
  <c r="F2141" i="66" s="1"/>
  <c r="F2142" i="66" s="1"/>
  <c r="F2143" i="66" s="1"/>
  <c r="F2144" i="66" s="1"/>
  <c r="F2145" i="66" s="1"/>
  <c r="F2146" i="66" s="1"/>
  <c r="F2147" i="66" s="1"/>
  <c r="F2148" i="66" s="1"/>
  <c r="F2149" i="66" s="1"/>
  <c r="F2150" i="66" s="1"/>
  <c r="F2151" i="66" s="1"/>
  <c r="F2152" i="66" s="1"/>
  <c r="F2153" i="66" s="1"/>
  <c r="F2154" i="66" s="1"/>
  <c r="F2155" i="66" s="1"/>
  <c r="F2156" i="66" s="1"/>
  <c r="F2157" i="66" s="1"/>
  <c r="F2158" i="66" s="1"/>
  <c r="F2159" i="66" s="1"/>
  <c r="F2160" i="66" s="1"/>
  <c r="F2161" i="66" s="1"/>
  <c r="F2162" i="66" s="1"/>
  <c r="F2163" i="66" s="1"/>
  <c r="F2164" i="66" s="1"/>
  <c r="F2165" i="66" s="1"/>
  <c r="F2166" i="66" s="1"/>
  <c r="F2167" i="66" s="1"/>
  <c r="F2168" i="66" s="1"/>
  <c r="F2169" i="66" s="1"/>
  <c r="F2170" i="66" s="1"/>
  <c r="F2171" i="66" s="1"/>
  <c r="F2172" i="66" s="1"/>
  <c r="F2173" i="66" s="1"/>
  <c r="F2174" i="66" s="1"/>
  <c r="F2175" i="66" s="1"/>
  <c r="F2176" i="66" s="1"/>
  <c r="F2177" i="66" s="1"/>
  <c r="F2178" i="66" s="1"/>
  <c r="F2179" i="66" s="1"/>
  <c r="F2180" i="66" s="1"/>
  <c r="F2181" i="66" s="1"/>
  <c r="F2182" i="66" s="1"/>
  <c r="F2183" i="66" s="1"/>
  <c r="F2184" i="66" s="1"/>
  <c r="F2185" i="66" s="1"/>
  <c r="F2186" i="66" s="1"/>
  <c r="F2187" i="66" s="1"/>
  <c r="F2188" i="66" s="1"/>
  <c r="F2189" i="66" s="1"/>
  <c r="F2190" i="66" s="1"/>
  <c r="F2191" i="66" s="1"/>
  <c r="F2192" i="66" s="1"/>
  <c r="F2193" i="66" s="1"/>
  <c r="F2194" i="66" s="1"/>
  <c r="F2195" i="66" s="1"/>
  <c r="F2196" i="66" s="1"/>
  <c r="F2197" i="66" s="1"/>
  <c r="F2198" i="66" s="1"/>
  <c r="F2199" i="66" s="1"/>
  <c r="F2200" i="66" s="1"/>
  <c r="F2201" i="66" s="1"/>
  <c r="F2202" i="66" s="1"/>
  <c r="F2203" i="66" s="1"/>
  <c r="F2204" i="66" s="1"/>
  <c r="F2205" i="66" s="1"/>
  <c r="F2206" i="66" s="1"/>
  <c r="F2207" i="66" s="1"/>
  <c r="F2208" i="66" s="1"/>
  <c r="F2209" i="66" s="1"/>
  <c r="F2210" i="66" s="1"/>
  <c r="F2211" i="66" s="1"/>
  <c r="F2212" i="66" s="1"/>
  <c r="F2213" i="66" s="1"/>
  <c r="F2214" i="66" s="1"/>
  <c r="F2215" i="66" s="1"/>
  <c r="F2216" i="66" s="1"/>
  <c r="F2217" i="66" s="1"/>
  <c r="F2218" i="66" s="1"/>
  <c r="F2219" i="66" s="1"/>
  <c r="F2220" i="66" s="1"/>
  <c r="F2221" i="66" s="1"/>
  <c r="F2222" i="66" s="1"/>
  <c r="F2223" i="66" s="1"/>
  <c r="F2224" i="66" s="1"/>
  <c r="F2225" i="66" s="1"/>
  <c r="F2226" i="66" s="1"/>
  <c r="F2227" i="66" s="1"/>
  <c r="F2228" i="66" s="1"/>
  <c r="F2229" i="66" s="1"/>
  <c r="F2230" i="66" s="1"/>
  <c r="F2231" i="66" s="1"/>
  <c r="F2232" i="66" s="1"/>
  <c r="F2233" i="66" s="1"/>
  <c r="F2234" i="66" s="1"/>
  <c r="F2235" i="66" s="1"/>
  <c r="F2236" i="66" s="1"/>
  <c r="F2237" i="66" s="1"/>
  <c r="F2238" i="66" s="1"/>
  <c r="F2239" i="66" s="1"/>
  <c r="F2240" i="66" s="1"/>
  <c r="F2241" i="66" s="1"/>
  <c r="F2242" i="66" s="1"/>
  <c r="F2243" i="66" s="1"/>
  <c r="F2244" i="66" s="1"/>
  <c r="F2245" i="66" s="1"/>
  <c r="F2246" i="66" s="1"/>
  <c r="F2247" i="66" s="1"/>
  <c r="F2248" i="66" s="1"/>
  <c r="F2249" i="66" s="1"/>
  <c r="F2250" i="66" s="1"/>
  <c r="F2251" i="66" s="1"/>
  <c r="F2252" i="66" s="1"/>
  <c r="F2253" i="66" s="1"/>
  <c r="F2254" i="66" s="1"/>
  <c r="F2255" i="66" s="1"/>
  <c r="F2256" i="66" s="1"/>
  <c r="F2257" i="66" s="1"/>
  <c r="F2258" i="66" s="1"/>
  <c r="F2259" i="66" s="1"/>
  <c r="F2260" i="66" s="1"/>
  <c r="F2261" i="66" s="1"/>
  <c r="F2262" i="66" s="1"/>
  <c r="F2263" i="66" s="1"/>
  <c r="F2264" i="66" s="1"/>
  <c r="F2265" i="66" s="1"/>
  <c r="F2266" i="66" s="1"/>
  <c r="F2267" i="66" s="1"/>
  <c r="F2268" i="66" s="1"/>
  <c r="F2269" i="66" s="1"/>
  <c r="F2270" i="66" s="1"/>
  <c r="F2271" i="66" s="1"/>
  <c r="F2272" i="66" s="1"/>
  <c r="F2273" i="66" s="1"/>
  <c r="F2274" i="66" s="1"/>
  <c r="F2275" i="66" s="1"/>
  <c r="F2276" i="66" s="1"/>
  <c r="F2277" i="66" s="1"/>
  <c r="F2278" i="66" s="1"/>
  <c r="F2279" i="66" s="1"/>
  <c r="F2280" i="66" s="1"/>
  <c r="F2281" i="66" s="1"/>
  <c r="F2282" i="66" s="1"/>
  <c r="F2283" i="66" s="1"/>
  <c r="F2284" i="66" s="1"/>
  <c r="F2285" i="66" s="1"/>
  <c r="F2286" i="66" s="1"/>
  <c r="F2287" i="66" s="1"/>
  <c r="F2288" i="66" s="1"/>
  <c r="F2289" i="66" s="1"/>
  <c r="F2290" i="66" s="1"/>
  <c r="F2291" i="66" s="1"/>
  <c r="F2292" i="66" s="1"/>
  <c r="F2293" i="66" s="1"/>
  <c r="F2294" i="66" s="1"/>
  <c r="F2295" i="66" s="1"/>
  <c r="F2296" i="66" s="1"/>
  <c r="F2297" i="66" s="1"/>
  <c r="F2298" i="66" s="1"/>
  <c r="F2299" i="66" s="1"/>
  <c r="F2300" i="66" s="1"/>
  <c r="F2301" i="66" s="1"/>
  <c r="F2302" i="66" s="1"/>
  <c r="F2303" i="66" s="1"/>
  <c r="F2304" i="66" s="1"/>
  <c r="F2305" i="66" s="1"/>
  <c r="F2306" i="66" s="1"/>
  <c r="F2307" i="66" s="1"/>
  <c r="F2308" i="66" s="1"/>
  <c r="F2309" i="66" s="1"/>
  <c r="F2310" i="66" s="1"/>
  <c r="F2311" i="66" s="1"/>
  <c r="F2312" i="66" s="1"/>
  <c r="F2313" i="66" s="1"/>
  <c r="F2314" i="66" s="1"/>
  <c r="F2315" i="66" s="1"/>
  <c r="F2316" i="66" s="1"/>
  <c r="F2317" i="66" s="1"/>
  <c r="F2318" i="66" s="1"/>
  <c r="F2319" i="66" s="1"/>
  <c r="F2320" i="66" s="1"/>
  <c r="F2321" i="66" s="1"/>
  <c r="F2322" i="66" s="1"/>
  <c r="F2323" i="66" s="1"/>
  <c r="F2324" i="66" s="1"/>
  <c r="F2325" i="66" s="1"/>
  <c r="F2326" i="66" s="1"/>
  <c r="F2327" i="66" s="1"/>
  <c r="F2328" i="66" s="1"/>
  <c r="F2329" i="66" s="1"/>
  <c r="F2330" i="66" s="1"/>
  <c r="F2331" i="66" s="1"/>
  <c r="F2332" i="66" s="1"/>
  <c r="F2333" i="66" s="1"/>
  <c r="F2334" i="66" s="1"/>
  <c r="F2335" i="66" s="1"/>
  <c r="F2336" i="66" s="1"/>
  <c r="F2337" i="66" s="1"/>
  <c r="F2338" i="66" s="1"/>
  <c r="F2339" i="66" s="1"/>
  <c r="F2340" i="66" s="1"/>
  <c r="F2341" i="66" s="1"/>
  <c r="F2342" i="66" s="1"/>
  <c r="F2343" i="66" s="1"/>
  <c r="F2344" i="66" s="1"/>
  <c r="F2345" i="66" s="1"/>
  <c r="F2346" i="66" s="1"/>
  <c r="F2347" i="66" s="1"/>
  <c r="F2348" i="66" s="1"/>
  <c r="F2349" i="66" s="1"/>
  <c r="F2350" i="66" s="1"/>
  <c r="F2351" i="66" s="1"/>
  <c r="F2352" i="66" s="1"/>
  <c r="F2353" i="66" s="1"/>
  <c r="F2354" i="66" s="1"/>
  <c r="F2355" i="66" s="1"/>
  <c r="F2356" i="66" s="1"/>
  <c r="F2357" i="66" s="1"/>
  <c r="F2358" i="66" s="1"/>
  <c r="F2359" i="66" s="1"/>
  <c r="F2360" i="66" s="1"/>
  <c r="F2361" i="66" s="1"/>
  <c r="F2362" i="66" s="1"/>
  <c r="F2363" i="66" s="1"/>
  <c r="F2364" i="66" s="1"/>
  <c r="F2365" i="66" s="1"/>
  <c r="F2366" i="66" s="1"/>
  <c r="F2367" i="66" s="1"/>
  <c r="F2368" i="66" s="1"/>
  <c r="F2369" i="66" s="1"/>
  <c r="F2370" i="66" s="1"/>
  <c r="F2371" i="66" s="1"/>
  <c r="F2372" i="66" s="1"/>
  <c r="F2373" i="66" s="1"/>
  <c r="F2374" i="66" s="1"/>
  <c r="F2375" i="66" s="1"/>
  <c r="F2376" i="66" s="1"/>
  <c r="F2377" i="66" s="1"/>
  <c r="F2378" i="66" s="1"/>
  <c r="F2379" i="66" s="1"/>
  <c r="F2380" i="66" s="1"/>
  <c r="F2381" i="66" s="1"/>
  <c r="F2382" i="66" s="1"/>
  <c r="F2383" i="66" s="1"/>
  <c r="F2384" i="66" s="1"/>
  <c r="F2385" i="66" s="1"/>
  <c r="F2386" i="66" s="1"/>
  <c r="F2387" i="66" s="1"/>
  <c r="F2388" i="66" s="1"/>
  <c r="F2389" i="66" s="1"/>
  <c r="F2390" i="66" s="1"/>
  <c r="F2391" i="66" s="1"/>
  <c r="F2392" i="66" s="1"/>
  <c r="F2393" i="66" s="1"/>
  <c r="F2394" i="66" s="1"/>
  <c r="F2395" i="66" s="1"/>
  <c r="F2396" i="66" s="1"/>
  <c r="F2397" i="66" s="1"/>
  <c r="F2398" i="66" s="1"/>
  <c r="F2399" i="66" s="1"/>
  <c r="F2400" i="66" s="1"/>
  <c r="F2401" i="66" s="1"/>
  <c r="F2402" i="66" s="1"/>
  <c r="F2403" i="66" s="1"/>
  <c r="F2404" i="66" s="1"/>
  <c r="F2405" i="66" s="1"/>
  <c r="F2406" i="66" s="1"/>
  <c r="F2407" i="66" s="1"/>
  <c r="F2408" i="66" s="1"/>
  <c r="F2409" i="66" s="1"/>
  <c r="F2410" i="66" s="1"/>
  <c r="F2411" i="66" s="1"/>
  <c r="F2412" i="66" s="1"/>
  <c r="F2413" i="66" s="1"/>
  <c r="F2414" i="66" s="1"/>
  <c r="F2415" i="66" s="1"/>
  <c r="F2416" i="66" s="1"/>
  <c r="F2417" i="66" s="1"/>
  <c r="F2418" i="66" s="1"/>
  <c r="F2419" i="66" s="1"/>
  <c r="F2420" i="66" s="1"/>
  <c r="F2421" i="66" s="1"/>
  <c r="F2422" i="66" s="1"/>
  <c r="F2423" i="66" s="1"/>
  <c r="F2424" i="66" s="1"/>
  <c r="F2425" i="66" s="1"/>
  <c r="F2426" i="66" s="1"/>
  <c r="F2427" i="66" s="1"/>
  <c r="F2428" i="66" s="1"/>
  <c r="F2429" i="66" s="1"/>
  <c r="F2430" i="66" s="1"/>
  <c r="F2431" i="66" s="1"/>
  <c r="F2432" i="66" s="1"/>
  <c r="F2433" i="66" s="1"/>
  <c r="F2434" i="66" s="1"/>
  <c r="F2435" i="66" s="1"/>
  <c r="F2436" i="66" s="1"/>
  <c r="F2437" i="66" s="1"/>
  <c r="F2438" i="66" s="1"/>
  <c r="F2439" i="66" s="1"/>
  <c r="F2440" i="66" s="1"/>
  <c r="F2441" i="66" s="1"/>
  <c r="F2442" i="66" s="1"/>
  <c r="F2443" i="66" s="1"/>
  <c r="F2444" i="66" s="1"/>
  <c r="F2445" i="66" s="1"/>
  <c r="F2446" i="66" s="1"/>
  <c r="F2447" i="66" s="1"/>
  <c r="F2448" i="66" s="1"/>
  <c r="F2449" i="66" s="1"/>
  <c r="F2450" i="66" s="1"/>
  <c r="F2451" i="66" s="1"/>
  <c r="F2452" i="66" s="1"/>
  <c r="F2453" i="66" s="1"/>
  <c r="F2454" i="66" s="1"/>
  <c r="F2455" i="66" s="1"/>
  <c r="F2456" i="66" s="1"/>
  <c r="F2457" i="66" s="1"/>
  <c r="F2458" i="66" s="1"/>
  <c r="F2459" i="66" s="1"/>
  <c r="F2460" i="66" s="1"/>
  <c r="F2461" i="66" s="1"/>
  <c r="F2462" i="66" s="1"/>
  <c r="F2463" i="66" s="1"/>
  <c r="F2464" i="66" s="1"/>
  <c r="F2465" i="66" s="1"/>
  <c r="F2466" i="66" s="1"/>
  <c r="F2467" i="66" s="1"/>
  <c r="F2468" i="66" s="1"/>
  <c r="F2469" i="66" s="1"/>
  <c r="F2470" i="66" s="1"/>
  <c r="F2471" i="66" s="1"/>
  <c r="F2472" i="66" s="1"/>
  <c r="F2473" i="66" s="1"/>
  <c r="F2474" i="66" s="1"/>
  <c r="F2475" i="66" s="1"/>
  <c r="F2476" i="66" s="1"/>
  <c r="F2477" i="66" s="1"/>
  <c r="F2478" i="66" s="1"/>
  <c r="F2479" i="66" s="1"/>
  <c r="F2480" i="66" s="1"/>
  <c r="F2481" i="66" s="1"/>
  <c r="F2482" i="66" s="1"/>
  <c r="F2483" i="66" s="1"/>
  <c r="F2484" i="66" s="1"/>
  <c r="F2485" i="66" s="1"/>
  <c r="F2486" i="66" s="1"/>
  <c r="F2487" i="66" s="1"/>
  <c r="F2488" i="66" s="1"/>
  <c r="F2489" i="66" s="1"/>
  <c r="F2490" i="66" s="1"/>
  <c r="F2491" i="66" s="1"/>
  <c r="F2492" i="66" s="1"/>
  <c r="F2493" i="66" s="1"/>
  <c r="F2494" i="66" s="1"/>
  <c r="F2495" i="66" s="1"/>
  <c r="F2496" i="66" s="1"/>
  <c r="F2497" i="66" s="1"/>
  <c r="F2498" i="66" s="1"/>
  <c r="F2499" i="66" s="1"/>
  <c r="F2500" i="66" s="1"/>
  <c r="F2501" i="66" s="1"/>
  <c r="F2502" i="66" s="1"/>
  <c r="F2503" i="66" s="1"/>
  <c r="F2504" i="66" s="1"/>
  <c r="F2505" i="66" s="1"/>
  <c r="F2506" i="66" s="1"/>
  <c r="F2507" i="66" s="1"/>
  <c r="F2508" i="66" s="1"/>
  <c r="F2509" i="66" s="1"/>
  <c r="F2510" i="66" s="1"/>
  <c r="F2511" i="66" s="1"/>
  <c r="F2512" i="66" s="1"/>
  <c r="F2513" i="66" s="1"/>
  <c r="F2514" i="66" s="1"/>
  <c r="F2515" i="66" s="1"/>
  <c r="F2516" i="66" s="1"/>
  <c r="F2517" i="66" s="1"/>
  <c r="F2518" i="66" s="1"/>
  <c r="F2519" i="66" s="1"/>
  <c r="F2520" i="66" s="1"/>
  <c r="F2521" i="66" s="1"/>
  <c r="F2522" i="66" s="1"/>
  <c r="F2523" i="66" s="1"/>
  <c r="F2524" i="66" s="1"/>
  <c r="F2525" i="66" s="1"/>
  <c r="F2526" i="66" s="1"/>
  <c r="F2527" i="66" s="1"/>
  <c r="F2528" i="66" s="1"/>
  <c r="F2529" i="66" s="1"/>
  <c r="F2530" i="66" s="1"/>
  <c r="F2531" i="66" s="1"/>
  <c r="F2532" i="66" s="1"/>
  <c r="F2533" i="66" s="1"/>
  <c r="F2534" i="66" s="1"/>
  <c r="F2535" i="66" s="1"/>
  <c r="F2536" i="66" s="1"/>
  <c r="F2537" i="66" s="1"/>
  <c r="F2538" i="66" s="1"/>
  <c r="F2539" i="66" s="1"/>
  <c r="F2540" i="66" s="1"/>
  <c r="F2541" i="66" s="1"/>
  <c r="F2542" i="66" s="1"/>
  <c r="F2543" i="66" s="1"/>
  <c r="F2544" i="66" s="1"/>
  <c r="F2545" i="66" s="1"/>
  <c r="F2546" i="66" s="1"/>
  <c r="F2547" i="66" s="1"/>
  <c r="F2548" i="66" s="1"/>
  <c r="F2549" i="66" s="1"/>
  <c r="F2550" i="66" s="1"/>
  <c r="F2551" i="66" s="1"/>
  <c r="F2552" i="66" s="1"/>
  <c r="F2553" i="66" s="1"/>
  <c r="F2554" i="66" s="1"/>
  <c r="F2555" i="66" s="1"/>
  <c r="F2556" i="66" s="1"/>
  <c r="F2557" i="66" s="1"/>
  <c r="F2558" i="66" s="1"/>
  <c r="F2559" i="66" s="1"/>
  <c r="F2560" i="66" s="1"/>
  <c r="F2561" i="66" s="1"/>
  <c r="F2562" i="66" s="1"/>
  <c r="F2563" i="66" s="1"/>
  <c r="F2564" i="66" s="1"/>
  <c r="F2565" i="66" s="1"/>
  <c r="F2566" i="66" s="1"/>
  <c r="F2567" i="66" s="1"/>
  <c r="F2568" i="66" s="1"/>
  <c r="F2569" i="66" s="1"/>
  <c r="F2570" i="66" s="1"/>
  <c r="F2571" i="66" s="1"/>
  <c r="F2572" i="66" s="1"/>
  <c r="F2573" i="66" s="1"/>
  <c r="F2574" i="66" s="1"/>
  <c r="F2575" i="66" s="1"/>
  <c r="F2576" i="66" s="1"/>
  <c r="F2577" i="66" s="1"/>
  <c r="F2578" i="66" s="1"/>
  <c r="F2579" i="66" s="1"/>
  <c r="F2580" i="66" s="1"/>
  <c r="F2581" i="66" s="1"/>
  <c r="F2582" i="66" s="1"/>
  <c r="F2583" i="66" s="1"/>
  <c r="F2584" i="66" s="1"/>
  <c r="F2585" i="66" s="1"/>
  <c r="F2586" i="66" s="1"/>
  <c r="F2587" i="66" s="1"/>
  <c r="F2588" i="66" s="1"/>
  <c r="F2589" i="66" s="1"/>
  <c r="F2590" i="66" s="1"/>
  <c r="F2591" i="66" s="1"/>
  <c r="F2592" i="66" s="1"/>
  <c r="F2593" i="66" s="1"/>
  <c r="F2594" i="66" s="1"/>
  <c r="F2595" i="66" s="1"/>
  <c r="F2596" i="66" s="1"/>
  <c r="F2597" i="66" s="1"/>
  <c r="F2598" i="66" s="1"/>
  <c r="F2599" i="66" s="1"/>
  <c r="F2600" i="66" s="1"/>
  <c r="F2601" i="66" s="1"/>
  <c r="F2602" i="66" s="1"/>
  <c r="F2603" i="66" s="1"/>
  <c r="F2604" i="66" s="1"/>
  <c r="F2605" i="66" s="1"/>
  <c r="F2606" i="66" s="1"/>
  <c r="F2607" i="66" s="1"/>
  <c r="F2608" i="66" s="1"/>
  <c r="F2609" i="66" s="1"/>
  <c r="F2610" i="66" s="1"/>
  <c r="F2611" i="66" s="1"/>
  <c r="F2612" i="66" s="1"/>
  <c r="F2613" i="66" s="1"/>
  <c r="F2614" i="66" s="1"/>
  <c r="F2615" i="66" s="1"/>
  <c r="F2616" i="66" s="1"/>
  <c r="F2617" i="66" s="1"/>
  <c r="F2618" i="66" s="1"/>
  <c r="F2619" i="66" s="1"/>
  <c r="F2620" i="66" s="1"/>
  <c r="F2621" i="66" s="1"/>
  <c r="F2622" i="66" s="1"/>
  <c r="F2623" i="66" s="1"/>
  <c r="F2624" i="66" s="1"/>
  <c r="F2625" i="66" s="1"/>
  <c r="F2626" i="66" s="1"/>
  <c r="F2627" i="66" s="1"/>
  <c r="F2628" i="66" s="1"/>
  <c r="F2629" i="66" s="1"/>
  <c r="F2630" i="66" s="1"/>
  <c r="F2631" i="66" s="1"/>
  <c r="F2632" i="66" s="1"/>
  <c r="F2633" i="66" s="1"/>
  <c r="F2634" i="66" s="1"/>
  <c r="F2635" i="66" s="1"/>
  <c r="F2636" i="66" s="1"/>
  <c r="F2637" i="66" s="1"/>
  <c r="F2638" i="66" s="1"/>
  <c r="F2639" i="66" s="1"/>
  <c r="F2640" i="66" s="1"/>
  <c r="F2641" i="66" s="1"/>
  <c r="F2642" i="66" s="1"/>
  <c r="F2643" i="66" s="1"/>
  <c r="F2644" i="66" s="1"/>
  <c r="F2645" i="66" s="1"/>
  <c r="F2646" i="66" s="1"/>
  <c r="F2647" i="66" s="1"/>
  <c r="F2648" i="66" s="1"/>
  <c r="F2649" i="66" s="1"/>
  <c r="F2650" i="66" s="1"/>
  <c r="F2651" i="66" s="1"/>
  <c r="F2652" i="66" s="1"/>
  <c r="F2653" i="66" s="1"/>
  <c r="F2654" i="66" s="1"/>
  <c r="F2655" i="66" s="1"/>
  <c r="F2656" i="66" s="1"/>
  <c r="F2657" i="66" s="1"/>
  <c r="F2658" i="66" s="1"/>
  <c r="F2659" i="66" s="1"/>
  <c r="F2660" i="66" s="1"/>
  <c r="F2661" i="66" s="1"/>
  <c r="F2662" i="66" s="1"/>
  <c r="F2663" i="66" s="1"/>
  <c r="F2664" i="66" s="1"/>
  <c r="F2665" i="66" s="1"/>
  <c r="F2666" i="66" s="1"/>
  <c r="F2667" i="66" s="1"/>
  <c r="F2668" i="66" s="1"/>
  <c r="F2669" i="66" s="1"/>
  <c r="F2670" i="66" s="1"/>
  <c r="F2671" i="66" s="1"/>
  <c r="F2672" i="66" s="1"/>
  <c r="F2673" i="66" s="1"/>
  <c r="F2674" i="66" s="1"/>
  <c r="F2675" i="66" s="1"/>
  <c r="F2676" i="66" s="1"/>
  <c r="F2677" i="66" s="1"/>
  <c r="F2678" i="66" s="1"/>
  <c r="F2679" i="66" s="1"/>
  <c r="F2680" i="66" s="1"/>
  <c r="F2681" i="66" s="1"/>
  <c r="F2682" i="66" s="1"/>
  <c r="F2683" i="66" s="1"/>
  <c r="F2684" i="66" s="1"/>
  <c r="F2685" i="66" s="1"/>
  <c r="F2686" i="66" s="1"/>
  <c r="F2687" i="66" s="1"/>
  <c r="F2688" i="66" s="1"/>
  <c r="F2689" i="66" s="1"/>
  <c r="F2690" i="66" s="1"/>
  <c r="F2691" i="66" s="1"/>
  <c r="F2692" i="66" s="1"/>
  <c r="F2693" i="66" s="1"/>
  <c r="M18" i="66"/>
  <c r="M16" i="66"/>
  <c r="M15" i="66"/>
  <c r="M14" i="66"/>
  <c r="M17" i="66"/>
  <c r="M12" i="66"/>
  <c r="M11" i="66"/>
  <c r="M10" i="66"/>
  <c r="M13" i="66"/>
  <c r="M8" i="66"/>
  <c r="N8" i="66" s="1"/>
  <c r="I22" i="66" s="1"/>
  <c r="Q8" i="66"/>
  <c r="P18" i="66"/>
  <c r="M9" i="66"/>
  <c r="F2694" i="66" l="1"/>
  <c r="F2695" i="66" s="1"/>
  <c r="F2696" i="66" s="1"/>
  <c r="F2697" i="66" s="1"/>
  <c r="F2698" i="66" s="1"/>
  <c r="F2699" i="66" s="1"/>
  <c r="F2700" i="66" s="1"/>
  <c r="F2701" i="66" s="1"/>
  <c r="F2702" i="66" s="1"/>
  <c r="F2703" i="66" s="1"/>
  <c r="D2694" i="66"/>
  <c r="D2695" i="66" s="1"/>
  <c r="D2696" i="66" s="1"/>
  <c r="D2697" i="66" s="1"/>
  <c r="D2698" i="66" s="1"/>
  <c r="D2699" i="66" s="1"/>
  <c r="D2700" i="66" s="1"/>
  <c r="D2701" i="66" s="1"/>
  <c r="D2702" i="66" s="1"/>
  <c r="D2703" i="66" s="1"/>
  <c r="Q9" i="66"/>
  <c r="J22" i="66"/>
  <c r="N9" i="66"/>
  <c r="D2704" i="66" l="1"/>
  <c r="D2705" i="66" s="1"/>
  <c r="D2706" i="66" s="1"/>
  <c r="D2707" i="66" s="1"/>
  <c r="D2708" i="66" s="1"/>
  <c r="D2709" i="66" s="1"/>
  <c r="D2710" i="66" s="1"/>
  <c r="D2711" i="66" s="1"/>
  <c r="D2712" i="66" s="1"/>
  <c r="D2713" i="66" s="1"/>
  <c r="D2714" i="66" s="1"/>
  <c r="D2715" i="66" s="1"/>
  <c r="D2716" i="66" s="1"/>
  <c r="D2717" i="66" s="1"/>
  <c r="D2718" i="66" s="1"/>
  <c r="D2719" i="66" s="1"/>
  <c r="D2720" i="66" s="1"/>
  <c r="D2721" i="66" s="1"/>
  <c r="D2722" i="66" s="1"/>
  <c r="D2723" i="66" s="1"/>
  <c r="D2724" i="66" s="1"/>
  <c r="D2725" i="66" s="1"/>
  <c r="D2726" i="66" s="1"/>
  <c r="D2727" i="66" s="1"/>
  <c r="D2728" i="66" s="1"/>
  <c r="D2729" i="66" s="1"/>
  <c r="D2730" i="66" s="1"/>
  <c r="D2731" i="66" s="1"/>
  <c r="D2732" i="66" s="1"/>
  <c r="D2733" i="66" s="1"/>
  <c r="D2734" i="66" s="1"/>
  <c r="D2735" i="66" s="1"/>
  <c r="D2736" i="66" s="1"/>
  <c r="D2737" i="66" s="1"/>
  <c r="D2738" i="66" s="1"/>
  <c r="D2739" i="66" s="1"/>
  <c r="D2740" i="66" s="1"/>
  <c r="D2741" i="66" s="1"/>
  <c r="D2742" i="66" s="1"/>
  <c r="D2743" i="66" s="1"/>
  <c r="D2744" i="66" s="1"/>
  <c r="D2745" i="66" s="1"/>
  <c r="D2746" i="66" s="1"/>
  <c r="D2747" i="66" s="1"/>
  <c r="D2748" i="66" s="1"/>
  <c r="D2749" i="66" s="1"/>
  <c r="D2750" i="66" s="1"/>
  <c r="D2751" i="66" s="1"/>
  <c r="D2752" i="66" s="1"/>
  <c r="D2753" i="66" s="1"/>
  <c r="D2754" i="66" s="1"/>
  <c r="D2755" i="66" s="1"/>
  <c r="D2756" i="66" s="1"/>
  <c r="D2757" i="66" s="1"/>
  <c r="D2758" i="66" s="1"/>
  <c r="D2759" i="66" s="1"/>
  <c r="D2760" i="66" s="1"/>
  <c r="D2761" i="66" s="1"/>
  <c r="D2762" i="66" s="1"/>
  <c r="D2763" i="66" s="1"/>
  <c r="D2764" i="66" s="1"/>
  <c r="D2765" i="66" s="1"/>
  <c r="D2766" i="66" s="1"/>
  <c r="D2767" i="66" s="1"/>
  <c r="D2768" i="66" s="1"/>
  <c r="D2769" i="66" s="1"/>
  <c r="D2770" i="66" s="1"/>
  <c r="D2771" i="66" s="1"/>
  <c r="D2772" i="66" s="1"/>
  <c r="D2773" i="66" s="1"/>
  <c r="D2774" i="66" s="1"/>
  <c r="D2775" i="66" s="1"/>
  <c r="D2776" i="66" s="1"/>
  <c r="D2777" i="66" s="1"/>
  <c r="D2778" i="66" s="1"/>
  <c r="D2779" i="66" s="1"/>
  <c r="D2780" i="66" s="1"/>
  <c r="D2781" i="66" s="1"/>
  <c r="D2782" i="66" s="1"/>
  <c r="D2783" i="66" s="1"/>
  <c r="D2784" i="66" s="1"/>
  <c r="D2785" i="66" s="1"/>
  <c r="D2786" i="66" s="1"/>
  <c r="D2787" i="66" s="1"/>
  <c r="D2788" i="66" s="1"/>
  <c r="D2789" i="66" s="1"/>
  <c r="D2790" i="66" s="1"/>
  <c r="D2791" i="66" s="1"/>
  <c r="D2792" i="66" s="1"/>
  <c r="D2793" i="66" s="1"/>
  <c r="D2794" i="66" s="1"/>
  <c r="D2795" i="66" s="1"/>
  <c r="D2796" i="66" s="1"/>
  <c r="D2797" i="66" s="1"/>
  <c r="D2798" i="66" s="1"/>
  <c r="D2799" i="66" s="1"/>
  <c r="D2800" i="66" s="1"/>
  <c r="D2801" i="66" s="1"/>
  <c r="D2802" i="66" s="1"/>
  <c r="D2803" i="66" s="1"/>
  <c r="D2804" i="66" s="1"/>
  <c r="D2805" i="66" s="1"/>
  <c r="D2806" i="66" s="1"/>
  <c r="D2807" i="66" s="1"/>
  <c r="D2808" i="66" s="1"/>
  <c r="D2809" i="66" s="1"/>
  <c r="D2810" i="66" s="1"/>
  <c r="D2811" i="66" s="1"/>
  <c r="D2812" i="66" s="1"/>
  <c r="D2813" i="66" s="1"/>
  <c r="D2814" i="66" s="1"/>
  <c r="D2815" i="66" s="1"/>
  <c r="D2816" i="66" s="1"/>
  <c r="D2817" i="66" s="1"/>
  <c r="D2818" i="66" s="1"/>
  <c r="D2819" i="66" s="1"/>
  <c r="D2820" i="66" s="1"/>
  <c r="D2821" i="66" s="1"/>
  <c r="D2822" i="66" s="1"/>
  <c r="D2823" i="66" s="1"/>
  <c r="D2824" i="66" s="1"/>
  <c r="D2825" i="66" s="1"/>
  <c r="D2826" i="66" s="1"/>
  <c r="D2827" i="66" s="1"/>
  <c r="D2828" i="66" s="1"/>
  <c r="D2829" i="66" s="1"/>
  <c r="D2830" i="66" s="1"/>
  <c r="D2831" i="66" s="1"/>
  <c r="D2832" i="66" s="1"/>
  <c r="D2833" i="66" s="1"/>
  <c r="D2834" i="66" s="1"/>
  <c r="D2835" i="66" s="1"/>
  <c r="D2836" i="66" s="1"/>
  <c r="D2837" i="66" s="1"/>
  <c r="D2838" i="66" s="1"/>
  <c r="D2839" i="66" s="1"/>
  <c r="D2840" i="66" s="1"/>
  <c r="D2841" i="66" s="1"/>
  <c r="D2842" i="66" s="1"/>
  <c r="D2843" i="66" s="1"/>
  <c r="D2844" i="66" s="1"/>
  <c r="D2845" i="66" s="1"/>
  <c r="D2846" i="66" s="1"/>
  <c r="D2847" i="66" s="1"/>
  <c r="D2848" i="66" s="1"/>
  <c r="D2849" i="66" s="1"/>
  <c r="D2850" i="66" s="1"/>
  <c r="D2851" i="66" s="1"/>
  <c r="D2852" i="66" s="1"/>
  <c r="D2853" i="66" s="1"/>
  <c r="D2854" i="66" s="1"/>
  <c r="D2855" i="66" s="1"/>
  <c r="D2856" i="66" s="1"/>
  <c r="D2857" i="66" s="1"/>
  <c r="D2858" i="66" s="1"/>
  <c r="D2859" i="66" s="1"/>
  <c r="D2860" i="66" s="1"/>
  <c r="D2861" i="66" s="1"/>
  <c r="D2862" i="66" s="1"/>
  <c r="D2863" i="66" s="1"/>
  <c r="D2864" i="66" s="1"/>
  <c r="D2865" i="66" s="1"/>
  <c r="D2866" i="66" s="1"/>
  <c r="D2867" i="66" s="1"/>
  <c r="D2868" i="66" s="1"/>
  <c r="D2869" i="66" s="1"/>
  <c r="D2870" i="66" s="1"/>
  <c r="D2871" i="66" s="1"/>
  <c r="D2872" i="66" s="1"/>
  <c r="D2873" i="66" s="1"/>
  <c r="D2874" i="66" s="1"/>
  <c r="D2875" i="66" s="1"/>
  <c r="D2876" i="66" s="1"/>
  <c r="D2877" i="66" s="1"/>
  <c r="D2878" i="66" s="1"/>
  <c r="D2879" i="66" s="1"/>
  <c r="D2880" i="66" s="1"/>
  <c r="D2881" i="66" s="1"/>
  <c r="D2882" i="66" s="1"/>
  <c r="D2883" i="66" s="1"/>
  <c r="D2884" i="66" s="1"/>
  <c r="D2885" i="66" s="1"/>
  <c r="D2886" i="66" s="1"/>
  <c r="D2887" i="66" s="1"/>
  <c r="D2888" i="66" s="1"/>
  <c r="D2889" i="66" s="1"/>
  <c r="D2890" i="66" s="1"/>
  <c r="D2891" i="66" s="1"/>
  <c r="D2892" i="66" s="1"/>
  <c r="D2893" i="66" s="1"/>
  <c r="D2894" i="66" s="1"/>
  <c r="D2895" i="66" s="1"/>
  <c r="D2896" i="66" s="1"/>
  <c r="D2897" i="66" s="1"/>
  <c r="D2898" i="66" s="1"/>
  <c r="D2899" i="66" s="1"/>
  <c r="D2900" i="66" s="1"/>
  <c r="D2901" i="66" s="1"/>
  <c r="D2902" i="66" s="1"/>
  <c r="D2903" i="66" s="1"/>
  <c r="D2904" i="66" s="1"/>
  <c r="D2905" i="66" s="1"/>
  <c r="D2906" i="66" s="1"/>
  <c r="D2907" i="66" s="1"/>
  <c r="D2908" i="66" s="1"/>
  <c r="D2909" i="66" s="1"/>
  <c r="D2910" i="66" s="1"/>
  <c r="D2911" i="66" s="1"/>
  <c r="D2912" i="66" s="1"/>
  <c r="D2913" i="66" s="1"/>
  <c r="D2914" i="66" s="1"/>
  <c r="D2915" i="66" s="1"/>
  <c r="D2916" i="66" s="1"/>
  <c r="D2917" i="66" s="1"/>
  <c r="D2918" i="66" s="1"/>
  <c r="D2919" i="66" s="1"/>
  <c r="D2920" i="66" s="1"/>
  <c r="D2921" i="66" s="1"/>
  <c r="D2922" i="66" s="1"/>
  <c r="D2923" i="66" s="1"/>
  <c r="D2924" i="66" s="1"/>
  <c r="D2925" i="66" s="1"/>
  <c r="D2926" i="66" s="1"/>
  <c r="D2927" i="66" s="1"/>
  <c r="D2928" i="66" s="1"/>
  <c r="D2929" i="66" s="1"/>
  <c r="D2930" i="66" s="1"/>
  <c r="D2931" i="66" s="1"/>
  <c r="D2932" i="66" s="1"/>
  <c r="D2933" i="66" s="1"/>
  <c r="D2934" i="66" s="1"/>
  <c r="D2935" i="66" s="1"/>
  <c r="D2936" i="66" s="1"/>
  <c r="D2937" i="66" s="1"/>
  <c r="D2938" i="66" s="1"/>
  <c r="D2939" i="66" s="1"/>
  <c r="D2940" i="66" s="1"/>
  <c r="D2941" i="66" s="1"/>
  <c r="D2942" i="66" s="1"/>
  <c r="D2943" i="66" s="1"/>
  <c r="D2944" i="66" s="1"/>
  <c r="D2945" i="66" s="1"/>
  <c r="D2946" i="66" s="1"/>
  <c r="D2947" i="66" s="1"/>
  <c r="D2948" i="66" s="1"/>
  <c r="D2949" i="66" s="1"/>
  <c r="D2950" i="66" s="1"/>
  <c r="D2951" i="66" s="1"/>
  <c r="D2952" i="66" s="1"/>
  <c r="D2953" i="66" s="1"/>
  <c r="D2954" i="66" s="1"/>
  <c r="D2955" i="66" s="1"/>
  <c r="D2956" i="66" s="1"/>
  <c r="D2957" i="66" s="1"/>
  <c r="D2958" i="66" s="1"/>
  <c r="D2959" i="66" s="1"/>
  <c r="D2960" i="66" s="1"/>
  <c r="D2961" i="66" s="1"/>
  <c r="D2962" i="66" s="1"/>
  <c r="D2963" i="66" s="1"/>
  <c r="D2964" i="66" s="1"/>
  <c r="D2965" i="66" s="1"/>
  <c r="D2966" i="66" s="1"/>
  <c r="D2967" i="66" s="1"/>
  <c r="D2968" i="66" s="1"/>
  <c r="D2969" i="66" s="1"/>
  <c r="D2970" i="66" s="1"/>
  <c r="D2971" i="66" s="1"/>
  <c r="D2972" i="66" s="1"/>
  <c r="D2973" i="66" s="1"/>
  <c r="D2974" i="66" s="1"/>
  <c r="D2975" i="66" s="1"/>
  <c r="D2976" i="66" s="1"/>
  <c r="D2977" i="66" s="1"/>
  <c r="D2978" i="66" s="1"/>
  <c r="D2979" i="66" s="1"/>
  <c r="D2980" i="66" s="1"/>
  <c r="D2981" i="66" s="1"/>
  <c r="D2982" i="66" s="1"/>
  <c r="D2983" i="66" s="1"/>
  <c r="D2984" i="66" s="1"/>
  <c r="D2985" i="66" s="1"/>
  <c r="D2986" i="66" s="1"/>
  <c r="D2987" i="66" s="1"/>
  <c r="D2988" i="66" s="1"/>
  <c r="D2989" i="66" s="1"/>
  <c r="D2990" i="66" s="1"/>
  <c r="D2991" i="66" s="1"/>
  <c r="D2992" i="66" s="1"/>
  <c r="D2993" i="66" s="1"/>
  <c r="D2994" i="66" s="1"/>
  <c r="D2995" i="66" s="1"/>
  <c r="D2996" i="66" s="1"/>
  <c r="D2997" i="66" s="1"/>
  <c r="D2998" i="66" s="1"/>
  <c r="D2999" i="66" s="1"/>
  <c r="D3000" i="66" s="1"/>
  <c r="D3001" i="66" s="1"/>
  <c r="D3002" i="66" s="1"/>
  <c r="D3003" i="66" s="1"/>
  <c r="D3004" i="66" s="1"/>
  <c r="D3005" i="66" s="1"/>
  <c r="D3006" i="66" s="1"/>
  <c r="D3007" i="66" s="1"/>
  <c r="D3008" i="66" s="1"/>
  <c r="D3009" i="66" s="1"/>
  <c r="D3010" i="66" s="1"/>
  <c r="D3011" i="66" s="1"/>
  <c r="D3012" i="66" s="1"/>
  <c r="D3013" i="66" s="1"/>
  <c r="D3014" i="66" s="1"/>
  <c r="D3015" i="66" s="1"/>
  <c r="D3016" i="66" s="1"/>
  <c r="D3017" i="66" s="1"/>
  <c r="D3018" i="66" s="1"/>
  <c r="D3019" i="66" s="1"/>
  <c r="D3020" i="66" s="1"/>
  <c r="D3021" i="66" s="1"/>
  <c r="D3022" i="66" s="1"/>
  <c r="D3023" i="66" s="1"/>
  <c r="D3024" i="66" s="1"/>
  <c r="D3025" i="66" s="1"/>
  <c r="D3026" i="66" s="1"/>
  <c r="D3027" i="66" s="1"/>
  <c r="D3028" i="66" s="1"/>
  <c r="D3029" i="66" s="1"/>
  <c r="D3030" i="66" s="1"/>
  <c r="D3031" i="66" s="1"/>
  <c r="D3032" i="66" s="1"/>
  <c r="D3033" i="66" s="1"/>
  <c r="D3034" i="66" s="1"/>
  <c r="D3035" i="66" s="1"/>
  <c r="D3036" i="66" s="1"/>
  <c r="D3037" i="66" s="1"/>
  <c r="D3038" i="66" s="1"/>
  <c r="D3039" i="66" s="1"/>
  <c r="D3040" i="66" s="1"/>
  <c r="D3041" i="66" s="1"/>
  <c r="D3042" i="66" s="1"/>
  <c r="D3043" i="66" s="1"/>
  <c r="D3044" i="66" s="1"/>
  <c r="D3045" i="66" s="1"/>
  <c r="D3046" i="66" s="1"/>
  <c r="D3047" i="66" s="1"/>
  <c r="D3048" i="66" s="1"/>
  <c r="D3049" i="66" s="1"/>
  <c r="D3050" i="66" s="1"/>
  <c r="D3051" i="66" s="1"/>
  <c r="D3052" i="66" s="1"/>
  <c r="D3053" i="66" s="1"/>
  <c r="D3054" i="66" s="1"/>
  <c r="D3055" i="66" s="1"/>
  <c r="D3056" i="66" s="1"/>
  <c r="D3057" i="66" s="1"/>
  <c r="D3058" i="66" s="1"/>
  <c r="D3059" i="66" s="1"/>
  <c r="D3060" i="66" s="1"/>
  <c r="D3061" i="66" s="1"/>
  <c r="D3062" i="66" s="1"/>
  <c r="D3063" i="66" s="1"/>
  <c r="D3064" i="66" s="1"/>
  <c r="D3065" i="66" s="1"/>
  <c r="D3066" i="66" s="1"/>
  <c r="D3067" i="66" s="1"/>
  <c r="D3068" i="66" s="1"/>
  <c r="D3069" i="66" s="1"/>
  <c r="D3070" i="66" s="1"/>
  <c r="D3071" i="66" s="1"/>
  <c r="D3072" i="66" s="1"/>
  <c r="D3073" i="66" s="1"/>
  <c r="D3074" i="66" s="1"/>
  <c r="D3075" i="66" s="1"/>
  <c r="D3076" i="66" s="1"/>
  <c r="D3077" i="66" s="1"/>
  <c r="D3078" i="66" s="1"/>
  <c r="D3079" i="66" s="1"/>
  <c r="D3080" i="66" s="1"/>
  <c r="D3081" i="66" s="1"/>
  <c r="D3082" i="66" s="1"/>
  <c r="D3083" i="66" s="1"/>
  <c r="D3084" i="66" s="1"/>
  <c r="D3085" i="66" s="1"/>
  <c r="D3086" i="66" s="1"/>
  <c r="D3087" i="66" s="1"/>
  <c r="D3088" i="66" s="1"/>
  <c r="D3089" i="66" s="1"/>
  <c r="D3090" i="66" s="1"/>
  <c r="D3091" i="66" s="1"/>
  <c r="D3092" i="66" s="1"/>
  <c r="D3093" i="66" s="1"/>
  <c r="D3094" i="66" s="1"/>
  <c r="D3095" i="66" s="1"/>
  <c r="D3096" i="66" s="1"/>
  <c r="D3097" i="66" s="1"/>
  <c r="D3098" i="66" s="1"/>
  <c r="D3099" i="66" s="1"/>
  <c r="D3100" i="66" s="1"/>
  <c r="D3101" i="66" s="1"/>
  <c r="D3102" i="66" s="1"/>
  <c r="D3103" i="66" s="1"/>
  <c r="D3104" i="66" s="1"/>
  <c r="D3105" i="66" s="1"/>
  <c r="D3106" i="66" s="1"/>
  <c r="D3107" i="66" s="1"/>
  <c r="D3108" i="66" s="1"/>
  <c r="D3109" i="66" s="1"/>
  <c r="D3110" i="66" s="1"/>
  <c r="D3111" i="66" s="1"/>
  <c r="D3112" i="66" s="1"/>
  <c r="D3113" i="66" s="1"/>
  <c r="D3114" i="66" s="1"/>
  <c r="D3115" i="66" s="1"/>
  <c r="D3116" i="66" s="1"/>
  <c r="D3117" i="66" s="1"/>
  <c r="D3118" i="66" s="1"/>
  <c r="D3119" i="66" s="1"/>
  <c r="D3120" i="66" s="1"/>
  <c r="D3121" i="66" s="1"/>
  <c r="D3122" i="66" s="1"/>
  <c r="D3123" i="66" s="1"/>
  <c r="D3124" i="66" s="1"/>
  <c r="D3125" i="66" s="1"/>
  <c r="D3126" i="66" s="1"/>
  <c r="D3127" i="66" s="1"/>
  <c r="D3128" i="66" s="1"/>
  <c r="D3129" i="66" s="1"/>
  <c r="D3130" i="66" s="1"/>
  <c r="D3131" i="66" s="1"/>
  <c r="D3132" i="66" s="1"/>
  <c r="D3133" i="66" s="1"/>
  <c r="D3134" i="66" s="1"/>
  <c r="D3135" i="66" s="1"/>
  <c r="D3136" i="66" s="1"/>
  <c r="D3137" i="66" s="1"/>
  <c r="D3138" i="66" s="1"/>
  <c r="D3139" i="66" s="1"/>
  <c r="D3140" i="66" s="1"/>
  <c r="D3141" i="66" s="1"/>
  <c r="D3142" i="66" s="1"/>
  <c r="D3143" i="66" s="1"/>
  <c r="D3144" i="66" s="1"/>
  <c r="D3145" i="66" s="1"/>
  <c r="D3146" i="66" s="1"/>
  <c r="D3147" i="66" s="1"/>
  <c r="D3148" i="66" s="1"/>
  <c r="D3149" i="66" s="1"/>
  <c r="D3150" i="66" s="1"/>
  <c r="D3151" i="66" s="1"/>
  <c r="D3152" i="66" s="1"/>
  <c r="D3153" i="66" s="1"/>
  <c r="D3154" i="66" s="1"/>
  <c r="D3155" i="66" s="1"/>
  <c r="D3156" i="66" s="1"/>
  <c r="D3157" i="66" s="1"/>
  <c r="D3158" i="66" s="1"/>
  <c r="D3159" i="66" s="1"/>
  <c r="D3160" i="66" s="1"/>
  <c r="D3161" i="66" s="1"/>
  <c r="D3162" i="66" s="1"/>
  <c r="D3163" i="66" s="1"/>
  <c r="D3164" i="66" s="1"/>
  <c r="D3165" i="66" s="1"/>
  <c r="D3166" i="66" s="1"/>
  <c r="D3167" i="66" s="1"/>
  <c r="D3168" i="66" s="1"/>
  <c r="D3169" i="66" s="1"/>
  <c r="D3170" i="66" s="1"/>
  <c r="D3171" i="66" s="1"/>
  <c r="D3172" i="66" s="1"/>
  <c r="D3173" i="66" s="1"/>
  <c r="D3174" i="66" s="1"/>
  <c r="D3175" i="66" s="1"/>
  <c r="D3176" i="66" s="1"/>
  <c r="D3177" i="66" s="1"/>
  <c r="D3178" i="66" s="1"/>
  <c r="D3179" i="66" s="1"/>
  <c r="D3180" i="66" s="1"/>
  <c r="D3181" i="66" s="1"/>
  <c r="D3182" i="66" s="1"/>
  <c r="D3183" i="66" s="1"/>
  <c r="D3184" i="66" s="1"/>
  <c r="D3185" i="66" s="1"/>
  <c r="J44" i="66"/>
  <c r="F2704" i="66"/>
  <c r="F2705" i="66" s="1"/>
  <c r="F2706" i="66" s="1"/>
  <c r="F2707" i="66" s="1"/>
  <c r="F2708" i="66" s="1"/>
  <c r="F2709" i="66" s="1"/>
  <c r="F2710" i="66" s="1"/>
  <c r="F2711" i="66" s="1"/>
  <c r="F2712" i="66" s="1"/>
  <c r="F2713" i="66" s="1"/>
  <c r="F2714" i="66" s="1"/>
  <c r="F2715" i="66" s="1"/>
  <c r="F2716" i="66" s="1"/>
  <c r="F2717" i="66" s="1"/>
  <c r="F2718" i="66" s="1"/>
  <c r="F2719" i="66" s="1"/>
  <c r="F2720" i="66" s="1"/>
  <c r="F2721" i="66" s="1"/>
  <c r="F2722" i="66" s="1"/>
  <c r="F2723" i="66" s="1"/>
  <c r="F2724" i="66" s="1"/>
  <c r="F2725" i="66" s="1"/>
  <c r="F2726" i="66" s="1"/>
  <c r="F2727" i="66" s="1"/>
  <c r="F2728" i="66" s="1"/>
  <c r="F2729" i="66" s="1"/>
  <c r="F2730" i="66" s="1"/>
  <c r="F2731" i="66" s="1"/>
  <c r="F2732" i="66" s="1"/>
  <c r="F2733" i="66" s="1"/>
  <c r="F2734" i="66" s="1"/>
  <c r="F2735" i="66" s="1"/>
  <c r="F2736" i="66" s="1"/>
  <c r="F2737" i="66" s="1"/>
  <c r="F2738" i="66" s="1"/>
  <c r="F2739" i="66" s="1"/>
  <c r="F2740" i="66" s="1"/>
  <c r="F2741" i="66" s="1"/>
  <c r="F2742" i="66" s="1"/>
  <c r="F2743" i="66" s="1"/>
  <c r="F2744" i="66" s="1"/>
  <c r="F2745" i="66" s="1"/>
  <c r="F2746" i="66" s="1"/>
  <c r="F2747" i="66" s="1"/>
  <c r="F2748" i="66" s="1"/>
  <c r="F2749" i="66" s="1"/>
  <c r="F2750" i="66" s="1"/>
  <c r="F2751" i="66" s="1"/>
  <c r="F2752" i="66" s="1"/>
  <c r="F2753" i="66" s="1"/>
  <c r="F2754" i="66" s="1"/>
  <c r="F2755" i="66" s="1"/>
  <c r="F2756" i="66" s="1"/>
  <c r="F2757" i="66" s="1"/>
  <c r="F2758" i="66" s="1"/>
  <c r="F2759" i="66" s="1"/>
  <c r="F2760" i="66" s="1"/>
  <c r="F2761" i="66" s="1"/>
  <c r="F2762" i="66" s="1"/>
  <c r="F2763" i="66" s="1"/>
  <c r="F2764" i="66" s="1"/>
  <c r="F2765" i="66" s="1"/>
  <c r="F2766" i="66" s="1"/>
  <c r="F2767" i="66" s="1"/>
  <c r="F2768" i="66" s="1"/>
  <c r="F2769" i="66" s="1"/>
  <c r="F2770" i="66" s="1"/>
  <c r="F2771" i="66" s="1"/>
  <c r="F2772" i="66" s="1"/>
  <c r="F2773" i="66" s="1"/>
  <c r="F2774" i="66" s="1"/>
  <c r="F2775" i="66" s="1"/>
  <c r="F2776" i="66" s="1"/>
  <c r="F2777" i="66" s="1"/>
  <c r="F2778" i="66" s="1"/>
  <c r="F2779" i="66" s="1"/>
  <c r="F2780" i="66" s="1"/>
  <c r="F2781" i="66" s="1"/>
  <c r="F2782" i="66" s="1"/>
  <c r="F2783" i="66" s="1"/>
  <c r="F2784" i="66" s="1"/>
  <c r="F2785" i="66" s="1"/>
  <c r="F2786" i="66" s="1"/>
  <c r="F2787" i="66" s="1"/>
  <c r="F2788" i="66" s="1"/>
  <c r="F2789" i="66" s="1"/>
  <c r="F2790" i="66" s="1"/>
  <c r="F2791" i="66" s="1"/>
  <c r="F2792" i="66" s="1"/>
  <c r="F2793" i="66" s="1"/>
  <c r="F2794" i="66" s="1"/>
  <c r="F2795" i="66" s="1"/>
  <c r="F2796" i="66" s="1"/>
  <c r="F2797" i="66" s="1"/>
  <c r="F2798" i="66" s="1"/>
  <c r="F2799" i="66" s="1"/>
  <c r="F2800" i="66" s="1"/>
  <c r="F2801" i="66" s="1"/>
  <c r="F2802" i="66" s="1"/>
  <c r="F2803" i="66" s="1"/>
  <c r="F2804" i="66" s="1"/>
  <c r="F2805" i="66" s="1"/>
  <c r="F2806" i="66" s="1"/>
  <c r="F2807" i="66" s="1"/>
  <c r="F2808" i="66" s="1"/>
  <c r="F2809" i="66" s="1"/>
  <c r="F2810" i="66" s="1"/>
  <c r="F2811" i="66" s="1"/>
  <c r="F2812" i="66" s="1"/>
  <c r="F2813" i="66" s="1"/>
  <c r="F2814" i="66" s="1"/>
  <c r="F2815" i="66" s="1"/>
  <c r="F2816" i="66" s="1"/>
  <c r="F2817" i="66" s="1"/>
  <c r="F2818" i="66" s="1"/>
  <c r="F2819" i="66" s="1"/>
  <c r="F2820" i="66" s="1"/>
  <c r="F2821" i="66" s="1"/>
  <c r="F2822" i="66" s="1"/>
  <c r="F2823" i="66" s="1"/>
  <c r="F2824" i="66" s="1"/>
  <c r="F2825" i="66" s="1"/>
  <c r="F2826" i="66" s="1"/>
  <c r="F2827" i="66" s="1"/>
  <c r="F2828" i="66" s="1"/>
  <c r="F2829" i="66" s="1"/>
  <c r="F2830" i="66" s="1"/>
  <c r="F2831" i="66" s="1"/>
  <c r="F2832" i="66" s="1"/>
  <c r="F2833" i="66" s="1"/>
  <c r="F2834" i="66" s="1"/>
  <c r="F2835" i="66" s="1"/>
  <c r="F2836" i="66" s="1"/>
  <c r="F2837" i="66" s="1"/>
  <c r="F2838" i="66" s="1"/>
  <c r="F2839" i="66" s="1"/>
  <c r="F2840" i="66" s="1"/>
  <c r="F2841" i="66" s="1"/>
  <c r="F2842" i="66" s="1"/>
  <c r="F2843" i="66" s="1"/>
  <c r="F2844" i="66" s="1"/>
  <c r="F2845" i="66" s="1"/>
  <c r="F2846" i="66" s="1"/>
  <c r="F2847" i="66" s="1"/>
  <c r="F2848" i="66" s="1"/>
  <c r="F2849" i="66" s="1"/>
  <c r="F2850" i="66" s="1"/>
  <c r="F2851" i="66" s="1"/>
  <c r="F2852" i="66" s="1"/>
  <c r="F2853" i="66" s="1"/>
  <c r="F2854" i="66" s="1"/>
  <c r="F2855" i="66" s="1"/>
  <c r="F2856" i="66" s="1"/>
  <c r="F2857" i="66" s="1"/>
  <c r="F2858" i="66" s="1"/>
  <c r="F2859" i="66" s="1"/>
  <c r="F2860" i="66" s="1"/>
  <c r="F2861" i="66" s="1"/>
  <c r="F2862" i="66" s="1"/>
  <c r="F2863" i="66" s="1"/>
  <c r="F2864" i="66" s="1"/>
  <c r="F2865" i="66" s="1"/>
  <c r="F2866" i="66" s="1"/>
  <c r="F2867" i="66" s="1"/>
  <c r="F2868" i="66" s="1"/>
  <c r="F2869" i="66" s="1"/>
  <c r="F2870" i="66" s="1"/>
  <c r="F2871" i="66" s="1"/>
  <c r="F2872" i="66" s="1"/>
  <c r="F2873" i="66" s="1"/>
  <c r="F2874" i="66" s="1"/>
  <c r="F2875" i="66" s="1"/>
  <c r="F2876" i="66" s="1"/>
  <c r="F2877" i="66" s="1"/>
  <c r="F2878" i="66" s="1"/>
  <c r="F2879" i="66" s="1"/>
  <c r="F2880" i="66" s="1"/>
  <c r="F2881" i="66" s="1"/>
  <c r="F2882" i="66" s="1"/>
  <c r="F2883" i="66" s="1"/>
  <c r="F2884" i="66" s="1"/>
  <c r="F2885" i="66" s="1"/>
  <c r="F2886" i="66" s="1"/>
  <c r="F2887" i="66" s="1"/>
  <c r="F2888" i="66" s="1"/>
  <c r="F2889" i="66" s="1"/>
  <c r="F2890" i="66" s="1"/>
  <c r="F2891" i="66" s="1"/>
  <c r="F2892" i="66" s="1"/>
  <c r="F2893" i="66" s="1"/>
  <c r="F2894" i="66" s="1"/>
  <c r="F2895" i="66" s="1"/>
  <c r="F2896" i="66" s="1"/>
  <c r="F2897" i="66" s="1"/>
  <c r="F2898" i="66" s="1"/>
  <c r="F2899" i="66" s="1"/>
  <c r="F2900" i="66" s="1"/>
  <c r="F2901" i="66" s="1"/>
  <c r="F2902" i="66" s="1"/>
  <c r="F2903" i="66" s="1"/>
  <c r="F2904" i="66" s="1"/>
  <c r="F2905" i="66" s="1"/>
  <c r="F2906" i="66" s="1"/>
  <c r="F2907" i="66" s="1"/>
  <c r="F2908" i="66" s="1"/>
  <c r="F2909" i="66" s="1"/>
  <c r="F2910" i="66" s="1"/>
  <c r="F2911" i="66" s="1"/>
  <c r="F2912" i="66" s="1"/>
  <c r="F2913" i="66" s="1"/>
  <c r="F2914" i="66" s="1"/>
  <c r="F2915" i="66" s="1"/>
  <c r="F2916" i="66" s="1"/>
  <c r="F2917" i="66" s="1"/>
  <c r="F2918" i="66" s="1"/>
  <c r="F2919" i="66" s="1"/>
  <c r="F2920" i="66" s="1"/>
  <c r="F2921" i="66" s="1"/>
  <c r="F2922" i="66" s="1"/>
  <c r="F2923" i="66" s="1"/>
  <c r="F2924" i="66" s="1"/>
  <c r="F2925" i="66" s="1"/>
  <c r="F2926" i="66" s="1"/>
  <c r="F2927" i="66" s="1"/>
  <c r="F2928" i="66" s="1"/>
  <c r="F2929" i="66" s="1"/>
  <c r="F2930" i="66" s="1"/>
  <c r="F2931" i="66" s="1"/>
  <c r="F2932" i="66" s="1"/>
  <c r="F2933" i="66" s="1"/>
  <c r="F2934" i="66" s="1"/>
  <c r="F2935" i="66" s="1"/>
  <c r="F2936" i="66" s="1"/>
  <c r="F2937" i="66" s="1"/>
  <c r="F2938" i="66" s="1"/>
  <c r="F2939" i="66" s="1"/>
  <c r="F2940" i="66" s="1"/>
  <c r="F2941" i="66" s="1"/>
  <c r="F2942" i="66" s="1"/>
  <c r="F2943" i="66" s="1"/>
  <c r="F2944" i="66" s="1"/>
  <c r="F2945" i="66" s="1"/>
  <c r="F2946" i="66" s="1"/>
  <c r="F2947" i="66" s="1"/>
  <c r="F2948" i="66" s="1"/>
  <c r="F2949" i="66" s="1"/>
  <c r="F2950" i="66" s="1"/>
  <c r="F2951" i="66" s="1"/>
  <c r="F2952" i="66" s="1"/>
  <c r="F2953" i="66" s="1"/>
  <c r="F2954" i="66" s="1"/>
  <c r="F2955" i="66" s="1"/>
  <c r="F2956" i="66" s="1"/>
  <c r="F2957" i="66" s="1"/>
  <c r="F2958" i="66" s="1"/>
  <c r="F2959" i="66" s="1"/>
  <c r="F2960" i="66" s="1"/>
  <c r="F2961" i="66" s="1"/>
  <c r="F2962" i="66" s="1"/>
  <c r="F2963" i="66" s="1"/>
  <c r="F2964" i="66" s="1"/>
  <c r="F2965" i="66" s="1"/>
  <c r="F2966" i="66" s="1"/>
  <c r="F2967" i="66" s="1"/>
  <c r="F2968" i="66" s="1"/>
  <c r="F2969" i="66" s="1"/>
  <c r="F2970" i="66" s="1"/>
  <c r="F2971" i="66" s="1"/>
  <c r="F2972" i="66" s="1"/>
  <c r="F2973" i="66" s="1"/>
  <c r="F2974" i="66" s="1"/>
  <c r="F2975" i="66" s="1"/>
  <c r="F2976" i="66" s="1"/>
  <c r="F2977" i="66" s="1"/>
  <c r="F2978" i="66" s="1"/>
  <c r="F2979" i="66" s="1"/>
  <c r="F2980" i="66" s="1"/>
  <c r="F2981" i="66" s="1"/>
  <c r="F2982" i="66" s="1"/>
  <c r="F2983" i="66" s="1"/>
  <c r="F2984" i="66" s="1"/>
  <c r="F2985" i="66" s="1"/>
  <c r="F2986" i="66" s="1"/>
  <c r="F2987" i="66" s="1"/>
  <c r="F2988" i="66" s="1"/>
  <c r="F2989" i="66" s="1"/>
  <c r="F2990" i="66" s="1"/>
  <c r="F2991" i="66" s="1"/>
  <c r="F2992" i="66" s="1"/>
  <c r="F2993" i="66" s="1"/>
  <c r="F2994" i="66" s="1"/>
  <c r="F2995" i="66" s="1"/>
  <c r="F2996" i="66" s="1"/>
  <c r="F2997" i="66" s="1"/>
  <c r="F2998" i="66" s="1"/>
  <c r="F2999" i="66" s="1"/>
  <c r="F3000" i="66" s="1"/>
  <c r="F3001" i="66" s="1"/>
  <c r="F3002" i="66" s="1"/>
  <c r="F3003" i="66" s="1"/>
  <c r="F3004" i="66" s="1"/>
  <c r="F3005" i="66" s="1"/>
  <c r="F3006" i="66" s="1"/>
  <c r="F3007" i="66" s="1"/>
  <c r="F3008" i="66" s="1"/>
  <c r="F3009" i="66" s="1"/>
  <c r="F3010" i="66" s="1"/>
  <c r="F3011" i="66" s="1"/>
  <c r="F3012" i="66" s="1"/>
  <c r="F3013" i="66" s="1"/>
  <c r="F3014" i="66" s="1"/>
  <c r="F3015" i="66" s="1"/>
  <c r="F3016" i="66" s="1"/>
  <c r="F3017" i="66" s="1"/>
  <c r="F3018" i="66" s="1"/>
  <c r="F3019" i="66" s="1"/>
  <c r="F3020" i="66" s="1"/>
  <c r="F3021" i="66" s="1"/>
  <c r="F3022" i="66" s="1"/>
  <c r="F3023" i="66" s="1"/>
  <c r="F3024" i="66" s="1"/>
  <c r="F3025" i="66" s="1"/>
  <c r="F3026" i="66" s="1"/>
  <c r="F3027" i="66" s="1"/>
  <c r="F3028" i="66" s="1"/>
  <c r="F3029" i="66" s="1"/>
  <c r="F3030" i="66" s="1"/>
  <c r="F3031" i="66" s="1"/>
  <c r="F3032" i="66" s="1"/>
  <c r="F3033" i="66" s="1"/>
  <c r="F3034" i="66" s="1"/>
  <c r="F3035" i="66" s="1"/>
  <c r="F3036" i="66" s="1"/>
  <c r="F3037" i="66" s="1"/>
  <c r="F3038" i="66" s="1"/>
  <c r="F3039" i="66" s="1"/>
  <c r="F3040" i="66" s="1"/>
  <c r="F3041" i="66" s="1"/>
  <c r="F3042" i="66" s="1"/>
  <c r="F3043" i="66" s="1"/>
  <c r="F3044" i="66" s="1"/>
  <c r="F3045" i="66" s="1"/>
  <c r="F3046" i="66" s="1"/>
  <c r="F3047" i="66" s="1"/>
  <c r="F3048" i="66" s="1"/>
  <c r="F3049" i="66" s="1"/>
  <c r="F3050" i="66" s="1"/>
  <c r="F3051" i="66" s="1"/>
  <c r="F3052" i="66" s="1"/>
  <c r="F3053" i="66" s="1"/>
  <c r="F3054" i="66" s="1"/>
  <c r="F3055" i="66" s="1"/>
  <c r="F3056" i="66" s="1"/>
  <c r="F3057" i="66" s="1"/>
  <c r="F3058" i="66" s="1"/>
  <c r="F3059" i="66" s="1"/>
  <c r="F3060" i="66" s="1"/>
  <c r="F3061" i="66" s="1"/>
  <c r="F3062" i="66" s="1"/>
  <c r="F3063" i="66" s="1"/>
  <c r="F3064" i="66" s="1"/>
  <c r="F3065" i="66" s="1"/>
  <c r="F3066" i="66" s="1"/>
  <c r="F3067" i="66" s="1"/>
  <c r="F3068" i="66" s="1"/>
  <c r="F3069" i="66" s="1"/>
  <c r="F3070" i="66" s="1"/>
  <c r="F3071" i="66" s="1"/>
  <c r="F3072" i="66" s="1"/>
  <c r="F3073" i="66" s="1"/>
  <c r="F3074" i="66" s="1"/>
  <c r="F3075" i="66" s="1"/>
  <c r="F3076" i="66" s="1"/>
  <c r="F3077" i="66" s="1"/>
  <c r="F3078" i="66" s="1"/>
  <c r="F3079" i="66" s="1"/>
  <c r="F3080" i="66" s="1"/>
  <c r="F3081" i="66" s="1"/>
  <c r="F3082" i="66" s="1"/>
  <c r="F3083" i="66" s="1"/>
  <c r="F3084" i="66" s="1"/>
  <c r="F3085" i="66" s="1"/>
  <c r="F3086" i="66" s="1"/>
  <c r="F3087" i="66" s="1"/>
  <c r="F3088" i="66" s="1"/>
  <c r="F3089" i="66" s="1"/>
  <c r="F3090" i="66" s="1"/>
  <c r="F3091" i="66" s="1"/>
  <c r="F3092" i="66" s="1"/>
  <c r="F3093" i="66" s="1"/>
  <c r="F3094" i="66" s="1"/>
  <c r="F3095" i="66" s="1"/>
  <c r="F3096" i="66" s="1"/>
  <c r="F3097" i="66" s="1"/>
  <c r="F3098" i="66" s="1"/>
  <c r="F3099" i="66" s="1"/>
  <c r="F3100" i="66" s="1"/>
  <c r="F3101" i="66" s="1"/>
  <c r="F3102" i="66" s="1"/>
  <c r="F3103" i="66" s="1"/>
  <c r="F3104" i="66" s="1"/>
  <c r="F3105" i="66" s="1"/>
  <c r="F3106" i="66" s="1"/>
  <c r="F3107" i="66" s="1"/>
  <c r="F3108" i="66" s="1"/>
  <c r="F3109" i="66" s="1"/>
  <c r="F3110" i="66" s="1"/>
  <c r="F3111" i="66" s="1"/>
  <c r="F3112" i="66" s="1"/>
  <c r="F3113" i="66" s="1"/>
  <c r="F3114" i="66" s="1"/>
  <c r="F3115" i="66" s="1"/>
  <c r="F3116" i="66" s="1"/>
  <c r="F3117" i="66" s="1"/>
  <c r="F3118" i="66" s="1"/>
  <c r="F3119" i="66" s="1"/>
  <c r="F3120" i="66" s="1"/>
  <c r="F3121" i="66" s="1"/>
  <c r="F3122" i="66" s="1"/>
  <c r="F3123" i="66" s="1"/>
  <c r="F3124" i="66" s="1"/>
  <c r="F3125" i="66" s="1"/>
  <c r="F3126" i="66" s="1"/>
  <c r="F3127" i="66" s="1"/>
  <c r="F3128" i="66" s="1"/>
  <c r="F3129" i="66" s="1"/>
  <c r="F3130" i="66" s="1"/>
  <c r="F3131" i="66" s="1"/>
  <c r="F3132" i="66" s="1"/>
  <c r="F3133" i="66" s="1"/>
  <c r="F3134" i="66" s="1"/>
  <c r="F3135" i="66" s="1"/>
  <c r="F3136" i="66" s="1"/>
  <c r="F3137" i="66" s="1"/>
  <c r="F3138" i="66" s="1"/>
  <c r="F3139" i="66" s="1"/>
  <c r="F3140" i="66" s="1"/>
  <c r="F3141" i="66" s="1"/>
  <c r="F3142" i="66" s="1"/>
  <c r="F3143" i="66" s="1"/>
  <c r="F3144" i="66" s="1"/>
  <c r="F3145" i="66" s="1"/>
  <c r="F3146" i="66" s="1"/>
  <c r="F3147" i="66" s="1"/>
  <c r="F3148" i="66" s="1"/>
  <c r="F3149" i="66" s="1"/>
  <c r="F3150" i="66" s="1"/>
  <c r="F3151" i="66" s="1"/>
  <c r="F3152" i="66" s="1"/>
  <c r="F3153" i="66" s="1"/>
  <c r="F3154" i="66" s="1"/>
  <c r="F3155" i="66" s="1"/>
  <c r="F3156" i="66" s="1"/>
  <c r="F3157" i="66" s="1"/>
  <c r="F3158" i="66" s="1"/>
  <c r="F3159" i="66" s="1"/>
  <c r="F3160" i="66" s="1"/>
  <c r="F3161" i="66" s="1"/>
  <c r="F3162" i="66" s="1"/>
  <c r="F3163" i="66" s="1"/>
  <c r="F3164" i="66" s="1"/>
  <c r="F3165" i="66" s="1"/>
  <c r="F3166" i="66" s="1"/>
  <c r="F3167" i="66" s="1"/>
  <c r="F3168" i="66" s="1"/>
  <c r="F3169" i="66" s="1"/>
  <c r="F3170" i="66" s="1"/>
  <c r="F3171" i="66" s="1"/>
  <c r="F3172" i="66" s="1"/>
  <c r="F3173" i="66" s="1"/>
  <c r="F3174" i="66" s="1"/>
  <c r="F3175" i="66" s="1"/>
  <c r="F3176" i="66" s="1"/>
  <c r="F3177" i="66" s="1"/>
  <c r="F3178" i="66" s="1"/>
  <c r="F3179" i="66" s="1"/>
  <c r="F3180" i="66" s="1"/>
  <c r="F3181" i="66" s="1"/>
  <c r="F3182" i="66" s="1"/>
  <c r="F3183" i="66" s="1"/>
  <c r="F3184" i="66" s="1"/>
  <c r="F3185" i="66" s="1"/>
  <c r="K44" i="66"/>
  <c r="K22" i="66"/>
  <c r="N10" i="66"/>
  <c r="I23" i="66"/>
  <c r="Q10" i="66"/>
  <c r="J23" i="66"/>
  <c r="K23" i="66" s="1"/>
  <c r="J48" i="66" l="1"/>
  <c r="Q11" i="66"/>
  <c r="J24" i="66"/>
  <c r="K24" i="66" s="1"/>
  <c r="N11" i="66"/>
  <c r="I24" i="66"/>
  <c r="N12" i="66" l="1"/>
  <c r="I25" i="66"/>
  <c r="Q12" i="66"/>
  <c r="J25" i="66"/>
  <c r="K25" i="66" s="1"/>
  <c r="Q13" i="66" l="1"/>
  <c r="J26" i="66"/>
  <c r="K26" i="66" s="1"/>
  <c r="N13" i="66"/>
  <c r="I26" i="66"/>
  <c r="N14" i="66" l="1"/>
  <c r="I27" i="66"/>
  <c r="Q14" i="66"/>
  <c r="J27" i="66"/>
  <c r="K27" i="66" s="1"/>
  <c r="J28" i="66" l="1"/>
  <c r="K28" i="66" s="1"/>
  <c r="Q15" i="66"/>
  <c r="N15" i="66"/>
  <c r="I28" i="66"/>
  <c r="J29" i="66" l="1"/>
  <c r="K29" i="66" s="1"/>
  <c r="Q16" i="66"/>
  <c r="N16" i="66"/>
  <c r="I29" i="66"/>
  <c r="N17" i="66" l="1"/>
  <c r="I31" i="66" s="1"/>
  <c r="I30" i="66"/>
  <c r="Q17" i="66"/>
  <c r="J31" i="66" s="1"/>
  <c r="J30" i="66"/>
  <c r="K30" i="66" s="1"/>
  <c r="K33" i="66" l="1" a="1"/>
  <c r="K31" i="66"/>
  <c r="J33" i="66" s="1"/>
  <c r="C44" i="72"/>
  <c r="C43" i="72"/>
  <c r="D46" i="71"/>
  <c r="C46" i="71"/>
  <c r="D19" i="68"/>
  <c r="C19" i="68"/>
  <c r="K33" i="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49C0DA8B-8F7D-446D-8C37-56007392BB5A}">
      <text>
        <r>
          <rPr>
            <sz val="9"/>
            <color indexed="81"/>
            <rFont val="Tahoma"/>
            <family val="2"/>
          </rPr>
          <t>https://www.valasztas.hu/telepulesek-lakossag-es-valasztopolgarszama</t>
        </r>
      </text>
    </comment>
    <comment ref="C7" authorId="0" shapeId="0" xr:uid="{62DFE9FB-1A7D-41AF-966F-642F948DFCE4}">
      <text>
        <r>
          <rPr>
            <sz val="9"/>
            <color indexed="81"/>
            <rFont val="Tahoma"/>
            <family val="2"/>
          </rPr>
          <t>Nagyság szerint rendezve</t>
        </r>
      </text>
    </comment>
    <comment ref="K33" authorId="0" shapeId="0" xr:uid="{C12B92C3-901B-4F5A-A60D-51E3FD272F92}">
      <text>
        <r>
          <rPr>
            <sz val="9"/>
            <color indexed="81"/>
            <rFont val="Tahoma"/>
            <family val="2"/>
          </rPr>
          <t>Egyetlen képlettel, segédcellák nélkül</t>
        </r>
      </text>
    </comment>
    <comment ref="J43" authorId="0" shapeId="0" xr:uid="{ED3A5DE3-99C3-46D9-85E8-9790EC5DA5E8}">
      <text>
        <r>
          <rPr>
            <sz val="9"/>
            <color indexed="81"/>
            <rFont val="Tahoma"/>
            <family val="2"/>
          </rPr>
          <t>Nemesvámos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Balázsné Mócsai Andrea</author>
  </authors>
  <commentList>
    <comment ref="D19" authorId="0" shapeId="0" xr:uid="{22D577C9-C06A-4639-890E-B0A2EB9EFEFB}">
      <text>
        <r>
          <rPr>
            <sz val="9"/>
            <color indexed="81"/>
            <rFont val="Tahoma"/>
            <family val="2"/>
            <charset val="238"/>
          </rPr>
          <t xml:space="preserve">Értékösszegből
</t>
        </r>
      </text>
    </comment>
    <comment ref="D20" authorId="0" shapeId="0" xr:uid="{8F12F549-C192-4FAC-B3BC-789BA6D7CCD7}">
      <text>
        <r>
          <rPr>
            <sz val="9"/>
            <color indexed="81"/>
            <rFont val="Tahoma"/>
            <family val="2"/>
            <charset val="238"/>
          </rPr>
          <t>Relatív szórással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K7" authorId="0" shapeId="0" xr:uid="{1E3FC9E6-BD7C-4632-A533-005870CEA465}">
      <text>
        <r>
          <rPr>
            <sz val="9"/>
            <color indexed="81"/>
            <rFont val="Tahoma"/>
            <family val="2"/>
          </rPr>
          <t>millió Ft-ban</t>
        </r>
      </text>
    </comment>
    <comment ref="M7" authorId="0" shapeId="0" xr:uid="{6852FA4F-BECB-453C-BE35-92DDE7EDB38D}">
      <text>
        <r>
          <rPr>
            <sz val="9"/>
            <color indexed="81"/>
            <rFont val="Tahoma"/>
            <family val="2"/>
          </rPr>
          <t>millió Ft-ban</t>
        </r>
      </text>
    </comment>
    <comment ref="H8" authorId="0" shapeId="0" xr:uid="{FAC6925E-A94F-43DF-B6A1-68186E31BE64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szoktunk foglalkozni, így is jó, növelés nélkül is.</t>
        </r>
      </text>
    </comment>
    <comment ref="I8" authorId="0" shapeId="0" xr:uid="{E8A18650-EF26-4819-BE2B-23AC7376E683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szoktunk foglalkozni, így is jó, növelés nélkül is.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C7" authorId="0" shapeId="0" xr:uid="{AC544FAE-F923-40B3-97C9-72201BB06D0F}">
      <text>
        <r>
          <rPr>
            <sz val="9"/>
            <color indexed="81"/>
            <rFont val="Tahoma"/>
            <family val="2"/>
          </rPr>
          <t>Nagyság szerint rendezve</t>
        </r>
      </text>
    </comment>
    <comment ref="J43" authorId="0" shapeId="0" xr:uid="{7A475DDD-BFBB-4C6E-A9B3-EC4E6B000F67}">
      <text>
        <r>
          <rPr>
            <sz val="9"/>
            <color indexed="81"/>
            <rFont val="Tahoma"/>
            <family val="2"/>
          </rPr>
          <t>ID = 1510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19C1708A-D3A7-49C0-9B1D-828D5091FD26}">
      <text>
        <r>
          <rPr>
            <sz val="9"/>
            <color indexed="81"/>
            <rFont val="Tahoma"/>
            <family val="2"/>
          </rPr>
          <t>Adatforrás: https://sta.mnb.hu/Reports/powerbi/STA/HaztVagyon_HU?rs:embed=true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31" authorId="0" shapeId="0" xr:uid="{00000000-0006-0000-0800-000001000000}">
      <text>
        <r>
          <rPr>
            <sz val="8"/>
            <color indexed="81"/>
            <rFont val="Arial"/>
            <family val="2"/>
            <charset val="238"/>
          </rPr>
          <t>Megvalósítás: adatok átmásolása értékként, majd rendezés</t>
        </r>
      </text>
    </comment>
    <comment ref="F45" authorId="0" shapeId="0" xr:uid="{00000000-0006-0000-0800-000002000000}">
      <text>
        <r>
          <rPr>
            <sz val="8"/>
            <color indexed="81"/>
            <rFont val="Arial"/>
            <family val="2"/>
            <charset val="238"/>
          </rPr>
          <t>Alternatív megoldási lehetőség</t>
        </r>
      </text>
    </comment>
    <comment ref="B58" authorId="0" shapeId="0" xr:uid="{00000000-0006-0000-0800-000003000000}">
      <text>
        <r>
          <rPr>
            <sz val="8"/>
            <color indexed="81"/>
            <rFont val="Arial"/>
            <family val="2"/>
            <charset val="238"/>
          </rPr>
          <t>a nagyság szerinti sorbarendezés sorszámai</t>
        </r>
      </text>
    </comment>
    <comment ref="C58" authorId="0" shapeId="0" xr:uid="{00000000-0006-0000-0800-000004000000}">
      <text>
        <r>
          <rPr>
            <sz val="8"/>
            <color indexed="81"/>
            <rFont val="Arial"/>
            <family val="2"/>
            <charset val="238"/>
          </rPr>
          <t>a két szempont szerint más-más újságokat kerülnek a rendezett listába !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<sst xmlns="http://schemas.openxmlformats.org/spreadsheetml/2006/main" count="3440" uniqueCount="3311">
  <si>
    <t>a)</t>
  </si>
  <si>
    <t>b)</t>
  </si>
  <si>
    <t>c)</t>
  </si>
  <si>
    <t>Átlag</t>
  </si>
  <si>
    <t>Összesen</t>
  </si>
  <si>
    <t>─</t>
  </si>
  <si>
    <r>
      <t>g</t>
    </r>
    <r>
      <rPr>
        <b/>
        <vertAlign val="subscript"/>
        <sz val="10"/>
        <color indexed="9"/>
        <rFont val="Arial CE"/>
        <charset val="238"/>
      </rPr>
      <t>i</t>
    </r>
  </si>
  <si>
    <t>Népességnagyság-csoport (fő)</t>
  </si>
  <si>
    <t>Megoszlás</t>
  </si>
  <si>
    <t>Szórás</t>
  </si>
  <si>
    <t>Zsurk</t>
  </si>
  <si>
    <t>Zsujta</t>
  </si>
  <si>
    <t>Zsombó</t>
  </si>
  <si>
    <t>Zsira</t>
  </si>
  <si>
    <t>Zsennye</t>
  </si>
  <si>
    <t>Zselicszentpál</t>
  </si>
  <si>
    <t>Zselickislak</t>
  </si>
  <si>
    <t>Zselickisfalud</t>
  </si>
  <si>
    <t>Zsédeny</t>
  </si>
  <si>
    <t>Zsebeháza</t>
  </si>
  <si>
    <t>Zsarolyán</t>
  </si>
  <si>
    <t>Zsana</t>
  </si>
  <si>
    <t>Zsámbok</t>
  </si>
  <si>
    <t>Zsámbék</t>
  </si>
  <si>
    <t>Zsáka</t>
  </si>
  <si>
    <t>Zsadány</t>
  </si>
  <si>
    <t>Zubogy</t>
  </si>
  <si>
    <t>Zomba</t>
  </si>
  <si>
    <t>Zók</t>
  </si>
  <si>
    <t>Zirc</t>
  </si>
  <si>
    <t>Zimány</t>
  </si>
  <si>
    <t>Ziliz</t>
  </si>
  <si>
    <t>Zics</t>
  </si>
  <si>
    <t>Zichyújfalu</t>
  </si>
  <si>
    <t>Zengővárkony</t>
  </si>
  <si>
    <t>Zemplénagárd</t>
  </si>
  <si>
    <t>Zebegény</t>
  </si>
  <si>
    <t>Zebecke</t>
  </si>
  <si>
    <t>Závod</t>
  </si>
  <si>
    <t>Zaránk</t>
  </si>
  <si>
    <t>Zánka</t>
  </si>
  <si>
    <t>Zámoly</t>
  </si>
  <si>
    <t>Zamárdi</t>
  </si>
  <si>
    <t>Zalkod</t>
  </si>
  <si>
    <t>Zalavég</t>
  </si>
  <si>
    <t>Zalavár</t>
  </si>
  <si>
    <t>Zalaújlak</t>
  </si>
  <si>
    <t>Zalatárnok</t>
  </si>
  <si>
    <t>Zaláta</t>
  </si>
  <si>
    <t>Zalaszombatfa</t>
  </si>
  <si>
    <t>Zalaszentmihály</t>
  </si>
  <si>
    <t>Zalaszentmárton</t>
  </si>
  <si>
    <t>Zalaszentlőrinc</t>
  </si>
  <si>
    <t>Zalaszentlászló</t>
  </si>
  <si>
    <t>Zalaszentjakab</t>
  </si>
  <si>
    <t>Zalaszentiván</t>
  </si>
  <si>
    <t>Zalaszentgyörgy</t>
  </si>
  <si>
    <t>Zalaszentgrót</t>
  </si>
  <si>
    <t>Zalaszentbalázs</t>
  </si>
  <si>
    <t>Zalaszegvár</t>
  </si>
  <si>
    <t>Zalaszántó</t>
  </si>
  <si>
    <t>Zalaszabar</t>
  </si>
  <si>
    <t>Zalasárszeg</t>
  </si>
  <si>
    <t>Zalamerenye</t>
  </si>
  <si>
    <t>Zalameggyes</t>
  </si>
  <si>
    <t>Zalalövő</t>
  </si>
  <si>
    <t>Zalaköveskút</t>
  </si>
  <si>
    <t>Zalakomár</t>
  </si>
  <si>
    <t>Zalakaros</t>
  </si>
  <si>
    <t>Zalaistvánd</t>
  </si>
  <si>
    <t>Zalaigrice</t>
  </si>
  <si>
    <t>Zalaháshágy</t>
  </si>
  <si>
    <t>Zalahaláp</t>
  </si>
  <si>
    <t>Zalagyömörő</t>
  </si>
  <si>
    <t>Zalaerdőd</t>
  </si>
  <si>
    <t>Zalaegerszeg</t>
  </si>
  <si>
    <t>Zalacséb</t>
  </si>
  <si>
    <t>Zalacsány</t>
  </si>
  <si>
    <t>Zalaboldogfa</t>
  </si>
  <si>
    <t>Zalabér</t>
  </si>
  <si>
    <t>Zalabaksa</t>
  </si>
  <si>
    <t>Zalaapáti</t>
  </si>
  <si>
    <t>Zala</t>
  </si>
  <si>
    <t>Zákányszék</t>
  </si>
  <si>
    <t>Zákányfalu</t>
  </si>
  <si>
    <t>Zákány</t>
  </si>
  <si>
    <t>Zajta</t>
  </si>
  <si>
    <t>Zajk</t>
  </si>
  <si>
    <t>Záhony</t>
  </si>
  <si>
    <t>Zagyvaszántó</t>
  </si>
  <si>
    <t>Zagyvarékas</t>
  </si>
  <si>
    <t>Zádorfalva</t>
  </si>
  <si>
    <t>Zádor</t>
  </si>
  <si>
    <t>Zabar</t>
  </si>
  <si>
    <t>Vörs</t>
  </si>
  <si>
    <t>Vöröstó</t>
  </si>
  <si>
    <t>Vönöck</t>
  </si>
  <si>
    <t>Völcsej</t>
  </si>
  <si>
    <t>Vöckönd</t>
  </si>
  <si>
    <t>Vonyarcvashegy</t>
  </si>
  <si>
    <t>Vokány</t>
  </si>
  <si>
    <t>Vizsoly</t>
  </si>
  <si>
    <t>Vizslás</t>
  </si>
  <si>
    <t>Vízvár</t>
  </si>
  <si>
    <t>Vitnyéd</t>
  </si>
  <si>
    <t>Visznek</t>
  </si>
  <si>
    <t>Viszló</t>
  </si>
  <si>
    <t>Viszák</t>
  </si>
  <si>
    <t>Visz</t>
  </si>
  <si>
    <t>Viss</t>
  </si>
  <si>
    <t>Visonta</t>
  </si>
  <si>
    <t>Visnye</t>
  </si>
  <si>
    <t>Visegrád</t>
  </si>
  <si>
    <t>Vindornyaszőlős</t>
  </si>
  <si>
    <t>Vindornyalak</t>
  </si>
  <si>
    <t>Vindornyafok</t>
  </si>
  <si>
    <t>Vinár</t>
  </si>
  <si>
    <t>Vilyvitány</t>
  </si>
  <si>
    <t>Vilonya</t>
  </si>
  <si>
    <t>Vilmány</t>
  </si>
  <si>
    <t>Villánykövesd</t>
  </si>
  <si>
    <t>Villány</t>
  </si>
  <si>
    <t>Vigántpetend</t>
  </si>
  <si>
    <t>Vid</t>
  </si>
  <si>
    <t>Vezseny</t>
  </si>
  <si>
    <t>Vésztő</t>
  </si>
  <si>
    <t>Veszprémvarsány</t>
  </si>
  <si>
    <t>Veszprémgalsa</t>
  </si>
  <si>
    <t>Veszprémfajsz</t>
  </si>
  <si>
    <t>Veszprém</t>
  </si>
  <si>
    <t>Veszkény</t>
  </si>
  <si>
    <t>Vése</t>
  </si>
  <si>
    <t>Vértesszőlős</t>
  </si>
  <si>
    <t>Vértestolna</t>
  </si>
  <si>
    <t>Vértessomló</t>
  </si>
  <si>
    <t>Vérteskethely</t>
  </si>
  <si>
    <t>Vértesboglár</t>
  </si>
  <si>
    <t>Vértesacsa</t>
  </si>
  <si>
    <t>Versend</t>
  </si>
  <si>
    <t>Verseg</t>
  </si>
  <si>
    <t>Verpelét</t>
  </si>
  <si>
    <t>Verőce</t>
  </si>
  <si>
    <t>Veresegyház</t>
  </si>
  <si>
    <t>Vereb</t>
  </si>
  <si>
    <t>Vép</t>
  </si>
  <si>
    <t>Vének</t>
  </si>
  <si>
    <t>Véménd</t>
  </si>
  <si>
    <t>Velény</t>
  </si>
  <si>
    <t>Velence</t>
  </si>
  <si>
    <t>Velemér</t>
  </si>
  <si>
    <t>Velem</t>
  </si>
  <si>
    <t>Vekerd</t>
  </si>
  <si>
    <t>Vékény</t>
  </si>
  <si>
    <t>Vejti</t>
  </si>
  <si>
    <t>Végegyháza</t>
  </si>
  <si>
    <t>Vecsés</t>
  </si>
  <si>
    <t>Vécs</t>
  </si>
  <si>
    <t>Vázsnok</t>
  </si>
  <si>
    <t>Vatta</t>
  </si>
  <si>
    <t>Vát</t>
  </si>
  <si>
    <t>Vasszilvágy</t>
  </si>
  <si>
    <t>Vasszentmihály</t>
  </si>
  <si>
    <t>Vasszécseny</t>
  </si>
  <si>
    <t>Vászoly</t>
  </si>
  <si>
    <t>Vaszar</t>
  </si>
  <si>
    <t>Vasvár</t>
  </si>
  <si>
    <t>Vassurány</t>
  </si>
  <si>
    <t>Vaspör</t>
  </si>
  <si>
    <t>Vasmegyer</t>
  </si>
  <si>
    <t>Vaskút</t>
  </si>
  <si>
    <t>Vaskeresztes</t>
  </si>
  <si>
    <t>Vashosszúfalu</t>
  </si>
  <si>
    <t>Vasegerszeg</t>
  </si>
  <si>
    <t>Vasboldogasszony</t>
  </si>
  <si>
    <t>Vasasszonyfa</t>
  </si>
  <si>
    <t>Vásárosnamény</t>
  </si>
  <si>
    <t>Vásárosmiske</t>
  </si>
  <si>
    <t>Vásárosfalu</t>
  </si>
  <si>
    <t>Vásárosdombó</t>
  </si>
  <si>
    <t>Vásárosbéc</t>
  </si>
  <si>
    <t>Vasalja</t>
  </si>
  <si>
    <t>Vasad</t>
  </si>
  <si>
    <t>Várvölgy</t>
  </si>
  <si>
    <t>Varsány</t>
  </si>
  <si>
    <t>Varsád</t>
  </si>
  <si>
    <t>Várpalota</t>
  </si>
  <si>
    <t>Városlőd</t>
  </si>
  <si>
    <t>Városföld</t>
  </si>
  <si>
    <t>Várong</t>
  </si>
  <si>
    <t>Várkesző</t>
  </si>
  <si>
    <t>Várgesztes</t>
  </si>
  <si>
    <t>Varga</t>
  </si>
  <si>
    <t>Várfölde</t>
  </si>
  <si>
    <t>Várdomb</t>
  </si>
  <si>
    <t>Várda</t>
  </si>
  <si>
    <t>Varbóc</t>
  </si>
  <si>
    <t>Varbó</t>
  </si>
  <si>
    <t>Várbalog</t>
  </si>
  <si>
    <t>Váraszó</t>
  </si>
  <si>
    <t>Varászló</t>
  </si>
  <si>
    <t>Váralja</t>
  </si>
  <si>
    <t>Várad</t>
  </si>
  <si>
    <t>Vanyola</t>
  </si>
  <si>
    <t>Vanyarc</t>
  </si>
  <si>
    <t>Váncsod</t>
  </si>
  <si>
    <t>Vámosszabadi</t>
  </si>
  <si>
    <t>Vámosújfalu</t>
  </si>
  <si>
    <t>Vámospércs</t>
  </si>
  <si>
    <t>Vámosoroszi</t>
  </si>
  <si>
    <t>Vámosmikola</t>
  </si>
  <si>
    <t>Vámosgyörk</t>
  </si>
  <si>
    <t>Vámoscsalád</t>
  </si>
  <si>
    <t>Vámosatya</t>
  </si>
  <si>
    <t>Vállus</t>
  </si>
  <si>
    <t>Vállaj</t>
  </si>
  <si>
    <t>Valkonya</t>
  </si>
  <si>
    <t>Valkó</t>
  </si>
  <si>
    <t>Vál</t>
  </si>
  <si>
    <t>Vajta</t>
  </si>
  <si>
    <t>Vajszló</t>
  </si>
  <si>
    <t>Vajdácska</t>
  </si>
  <si>
    <t>Vaja</t>
  </si>
  <si>
    <t>Vágáshuta</t>
  </si>
  <si>
    <t>Vág</t>
  </si>
  <si>
    <t>Vadosfa</t>
  </si>
  <si>
    <t>Vadna</t>
  </si>
  <si>
    <t>Vácszentlászló</t>
  </si>
  <si>
    <t>Vácrátót</t>
  </si>
  <si>
    <t>Váckisújfalu</t>
  </si>
  <si>
    <t>Váchartyán</t>
  </si>
  <si>
    <t>Vácegres</t>
  </si>
  <si>
    <t>Vácduka</t>
  </si>
  <si>
    <t>Vác</t>
  </si>
  <si>
    <t>Üröm</t>
  </si>
  <si>
    <t>Üllő</t>
  </si>
  <si>
    <t>Üllés</t>
  </si>
  <si>
    <t>Uzsa</t>
  </si>
  <si>
    <t>Uszód</t>
  </si>
  <si>
    <t>Uszka</t>
  </si>
  <si>
    <t>Úrkút</t>
  </si>
  <si>
    <t>Úri</t>
  </si>
  <si>
    <t>Úrhida</t>
  </si>
  <si>
    <t>Uraiújfalu</t>
  </si>
  <si>
    <t>Ura</t>
  </si>
  <si>
    <t>Uppony</t>
  </si>
  <si>
    <t>Úny</t>
  </si>
  <si>
    <t>Und</t>
  </si>
  <si>
    <t>Ukk</t>
  </si>
  <si>
    <t>Újvárfalva</t>
  </si>
  <si>
    <t>Újudvar</t>
  </si>
  <si>
    <t>Újtikos</t>
  </si>
  <si>
    <t>Újtelek</t>
  </si>
  <si>
    <t>Újszilvás</t>
  </si>
  <si>
    <t>Újszentmargita</t>
  </si>
  <si>
    <t>Újszentiván</t>
  </si>
  <si>
    <t>Újszász</t>
  </si>
  <si>
    <t>Újszalonta</t>
  </si>
  <si>
    <t>Újsolt</t>
  </si>
  <si>
    <t>Újrónafő</t>
  </si>
  <si>
    <t>Újpetre</t>
  </si>
  <si>
    <t>Újlőrincfalva</t>
  </si>
  <si>
    <t>Újléta</t>
  </si>
  <si>
    <t>Újlengyel</t>
  </si>
  <si>
    <t>Újkígyós</t>
  </si>
  <si>
    <t>Újkér</t>
  </si>
  <si>
    <t>Újkenéz</t>
  </si>
  <si>
    <t>Újireg</t>
  </si>
  <si>
    <t>Újiráz</t>
  </si>
  <si>
    <t>Újhartyán</t>
  </si>
  <si>
    <t>Újfehértó</t>
  </si>
  <si>
    <t>Újdombrád</t>
  </si>
  <si>
    <t>Újcsanálos</t>
  </si>
  <si>
    <t>Újbarok</t>
  </si>
  <si>
    <t>Ugod</t>
  </si>
  <si>
    <t>Udvari</t>
  </si>
  <si>
    <t>Udvar</t>
  </si>
  <si>
    <t>Tyukod</t>
  </si>
  <si>
    <t>Tüskevár</t>
  </si>
  <si>
    <t>Türje</t>
  </si>
  <si>
    <t>Tuzsér</t>
  </si>
  <si>
    <t>Túrricse</t>
  </si>
  <si>
    <t>Túrony</t>
  </si>
  <si>
    <t>Túrkeve</t>
  </si>
  <si>
    <t>Túristvándi</t>
  </si>
  <si>
    <t>Tura</t>
  </si>
  <si>
    <t>Tunyogmatolcs</t>
  </si>
  <si>
    <t>Trizs</t>
  </si>
  <si>
    <t>Töttös</t>
  </si>
  <si>
    <t>Törtel</t>
  </si>
  <si>
    <t>Törökszentmiklós</t>
  </si>
  <si>
    <t>Törökkoppány</t>
  </si>
  <si>
    <t>Törökbálint</t>
  </si>
  <si>
    <t>Tömörkény</t>
  </si>
  <si>
    <t>Tömörd</t>
  </si>
  <si>
    <t>Töltéstava</t>
  </si>
  <si>
    <t>Tököl</t>
  </si>
  <si>
    <t>Tök</t>
  </si>
  <si>
    <t>Tótvázsony</t>
  </si>
  <si>
    <t>Tótújfalu</t>
  </si>
  <si>
    <t>Tótszerdahely</t>
  </si>
  <si>
    <t>Tótszentmárton</t>
  </si>
  <si>
    <t>Tótszentgyörgy</t>
  </si>
  <si>
    <t>Tótkomlós</t>
  </si>
  <si>
    <t>Tószeg</t>
  </si>
  <si>
    <t>Torvaj</t>
  </si>
  <si>
    <t>Torony</t>
  </si>
  <si>
    <t>Tornyospálca</t>
  </si>
  <si>
    <t>Tornyosnémeti</t>
  </si>
  <si>
    <t>Tornyiszentmiklós</t>
  </si>
  <si>
    <t>Tornaszentjakab</t>
  </si>
  <si>
    <t>Tornaszentandrás</t>
  </si>
  <si>
    <t>Tornanádaska</t>
  </si>
  <si>
    <t>Tornakápolna</t>
  </si>
  <si>
    <t>Tornabarakony</t>
  </si>
  <si>
    <t>Tormásliget</t>
  </si>
  <si>
    <t>Tormás</t>
  </si>
  <si>
    <t>Tormafölde</t>
  </si>
  <si>
    <t>Tordas</t>
  </si>
  <si>
    <t>Tompaládony</t>
  </si>
  <si>
    <t>Tompa</t>
  </si>
  <si>
    <t>Tomor</t>
  </si>
  <si>
    <t>Tomajmonostora</t>
  </si>
  <si>
    <t>Tolnanémedi</t>
  </si>
  <si>
    <t>Tolna</t>
  </si>
  <si>
    <t>Tolmács</t>
  </si>
  <si>
    <t>Told</t>
  </si>
  <si>
    <t>Tolcsva</t>
  </si>
  <si>
    <t>Tokorcs</t>
  </si>
  <si>
    <t>Tokodaltáró</t>
  </si>
  <si>
    <t>Tokod</t>
  </si>
  <si>
    <t>Tokaj</t>
  </si>
  <si>
    <t>Tófű</t>
  </si>
  <si>
    <t>Tófej</t>
  </si>
  <si>
    <t>Tófalu</t>
  </si>
  <si>
    <t>Tóalmás</t>
  </si>
  <si>
    <t>Tivadar</t>
  </si>
  <si>
    <t>Tisztaberek</t>
  </si>
  <si>
    <t>Tiszavid</t>
  </si>
  <si>
    <t>Tiszavasvári</t>
  </si>
  <si>
    <t>Tiszavárkony</t>
  </si>
  <si>
    <t>Tiszavalk</t>
  </si>
  <si>
    <t>Tiszaújváros</t>
  </si>
  <si>
    <t>Tiszaug</t>
  </si>
  <si>
    <t>Tiszatenyő</t>
  </si>
  <si>
    <t>Tiszatelek</t>
  </si>
  <si>
    <t>Tiszatarján</t>
  </si>
  <si>
    <t>Tiszatardos</t>
  </si>
  <si>
    <t>Tiszaszőlős</t>
  </si>
  <si>
    <t>Tiszasziget</t>
  </si>
  <si>
    <t>Tiszaszentmárton</t>
  </si>
  <si>
    <t>Tiszaszentimre</t>
  </si>
  <si>
    <t>Tiszaszalka</t>
  </si>
  <si>
    <t>Tiszasüly</t>
  </si>
  <si>
    <t>Tiszasas</t>
  </si>
  <si>
    <t>Tiszaroff</t>
  </si>
  <si>
    <t>Tiszarád</t>
  </si>
  <si>
    <t>Tiszapüspöki</t>
  </si>
  <si>
    <t>Tiszapalkonya</t>
  </si>
  <si>
    <t>Tiszaörs</t>
  </si>
  <si>
    <t>Tiszanána</t>
  </si>
  <si>
    <t>Tiszanagyfalu</t>
  </si>
  <si>
    <t>Tiszamogyorós</t>
  </si>
  <si>
    <t>Tiszalúc</t>
  </si>
  <si>
    <t>Tiszalök</t>
  </si>
  <si>
    <t>Tiszaladány</t>
  </si>
  <si>
    <t>Tiszakürt</t>
  </si>
  <si>
    <t>Tiszakóród</t>
  </si>
  <si>
    <t>Tiszakeszi</t>
  </si>
  <si>
    <t>Tiszakerecseny</t>
  </si>
  <si>
    <t>Tiszakécske</t>
  </si>
  <si>
    <t>Tiszakarád</t>
  </si>
  <si>
    <t>Tiszakanyár</t>
  </si>
  <si>
    <t>Tiszajenő</t>
  </si>
  <si>
    <t>Tiszainoka</t>
  </si>
  <si>
    <t>Tiszaigar</t>
  </si>
  <si>
    <t>Tiszagyulaháza</t>
  </si>
  <si>
    <t>Tiszagyenda</t>
  </si>
  <si>
    <t>Tiszafüred</t>
  </si>
  <si>
    <t>Tiszaföldvár</t>
  </si>
  <si>
    <t>Tiszaeszlár</t>
  </si>
  <si>
    <t>Tiszadorogma</t>
  </si>
  <si>
    <t>Tiszadob</t>
  </si>
  <si>
    <t>Tiszaderzs</t>
  </si>
  <si>
    <t>Tiszadada</t>
  </si>
  <si>
    <t>Tiszacsermely</t>
  </si>
  <si>
    <t>Tiszacsege</t>
  </si>
  <si>
    <t>Tiszacsécse</t>
  </si>
  <si>
    <t>Tiszabura</t>
  </si>
  <si>
    <t>Tiszabő</t>
  </si>
  <si>
    <t>Tiszabezdéd</t>
  </si>
  <si>
    <t>Tiszabercel</t>
  </si>
  <si>
    <t>Tiszabecs</t>
  </si>
  <si>
    <t>Tiszabábolna</t>
  </si>
  <si>
    <t>Tiszaalpár</t>
  </si>
  <si>
    <t>Tiszaadony</t>
  </si>
  <si>
    <t>Tinnye</t>
  </si>
  <si>
    <t>Timár</t>
  </si>
  <si>
    <t>Tilaj</t>
  </si>
  <si>
    <t>Tikos</t>
  </si>
  <si>
    <t>Tihany</t>
  </si>
  <si>
    <t>Tiborszállás</t>
  </si>
  <si>
    <t>Tibolddaróc</t>
  </si>
  <si>
    <t>Tevel</t>
  </si>
  <si>
    <t>Tetétlen</t>
  </si>
  <si>
    <t>Tét</t>
  </si>
  <si>
    <t>Teskánd</t>
  </si>
  <si>
    <t>Téseny</t>
  </si>
  <si>
    <t>Tésenfa</t>
  </si>
  <si>
    <t>Tésa</t>
  </si>
  <si>
    <t>Tés</t>
  </si>
  <si>
    <t>Terpes</t>
  </si>
  <si>
    <t>Teresztenye</t>
  </si>
  <si>
    <t>Tereske</t>
  </si>
  <si>
    <t>Terény</t>
  </si>
  <si>
    <t>Terem</t>
  </si>
  <si>
    <t>Tépe</t>
  </si>
  <si>
    <t>Tényő</t>
  </si>
  <si>
    <t>Tenk</t>
  </si>
  <si>
    <t>Tengőd</t>
  </si>
  <si>
    <t>Tengeri</t>
  </si>
  <si>
    <t>Tengelic</t>
  </si>
  <si>
    <t>Telkibánya</t>
  </si>
  <si>
    <t>Telki</t>
  </si>
  <si>
    <t>Teleki</t>
  </si>
  <si>
    <t>Telekgerendás</t>
  </si>
  <si>
    <t>Telekes</t>
  </si>
  <si>
    <t>Teklafalu</t>
  </si>
  <si>
    <t>Tékes</t>
  </si>
  <si>
    <t>Tekenye</t>
  </si>
  <si>
    <t>Téglás</t>
  </si>
  <si>
    <t>Tázlár</t>
  </si>
  <si>
    <t>Tatárszentgyörgy</t>
  </si>
  <si>
    <t>Tataháza</t>
  </si>
  <si>
    <t>Tatabánya</t>
  </si>
  <si>
    <t>Tata</t>
  </si>
  <si>
    <t>Tát</t>
  </si>
  <si>
    <t>Taszár</t>
  </si>
  <si>
    <t>Tass</t>
  </si>
  <si>
    <t>Táska</t>
  </si>
  <si>
    <t>Tarrós</t>
  </si>
  <si>
    <t>Tarpa</t>
  </si>
  <si>
    <t>Tárnokréti</t>
  </si>
  <si>
    <t>Tárnok</t>
  </si>
  <si>
    <t>Tarnazsadány</t>
  </si>
  <si>
    <t>Tarnaszentmiklós</t>
  </si>
  <si>
    <t>Tarnaszentmária</t>
  </si>
  <si>
    <t>Tarnaörs</t>
  </si>
  <si>
    <t>Tarnaméra</t>
  </si>
  <si>
    <t>Tarnalelesz</t>
  </si>
  <si>
    <t>Tarnabod</t>
  </si>
  <si>
    <t>Tárkány</t>
  </si>
  <si>
    <t>Tarjánpuszta</t>
  </si>
  <si>
    <t>Tarján</t>
  </si>
  <si>
    <t>Tarhos</t>
  </si>
  <si>
    <t>Tardos</t>
  </si>
  <si>
    <t>Tardona</t>
  </si>
  <si>
    <t>Tard</t>
  </si>
  <si>
    <t>Tarcal</t>
  </si>
  <si>
    <t>Tarany</t>
  </si>
  <si>
    <t>Tar</t>
  </si>
  <si>
    <t>Tápszentmiklós</t>
  </si>
  <si>
    <t>Tapsony</t>
  </si>
  <si>
    <t>Tapolca</t>
  </si>
  <si>
    <t>Táplánszentkereszt</t>
  </si>
  <si>
    <t>Tápiószőlős</t>
  </si>
  <si>
    <t>Tápiószentmárton</t>
  </si>
  <si>
    <t>Tápiószele</t>
  </si>
  <si>
    <t>Tápiószecső</t>
  </si>
  <si>
    <t>Tápióság</t>
  </si>
  <si>
    <t>Tápiógyörgye</t>
  </si>
  <si>
    <t>Tápióbicske</t>
  </si>
  <si>
    <t>Táp</t>
  </si>
  <si>
    <t>Tanakajd</t>
  </si>
  <si>
    <t>Tamási</t>
  </si>
  <si>
    <t>Tállya</t>
  </si>
  <si>
    <t>Taliándörögd</t>
  </si>
  <si>
    <t>Taktaszada</t>
  </si>
  <si>
    <t>Taktakenéz</t>
  </si>
  <si>
    <t>Taktaharkány</t>
  </si>
  <si>
    <t>Taktabáj</t>
  </si>
  <si>
    <t>Taksony</t>
  </si>
  <si>
    <t>Tákos</t>
  </si>
  <si>
    <t>Takácsi</t>
  </si>
  <si>
    <t>Tahitótfalu</t>
  </si>
  <si>
    <t>Tagyon</t>
  </si>
  <si>
    <t>Tác</t>
  </si>
  <si>
    <t>Táborfalva</t>
  </si>
  <si>
    <t>Tabdi</t>
  </si>
  <si>
    <t>Tabajd</t>
  </si>
  <si>
    <t>Tab</t>
  </si>
  <si>
    <t>Szűr</t>
  </si>
  <si>
    <t>Szügy</t>
  </si>
  <si>
    <t>Szűcsi</t>
  </si>
  <si>
    <t>Szurdokpüspöki</t>
  </si>
  <si>
    <t>Szulok</t>
  </si>
  <si>
    <t>Szulimán</t>
  </si>
  <si>
    <t>Szuhogy</t>
  </si>
  <si>
    <t>Szuhakálló</t>
  </si>
  <si>
    <t>Szuhafő</t>
  </si>
  <si>
    <t>Szuha</t>
  </si>
  <si>
    <t>Szúcs</t>
  </si>
  <si>
    <t>Szörény</t>
  </si>
  <si>
    <t>Szőlősgyörök</t>
  </si>
  <si>
    <t>Szőlősardó</t>
  </si>
  <si>
    <t>Szőkedencs</t>
  </si>
  <si>
    <t>Szőkéd</t>
  </si>
  <si>
    <t>Szőke</t>
  </si>
  <si>
    <t>Szögliget</t>
  </si>
  <si>
    <t>Sződliget</t>
  </si>
  <si>
    <t>Sződ</t>
  </si>
  <si>
    <t>Szőce</t>
  </si>
  <si>
    <t>Szőc</t>
  </si>
  <si>
    <t>Szorosad</t>
  </si>
  <si>
    <t>Szorgalmatos</t>
  </si>
  <si>
    <t>Szomor</t>
  </si>
  <si>
    <t>Szomolya</t>
  </si>
  <si>
    <t>Szomód</t>
  </si>
  <si>
    <t>Szombathely</t>
  </si>
  <si>
    <t>Szolnok</t>
  </si>
  <si>
    <t>Szólád</t>
  </si>
  <si>
    <t>Szokolya</t>
  </si>
  <si>
    <t>Szob</t>
  </si>
  <si>
    <t>Szirmabesenyő</t>
  </si>
  <si>
    <t>Szirák</t>
  </si>
  <si>
    <t>Szinpetri</t>
  </si>
  <si>
    <t>Szin</t>
  </si>
  <si>
    <t>Szilvásszentmárton</t>
  </si>
  <si>
    <t>Szilvásvárad</t>
  </si>
  <si>
    <t>Szilvás</t>
  </si>
  <si>
    <t>Szilvágy</t>
  </si>
  <si>
    <t>Szilsárkány</t>
  </si>
  <si>
    <t>Szilaspogony</t>
  </si>
  <si>
    <t>Szilágy</t>
  </si>
  <si>
    <t>Szil</t>
  </si>
  <si>
    <t>Szikszó</t>
  </si>
  <si>
    <t>Szijártóháza</t>
  </si>
  <si>
    <t>Szihalom</t>
  </si>
  <si>
    <t>Szigliget</t>
  </si>
  <si>
    <t>Szigetvár</t>
  </si>
  <si>
    <t>Szigetújfalu</t>
  </si>
  <si>
    <t>Szigetszentmiklós</t>
  </si>
  <si>
    <t>Szigetszentmárton</t>
  </si>
  <si>
    <t>Szigetmonostor</t>
  </si>
  <si>
    <t>Szigethalom</t>
  </si>
  <si>
    <t>Szigetcsép</t>
  </si>
  <si>
    <t>Szigetbecse</t>
  </si>
  <si>
    <t>Szergény</t>
  </si>
  <si>
    <t>Szerep</t>
  </si>
  <si>
    <t>Szerencs</t>
  </si>
  <si>
    <t>Szeremle</t>
  </si>
  <si>
    <t>Szerecseny</t>
  </si>
  <si>
    <t>Szepetnek</t>
  </si>
  <si>
    <t>Szenyér</t>
  </si>
  <si>
    <t>Szentpéterúr</t>
  </si>
  <si>
    <t>Szentpéterszeg</t>
  </si>
  <si>
    <t>Szentpéterfölde</t>
  </si>
  <si>
    <t>Szentpéterfa</t>
  </si>
  <si>
    <t>Szentmártonkáta</t>
  </si>
  <si>
    <t>Szentmargitfalva</t>
  </si>
  <si>
    <t>Szentlőrinckáta</t>
  </si>
  <si>
    <t>Szentlőrinc</t>
  </si>
  <si>
    <t>Szentliszló</t>
  </si>
  <si>
    <t>Szentlászló</t>
  </si>
  <si>
    <t>Szentkozmadombja</t>
  </si>
  <si>
    <t>Szentkirályszabadja</t>
  </si>
  <si>
    <t>Szentkirály</t>
  </si>
  <si>
    <t>Szentkatalin</t>
  </si>
  <si>
    <t>Szentjakabfa</t>
  </si>
  <si>
    <t>Szentistvánbaksa</t>
  </si>
  <si>
    <t>Szentistván</t>
  </si>
  <si>
    <t>Szentimrefalva</t>
  </si>
  <si>
    <t>Szentgyörgyvölgy</t>
  </si>
  <si>
    <t>Szentgyörgyvár</t>
  </si>
  <si>
    <t>Szentgotthárd</t>
  </si>
  <si>
    <t>Szentgáloskér</t>
  </si>
  <si>
    <t>Szentgál</t>
  </si>
  <si>
    <t>Szentes</t>
  </si>
  <si>
    <t>Szentendre</t>
  </si>
  <si>
    <t>Szentegát</t>
  </si>
  <si>
    <t>Szente</t>
  </si>
  <si>
    <t>Szentdomonkos</t>
  </si>
  <si>
    <t>Szentdénes</t>
  </si>
  <si>
    <t>Szentborbás</t>
  </si>
  <si>
    <t>Szentbékkálla</t>
  </si>
  <si>
    <t>Szentbalázs</t>
  </si>
  <si>
    <t>Szentantalfa</t>
  </si>
  <si>
    <t>Szenta</t>
  </si>
  <si>
    <t>Szenna</t>
  </si>
  <si>
    <t>Szendrőlád</t>
  </si>
  <si>
    <t>Szendrő</t>
  </si>
  <si>
    <t>Szendehely</t>
  </si>
  <si>
    <t>Szemere</t>
  </si>
  <si>
    <t>Szemenye</t>
  </si>
  <si>
    <t>Szemely</t>
  </si>
  <si>
    <t>Szellő</t>
  </si>
  <si>
    <t>Szelevény</t>
  </si>
  <si>
    <t>Szeleste</t>
  </si>
  <si>
    <t>Szekszárd</t>
  </si>
  <si>
    <t>Székkutas</t>
  </si>
  <si>
    <t>Székesfehérvár</t>
  </si>
  <si>
    <t>Székelyszabar</t>
  </si>
  <si>
    <t>Székely</t>
  </si>
  <si>
    <t>Szegvár</t>
  </si>
  <si>
    <t>Szegilong</t>
  </si>
  <si>
    <t>Szegi</t>
  </si>
  <si>
    <t>Szeghalom</t>
  </si>
  <si>
    <t>Szegerdő</t>
  </si>
  <si>
    <t>Szeged</t>
  </si>
  <si>
    <t>Szedres</t>
  </si>
  <si>
    <t>Szederkény</t>
  </si>
  <si>
    <t>Szécsisziget</t>
  </si>
  <si>
    <t>Szécsényfelfalu</t>
  </si>
  <si>
    <t>Szécsény</t>
  </si>
  <si>
    <t>Szécsénke</t>
  </si>
  <si>
    <t>Szebény</t>
  </si>
  <si>
    <t>Százhalombatta</t>
  </si>
  <si>
    <t>Szava</t>
  </si>
  <si>
    <t>Szatymaz</t>
  </si>
  <si>
    <t>Szatta</t>
  </si>
  <si>
    <t>Szátok</t>
  </si>
  <si>
    <t>Szatmárcseke</t>
  </si>
  <si>
    <t>Szászvár</t>
  </si>
  <si>
    <t>Szászfa</t>
  </si>
  <si>
    <t>Szászberek</t>
  </si>
  <si>
    <t>Szarvaskő</t>
  </si>
  <si>
    <t>Szarvaskend</t>
  </si>
  <si>
    <t>Szarvasgede</t>
  </si>
  <si>
    <t>Szarvas</t>
  </si>
  <si>
    <t>Szárliget</t>
  </si>
  <si>
    <t>Szárföld</t>
  </si>
  <si>
    <t>Szárazd</t>
  </si>
  <si>
    <t>Szárász</t>
  </si>
  <si>
    <t>Szár</t>
  </si>
  <si>
    <t>Szaporca</t>
  </si>
  <si>
    <t>Szápár</t>
  </si>
  <si>
    <t>Szany</t>
  </si>
  <si>
    <t>Szántód</t>
  </si>
  <si>
    <t>Szank</t>
  </si>
  <si>
    <t>Szanda</t>
  </si>
  <si>
    <t>Szamosszeg</t>
  </si>
  <si>
    <t>Szamosújlak</t>
  </si>
  <si>
    <t>Szamostatárfalva</t>
  </si>
  <si>
    <t>Szamossályi</t>
  </si>
  <si>
    <t>Szamoskér</t>
  </si>
  <si>
    <t>Szamosbecs</t>
  </si>
  <si>
    <t>Szamosangyalos</t>
  </si>
  <si>
    <t>Szalonna</t>
  </si>
  <si>
    <t>Szalmatercs</t>
  </si>
  <si>
    <t>Szalkszentmárton</t>
  </si>
  <si>
    <t>Szálka</t>
  </si>
  <si>
    <t>Szalatnak</t>
  </si>
  <si>
    <t>Szalaszend</t>
  </si>
  <si>
    <t>Szalapa</t>
  </si>
  <si>
    <t>Szalánta</t>
  </si>
  <si>
    <t>Szalafő</t>
  </si>
  <si>
    <t>Szákszend</t>
  </si>
  <si>
    <t>Szakonyfalu</t>
  </si>
  <si>
    <t>Szakony</t>
  </si>
  <si>
    <t>Szakoly</t>
  </si>
  <si>
    <t>Szaknyér</t>
  </si>
  <si>
    <t>Szakmár</t>
  </si>
  <si>
    <t>Szakcs</t>
  </si>
  <si>
    <t>Szakály</t>
  </si>
  <si>
    <t>Szakáld</t>
  </si>
  <si>
    <t>Szakadát</t>
  </si>
  <si>
    <t>Szakácsi</t>
  </si>
  <si>
    <t>Szajol</t>
  </si>
  <si>
    <t>Szajla</t>
  </si>
  <si>
    <t>Szajk</t>
  </si>
  <si>
    <t>Szágy</t>
  </si>
  <si>
    <t>Szada</t>
  </si>
  <si>
    <t>Szabolcsveresmart</t>
  </si>
  <si>
    <t>Szabolcsbáka</t>
  </si>
  <si>
    <t>Szabolcs</t>
  </si>
  <si>
    <t>Szabás</t>
  </si>
  <si>
    <t>Szabadszentkirály</t>
  </si>
  <si>
    <t>Szabadszállás</t>
  </si>
  <si>
    <t>Szabadkígyós</t>
  </si>
  <si>
    <t>Szabadi</t>
  </si>
  <si>
    <t>Szabadhídvég</t>
  </si>
  <si>
    <t>Szabadegyháza</t>
  </si>
  <si>
    <t>Szabadbattyán</t>
  </si>
  <si>
    <t>Süttő</t>
  </si>
  <si>
    <t>Sümegprága</t>
  </si>
  <si>
    <t>Sümegcsehi</t>
  </si>
  <si>
    <t>Sümeg</t>
  </si>
  <si>
    <t>Sülysáp</t>
  </si>
  <si>
    <t>Sükösd</t>
  </si>
  <si>
    <t>Surd</t>
  </si>
  <si>
    <t>Súr</t>
  </si>
  <si>
    <t>Sumony</t>
  </si>
  <si>
    <t>Sukoró</t>
  </si>
  <si>
    <t>Söréd</t>
  </si>
  <si>
    <t>Söpte</t>
  </si>
  <si>
    <t>Söjtör</t>
  </si>
  <si>
    <t>Sótony</t>
  </si>
  <si>
    <t>Sósvertike</t>
  </si>
  <si>
    <t>Sóstófalva</t>
  </si>
  <si>
    <t>Sóskút</t>
  </si>
  <si>
    <t>Sóshartyán</t>
  </si>
  <si>
    <t>Sorokpolány</t>
  </si>
  <si>
    <t>Sormás</t>
  </si>
  <si>
    <t>Sorkikápolna</t>
  </si>
  <si>
    <t>Sorkifalud</t>
  </si>
  <si>
    <t>Sopronnémeti</t>
  </si>
  <si>
    <t>Sopronkövesd</t>
  </si>
  <si>
    <t>Sopronhorpács</t>
  </si>
  <si>
    <t>Sopron</t>
  </si>
  <si>
    <t>Soponya</t>
  </si>
  <si>
    <t>Sonkád</t>
  </si>
  <si>
    <t>Somoskőújfalu</t>
  </si>
  <si>
    <t>Somogyzsitfa</t>
  </si>
  <si>
    <t>Somogyviszló</t>
  </si>
  <si>
    <t>Somogyvár</t>
  </si>
  <si>
    <t>Somogyvámos</t>
  </si>
  <si>
    <t>Somogyudvarhely</t>
  </si>
  <si>
    <t>Somogytúr</t>
  </si>
  <si>
    <t>Somogyszob</t>
  </si>
  <si>
    <t>Somogyszil</t>
  </si>
  <si>
    <t>Somogyszentpál</t>
  </si>
  <si>
    <t>Somogysimonyi</t>
  </si>
  <si>
    <t>Somogysárd</t>
  </si>
  <si>
    <t>Somogysámson</t>
  </si>
  <si>
    <t>Somogymeggyes</t>
  </si>
  <si>
    <t>Somogyjád</t>
  </si>
  <si>
    <t>Somogyhatvan</t>
  </si>
  <si>
    <t>Somogyhárságy</t>
  </si>
  <si>
    <t>Somogygeszti</t>
  </si>
  <si>
    <t>Somogyfajsz</t>
  </si>
  <si>
    <t>Somogyegres</t>
  </si>
  <si>
    <t>Somogydöröcske</t>
  </si>
  <si>
    <t>Somogycsicsó</t>
  </si>
  <si>
    <t>Somogybükkösd</t>
  </si>
  <si>
    <t>Somogybabod</t>
  </si>
  <si>
    <t>Somogyaszaló</t>
  </si>
  <si>
    <t>Somogyaracs</t>
  </si>
  <si>
    <t>Somogyapáti</t>
  </si>
  <si>
    <t>Somogyacsa</t>
  </si>
  <si>
    <t>Somodor</t>
  </si>
  <si>
    <t>Somlóvecse</t>
  </si>
  <si>
    <t>Somlóvásárhely</t>
  </si>
  <si>
    <t>Somlószőlős</t>
  </si>
  <si>
    <t>Somlójenő</t>
  </si>
  <si>
    <t>Somberek</t>
  </si>
  <si>
    <t>Som</t>
  </si>
  <si>
    <t>Solymár</t>
  </si>
  <si>
    <t>Sóly</t>
  </si>
  <si>
    <t>Soltvadkert</t>
  </si>
  <si>
    <t>Soltszentimre</t>
  </si>
  <si>
    <t>Solt</t>
  </si>
  <si>
    <t>Sokorópátka</t>
  </si>
  <si>
    <t>Sobor</t>
  </si>
  <si>
    <t>Sitke</t>
  </si>
  <si>
    <t>Sirok</t>
  </si>
  <si>
    <t>Siójut</t>
  </si>
  <si>
    <t>Siófok</t>
  </si>
  <si>
    <t>Sióagárd</t>
  </si>
  <si>
    <t>Simontornya</t>
  </si>
  <si>
    <t>Simonfa</t>
  </si>
  <si>
    <t>Simaság</t>
  </si>
  <si>
    <t>Sima</t>
  </si>
  <si>
    <t>Siklósnagyfalu</t>
  </si>
  <si>
    <t>Siklósbodony</t>
  </si>
  <si>
    <t>Siklós</t>
  </si>
  <si>
    <t>Sikátor</t>
  </si>
  <si>
    <t>Sérsekszőlős</t>
  </si>
  <si>
    <t>Serényfalva</t>
  </si>
  <si>
    <t>Seregélyes</t>
  </si>
  <si>
    <t>Sényő</t>
  </si>
  <si>
    <t>Sénye</t>
  </si>
  <si>
    <t>Semjénháza</t>
  </si>
  <si>
    <t>Semjén</t>
  </si>
  <si>
    <t>Sellye</t>
  </si>
  <si>
    <t>Selyeb</t>
  </si>
  <si>
    <t>Segesd</t>
  </si>
  <si>
    <t>Sé</t>
  </si>
  <si>
    <t>Sávoly</t>
  </si>
  <si>
    <t>Sátorhely</t>
  </si>
  <si>
    <t>Sátoraljaújhely</t>
  </si>
  <si>
    <t>Sáta</t>
  </si>
  <si>
    <t>Sáska</t>
  </si>
  <si>
    <t>Sásd</t>
  </si>
  <si>
    <t>Sárvár</t>
  </si>
  <si>
    <t>Sarud</t>
  </si>
  <si>
    <t>Sárszentmihály</t>
  </si>
  <si>
    <t>Sárszentlőrinc</t>
  </si>
  <si>
    <t>Sárszentágota</t>
  </si>
  <si>
    <t>Sarród</t>
  </si>
  <si>
    <t>Sárrétudvari</t>
  </si>
  <si>
    <t>Sárpilis</t>
  </si>
  <si>
    <t>Sárospatak</t>
  </si>
  <si>
    <t>Sárosd</t>
  </si>
  <si>
    <t>Sárok</t>
  </si>
  <si>
    <t>Sármellék</t>
  </si>
  <si>
    <t>Sárkeszi</t>
  </si>
  <si>
    <t>Sárkeresztúr</t>
  </si>
  <si>
    <t>Sárkeresztes</t>
  </si>
  <si>
    <t>Sarkadkeresztúr</t>
  </si>
  <si>
    <t>Sarkad</t>
  </si>
  <si>
    <t>Sárisáp</t>
  </si>
  <si>
    <t>Sárhida</t>
  </si>
  <si>
    <t>Sárfimizdó</t>
  </si>
  <si>
    <t>Sáregres</t>
  </si>
  <si>
    <t>Sárbogárd</t>
  </si>
  <si>
    <t>Sárazsadány</t>
  </si>
  <si>
    <t>Sáránd</t>
  </si>
  <si>
    <t>Sáp</t>
  </si>
  <si>
    <t>Sántos</t>
  </si>
  <si>
    <t>Sándorfalva</t>
  </si>
  <si>
    <t>Sand</t>
  </si>
  <si>
    <t>Sámsonháza</t>
  </si>
  <si>
    <t>Sámod</t>
  </si>
  <si>
    <t>Sály</t>
  </si>
  <si>
    <t>Salomvár</t>
  </si>
  <si>
    <t>Salköveskút</t>
  </si>
  <si>
    <t>Salgótarján</t>
  </si>
  <si>
    <t>Salföld</t>
  </si>
  <si>
    <t>Sajtoskál</t>
  </si>
  <si>
    <t>Sajóvelezd</t>
  </si>
  <si>
    <t>Sajóvámos</t>
  </si>
  <si>
    <t>Sajószöged</t>
  </si>
  <si>
    <t>Sajószentpéter</t>
  </si>
  <si>
    <t>Sajósenye</t>
  </si>
  <si>
    <t>Sajópüspöki</t>
  </si>
  <si>
    <t>Sajópetri</t>
  </si>
  <si>
    <t>Sajópálfala</t>
  </si>
  <si>
    <t>Sajóörös</t>
  </si>
  <si>
    <t>Sajónémeti</t>
  </si>
  <si>
    <t>Sajómercse</t>
  </si>
  <si>
    <t>Sajólászlófalva</t>
  </si>
  <si>
    <t>Sajólád</t>
  </si>
  <si>
    <t>Sajókeresztúr</t>
  </si>
  <si>
    <t>Sajókaza</t>
  </si>
  <si>
    <t>Sajókápolna</t>
  </si>
  <si>
    <t>Sajóivánka</t>
  </si>
  <si>
    <t>Sajóhídvég</t>
  </si>
  <si>
    <t>Sajógalgóc</t>
  </si>
  <si>
    <t>Sajóecseg</t>
  </si>
  <si>
    <t>Sajóbábony</t>
  </si>
  <si>
    <t>Ságvár</t>
  </si>
  <si>
    <t>Ságújfalu</t>
  </si>
  <si>
    <t>Ruzsa</t>
  </si>
  <si>
    <t>Rum</t>
  </si>
  <si>
    <t>Rudolftelep</t>
  </si>
  <si>
    <t>Rudabánya</t>
  </si>
  <si>
    <t>Röszke</t>
  </si>
  <si>
    <t>Rönök</t>
  </si>
  <si>
    <t>Röjtökmuzsaj</t>
  </si>
  <si>
    <t>Rózsaszentmárton</t>
  </si>
  <si>
    <t>Rozsály</t>
  </si>
  <si>
    <t>Rózsafa</t>
  </si>
  <si>
    <t>Romonya</t>
  </si>
  <si>
    <t>Romhány</t>
  </si>
  <si>
    <t>Románd</t>
  </si>
  <si>
    <t>Rohod</t>
  </si>
  <si>
    <t>Rinyaújnép</t>
  </si>
  <si>
    <t>Rinyaújlak</t>
  </si>
  <si>
    <t>Rinyaszentkirály</t>
  </si>
  <si>
    <t>Rinyakovácsi</t>
  </si>
  <si>
    <t>Rinyabesenyő</t>
  </si>
  <si>
    <t>Rimóc</t>
  </si>
  <si>
    <t>Rigyác</t>
  </si>
  <si>
    <t>Rigács</t>
  </si>
  <si>
    <t>Ricse</t>
  </si>
  <si>
    <t>Rezi</t>
  </si>
  <si>
    <t>Révleányvár</t>
  </si>
  <si>
    <t>Révfülöp</t>
  </si>
  <si>
    <t>Rétság</t>
  </si>
  <si>
    <t>Rétközberencs</t>
  </si>
  <si>
    <t>Rétalap</t>
  </si>
  <si>
    <t>Resznek</t>
  </si>
  <si>
    <t>Répcevis</t>
  </si>
  <si>
    <t>Répceszentgyörgy</t>
  </si>
  <si>
    <t>Répceszemere</t>
  </si>
  <si>
    <t>Répcelak</t>
  </si>
  <si>
    <t>Répáshuta</t>
  </si>
  <si>
    <t>Remeteszőlős</t>
  </si>
  <si>
    <t>Rém</t>
  </si>
  <si>
    <t>Regöly</t>
  </si>
  <si>
    <t>Regenye</t>
  </si>
  <si>
    <t>Regéc</t>
  </si>
  <si>
    <t>Rédics</t>
  </si>
  <si>
    <t>Réde</t>
  </si>
  <si>
    <t>Recsk</t>
  </si>
  <si>
    <t>Ravazd</t>
  </si>
  <si>
    <t>Rátót</t>
  </si>
  <si>
    <t>Rátka</t>
  </si>
  <si>
    <t>Rásonysápberencs</t>
  </si>
  <si>
    <t>Raposka</t>
  </si>
  <si>
    <t>Rápolt</t>
  </si>
  <si>
    <t>Ramocsaháza</t>
  </si>
  <si>
    <t>Ramocsa</t>
  </si>
  <si>
    <t>Ráksi</t>
  </si>
  <si>
    <t>Rákócziújfalu</t>
  </si>
  <si>
    <t>Rákóczifalva</t>
  </si>
  <si>
    <t>Rákóczibánya</t>
  </si>
  <si>
    <t>Rakamaz</t>
  </si>
  <si>
    <t>Rakacaszend</t>
  </si>
  <si>
    <t>Rakaca</t>
  </si>
  <si>
    <t>Rajka</t>
  </si>
  <si>
    <t>Ragály</t>
  </si>
  <si>
    <t>Radostyán</t>
  </si>
  <si>
    <t>Rádóckölked</t>
  </si>
  <si>
    <t>Rádfalva</t>
  </si>
  <si>
    <t>Rád</t>
  </si>
  <si>
    <t>Ráckeve</t>
  </si>
  <si>
    <t>Ráckeresztúr</t>
  </si>
  <si>
    <t>Rácalmás</t>
  </si>
  <si>
    <t>Rábcakapi</t>
  </si>
  <si>
    <t>Rábatöttös</t>
  </si>
  <si>
    <t>Rábatamási</t>
  </si>
  <si>
    <t>Rábaszentmiklós</t>
  </si>
  <si>
    <t>Rábaszentmihály</t>
  </si>
  <si>
    <t>Rábaszentandrás</t>
  </si>
  <si>
    <t>Rábasebes</t>
  </si>
  <si>
    <t>Rábapordány</t>
  </si>
  <si>
    <t>Rábapaty</t>
  </si>
  <si>
    <t>Rábapatona</t>
  </si>
  <si>
    <t>Rábakecöl</t>
  </si>
  <si>
    <t>Rábahídvég</t>
  </si>
  <si>
    <t>Rábagyarmat</t>
  </si>
  <si>
    <t>Rábacsécsény</t>
  </si>
  <si>
    <t>Rábacsanak</t>
  </si>
  <si>
    <t>Püspökszilágy</t>
  </si>
  <si>
    <t>Püspökmolnári</t>
  </si>
  <si>
    <t>Püspökladány</t>
  </si>
  <si>
    <t>Püspökhatvan</t>
  </si>
  <si>
    <t>Püski</t>
  </si>
  <si>
    <t>Putnok</t>
  </si>
  <si>
    <t>Pusztazámor</t>
  </si>
  <si>
    <t>Pusztavám</t>
  </si>
  <si>
    <t>Pusztavacs</t>
  </si>
  <si>
    <t>Pusztaszer</t>
  </si>
  <si>
    <t>Pusztaszentlászló</t>
  </si>
  <si>
    <t>Pusztaszemes</t>
  </si>
  <si>
    <t>Pusztaszabolcs</t>
  </si>
  <si>
    <t>Pusztaradvány</t>
  </si>
  <si>
    <t>Pusztaottlaka</t>
  </si>
  <si>
    <t>Pusztamonostor</t>
  </si>
  <si>
    <t>Pusztamiske</t>
  </si>
  <si>
    <t>Pusztamérges</t>
  </si>
  <si>
    <t>Pusztamagyaród</t>
  </si>
  <si>
    <t>Pusztakovácsi</t>
  </si>
  <si>
    <t>Pusztahencse</t>
  </si>
  <si>
    <t>Pusztaföldvár</t>
  </si>
  <si>
    <t>Pusztafalu</t>
  </si>
  <si>
    <t>Pusztaederics</t>
  </si>
  <si>
    <t>Pusztadobos</t>
  </si>
  <si>
    <t>Pusztacsó</t>
  </si>
  <si>
    <t>Pusztacsalád</t>
  </si>
  <si>
    <t>Pusztaberki</t>
  </si>
  <si>
    <t>Pusztaapáti</t>
  </si>
  <si>
    <t>Pula</t>
  </si>
  <si>
    <t>Prügy</t>
  </si>
  <si>
    <t>Pötréte</t>
  </si>
  <si>
    <t>Pördefölde</t>
  </si>
  <si>
    <t>Pörböly</t>
  </si>
  <si>
    <t>Pölöskefő</t>
  </si>
  <si>
    <t>Pölöske</t>
  </si>
  <si>
    <t>Potyond</t>
  </si>
  <si>
    <t>Potony</t>
  </si>
  <si>
    <t>Pósfa</t>
  </si>
  <si>
    <t>Porva</t>
  </si>
  <si>
    <t>Pórszombat</t>
  </si>
  <si>
    <t>Porrogszentpál</t>
  </si>
  <si>
    <t>Porrogszentkirály</t>
  </si>
  <si>
    <t>Porrog</t>
  </si>
  <si>
    <t>Porpác</t>
  </si>
  <si>
    <t>Poroszló</t>
  </si>
  <si>
    <t>Pornóapáti</t>
  </si>
  <si>
    <t>Porcsalma</t>
  </si>
  <si>
    <t>Pomáz</t>
  </si>
  <si>
    <t>Polgárdi</t>
  </si>
  <si>
    <t>Polgár</t>
  </si>
  <si>
    <t>Polány</t>
  </si>
  <si>
    <t>Pókaszepetk</t>
  </si>
  <si>
    <t>Pogányszentpéter</t>
  </si>
  <si>
    <t>Pogány</t>
  </si>
  <si>
    <t>Pócspetri</t>
  </si>
  <si>
    <t>Pócsmegyer</t>
  </si>
  <si>
    <t>Pocsaj</t>
  </si>
  <si>
    <t>Pócsa</t>
  </si>
  <si>
    <t>Pitvaros</t>
  </si>
  <si>
    <t>Piskó</t>
  </si>
  <si>
    <t>Pirtó</t>
  </si>
  <si>
    <t>Piricse</t>
  </si>
  <si>
    <t>Pinnye</t>
  </si>
  <si>
    <t>Pinkamindszent</t>
  </si>
  <si>
    <t>Pincehely</t>
  </si>
  <si>
    <t>Pilisszentlászló</t>
  </si>
  <si>
    <t>Pilisszentkereszt</t>
  </si>
  <si>
    <t>Pilisszentiván</t>
  </si>
  <si>
    <t>Pilisszántó</t>
  </si>
  <si>
    <t>Pilisvörösvár</t>
  </si>
  <si>
    <t>Pilismarót</t>
  </si>
  <si>
    <t>Pilisjászfalu</t>
  </si>
  <si>
    <t>Piliscsév</t>
  </si>
  <si>
    <t>Piliscsaba</t>
  </si>
  <si>
    <t>Pilisborosjenő</t>
  </si>
  <si>
    <t>Pilis</t>
  </si>
  <si>
    <t>Piliny</t>
  </si>
  <si>
    <t>Pettend</t>
  </si>
  <si>
    <t>Petrivente</t>
  </si>
  <si>
    <t>Petrikeresztúr</t>
  </si>
  <si>
    <t>Petőmihályfa</t>
  </si>
  <si>
    <t>Petőháza</t>
  </si>
  <si>
    <t>Petőfiszállás</t>
  </si>
  <si>
    <t>Petőfibánya</t>
  </si>
  <si>
    <t>Petneháza</t>
  </si>
  <si>
    <t>Pethőhenye</t>
  </si>
  <si>
    <t>Pétfürdő</t>
  </si>
  <si>
    <t>Pétervására</t>
  </si>
  <si>
    <t>Péteri</t>
  </si>
  <si>
    <t>Péterhida</t>
  </si>
  <si>
    <t>Peterd</t>
  </si>
  <si>
    <t>Perőcsény</t>
  </si>
  <si>
    <t>Perkupa</t>
  </si>
  <si>
    <t>Perkáta</t>
  </si>
  <si>
    <t>Pereszteg</t>
  </si>
  <si>
    <t>Peresznye</t>
  </si>
  <si>
    <t>Perenye</t>
  </si>
  <si>
    <t>Pereked</t>
  </si>
  <si>
    <t>Perecse</t>
  </si>
  <si>
    <t>Pere</t>
  </si>
  <si>
    <t>Perbál</t>
  </si>
  <si>
    <t>Pér</t>
  </si>
  <si>
    <t>Penyige</t>
  </si>
  <si>
    <t>Pénzesgyőr</t>
  </si>
  <si>
    <t>Penészlek</t>
  </si>
  <si>
    <t>Penc</t>
  </si>
  <si>
    <t>Pély</t>
  </si>
  <si>
    <t>Pellérd</t>
  </si>
  <si>
    <t>Pécsvárad</t>
  </si>
  <si>
    <t>Pécsudvard</t>
  </si>
  <si>
    <t>Pécsely</t>
  </si>
  <si>
    <t>Pécsdevecser</t>
  </si>
  <si>
    <t>Pécsbagota</t>
  </si>
  <si>
    <t>Pécs</t>
  </si>
  <si>
    <t>Pecöl</t>
  </si>
  <si>
    <t>Pécel</t>
  </si>
  <si>
    <t>Pázmándfalu</t>
  </si>
  <si>
    <t>Pázmánd</t>
  </si>
  <si>
    <t>Pátyod</t>
  </si>
  <si>
    <t>Páty</t>
  </si>
  <si>
    <t>Patvarc</t>
  </si>
  <si>
    <t>Pátroha</t>
  </si>
  <si>
    <t>Patosfa</t>
  </si>
  <si>
    <t>Pátka</t>
  </si>
  <si>
    <t>Patca</t>
  </si>
  <si>
    <t>Patapoklosi</t>
  </si>
  <si>
    <t>Patalom</t>
  </si>
  <si>
    <t>Patak</t>
  </si>
  <si>
    <t>Pat</t>
  </si>
  <si>
    <t>Pásztori</t>
  </si>
  <si>
    <t>Pásztó</t>
  </si>
  <si>
    <t>Paszab</t>
  </si>
  <si>
    <t>Pári</t>
  </si>
  <si>
    <t>Parasznya</t>
  </si>
  <si>
    <t>Parádsasvár</t>
  </si>
  <si>
    <t>Parád</t>
  </si>
  <si>
    <t>Páprád</t>
  </si>
  <si>
    <t>Papos</t>
  </si>
  <si>
    <t>Pápoc</t>
  </si>
  <si>
    <t>Papkeszi</t>
  </si>
  <si>
    <t>Pápateszér</t>
  </si>
  <si>
    <t>Pápasalamon</t>
  </si>
  <si>
    <t>Pápakovácsi</t>
  </si>
  <si>
    <t>Pápadereske</t>
  </si>
  <si>
    <t>Pápa</t>
  </si>
  <si>
    <t>Pap</t>
  </si>
  <si>
    <t>Panyola</t>
  </si>
  <si>
    <t>Pányok</t>
  </si>
  <si>
    <t>Pannonhalma</t>
  </si>
  <si>
    <t>Pankasz</t>
  </si>
  <si>
    <t>Pánd</t>
  </si>
  <si>
    <t>Pamuk</t>
  </si>
  <si>
    <t>Pamlény</t>
  </si>
  <si>
    <t>Paloznak</t>
  </si>
  <si>
    <t>Palotás</t>
  </si>
  <si>
    <t>Palotabozsok</t>
  </si>
  <si>
    <t>Pálosvörösmart</t>
  </si>
  <si>
    <t>Pálmonostora</t>
  </si>
  <si>
    <t>Pálmajor</t>
  </si>
  <si>
    <t>Palkonya</t>
  </si>
  <si>
    <t>Páli</t>
  </si>
  <si>
    <t>Pálháza</t>
  </si>
  <si>
    <t>Pálfiszeg</t>
  </si>
  <si>
    <t>Pálfa</t>
  </si>
  <si>
    <t>Palé</t>
  </si>
  <si>
    <t>Paks</t>
  </si>
  <si>
    <t>Pákozd</t>
  </si>
  <si>
    <t>Pakod</t>
  </si>
  <si>
    <t>Páka</t>
  </si>
  <si>
    <t>Páhi</t>
  </si>
  <si>
    <t>Padár</t>
  </si>
  <si>
    <t>Pácsony</t>
  </si>
  <si>
    <t>Pacsa</t>
  </si>
  <si>
    <t>Pácin</t>
  </si>
  <si>
    <t>Ötvöskónyi</t>
  </si>
  <si>
    <t>Öttömös</t>
  </si>
  <si>
    <t>Öttevény</t>
  </si>
  <si>
    <t>Öskü</t>
  </si>
  <si>
    <t>Ősi</t>
  </si>
  <si>
    <t>Ősagárd</t>
  </si>
  <si>
    <t>Örvényes</t>
  </si>
  <si>
    <t>Őrtilos</t>
  </si>
  <si>
    <t>Örménykút</t>
  </si>
  <si>
    <t>Örményes</t>
  </si>
  <si>
    <t>Örkény</t>
  </si>
  <si>
    <t>Őriszentpéter</t>
  </si>
  <si>
    <t>Őrimagyarósd</t>
  </si>
  <si>
    <t>Őrhalom</t>
  </si>
  <si>
    <t>Öreglak</t>
  </si>
  <si>
    <t>Öregcsertő</t>
  </si>
  <si>
    <t>Őrbottyán</t>
  </si>
  <si>
    <t>Őr</t>
  </si>
  <si>
    <t>Ömböly</t>
  </si>
  <si>
    <t>Ölbő</t>
  </si>
  <si>
    <t>Ököritófülpös</t>
  </si>
  <si>
    <t>Öcsöd</t>
  </si>
  <si>
    <t>Őcsény</t>
  </si>
  <si>
    <t>Öcs</t>
  </si>
  <si>
    <t>Ozora</t>
  </si>
  <si>
    <t>Ozmánbük</t>
  </si>
  <si>
    <t>Ózdfalu</t>
  </si>
  <si>
    <t>Ózd</t>
  </si>
  <si>
    <t>Osztopán</t>
  </si>
  <si>
    <t>Oszlár</t>
  </si>
  <si>
    <t>Oszkó</t>
  </si>
  <si>
    <t>Ostoros</t>
  </si>
  <si>
    <t>Ostffyasszonyfa</t>
  </si>
  <si>
    <t>Osli</t>
  </si>
  <si>
    <t>Ortaháza</t>
  </si>
  <si>
    <t>Orosztony</t>
  </si>
  <si>
    <t>Oroszló</t>
  </si>
  <si>
    <t>Oroszlány</t>
  </si>
  <si>
    <t>Oroszi</t>
  </si>
  <si>
    <t>Orosháza</t>
  </si>
  <si>
    <t>Ormosbánya</t>
  </si>
  <si>
    <t>Ormándlak</t>
  </si>
  <si>
    <t>Orgovány</t>
  </si>
  <si>
    <t>Orfű</t>
  </si>
  <si>
    <t>Orfalu</t>
  </si>
  <si>
    <t>Ordas</t>
  </si>
  <si>
    <t>Ordacsehi</t>
  </si>
  <si>
    <t>Orci</t>
  </si>
  <si>
    <t>Orbányosfa</t>
  </si>
  <si>
    <t>Ópusztaszer</t>
  </si>
  <si>
    <t>Ópályi</t>
  </si>
  <si>
    <t>Ónod</t>
  </si>
  <si>
    <t>Onga</t>
  </si>
  <si>
    <t>Oltárc</t>
  </si>
  <si>
    <t>Ólmod</t>
  </si>
  <si>
    <t>Old</t>
  </si>
  <si>
    <t>Olcsvaapáti</t>
  </si>
  <si>
    <t>Olcsva</t>
  </si>
  <si>
    <t>Olaszliszka</t>
  </si>
  <si>
    <t>Olaszfalu</t>
  </si>
  <si>
    <t>Olaszfa</t>
  </si>
  <si>
    <t>Olasz</t>
  </si>
  <si>
    <t>Okorvölgy</t>
  </si>
  <si>
    <t>Okorág</t>
  </si>
  <si>
    <t>Okány</t>
  </si>
  <si>
    <t>Óhíd</t>
  </si>
  <si>
    <t>Óföldeák</t>
  </si>
  <si>
    <t>Ófehértó</t>
  </si>
  <si>
    <t>Ófalu</t>
  </si>
  <si>
    <t>Ócsárd</t>
  </si>
  <si>
    <t>Ócsa</t>
  </si>
  <si>
    <t>Óbudavár</t>
  </si>
  <si>
    <t>Óbarok</t>
  </si>
  <si>
    <t>Óbánya</t>
  </si>
  <si>
    <t>Nyúl</t>
  </si>
  <si>
    <t>Nyugotszenterzsébet</t>
  </si>
  <si>
    <t>Nyőgér</t>
  </si>
  <si>
    <t>Nyomár</t>
  </si>
  <si>
    <t>Nyírvasvári</t>
  </si>
  <si>
    <t>Nyírtura</t>
  </si>
  <si>
    <t>Nyírtét</t>
  </si>
  <si>
    <t>Nyírtelek</t>
  </si>
  <si>
    <t>Nyírtass</t>
  </si>
  <si>
    <t>Nyírpilis</t>
  </si>
  <si>
    <t>Nyírpazony</t>
  </si>
  <si>
    <t>Nyírparasznya</t>
  </si>
  <si>
    <t>Nyírmihálydi</t>
  </si>
  <si>
    <t>Nyírmeggyes</t>
  </si>
  <si>
    <t>Nyírmártonfalva</t>
  </si>
  <si>
    <t>Nyírmada</t>
  </si>
  <si>
    <t>Nyírlugos</t>
  </si>
  <si>
    <t>Nyírlövő</t>
  </si>
  <si>
    <t>Nyírkércs</t>
  </si>
  <si>
    <t>Nyírkáta</t>
  </si>
  <si>
    <t>Nyírkarász</t>
  </si>
  <si>
    <t>Nyírjákó</t>
  </si>
  <si>
    <t>Nyíribrony</t>
  </si>
  <si>
    <t>Nyíri</t>
  </si>
  <si>
    <t>Nyírgyulaj</t>
  </si>
  <si>
    <t>Nyírgelse</t>
  </si>
  <si>
    <t>Nyíregyháza</t>
  </si>
  <si>
    <t>Nyírderzs</t>
  </si>
  <si>
    <t>Nyírcsászári</t>
  </si>
  <si>
    <t>Nyírcsaholy</t>
  </si>
  <si>
    <t>Nyírbogdány</t>
  </si>
  <si>
    <t>Nyírbogát</t>
  </si>
  <si>
    <t>Nyírbéltek</t>
  </si>
  <si>
    <t>Nyírbátor</t>
  </si>
  <si>
    <t>Nyíradony</t>
  </si>
  <si>
    <t>Nyirád</t>
  </si>
  <si>
    <t>Nyíracsád</t>
  </si>
  <si>
    <t>Nyírábrány</t>
  </si>
  <si>
    <t>Nyim</t>
  </si>
  <si>
    <t>Nyésta</t>
  </si>
  <si>
    <t>Nyergesújfalu</t>
  </si>
  <si>
    <t>Nyékládháza</t>
  </si>
  <si>
    <t>Nyársapát</t>
  </si>
  <si>
    <t>Nyárlőrinc</t>
  </si>
  <si>
    <t>Nyáregyháza</t>
  </si>
  <si>
    <t>Nyárád</t>
  </si>
  <si>
    <t>Nyalka</t>
  </si>
  <si>
    <t>Nőtincs</t>
  </si>
  <si>
    <t>Novajidrány</t>
  </si>
  <si>
    <t>Novaj</t>
  </si>
  <si>
    <t>Nova</t>
  </si>
  <si>
    <t>Noszvaj</t>
  </si>
  <si>
    <t>Noszlop</t>
  </si>
  <si>
    <t>Nóráp</t>
  </si>
  <si>
    <t>Nógrádszakál</t>
  </si>
  <si>
    <t>Nógrádsipek</t>
  </si>
  <si>
    <t>Nógrádsáp</t>
  </si>
  <si>
    <t>Nógrádmegyer</t>
  </si>
  <si>
    <t>Nógrádmarcal</t>
  </si>
  <si>
    <t>Nógrádkövesd</t>
  </si>
  <si>
    <t>Nógrád</t>
  </si>
  <si>
    <t>Nikla</t>
  </si>
  <si>
    <t>Nick</t>
  </si>
  <si>
    <t>Nézsa</t>
  </si>
  <si>
    <t>Neszmély</t>
  </si>
  <si>
    <t>Nemti</t>
  </si>
  <si>
    <t>Németkér</t>
  </si>
  <si>
    <t>Németfalu</t>
  </si>
  <si>
    <t>Németbánya</t>
  </si>
  <si>
    <t>Nemesszentandrás</t>
  </si>
  <si>
    <t>Nemesszalók</t>
  </si>
  <si>
    <t>Nemesvita</t>
  </si>
  <si>
    <t>Nemesvid</t>
  </si>
  <si>
    <t>Nemesvámos</t>
  </si>
  <si>
    <t>Nemessándorháza</t>
  </si>
  <si>
    <t>Nemesrempehollós</t>
  </si>
  <si>
    <t>Nemesrádó</t>
  </si>
  <si>
    <t>Nemespátró</t>
  </si>
  <si>
    <t>Nemesnép</t>
  </si>
  <si>
    <t>Nemesnádudvar</t>
  </si>
  <si>
    <t>Nemesmedves</t>
  </si>
  <si>
    <t>Nemesládony</t>
  </si>
  <si>
    <t>Nemeskolta</t>
  </si>
  <si>
    <t>Nemeskocs</t>
  </si>
  <si>
    <t>Nemeskisfalud</t>
  </si>
  <si>
    <t>Nemeskeresztúr</t>
  </si>
  <si>
    <t>Nemeskér</t>
  </si>
  <si>
    <t>Nemeske</t>
  </si>
  <si>
    <t>Nemeshetés</t>
  </si>
  <si>
    <t>Nemeshany</t>
  </si>
  <si>
    <t>Nemesgulács</t>
  </si>
  <si>
    <t>Nemesgörzsöny</t>
  </si>
  <si>
    <t>Nemesdéd</t>
  </si>
  <si>
    <t>Nemescsó</t>
  </si>
  <si>
    <t>Nemesbük</t>
  </si>
  <si>
    <t>Nemesbőd</t>
  </si>
  <si>
    <t>Nemesborzova</t>
  </si>
  <si>
    <t>Nemesbikk</t>
  </si>
  <si>
    <t>Nemesapáti</t>
  </si>
  <si>
    <t>Nekézseny</t>
  </si>
  <si>
    <t>Négyes</t>
  </si>
  <si>
    <t>Naszály</t>
  </si>
  <si>
    <t>Narda</t>
  </si>
  <si>
    <t>Nárai</t>
  </si>
  <si>
    <t>Napkor</t>
  </si>
  <si>
    <t>Nak</t>
  </si>
  <si>
    <t>Nagyvisnyó</t>
  </si>
  <si>
    <t>Nagyvenyim</t>
  </si>
  <si>
    <t>Nagyveleg</t>
  </si>
  <si>
    <t>Nagyvejke</t>
  </si>
  <si>
    <t>Nagyvázsony</t>
  </si>
  <si>
    <t>Nagyváty</t>
  </si>
  <si>
    <t>Nagyvarsány</t>
  </si>
  <si>
    <t>Nagyút</t>
  </si>
  <si>
    <t>Nagytőke</t>
  </si>
  <si>
    <t>Nagytótfalu</t>
  </si>
  <si>
    <t>Nagytilaj</t>
  </si>
  <si>
    <t>Nagytevel</t>
  </si>
  <si>
    <t>Nagytarcsa</t>
  </si>
  <si>
    <t>Nagytálya</t>
  </si>
  <si>
    <t>Nagyszokoly</t>
  </si>
  <si>
    <t>Nagyszentjános</t>
  </si>
  <si>
    <t>Nagyszénás</t>
  </si>
  <si>
    <t>Nagyszekeres</t>
  </si>
  <si>
    <t>Nagyszékely</t>
  </si>
  <si>
    <t>Nagyszakácsi</t>
  </si>
  <si>
    <t>Nagysimonyi</t>
  </si>
  <si>
    <t>Nagysáp</t>
  </si>
  <si>
    <t>Nagyrozvágy</t>
  </si>
  <si>
    <t>Nagyrév</t>
  </si>
  <si>
    <t>Nagyréde</t>
  </si>
  <si>
    <t>Nagyrécse</t>
  </si>
  <si>
    <t>Nagyrákos</t>
  </si>
  <si>
    <t>Nagyrada</t>
  </si>
  <si>
    <t>Nagyrábé</t>
  </si>
  <si>
    <t>Nagypirit</t>
  </si>
  <si>
    <t>Nagypeterd</t>
  </si>
  <si>
    <t>Nagypall</t>
  </si>
  <si>
    <t>Nagypáli</t>
  </si>
  <si>
    <t>Nagyoroszi</t>
  </si>
  <si>
    <t>Nagynyárád</t>
  </si>
  <si>
    <t>Nagymizdó</t>
  </si>
  <si>
    <t>Nagymaros</t>
  </si>
  <si>
    <t>Nagymányok</t>
  </si>
  <si>
    <t>Nagymágocs</t>
  </si>
  <si>
    <t>Nagylózs</t>
  </si>
  <si>
    <t>Nagylók</t>
  </si>
  <si>
    <t>Nagylóc</t>
  </si>
  <si>
    <t>Nagylengyel</t>
  </si>
  <si>
    <t>Nagylak</t>
  </si>
  <si>
    <t>Nagykutas</t>
  </si>
  <si>
    <t>Nagykörű</t>
  </si>
  <si>
    <t>Nagykőrös</t>
  </si>
  <si>
    <t>Nagykölked</t>
  </si>
  <si>
    <t>Nagykökényes</t>
  </si>
  <si>
    <t>Nagykozár</t>
  </si>
  <si>
    <t>Nagykovácsi</t>
  </si>
  <si>
    <t>Nagykorpád</t>
  </si>
  <si>
    <t>Nagykónyi</t>
  </si>
  <si>
    <t>Nagykinizs</t>
  </si>
  <si>
    <t>Nagykeresztúr</t>
  </si>
  <si>
    <t>Nagykereki</t>
  </si>
  <si>
    <t>Nagykáta</t>
  </si>
  <si>
    <t>Nagykarácsony</t>
  </si>
  <si>
    <t>Nagykapornak</t>
  </si>
  <si>
    <t>Nagykanizsa</t>
  </si>
  <si>
    <t>Nagykamarás</t>
  </si>
  <si>
    <t>Nagykálló</t>
  </si>
  <si>
    <t>Nagyiván</t>
  </si>
  <si>
    <t>Nagyigmánd</t>
  </si>
  <si>
    <t>Nagyhuta</t>
  </si>
  <si>
    <t>Nagyhódos</t>
  </si>
  <si>
    <t>Nagyhegyes</t>
  </si>
  <si>
    <t>Nagyharsány</t>
  </si>
  <si>
    <t>Nagyhalász</t>
  </si>
  <si>
    <t>Nagyhajmás</t>
  </si>
  <si>
    <t>Nagygyimót</t>
  </si>
  <si>
    <t>Nagygörbő</t>
  </si>
  <si>
    <t>Nagygeresd</t>
  </si>
  <si>
    <t>Nagyfüged</t>
  </si>
  <si>
    <t>Nagyesztergár</t>
  </si>
  <si>
    <t>Nagyér</t>
  </si>
  <si>
    <t>Nagyecsed</t>
  </si>
  <si>
    <t>Nagydorog</t>
  </si>
  <si>
    <t>Nagydobsza</t>
  </si>
  <si>
    <t>Nagydobos</t>
  </si>
  <si>
    <t>Nagydém</t>
  </si>
  <si>
    <t>Nagycserkesz</t>
  </si>
  <si>
    <t>Nagycsepely</t>
  </si>
  <si>
    <t>Nagycsécs</t>
  </si>
  <si>
    <t>Nagycsány</t>
  </si>
  <si>
    <t>Nagycenk</t>
  </si>
  <si>
    <t>Nagybudmér</t>
  </si>
  <si>
    <t>Nagybörzsöny</t>
  </si>
  <si>
    <t>Nagyberki</t>
  </si>
  <si>
    <t>Nagyberény</t>
  </si>
  <si>
    <t>Nagybárkány</t>
  </si>
  <si>
    <t>Nagybarca</t>
  </si>
  <si>
    <t>Nagybaracska</t>
  </si>
  <si>
    <t>Nagybánhegyes</t>
  </si>
  <si>
    <t>Nagybakónak</t>
  </si>
  <si>
    <t>Nagybajom</t>
  </si>
  <si>
    <t>Nagybajcs</t>
  </si>
  <si>
    <t>Nagyatád</t>
  </si>
  <si>
    <t>Nagyar</t>
  </si>
  <si>
    <t>Nagyalásony</t>
  </si>
  <si>
    <t>Nagyacsád</t>
  </si>
  <si>
    <t>Nágocs</t>
  </si>
  <si>
    <t>Nádudvar</t>
  </si>
  <si>
    <t>Nádasdladány</t>
  </si>
  <si>
    <t>Nádasd</t>
  </si>
  <si>
    <t>Nadap</t>
  </si>
  <si>
    <t>Nábrád</t>
  </si>
  <si>
    <t>Murony</t>
  </si>
  <si>
    <t>Murga</t>
  </si>
  <si>
    <t>Muraszemenye</t>
  </si>
  <si>
    <t>Murarátka</t>
  </si>
  <si>
    <t>Murakeresztúr</t>
  </si>
  <si>
    <t>Muhi</t>
  </si>
  <si>
    <t>Múcsony</t>
  </si>
  <si>
    <t>Mucsi</t>
  </si>
  <si>
    <t>Mucsfa</t>
  </si>
  <si>
    <t>Mőcsény</t>
  </si>
  <si>
    <t>Mozsgó</t>
  </si>
  <si>
    <t>Mosonudvar</t>
  </si>
  <si>
    <t>Mosonszolnok</t>
  </si>
  <si>
    <t>Mosonszentmiklós</t>
  </si>
  <si>
    <t>Mosonmagyaróvár</t>
  </si>
  <si>
    <t>Mosdós</t>
  </si>
  <si>
    <t>Mórichida</t>
  </si>
  <si>
    <t>Móricgát</t>
  </si>
  <si>
    <t>Mórahalom</t>
  </si>
  <si>
    <t>Mórágy</t>
  </si>
  <si>
    <t>Mór</t>
  </si>
  <si>
    <t>Monyoród</t>
  </si>
  <si>
    <t>Monoszló</t>
  </si>
  <si>
    <t>Monostorpályi</t>
  </si>
  <si>
    <t>Monostorapáti</t>
  </si>
  <si>
    <t>Mónosbél</t>
  </si>
  <si>
    <t>Monorierdő</t>
  </si>
  <si>
    <t>Monor</t>
  </si>
  <si>
    <t>Monok</t>
  </si>
  <si>
    <t>Monaj</t>
  </si>
  <si>
    <t>Molvány</t>
  </si>
  <si>
    <t>Molnaszecsőd</t>
  </si>
  <si>
    <t>Molnári</t>
  </si>
  <si>
    <t>Mohora</t>
  </si>
  <si>
    <t>Mohács</t>
  </si>
  <si>
    <t>Moha</t>
  </si>
  <si>
    <t>Mogyoróska</t>
  </si>
  <si>
    <t>Mogyorósbánya</t>
  </si>
  <si>
    <t>Mogyoród</t>
  </si>
  <si>
    <t>Mocsa</t>
  </si>
  <si>
    <t>Miszla</t>
  </si>
  <si>
    <t>Miskolc</t>
  </si>
  <si>
    <t>Miske</t>
  </si>
  <si>
    <t>Misefa</t>
  </si>
  <si>
    <t>Mindszentkálla</t>
  </si>
  <si>
    <t>Mindszentgodisa</t>
  </si>
  <si>
    <t>Mindszent</t>
  </si>
  <si>
    <t>Milota</t>
  </si>
  <si>
    <t>Milejszeg</t>
  </si>
  <si>
    <t>Mikosszéplak</t>
  </si>
  <si>
    <t>Mikóháza</t>
  </si>
  <si>
    <t>Mikófalva</t>
  </si>
  <si>
    <t>Miklósi</t>
  </si>
  <si>
    <t>Mikepércs</t>
  </si>
  <si>
    <t>Mikekarácsonyfa</t>
  </si>
  <si>
    <t>Mikebuda</t>
  </si>
  <si>
    <t>Mike</t>
  </si>
  <si>
    <t>Mihályi</t>
  </si>
  <si>
    <t>Mihályháza</t>
  </si>
  <si>
    <t>Mihálygerge</t>
  </si>
  <si>
    <t>Mihályfa</t>
  </si>
  <si>
    <t>Miháld</t>
  </si>
  <si>
    <t>Mezőzombor</t>
  </si>
  <si>
    <t>Mezőtúr</t>
  </si>
  <si>
    <t>Mezőtárkány</t>
  </si>
  <si>
    <t>Mezőszilas</t>
  </si>
  <si>
    <t>Mezőszentgyörgy</t>
  </si>
  <si>
    <t>Mezőszemere</t>
  </si>
  <si>
    <t>Mezősas</t>
  </si>
  <si>
    <t>Mezőpeterd</t>
  </si>
  <si>
    <t>Mezőörs</t>
  </si>
  <si>
    <t>Mezőnyárád</t>
  </si>
  <si>
    <t>Mezőnagymihály</t>
  </si>
  <si>
    <t>Mezőlak</t>
  </si>
  <si>
    <t>Mezőladány</t>
  </si>
  <si>
    <t>Mezőkövesd</t>
  </si>
  <si>
    <t>Mezőkovácsháza</t>
  </si>
  <si>
    <t>Mezőkomárom</t>
  </si>
  <si>
    <t>Mezőkeresztes</t>
  </si>
  <si>
    <t>Mezőhék</t>
  </si>
  <si>
    <t>Mezőhegyes</t>
  </si>
  <si>
    <t>Mezőgyán</t>
  </si>
  <si>
    <t>Mezőfalva</t>
  </si>
  <si>
    <t>Meződ</t>
  </si>
  <si>
    <t>Mezőcsokonya</t>
  </si>
  <si>
    <t>Mezőcsát</t>
  </si>
  <si>
    <t>Mezőberény</t>
  </si>
  <si>
    <t>Mesztegnyő</t>
  </si>
  <si>
    <t>Meszlen</t>
  </si>
  <si>
    <t>Meszes</t>
  </si>
  <si>
    <t>Mesterszállás</t>
  </si>
  <si>
    <t>Mesteri</t>
  </si>
  <si>
    <t>Mesterháza</t>
  </si>
  <si>
    <t>Mersevát</t>
  </si>
  <si>
    <t>Mernye</t>
  </si>
  <si>
    <t>Mérk</t>
  </si>
  <si>
    <t>Mérges</t>
  </si>
  <si>
    <t>Merenye</t>
  </si>
  <si>
    <t>Méra</t>
  </si>
  <si>
    <t>Mende</t>
  </si>
  <si>
    <t>Mencshely</t>
  </si>
  <si>
    <t>Mélykút</t>
  </si>
  <si>
    <t>Mekényes</t>
  </si>
  <si>
    <t>Méhtelek</t>
  </si>
  <si>
    <t>Méhkerék</t>
  </si>
  <si>
    <t>Meggyeskovácsi</t>
  </si>
  <si>
    <t>Megyer</t>
  </si>
  <si>
    <t>Megyehíd</t>
  </si>
  <si>
    <t>Megyaszó</t>
  </si>
  <si>
    <t>Medina</t>
  </si>
  <si>
    <t>Medgyesegyháza</t>
  </si>
  <si>
    <t>Medgyesbodzás</t>
  </si>
  <si>
    <t>Mecsér</t>
  </si>
  <si>
    <t>Mecsekpölöske</t>
  </si>
  <si>
    <t>Mecseknádasd</t>
  </si>
  <si>
    <t>Máza</t>
  </si>
  <si>
    <t>Mátyus</t>
  </si>
  <si>
    <t>Matty</t>
  </si>
  <si>
    <t>Mátyásdomb</t>
  </si>
  <si>
    <t>Mátraverebély</t>
  </si>
  <si>
    <t>Mátraterenye</t>
  </si>
  <si>
    <t>Mátraszőlős</t>
  </si>
  <si>
    <t>Mátraszentimre</t>
  </si>
  <si>
    <t>Mátraszele</t>
  </si>
  <si>
    <t>Mátranovák</t>
  </si>
  <si>
    <t>Mátramindszent</t>
  </si>
  <si>
    <t>Mátraderecske</t>
  </si>
  <si>
    <t>Mátraballa</t>
  </si>
  <si>
    <t>Mátételke</t>
  </si>
  <si>
    <t>Mátészalka</t>
  </si>
  <si>
    <t>Martonyi</t>
  </si>
  <si>
    <t>Martonvásár</t>
  </si>
  <si>
    <t>Martonfa</t>
  </si>
  <si>
    <t>Martfű</t>
  </si>
  <si>
    <t>Mártély</t>
  </si>
  <si>
    <t>Maroslele</t>
  </si>
  <si>
    <t>Márokpapi</t>
  </si>
  <si>
    <t>Márokföld</t>
  </si>
  <si>
    <t>Márok</t>
  </si>
  <si>
    <t>Marócsa</t>
  </si>
  <si>
    <t>Maróc</t>
  </si>
  <si>
    <t>Markotabödöge</t>
  </si>
  <si>
    <t>Markóc</t>
  </si>
  <si>
    <t>Márkó</t>
  </si>
  <si>
    <t>Márkháza</t>
  </si>
  <si>
    <t>Markaz</t>
  </si>
  <si>
    <t>Máriapócs</t>
  </si>
  <si>
    <t>Márianosztra</t>
  </si>
  <si>
    <t>Máriakéménd</t>
  </si>
  <si>
    <t>Máriakálnok</t>
  </si>
  <si>
    <t>Máriahalom</t>
  </si>
  <si>
    <t>Márfa</t>
  </si>
  <si>
    <t>Marcaltő</t>
  </si>
  <si>
    <t>Marcali</t>
  </si>
  <si>
    <t>Marcalgergelyi</t>
  </si>
  <si>
    <t>Maráza</t>
  </si>
  <si>
    <t>Mány</t>
  </si>
  <si>
    <t>Mánfa</t>
  </si>
  <si>
    <t>Mándok</t>
  </si>
  <si>
    <t>Mánd</t>
  </si>
  <si>
    <t>Mályinka</t>
  </si>
  <si>
    <t>Mályi</t>
  </si>
  <si>
    <t>Malomsok</t>
  </si>
  <si>
    <t>Makó</t>
  </si>
  <si>
    <t>Maklár</t>
  </si>
  <si>
    <t>Makkoshotyka</t>
  </si>
  <si>
    <t>Makád</t>
  </si>
  <si>
    <t>Majs</t>
  </si>
  <si>
    <t>Majosháza</t>
  </si>
  <si>
    <t>Magyartelek</t>
  </si>
  <si>
    <t>Magyarszombatfa</t>
  </si>
  <si>
    <t>Magyarszerdahely</t>
  </si>
  <si>
    <t>Magyarszentmiklós</t>
  </si>
  <si>
    <t>Magyarszék</t>
  </si>
  <si>
    <t>Magyarszecsőd</t>
  </si>
  <si>
    <t>Magyarsarlós</t>
  </si>
  <si>
    <t>Magyarpolány</t>
  </si>
  <si>
    <t>Magyarnándor</t>
  </si>
  <si>
    <t>Magyarnádalja</t>
  </si>
  <si>
    <t>Magyarmecske</t>
  </si>
  <si>
    <t>Magyarlukafa</t>
  </si>
  <si>
    <t>Magyarlak</t>
  </si>
  <si>
    <t>Magyarkeszi</t>
  </si>
  <si>
    <t>Magyarkeresztúr</t>
  </si>
  <si>
    <t>Magyarhomorog</t>
  </si>
  <si>
    <t>Magyarhertelend</t>
  </si>
  <si>
    <t>Magyargencs</t>
  </si>
  <si>
    <t>Magyargéc</t>
  </si>
  <si>
    <t>Magyarföld</t>
  </si>
  <si>
    <t>Magyaregres</t>
  </si>
  <si>
    <t>Magyaregregy</t>
  </si>
  <si>
    <t>Magyardombegyház</t>
  </si>
  <si>
    <t>Magyarcsanád</t>
  </si>
  <si>
    <t>Magyarbóly</t>
  </si>
  <si>
    <t>Magyarbánhegyes</t>
  </si>
  <si>
    <t>Magyaratád</t>
  </si>
  <si>
    <t>Magyaralmás</t>
  </si>
  <si>
    <t>Magy</t>
  </si>
  <si>
    <t>Magosliget</t>
  </si>
  <si>
    <t>Mágocs</t>
  </si>
  <si>
    <t>Maglód</t>
  </si>
  <si>
    <t>Maglóca</t>
  </si>
  <si>
    <t>Madocsa</t>
  </si>
  <si>
    <t>Madaras</t>
  </si>
  <si>
    <t>Mád</t>
  </si>
  <si>
    <t>Lúzsok</t>
  </si>
  <si>
    <t>Lulla</t>
  </si>
  <si>
    <t>Lukácsháza</t>
  </si>
  <si>
    <t>Ludas</t>
  </si>
  <si>
    <t>Ludányhalászi</t>
  </si>
  <si>
    <t>Lucfalva</t>
  </si>
  <si>
    <t>Lövőpetri</t>
  </si>
  <si>
    <t>Lövő</t>
  </si>
  <si>
    <t>Lőrinci</t>
  </si>
  <si>
    <t>Lőkösháza</t>
  </si>
  <si>
    <t>Lovászpatona</t>
  </si>
  <si>
    <t>Lovászi</t>
  </si>
  <si>
    <t>Lovászhetény</t>
  </si>
  <si>
    <t>Lovasberény</t>
  </si>
  <si>
    <t>Lovas</t>
  </si>
  <si>
    <t>Lothárd</t>
  </si>
  <si>
    <t>Lórév</t>
  </si>
  <si>
    <t>Lónya</t>
  </si>
  <si>
    <t>Lókút</t>
  </si>
  <si>
    <t>Lócs</t>
  </si>
  <si>
    <t>Litke</t>
  </si>
  <si>
    <t>Litka</t>
  </si>
  <si>
    <t>Litér</t>
  </si>
  <si>
    <t>Liszó</t>
  </si>
  <si>
    <t>Lispeszentadorján</t>
  </si>
  <si>
    <t>Liptód</t>
  </si>
  <si>
    <t>Lippó</t>
  </si>
  <si>
    <t>Lipót</t>
  </si>
  <si>
    <t>Ligetfalva</t>
  </si>
  <si>
    <t>Liget</t>
  </si>
  <si>
    <t>Lickóvadamos</t>
  </si>
  <si>
    <t>Libickozma</t>
  </si>
  <si>
    <t>Levelek</t>
  </si>
  <si>
    <t>Levél</t>
  </si>
  <si>
    <t>Letkés</t>
  </si>
  <si>
    <t>Letenye</t>
  </si>
  <si>
    <t>Létavértes</t>
  </si>
  <si>
    <t>Lesencetomaj</t>
  </si>
  <si>
    <t>Lesenceistvánd</t>
  </si>
  <si>
    <t>Lesencefalu</t>
  </si>
  <si>
    <t>Lepsény</t>
  </si>
  <si>
    <t>Lenti</t>
  </si>
  <si>
    <t>Lengyeltóti</t>
  </si>
  <si>
    <t>Lengyel</t>
  </si>
  <si>
    <t>Lendvajakabfa</t>
  </si>
  <si>
    <t>Lendvadedes</t>
  </si>
  <si>
    <t>Lénárddaróc</t>
  </si>
  <si>
    <t>Léh</t>
  </si>
  <si>
    <t>Legyesbénye</t>
  </si>
  <si>
    <t>Legénd</t>
  </si>
  <si>
    <t>Lébény</t>
  </si>
  <si>
    <t>Leányvár</t>
  </si>
  <si>
    <t>Leányfalu</t>
  </si>
  <si>
    <t>Lázi</t>
  </si>
  <si>
    <t>Látrány</t>
  </si>
  <si>
    <t>Lasztonya</t>
  </si>
  <si>
    <t>Laskod</t>
  </si>
  <si>
    <t>Lapáncsa</t>
  </si>
  <si>
    <t>Lápafő</t>
  </si>
  <si>
    <t>Lánycsók</t>
  </si>
  <si>
    <t>Lakócsa</t>
  </si>
  <si>
    <t>Lakitelek</t>
  </si>
  <si>
    <t>Lakhegy</t>
  </si>
  <si>
    <t>Lak</t>
  </si>
  <si>
    <t>Lajosmizse</t>
  </si>
  <si>
    <t>Lajoskomárom</t>
  </si>
  <si>
    <t>Ládbesenyő</t>
  </si>
  <si>
    <t>Ladánybene</t>
  </si>
  <si>
    <t>Lad</t>
  </si>
  <si>
    <t>Lácacséke</t>
  </si>
  <si>
    <t>Lábod</t>
  </si>
  <si>
    <t>Lábatlan</t>
  </si>
  <si>
    <t>Küngös</t>
  </si>
  <si>
    <t>Külsővat</t>
  </si>
  <si>
    <t>Külsősárd</t>
  </si>
  <si>
    <t>Kübekháza</t>
  </si>
  <si>
    <t>Kutasó</t>
  </si>
  <si>
    <t>Kutas</t>
  </si>
  <si>
    <t>Kustánszeg</t>
  </si>
  <si>
    <t>Kurityán</t>
  </si>
  <si>
    <t>Kurd</t>
  </si>
  <si>
    <t>Kupa</t>
  </si>
  <si>
    <t>Kup</t>
  </si>
  <si>
    <t>Kunsziget</t>
  </si>
  <si>
    <t>Kunszentmiklós</t>
  </si>
  <si>
    <t>Kunszentmárton</t>
  </si>
  <si>
    <t>Kunszállás</t>
  </si>
  <si>
    <t>Kunpeszér</t>
  </si>
  <si>
    <t>Kunmadaras</t>
  </si>
  <si>
    <t>Kunhegyes</t>
  </si>
  <si>
    <t>Kunfehértó</t>
  </si>
  <si>
    <t>Kuncsorba</t>
  </si>
  <si>
    <t>Kunbaracs</t>
  </si>
  <si>
    <t>Kunbaja</t>
  </si>
  <si>
    <t>Kunágota</t>
  </si>
  <si>
    <t>Kunadacs</t>
  </si>
  <si>
    <t>Kulcs</t>
  </si>
  <si>
    <t>Krasznokvajda</t>
  </si>
  <si>
    <t>Köveskál</t>
  </si>
  <si>
    <t>Kövegy</t>
  </si>
  <si>
    <t>Kővágótöttös</t>
  </si>
  <si>
    <t>Kővágószőlős</t>
  </si>
  <si>
    <t>Kővágóörs</t>
  </si>
  <si>
    <t>Kőtelek</t>
  </si>
  <si>
    <t>Kötegyán</t>
  </si>
  <si>
    <t>Kötcse</t>
  </si>
  <si>
    <t>Kőszegszerdahely</t>
  </si>
  <si>
    <t>Kőszegpaty</t>
  </si>
  <si>
    <t>Kőszegdoroszló</t>
  </si>
  <si>
    <t>Kőszeg</t>
  </si>
  <si>
    <t>Kőszárhegy</t>
  </si>
  <si>
    <t>Körösszegapáti</t>
  </si>
  <si>
    <t>Körösszakál</t>
  </si>
  <si>
    <t>Körösújfalu</t>
  </si>
  <si>
    <t>Kőröstetétlen</t>
  </si>
  <si>
    <t>Köröstarcsa</t>
  </si>
  <si>
    <t>Körösnagyharsány</t>
  </si>
  <si>
    <t>Körösladány</t>
  </si>
  <si>
    <t>Kőröshegy</t>
  </si>
  <si>
    <t>Köröm</t>
  </si>
  <si>
    <t>Környe</t>
  </si>
  <si>
    <t>Körmend</t>
  </si>
  <si>
    <t>Kömpöc</t>
  </si>
  <si>
    <t>Kömörő</t>
  </si>
  <si>
    <t>Kömlőd</t>
  </si>
  <si>
    <t>Kömlő</t>
  </si>
  <si>
    <t>Kölked</t>
  </si>
  <si>
    <t>Kölesd</t>
  </si>
  <si>
    <t>Kölcse</t>
  </si>
  <si>
    <t>Kőkút</t>
  </si>
  <si>
    <t>Kökény</t>
  </si>
  <si>
    <t>Köcsk</t>
  </si>
  <si>
    <t>Köblény</t>
  </si>
  <si>
    <t>Kozmadombja</t>
  </si>
  <si>
    <t>Kozármisleny</t>
  </si>
  <si>
    <t>Kozárd</t>
  </si>
  <si>
    <t>Kovácsvágás</t>
  </si>
  <si>
    <t>Kovácsszénája</t>
  </si>
  <si>
    <t>Kovácshida</t>
  </si>
  <si>
    <t>Kótaj</t>
  </si>
  <si>
    <t>Kóspallag</t>
  </si>
  <si>
    <t>Kosd</t>
  </si>
  <si>
    <t>Kórós</t>
  </si>
  <si>
    <t>Koroncó</t>
  </si>
  <si>
    <t>Korlát</t>
  </si>
  <si>
    <t>Koppányszántó</t>
  </si>
  <si>
    <t>Kópháza</t>
  </si>
  <si>
    <t>Konyár</t>
  </si>
  <si>
    <t>Kóny</t>
  </si>
  <si>
    <t>Kondoros</t>
  </si>
  <si>
    <t>Kondorfa</t>
  </si>
  <si>
    <t>Kondó</t>
  </si>
  <si>
    <t>Kompolt</t>
  </si>
  <si>
    <t>Komoró</t>
  </si>
  <si>
    <t>Komlóska</t>
  </si>
  <si>
    <t>Komlósd</t>
  </si>
  <si>
    <t>Komlódtótfalu</t>
  </si>
  <si>
    <t>Komló</t>
  </si>
  <si>
    <t>Komjáti</t>
  </si>
  <si>
    <t>Komárom</t>
  </si>
  <si>
    <t>Komádi</t>
  </si>
  <si>
    <t>Kolontár</t>
  </si>
  <si>
    <t>Kokad</t>
  </si>
  <si>
    <t>Kóka</t>
  </si>
  <si>
    <t>Kocsord</t>
  </si>
  <si>
    <t>Kocsola</t>
  </si>
  <si>
    <t>Kocsér</t>
  </si>
  <si>
    <t>Kocs</t>
  </si>
  <si>
    <t>Klárafalva</t>
  </si>
  <si>
    <t>Kisszőlős</t>
  </si>
  <si>
    <t>Kissziget</t>
  </si>
  <si>
    <t>Kisszentmárton</t>
  </si>
  <si>
    <t>Kisszekeres</t>
  </si>
  <si>
    <t>Kisszékely</t>
  </si>
  <si>
    <t>Kisszállás</t>
  </si>
  <si>
    <t>Kiszsidány</t>
  </si>
  <si>
    <t>Kiszombor</t>
  </si>
  <si>
    <t>Kisvejke</t>
  </si>
  <si>
    <t>Kisvaszar</t>
  </si>
  <si>
    <t>Kisvásárhely</t>
  </si>
  <si>
    <t>Kisvarsány</t>
  </si>
  <si>
    <t>Kisvárda</t>
  </si>
  <si>
    <t>Kisunyom</t>
  </si>
  <si>
    <t>Kisújszállás</t>
  </si>
  <si>
    <t>Kistótfalu</t>
  </si>
  <si>
    <t>Kistormás</t>
  </si>
  <si>
    <t>Kistolmács</t>
  </si>
  <si>
    <t>Kistokaj</t>
  </si>
  <si>
    <t>Kistelek</t>
  </si>
  <si>
    <t>Kistarcsa</t>
  </si>
  <si>
    <t>Kistapolca</t>
  </si>
  <si>
    <t>Kistamási</t>
  </si>
  <si>
    <t>Kissomlyó</t>
  </si>
  <si>
    <t>Kissikátor</t>
  </si>
  <si>
    <t>Kisrozvágy</t>
  </si>
  <si>
    <t>Kisrécse</t>
  </si>
  <si>
    <t>Kisrákos</t>
  </si>
  <si>
    <t>Kispirit</t>
  </si>
  <si>
    <t>Kispáli</t>
  </si>
  <si>
    <t>Kispalád</t>
  </si>
  <si>
    <t>Kisoroszi</t>
  </si>
  <si>
    <t>Kisnyárád</t>
  </si>
  <si>
    <t>Kisnémedi</t>
  </si>
  <si>
    <t>Kisnána</t>
  </si>
  <si>
    <t>Kisnamény</t>
  </si>
  <si>
    <t>Kismaros</t>
  </si>
  <si>
    <t>Kismarja</t>
  </si>
  <si>
    <t>Kismányok</t>
  </si>
  <si>
    <t>Kislőd</t>
  </si>
  <si>
    <t>Kislippó</t>
  </si>
  <si>
    <t>Kisléta</t>
  </si>
  <si>
    <t>Kisláng</t>
  </si>
  <si>
    <t>Kiskutas</t>
  </si>
  <si>
    <t>Kiskunmajsa</t>
  </si>
  <si>
    <t>Kiskunlacháza</t>
  </si>
  <si>
    <t>Kiskunhalas</t>
  </si>
  <si>
    <t>Kiskunfélegyháza</t>
  </si>
  <si>
    <t>Kiskőrös</t>
  </si>
  <si>
    <t>Kisköre</t>
  </si>
  <si>
    <t>Kiskorpád</t>
  </si>
  <si>
    <t>Kiskinizs</t>
  </si>
  <si>
    <t>Kiskassa</t>
  </si>
  <si>
    <t>Kisjakabfalva</t>
  </si>
  <si>
    <t>Kisigmánd</t>
  </si>
  <si>
    <t>Kishuta</t>
  </si>
  <si>
    <t>Kishódos</t>
  </si>
  <si>
    <t>Kisherend</t>
  </si>
  <si>
    <t>Kishartyán</t>
  </si>
  <si>
    <t>Kisharsány</t>
  </si>
  <si>
    <t>Kishajmás</t>
  </si>
  <si>
    <t>Kisgyőr</t>
  </si>
  <si>
    <t>Kisgyalán</t>
  </si>
  <si>
    <t>Kisgörbő</t>
  </si>
  <si>
    <t>Kisfüzes</t>
  </si>
  <si>
    <t>Kisfalud</t>
  </si>
  <si>
    <t>Kisecset</t>
  </si>
  <si>
    <t>Kisdorog</t>
  </si>
  <si>
    <t>Kisdombegyház</t>
  </si>
  <si>
    <t>Kisdobsza</t>
  </si>
  <si>
    <t>Kisdér</t>
  </si>
  <si>
    <t>Kiscsősz</t>
  </si>
  <si>
    <t>Kiscsehi</t>
  </si>
  <si>
    <t>Kiscsécs</t>
  </si>
  <si>
    <t>Kisbudmér</t>
  </si>
  <si>
    <t>Kisbucsa</t>
  </si>
  <si>
    <t>Kisbodak</t>
  </si>
  <si>
    <t>Kisbeszterce</t>
  </si>
  <si>
    <t>Kisberzseny</t>
  </si>
  <si>
    <t>Kisberény</t>
  </si>
  <si>
    <t>Kisbér</t>
  </si>
  <si>
    <t>Kisbárkány</t>
  </si>
  <si>
    <t>Kisbárapáti</t>
  </si>
  <si>
    <t>Kisbajom</t>
  </si>
  <si>
    <t>Kisbajcs</t>
  </si>
  <si>
    <t>Kisbágyon</t>
  </si>
  <si>
    <t>Kisbabot</t>
  </si>
  <si>
    <t>Kisasszonyfa</t>
  </si>
  <si>
    <t>Kisasszond</t>
  </si>
  <si>
    <t>Kisar</t>
  </si>
  <si>
    <t>Kisapostag</t>
  </si>
  <si>
    <t>Kisapáti</t>
  </si>
  <si>
    <t>Királyszentistván</t>
  </si>
  <si>
    <t>Királyhegyes</t>
  </si>
  <si>
    <t>Királyegyháza</t>
  </si>
  <si>
    <t>Királd</t>
  </si>
  <si>
    <t>Kincsesbánya</t>
  </si>
  <si>
    <t>Kimle</t>
  </si>
  <si>
    <t>Kilimán</t>
  </si>
  <si>
    <t>Kevermes</t>
  </si>
  <si>
    <t>Kéty</t>
  </si>
  <si>
    <t>Kétvölgy</t>
  </si>
  <si>
    <t>Kétújfalu</t>
  </si>
  <si>
    <t>Kétsoprony</t>
  </si>
  <si>
    <t>Kétpó</t>
  </si>
  <si>
    <t>Kéthely</t>
  </si>
  <si>
    <t>Kétegyháza</t>
  </si>
  <si>
    <t>Kétbodony</t>
  </si>
  <si>
    <t>Keszü</t>
  </si>
  <si>
    <t>Kesztölc</t>
  </si>
  <si>
    <t>Keszthely</t>
  </si>
  <si>
    <t>Keszőhidegkút</t>
  </si>
  <si>
    <t>Kesznyéten</t>
  </si>
  <si>
    <t>Keszeg</t>
  </si>
  <si>
    <t>Kertészsziget</t>
  </si>
  <si>
    <t>Kerta</t>
  </si>
  <si>
    <t>Kérsemjén</t>
  </si>
  <si>
    <t>Kerkateskánd</t>
  </si>
  <si>
    <t>Kerkaszentkirály</t>
  </si>
  <si>
    <t>Kerkáskápolna</t>
  </si>
  <si>
    <t>Kerkakutas</t>
  </si>
  <si>
    <t>Kerkafalva</t>
  </si>
  <si>
    <t>Kerkabarabás</t>
  </si>
  <si>
    <t>Keresztéte</t>
  </si>
  <si>
    <t>Kerepes</t>
  </si>
  <si>
    <t>Kerékteleki</t>
  </si>
  <si>
    <t>Kereki</t>
  </si>
  <si>
    <t>Kerekharaszt</t>
  </si>
  <si>
    <t>Kerekegyháza</t>
  </si>
  <si>
    <t>Kerecseny</t>
  </si>
  <si>
    <t>Kerecsend</t>
  </si>
  <si>
    <t>Kercseliget</t>
  </si>
  <si>
    <t>Kercaszomor</t>
  </si>
  <si>
    <t>Kenyeri</t>
  </si>
  <si>
    <t>Kengyel</t>
  </si>
  <si>
    <t>Kenézlő</t>
  </si>
  <si>
    <t>Kenéz</t>
  </si>
  <si>
    <t>Kenderes</t>
  </si>
  <si>
    <t>Kemse</t>
  </si>
  <si>
    <t>Kemestaródfa</t>
  </si>
  <si>
    <t>Kémes</t>
  </si>
  <si>
    <t>Keménfa</t>
  </si>
  <si>
    <t>Kemenesszentpéter</t>
  </si>
  <si>
    <t>Kemenesszentmárton</t>
  </si>
  <si>
    <t>Kemenessömjén</t>
  </si>
  <si>
    <t>Kemenespálfa</t>
  </si>
  <si>
    <t>Kemenesmihályfa</t>
  </si>
  <si>
    <t>Kemenesmagasi</t>
  </si>
  <si>
    <t>Kemeneskápolna</t>
  </si>
  <si>
    <t>Kemeneshőgyész</t>
  </si>
  <si>
    <t>Kemendollár</t>
  </si>
  <si>
    <t>Kemence</t>
  </si>
  <si>
    <t>Kemecse</t>
  </si>
  <si>
    <t>Kelevíz</t>
  </si>
  <si>
    <t>Kéleshalom</t>
  </si>
  <si>
    <t>Kelemér</t>
  </si>
  <si>
    <t>Keléd</t>
  </si>
  <si>
    <t>Kelebia</t>
  </si>
  <si>
    <t>Kékkút</t>
  </si>
  <si>
    <t>Kékesd</t>
  </si>
  <si>
    <t>Kéked</t>
  </si>
  <si>
    <t>Kékcse</t>
  </si>
  <si>
    <t>Kék</t>
  </si>
  <si>
    <t>Kehidakustány</t>
  </si>
  <si>
    <t>Kecskemét</t>
  </si>
  <si>
    <t>Kecskéd</t>
  </si>
  <si>
    <t>Kecel</t>
  </si>
  <si>
    <t>Kazsok</t>
  </si>
  <si>
    <t>Kázsmárk</t>
  </si>
  <si>
    <t>Kazincbarcika</t>
  </si>
  <si>
    <t>Kazár</t>
  </si>
  <si>
    <t>Kávás</t>
  </si>
  <si>
    <t>Káva</t>
  </si>
  <si>
    <t>Katymár</t>
  </si>
  <si>
    <t>Kátoly</t>
  </si>
  <si>
    <t>Katafa</t>
  </si>
  <si>
    <t>Katádfa</t>
  </si>
  <si>
    <t>Kaszó</t>
  </si>
  <si>
    <t>Kaszaper</t>
  </si>
  <si>
    <t>Kastélyosdombó</t>
  </si>
  <si>
    <t>Kaskantyú</t>
  </si>
  <si>
    <t>Kásád</t>
  </si>
  <si>
    <t>Kartal</t>
  </si>
  <si>
    <t>Karos</t>
  </si>
  <si>
    <t>Károlyháza</t>
  </si>
  <si>
    <t>Karmacs</t>
  </si>
  <si>
    <t>Kardoskút</t>
  </si>
  <si>
    <t>Kardos</t>
  </si>
  <si>
    <t>Karcsa</t>
  </si>
  <si>
    <t>Karcag</t>
  </si>
  <si>
    <t>Kárász</t>
  </si>
  <si>
    <t>Karancsság</t>
  </si>
  <si>
    <t>Karancslapujtő</t>
  </si>
  <si>
    <t>Karancskeszi</t>
  </si>
  <si>
    <t>Karancsberény</t>
  </si>
  <si>
    <t>Karancsalja</t>
  </si>
  <si>
    <t>Karakószörcsök</t>
  </si>
  <si>
    <t>Karakó</t>
  </si>
  <si>
    <t>Karád</t>
  </si>
  <si>
    <t>Karácsond</t>
  </si>
  <si>
    <t>Kára</t>
  </si>
  <si>
    <t>Kapuvár</t>
  </si>
  <si>
    <t>Káptalantóti</t>
  </si>
  <si>
    <t>Káptalanfa</t>
  </si>
  <si>
    <t>Kaposszerdahely</t>
  </si>
  <si>
    <t>Kaposszekcső</t>
  </si>
  <si>
    <t>Kaposvár</t>
  </si>
  <si>
    <t>Kaposújlak</t>
  </si>
  <si>
    <t>Kapospula</t>
  </si>
  <si>
    <t>Kaposmérő</t>
  </si>
  <si>
    <t>Kaposkeresztúr</t>
  </si>
  <si>
    <t>Kaposhomok</t>
  </si>
  <si>
    <t>Kaposgyarmat</t>
  </si>
  <si>
    <t>Kaposfő</t>
  </si>
  <si>
    <t>Kapoly</t>
  </si>
  <si>
    <t>Kápolnásnyék</t>
  </si>
  <si>
    <t>Kápolna</t>
  </si>
  <si>
    <t>Kapolcs</t>
  </si>
  <si>
    <t>Kányavár</t>
  </si>
  <si>
    <t>Kánya</t>
  </si>
  <si>
    <t>Kány</t>
  </si>
  <si>
    <t>Kántorjánosi</t>
  </si>
  <si>
    <t>Kánó</t>
  </si>
  <si>
    <t>Kamut</t>
  </si>
  <si>
    <t>Kamond</t>
  </si>
  <si>
    <t>Kám</t>
  </si>
  <si>
    <t>Káloz</t>
  </si>
  <si>
    <t>Kalocsa</t>
  </si>
  <si>
    <t>Kálócfa</t>
  </si>
  <si>
    <t>Kálmánháza</t>
  </si>
  <si>
    <t>Kálmáncsa</t>
  </si>
  <si>
    <t>Kállósemjén</t>
  </si>
  <si>
    <t>Kallósd</t>
  </si>
  <si>
    <t>Kálló</t>
  </si>
  <si>
    <t>Káld</t>
  </si>
  <si>
    <t>Kalaznó</t>
  </si>
  <si>
    <t>Kál</t>
  </si>
  <si>
    <t>Kakucs</t>
  </si>
  <si>
    <t>Kákics</t>
  </si>
  <si>
    <t>Kakasd</t>
  </si>
  <si>
    <t>Kajdacs</t>
  </si>
  <si>
    <t>Kajászó</t>
  </si>
  <si>
    <t>Kajárpéc</t>
  </si>
  <si>
    <t>Kadarkút</t>
  </si>
  <si>
    <t>Kacsóta</t>
  </si>
  <si>
    <t>Kács</t>
  </si>
  <si>
    <t>Kacorlak</t>
  </si>
  <si>
    <t>Kaba</t>
  </si>
  <si>
    <t>Juta</t>
  </si>
  <si>
    <t>Jósvafő</t>
  </si>
  <si>
    <t>Jobbágyi</t>
  </si>
  <si>
    <t>Jobaháza</t>
  </si>
  <si>
    <t>Jenő</t>
  </si>
  <si>
    <t>Jéke</t>
  </si>
  <si>
    <t>Jásztelek</t>
  </si>
  <si>
    <t>Jászszentlászló</t>
  </si>
  <si>
    <t>Jászszentandrás</t>
  </si>
  <si>
    <t>Jászladány</t>
  </si>
  <si>
    <t>Jászkisér</t>
  </si>
  <si>
    <t>Jászkarajenő</t>
  </si>
  <si>
    <t>Jászjákóhalma</t>
  </si>
  <si>
    <t>Jászivány</t>
  </si>
  <si>
    <t>Jászfényszaru</t>
  </si>
  <si>
    <t>Jászfelsőszentgyörgy</t>
  </si>
  <si>
    <t>Jászdózsa</t>
  </si>
  <si>
    <t>Jászboldogháza</t>
  </si>
  <si>
    <t>Jászberény</t>
  </si>
  <si>
    <t>Jászárokszállás</t>
  </si>
  <si>
    <t>Jászapáti</t>
  </si>
  <si>
    <t>Jászalsószentgyörgy</t>
  </si>
  <si>
    <t>Jászágó</t>
  </si>
  <si>
    <t>Jásd</t>
  </si>
  <si>
    <t>Jármi</t>
  </si>
  <si>
    <t>Járdánháza</t>
  </si>
  <si>
    <t>Jánossomorja</t>
  </si>
  <si>
    <t>Jánoshida</t>
  </si>
  <si>
    <t>Jánosháza</t>
  </si>
  <si>
    <t>Jánoshalma</t>
  </si>
  <si>
    <t>Jánkmajtis</t>
  </si>
  <si>
    <t>Jánd</t>
  </si>
  <si>
    <t>Jákó</t>
  </si>
  <si>
    <t>Jákfalva</t>
  </si>
  <si>
    <t>Jákfa</t>
  </si>
  <si>
    <t>Jakabszállás</t>
  </si>
  <si>
    <t>Ják</t>
  </si>
  <si>
    <t>Jágónak</t>
  </si>
  <si>
    <t>Izsófalva</t>
  </si>
  <si>
    <t>Izsák</t>
  </si>
  <si>
    <t>Izmény</t>
  </si>
  <si>
    <t>Ivándárda</t>
  </si>
  <si>
    <t>Iváncsa</t>
  </si>
  <si>
    <t>Ivánc</t>
  </si>
  <si>
    <t>Ivánbattyán</t>
  </si>
  <si>
    <t>Iván</t>
  </si>
  <si>
    <t>Ivád</t>
  </si>
  <si>
    <t>Isztimér</t>
  </si>
  <si>
    <t>Iszkáz</t>
  </si>
  <si>
    <t>Iszkaszentgyörgy</t>
  </si>
  <si>
    <t>Istvándi</t>
  </si>
  <si>
    <t>Istenmezeje</t>
  </si>
  <si>
    <t>Ispánk</t>
  </si>
  <si>
    <t>Isaszeg</t>
  </si>
  <si>
    <t>Irota</t>
  </si>
  <si>
    <t>Iregszemcse</t>
  </si>
  <si>
    <t>Ipolyvece</t>
  </si>
  <si>
    <t>Ipolytölgyes</t>
  </si>
  <si>
    <t>Ipolytarnóc</t>
  </si>
  <si>
    <t>Ipolyszög</t>
  </si>
  <si>
    <t>Ipolydamásd</t>
  </si>
  <si>
    <t>Ipacsfa</t>
  </si>
  <si>
    <t>Inke</t>
  </si>
  <si>
    <t>Inárcs</t>
  </si>
  <si>
    <t>Ináncs</t>
  </si>
  <si>
    <t>Imrehegy</t>
  </si>
  <si>
    <t>Imola</t>
  </si>
  <si>
    <t>Illocska</t>
  </si>
  <si>
    <t>Ilk</t>
  </si>
  <si>
    <t>Iliny</t>
  </si>
  <si>
    <t>Ikrény</t>
  </si>
  <si>
    <t>Iklódbördőce</t>
  </si>
  <si>
    <t>Iklanberény</t>
  </si>
  <si>
    <t>Iklad</t>
  </si>
  <si>
    <t>Ikervár</t>
  </si>
  <si>
    <t>Iharosberény</t>
  </si>
  <si>
    <t>Iharos</t>
  </si>
  <si>
    <t>Igrici</t>
  </si>
  <si>
    <t>Igar</t>
  </si>
  <si>
    <t>Igal</t>
  </si>
  <si>
    <t>Ibrány</t>
  </si>
  <si>
    <t>Iborfia</t>
  </si>
  <si>
    <t>Ibafa</t>
  </si>
  <si>
    <t>Husztót</t>
  </si>
  <si>
    <t>Hunyadfalva</t>
  </si>
  <si>
    <t>Hunya</t>
  </si>
  <si>
    <t>Hugyag</t>
  </si>
  <si>
    <t>Hövej</t>
  </si>
  <si>
    <t>Hőgyész</t>
  </si>
  <si>
    <t>Hottó</t>
  </si>
  <si>
    <t>Hosztót</t>
  </si>
  <si>
    <t>Hosszúvölgy</t>
  </si>
  <si>
    <t>Hosszúvíz</t>
  </si>
  <si>
    <t>Hosszúpereszteg</t>
  </si>
  <si>
    <t>Hosszúpályi</t>
  </si>
  <si>
    <t>Hosszúhetény</t>
  </si>
  <si>
    <t>Horvátzsidány</t>
  </si>
  <si>
    <t>Horvátlövő</t>
  </si>
  <si>
    <t>Horváthertelend</t>
  </si>
  <si>
    <t>Hortobágy</t>
  </si>
  <si>
    <t>Hort</t>
  </si>
  <si>
    <t>Horpács</t>
  </si>
  <si>
    <t>Hont</t>
  </si>
  <si>
    <t>Homrogd</t>
  </si>
  <si>
    <t>Homorúd</t>
  </si>
  <si>
    <t>Homokszentgyörgy</t>
  </si>
  <si>
    <t>Homokmégy</t>
  </si>
  <si>
    <t>Homokkomárom</t>
  </si>
  <si>
    <t>Homokbödöge</t>
  </si>
  <si>
    <t>Hollókő</t>
  </si>
  <si>
    <t>Hollóháza</t>
  </si>
  <si>
    <t>Hollád</t>
  </si>
  <si>
    <t>Hódmezővásárhely</t>
  </si>
  <si>
    <t>Hodász</t>
  </si>
  <si>
    <t>Hobol</t>
  </si>
  <si>
    <t>Hirics</t>
  </si>
  <si>
    <t>Himod</t>
  </si>
  <si>
    <t>Himesháza</t>
  </si>
  <si>
    <t>Hidvégardó</t>
  </si>
  <si>
    <t>Hidegség</t>
  </si>
  <si>
    <t>Hidegkút</t>
  </si>
  <si>
    <t>Hidasnémeti</t>
  </si>
  <si>
    <t>Hidas</t>
  </si>
  <si>
    <t>Hévízgyörk</t>
  </si>
  <si>
    <t>Hévíz</t>
  </si>
  <si>
    <t>Hevesvezekény</t>
  </si>
  <si>
    <t>Hevesaranyos</t>
  </si>
  <si>
    <t>Heves</t>
  </si>
  <si>
    <t>Hetyefő</t>
  </si>
  <si>
    <t>Hetvehely</t>
  </si>
  <si>
    <t>Hetes</t>
  </si>
  <si>
    <t>Hetefejércse</t>
  </si>
  <si>
    <t>Hét</t>
  </si>
  <si>
    <t>Hernyék</t>
  </si>
  <si>
    <t>Hernádvécse</t>
  </si>
  <si>
    <t>Hernádszurdok</t>
  </si>
  <si>
    <t>Hernádszentandrás</t>
  </si>
  <si>
    <t>Hernádpetri</t>
  </si>
  <si>
    <t>Hernádnémeti</t>
  </si>
  <si>
    <t>Hernádkércs</t>
  </si>
  <si>
    <t>Hernádkak</t>
  </si>
  <si>
    <t>Hernádcéce</t>
  </si>
  <si>
    <t>Hernádbűd</t>
  </si>
  <si>
    <t>Hernád</t>
  </si>
  <si>
    <t>Hermánszeg</t>
  </si>
  <si>
    <t>Heresznye</t>
  </si>
  <si>
    <t>Herend</t>
  </si>
  <si>
    <t>Herencsény</t>
  </si>
  <si>
    <t>Héreg</t>
  </si>
  <si>
    <t>Heréd</t>
  </si>
  <si>
    <t>Hercegszántó</t>
  </si>
  <si>
    <t>Hercegkút</t>
  </si>
  <si>
    <t>Herceghalom</t>
  </si>
  <si>
    <t>Hencse</t>
  </si>
  <si>
    <t>Hencida</t>
  </si>
  <si>
    <t>Helvécia</t>
  </si>
  <si>
    <t>Helesfa</t>
  </si>
  <si>
    <t>Hejőszalonta</t>
  </si>
  <si>
    <t>Hejőpapi</t>
  </si>
  <si>
    <t>Hejőkürt</t>
  </si>
  <si>
    <t>Hejőkeresztúr</t>
  </si>
  <si>
    <t>Hejőbába</t>
  </si>
  <si>
    <t>Hejce</t>
  </si>
  <si>
    <t>Héhalom</t>
  </si>
  <si>
    <t>Hegyszentmárton</t>
  </si>
  <si>
    <t>Hegymeg</t>
  </si>
  <si>
    <t>Hegymagas</t>
  </si>
  <si>
    <t>Hegykő</t>
  </si>
  <si>
    <t>Hegyhátszentpéter</t>
  </si>
  <si>
    <t>Hegyhátszentmárton</t>
  </si>
  <si>
    <t>Hegyhátszentjakab</t>
  </si>
  <si>
    <t>Hegyhátsál</t>
  </si>
  <si>
    <t>Hegyhátmaróc</t>
  </si>
  <si>
    <t>Hegyháthodász</t>
  </si>
  <si>
    <t>Hegyfalu</t>
  </si>
  <si>
    <t>Hegyeshalom</t>
  </si>
  <si>
    <t>Hegyesd</t>
  </si>
  <si>
    <t>Hedrehely</t>
  </si>
  <si>
    <t>Hédervár</t>
  </si>
  <si>
    <t>Hatvan</t>
  </si>
  <si>
    <t>Hásságy</t>
  </si>
  <si>
    <t>Harta</t>
  </si>
  <si>
    <t>Hárskút</t>
  </si>
  <si>
    <t>Harsány</t>
  </si>
  <si>
    <t>Háromhuta</t>
  </si>
  <si>
    <t>Háromfa</t>
  </si>
  <si>
    <t>Harkány</t>
  </si>
  <si>
    <t>Harkakötöny</t>
  </si>
  <si>
    <t>Harka</t>
  </si>
  <si>
    <t>Harc</t>
  </si>
  <si>
    <t>Harasztifalu</t>
  </si>
  <si>
    <t>Hantos</t>
  </si>
  <si>
    <t>Hangony</t>
  </si>
  <si>
    <t>Hangács</t>
  </si>
  <si>
    <t>Halogy</t>
  </si>
  <si>
    <t>Halmajugra</t>
  </si>
  <si>
    <t>Halmaj</t>
  </si>
  <si>
    <t>Halimba</t>
  </si>
  <si>
    <t>Halásztelek</t>
  </si>
  <si>
    <t>Halászi</t>
  </si>
  <si>
    <t>Halastó</t>
  </si>
  <si>
    <t>Hajós</t>
  </si>
  <si>
    <t>Hajmáskér</t>
  </si>
  <si>
    <t>Hajmás</t>
  </si>
  <si>
    <t>Hajdúszovát</t>
  </si>
  <si>
    <t>Hajdúszoboszló</t>
  </si>
  <si>
    <t>Hajdúsámson</t>
  </si>
  <si>
    <t>Hajdúnánás</t>
  </si>
  <si>
    <t>Hajdúhadház</t>
  </si>
  <si>
    <t>Hajdúdorog</t>
  </si>
  <si>
    <t>Hajdúböszörmény</t>
  </si>
  <si>
    <t>Hajdúbagos</t>
  </si>
  <si>
    <t>Hahót</t>
  </si>
  <si>
    <t>Hagyárosbörönd</t>
  </si>
  <si>
    <t>Hács</t>
  </si>
  <si>
    <t>Gyűrűs</t>
  </si>
  <si>
    <t>Gyüre</t>
  </si>
  <si>
    <t>Gyügye</t>
  </si>
  <si>
    <t>Gyúró</t>
  </si>
  <si>
    <t>Gyulakeszi</t>
  </si>
  <si>
    <t>Gyulaj</t>
  </si>
  <si>
    <t>Gyulaháza</t>
  </si>
  <si>
    <t>Gyula</t>
  </si>
  <si>
    <t>Gyugy</t>
  </si>
  <si>
    <t>Győrzámoly</t>
  </si>
  <si>
    <t>Győrvár</t>
  </si>
  <si>
    <t>Győrújfalu</t>
  </si>
  <si>
    <t>Győrújbarát</t>
  </si>
  <si>
    <t>Győrtelek</t>
  </si>
  <si>
    <t>Győrszemere</t>
  </si>
  <si>
    <t>Győrsövényház</t>
  </si>
  <si>
    <t>Győrság</t>
  </si>
  <si>
    <t>Győröcske</t>
  </si>
  <si>
    <t>Győrladamér</t>
  </si>
  <si>
    <t>Györköny</t>
  </si>
  <si>
    <t>Györgytarló</t>
  </si>
  <si>
    <t>Györe</t>
  </si>
  <si>
    <t>Győrasszonyfa</t>
  </si>
  <si>
    <t>Győr</t>
  </si>
  <si>
    <t>Gyönk</t>
  </si>
  <si>
    <t>Gyöngyöstarján</t>
  </si>
  <si>
    <t>Gyöngyössolymos</t>
  </si>
  <si>
    <t>Gyöngyöspata</t>
  </si>
  <si>
    <t>Gyöngyösoroszi</t>
  </si>
  <si>
    <t>Gyöngyösmellék</t>
  </si>
  <si>
    <t>Gyöngyöshalász</t>
  </si>
  <si>
    <t>Gyöngyösfalu</t>
  </si>
  <si>
    <t>Gyöngyös</t>
  </si>
  <si>
    <t>Gyöngyfa</t>
  </si>
  <si>
    <t>Gyömrő</t>
  </si>
  <si>
    <t>Gyömöre</t>
  </si>
  <si>
    <t>Gyóró</t>
  </si>
  <si>
    <t>Gyomaendrőd</t>
  </si>
  <si>
    <t>Gyód</t>
  </si>
  <si>
    <t>Gyermely</t>
  </si>
  <si>
    <t>Gyepükaján</t>
  </si>
  <si>
    <t>Gyenesdiás</t>
  </si>
  <si>
    <t>Gyékényes</t>
  </si>
  <si>
    <t>Gyarmat</t>
  </si>
  <si>
    <t>Gyanógeregye</t>
  </si>
  <si>
    <t>Gyalóka</t>
  </si>
  <si>
    <t>Gyál</t>
  </si>
  <si>
    <t>Gutorfölde</t>
  </si>
  <si>
    <t>Gulács</t>
  </si>
  <si>
    <t>Grábóc</t>
  </si>
  <si>
    <t>Gősfa</t>
  </si>
  <si>
    <t>Görgeteg</t>
  </si>
  <si>
    <t>Görcsönydoboka</t>
  </si>
  <si>
    <t>Görcsöny</t>
  </si>
  <si>
    <t>Görbeháza</t>
  </si>
  <si>
    <t>Gönyű</t>
  </si>
  <si>
    <t>Göncruszka</t>
  </si>
  <si>
    <t>Gönc</t>
  </si>
  <si>
    <t>Gömörszőlős</t>
  </si>
  <si>
    <t>Gölle</t>
  </si>
  <si>
    <t>Gödre</t>
  </si>
  <si>
    <t>Gödöllő</t>
  </si>
  <si>
    <t>Göd</t>
  </si>
  <si>
    <t>Gosztola</t>
  </si>
  <si>
    <t>Gordisa</t>
  </si>
  <si>
    <t>Gór</t>
  </si>
  <si>
    <t>Gombosszeg</t>
  </si>
  <si>
    <t>Gomba</t>
  </si>
  <si>
    <t>Golop</t>
  </si>
  <si>
    <t>Gógánfa</t>
  </si>
  <si>
    <t>Girincs</t>
  </si>
  <si>
    <t>Gilvánfa</t>
  </si>
  <si>
    <t>Gige</t>
  </si>
  <si>
    <t>Gic</t>
  </si>
  <si>
    <t>Gibárt</t>
  </si>
  <si>
    <t>Gétye</t>
  </si>
  <si>
    <t>Geszteréd</t>
  </si>
  <si>
    <t>Gesztely</t>
  </si>
  <si>
    <t>Geszt</t>
  </si>
  <si>
    <t>Gersekarát</t>
  </si>
  <si>
    <t>Gerjen</t>
  </si>
  <si>
    <t>Geresdlak</t>
  </si>
  <si>
    <t>Gerényes</t>
  </si>
  <si>
    <t>Gerendás</t>
  </si>
  <si>
    <t>Gerde</t>
  </si>
  <si>
    <t>Gérce</t>
  </si>
  <si>
    <t>Gencsapáti</t>
  </si>
  <si>
    <t>Gemzse</t>
  </si>
  <si>
    <t>Gelsesziget</t>
  </si>
  <si>
    <t>Gelse</t>
  </si>
  <si>
    <t>Gellénháza</t>
  </si>
  <si>
    <t>Gelénes</t>
  </si>
  <si>
    <t>Gelej</t>
  </si>
  <si>
    <t>Gégény</t>
  </si>
  <si>
    <t>Géderlak</t>
  </si>
  <si>
    <t>Gecse</t>
  </si>
  <si>
    <t>Géberjén</t>
  </si>
  <si>
    <t>Gávavencsellő</t>
  </si>
  <si>
    <t>Gátér</t>
  </si>
  <si>
    <t>Gasztony</t>
  </si>
  <si>
    <t>Garé</t>
  </si>
  <si>
    <t>Gárdony</t>
  </si>
  <si>
    <t>Garbolc</t>
  </si>
  <si>
    <t>Garadna</t>
  </si>
  <si>
    <t>Garabonc</t>
  </si>
  <si>
    <t>Garáb</t>
  </si>
  <si>
    <t>Gara</t>
  </si>
  <si>
    <t>Gánt</t>
  </si>
  <si>
    <t>Ganna</t>
  </si>
  <si>
    <t>Gamás</t>
  </si>
  <si>
    <t>Galvács</t>
  </si>
  <si>
    <t>Gálosfa</t>
  </si>
  <si>
    <t>Galgamácsa</t>
  </si>
  <si>
    <t>Galgahévíz</t>
  </si>
  <si>
    <t>Galgagyörk</t>
  </si>
  <si>
    <t>Galgaguta</t>
  </si>
  <si>
    <t>Galambok</t>
  </si>
  <si>
    <t>Gagyvendégi</t>
  </si>
  <si>
    <t>Gagybátor</t>
  </si>
  <si>
    <t>Gagyapáti</t>
  </si>
  <si>
    <t>Gádoros</t>
  </si>
  <si>
    <t>Gadna</t>
  </si>
  <si>
    <t>Gadány</t>
  </si>
  <si>
    <t>Gadács</t>
  </si>
  <si>
    <t>Gacsály</t>
  </si>
  <si>
    <t>Gáborjánháza</t>
  </si>
  <si>
    <t>Gáborján</t>
  </si>
  <si>
    <t>Fűzvölgy</t>
  </si>
  <si>
    <t>Füzesgyarmat</t>
  </si>
  <si>
    <t>Füzesabony</t>
  </si>
  <si>
    <t>Füzérradvány</t>
  </si>
  <si>
    <t>Füzérkomlós</t>
  </si>
  <si>
    <t>Füzérkajata</t>
  </si>
  <si>
    <t>Füzér</t>
  </si>
  <si>
    <t>Fürged</t>
  </si>
  <si>
    <t>Fülpösdaróc</t>
  </si>
  <si>
    <t>Fülöpszállás</t>
  </si>
  <si>
    <t>Fülöpjakab</t>
  </si>
  <si>
    <t>Fülöpháza</t>
  </si>
  <si>
    <t>Fülöp</t>
  </si>
  <si>
    <t>Fülesd</t>
  </si>
  <si>
    <t>Füle</t>
  </si>
  <si>
    <t>Furta</t>
  </si>
  <si>
    <t>Fulókércs</t>
  </si>
  <si>
    <t>Főnyed</t>
  </si>
  <si>
    <t>Földes</t>
  </si>
  <si>
    <t>Földeák</t>
  </si>
  <si>
    <t>Fót</t>
  </si>
  <si>
    <t>Forró</t>
  </si>
  <si>
    <t>Forráskút</t>
  </si>
  <si>
    <t>Fonyód</t>
  </si>
  <si>
    <t>Fony</t>
  </si>
  <si>
    <t>Fonó</t>
  </si>
  <si>
    <t>Folyás</t>
  </si>
  <si>
    <t>Foktő</t>
  </si>
  <si>
    <t>Fityeház</t>
  </si>
  <si>
    <t>Filkeháza</t>
  </si>
  <si>
    <t>Fiad</t>
  </si>
  <si>
    <t>Fertőszéplak</t>
  </si>
  <si>
    <t>Fertőszentmiklós</t>
  </si>
  <si>
    <t>Fertőrákos</t>
  </si>
  <si>
    <t>Fertőhomok</t>
  </si>
  <si>
    <t>Fertőendréd</t>
  </si>
  <si>
    <t>Fertőd</t>
  </si>
  <si>
    <t>Fertőboz</t>
  </si>
  <si>
    <t>Ferencszállás</t>
  </si>
  <si>
    <t>Fenyőfő</t>
  </si>
  <si>
    <t>Fényeslitke</t>
  </si>
  <si>
    <t>Felsőzsolca</t>
  </si>
  <si>
    <t>Felsővadász</t>
  </si>
  <si>
    <t>Felsőtold</t>
  </si>
  <si>
    <t>Felsőtelekes</t>
  </si>
  <si>
    <t>Felsőtárkány</t>
  </si>
  <si>
    <t>Felsőszölnök</t>
  </si>
  <si>
    <t>Felsőszentmárton</t>
  </si>
  <si>
    <t>Felsőszentiván</t>
  </si>
  <si>
    <t>Felsőszenterzsébet</t>
  </si>
  <si>
    <t>Felsőregmec</t>
  </si>
  <si>
    <t>Felsőrajk</t>
  </si>
  <si>
    <t>Felsőpetény</t>
  </si>
  <si>
    <t>Felsőpakony</t>
  </si>
  <si>
    <t>Felsőpáhok</t>
  </si>
  <si>
    <t>Felsőörs</t>
  </si>
  <si>
    <t>Felsőnyék</t>
  </si>
  <si>
    <t>Felsőnyárád</t>
  </si>
  <si>
    <t>Felsőnána</t>
  </si>
  <si>
    <t>Felsőmocsolád</t>
  </si>
  <si>
    <t>Felsőmarác</t>
  </si>
  <si>
    <t>Felsőlajos</t>
  </si>
  <si>
    <t>Felsőkelecsény</t>
  </si>
  <si>
    <t>Felsőjánosfa</t>
  </si>
  <si>
    <t>Felsőgagy</t>
  </si>
  <si>
    <t>Felsőegerszeg</t>
  </si>
  <si>
    <t>Felsődobsza</t>
  </si>
  <si>
    <t>Felsőcsatár</t>
  </si>
  <si>
    <t>Felsőberecki</t>
  </si>
  <si>
    <t>Felpéc</t>
  </si>
  <si>
    <t>Felgyő</t>
  </si>
  <si>
    <t>Feldebrő</t>
  </si>
  <si>
    <t>Felcsút</t>
  </si>
  <si>
    <t>Feketeerdő</t>
  </si>
  <si>
    <t>Feked</t>
  </si>
  <si>
    <t>Fehérvárcsurgó</t>
  </si>
  <si>
    <t>Fehértó</t>
  </si>
  <si>
    <t>Fehérgyarmat</t>
  </si>
  <si>
    <t>Fegyvernek</t>
  </si>
  <si>
    <t>Fedémes</t>
  </si>
  <si>
    <t>Fazekasboda</t>
  </si>
  <si>
    <t>Farmos</t>
  </si>
  <si>
    <t>Farkaslyuk</t>
  </si>
  <si>
    <t>Farkasgyepű</t>
  </si>
  <si>
    <t>Farád</t>
  </si>
  <si>
    <t>Fancsal</t>
  </si>
  <si>
    <t>Fajsz</t>
  </si>
  <si>
    <t>Fáj</t>
  </si>
  <si>
    <t>Fadd</t>
  </si>
  <si>
    <t>Fácánkert</t>
  </si>
  <si>
    <t>Fábiánsebestyén</t>
  </si>
  <si>
    <t>Fábiánháza</t>
  </si>
  <si>
    <t>Etyek</t>
  </si>
  <si>
    <t>Etes</t>
  </si>
  <si>
    <t>Ete</t>
  </si>
  <si>
    <t>Esztergom</t>
  </si>
  <si>
    <t>Esztergályhorváti</t>
  </si>
  <si>
    <t>Eszteregnye</t>
  </si>
  <si>
    <t>Esztár</t>
  </si>
  <si>
    <t>Erzsébet</t>
  </si>
  <si>
    <t>Értény</t>
  </si>
  <si>
    <t>Érsekvadkert</t>
  </si>
  <si>
    <t>Érsekhalma</t>
  </si>
  <si>
    <t>Érsekcsanád</t>
  </si>
  <si>
    <t>Érpatak</t>
  </si>
  <si>
    <t>Erk</t>
  </si>
  <si>
    <t>Erdőtelek</t>
  </si>
  <si>
    <t>Erdőtarcsa</t>
  </si>
  <si>
    <t>Erdősmecske</t>
  </si>
  <si>
    <t>Erdősmárok</t>
  </si>
  <si>
    <t>Erdőkürt</t>
  </si>
  <si>
    <t>Erdőkövesd</t>
  </si>
  <si>
    <t>Erdőkertes</t>
  </si>
  <si>
    <t>Erdőhorváti</t>
  </si>
  <si>
    <t>Erdőbénye</t>
  </si>
  <si>
    <t>Érd</t>
  </si>
  <si>
    <t>Ercsi</t>
  </si>
  <si>
    <t>Epöl</t>
  </si>
  <si>
    <t>Eplény</t>
  </si>
  <si>
    <t>Eperjeske</t>
  </si>
  <si>
    <t>Eperjes</t>
  </si>
  <si>
    <t>Enying</t>
  </si>
  <si>
    <t>Enese</t>
  </si>
  <si>
    <t>Endrőc</t>
  </si>
  <si>
    <t>Endrefalva</t>
  </si>
  <si>
    <t>Encsencs</t>
  </si>
  <si>
    <t>Encs</t>
  </si>
  <si>
    <t>Emőd</t>
  </si>
  <si>
    <t>Előszállás</t>
  </si>
  <si>
    <t>Ellend</t>
  </si>
  <si>
    <t>Elek</t>
  </si>
  <si>
    <t>Egyházasrádóc</t>
  </si>
  <si>
    <t>Egyházaskozár</t>
  </si>
  <si>
    <t>Egyházaskesző</t>
  </si>
  <si>
    <t>Egyházashollós</t>
  </si>
  <si>
    <t>Egyházashetye</t>
  </si>
  <si>
    <t>Egyházasharaszti</t>
  </si>
  <si>
    <t>Egyházasgerge</t>
  </si>
  <si>
    <t>Egyházasfalu</t>
  </si>
  <si>
    <t>Egyházasdengeleg</t>
  </si>
  <si>
    <t>Egyek</t>
  </si>
  <si>
    <t>Egyed</t>
  </si>
  <si>
    <t>Egervölgy</t>
  </si>
  <si>
    <t>Egervár</t>
  </si>
  <si>
    <t>Égerszög</t>
  </si>
  <si>
    <t>Egerszólát</t>
  </si>
  <si>
    <t>Egerszalók</t>
  </si>
  <si>
    <t>Egerlövő</t>
  </si>
  <si>
    <t>Egerfarmos</t>
  </si>
  <si>
    <t>Egercsehi</t>
  </si>
  <si>
    <t>Egerbocs</t>
  </si>
  <si>
    <t>Egerbakta</t>
  </si>
  <si>
    <t>Egeraracsa</t>
  </si>
  <si>
    <t>Egeralja</t>
  </si>
  <si>
    <t>Egerág</t>
  </si>
  <si>
    <t>Eger</t>
  </si>
  <si>
    <t>Edve</t>
  </si>
  <si>
    <t>Edelény</t>
  </si>
  <si>
    <t>Edde</t>
  </si>
  <si>
    <t>Ecser</t>
  </si>
  <si>
    <t>Ecseny</t>
  </si>
  <si>
    <t>Ecsegfalva</t>
  </si>
  <si>
    <t>Ecseg</t>
  </si>
  <si>
    <t>Ecséd</t>
  </si>
  <si>
    <t>Écs</t>
  </si>
  <si>
    <t>Ebes</t>
  </si>
  <si>
    <t>Ebergőc</t>
  </si>
  <si>
    <t>Dúzs</t>
  </si>
  <si>
    <t>Dusnok</t>
  </si>
  <si>
    <t>Dunavecse</t>
  </si>
  <si>
    <t>Dunavarsány</t>
  </si>
  <si>
    <t>Dunaújváros</t>
  </si>
  <si>
    <t>Dunatetétlen</t>
  </si>
  <si>
    <t>Dunasziget</t>
  </si>
  <si>
    <t>Dunaszentpál</t>
  </si>
  <si>
    <t>Dunaszentmiklós</t>
  </si>
  <si>
    <t>Dunaszentgyörgy</t>
  </si>
  <si>
    <t>Dunaszentbenedek</t>
  </si>
  <si>
    <t>Dunaszekcső</t>
  </si>
  <si>
    <t>Dunaszeg</t>
  </si>
  <si>
    <t>Dunaremete</t>
  </si>
  <si>
    <t>Dunapataj</t>
  </si>
  <si>
    <t>Dunakiliti</t>
  </si>
  <si>
    <t>Dunakeszi</t>
  </si>
  <si>
    <t>Dunaharaszti</t>
  </si>
  <si>
    <t>Dunaföldvár</t>
  </si>
  <si>
    <t>Dunafalva</t>
  </si>
  <si>
    <t>Dunaegyháza</t>
  </si>
  <si>
    <t>Dunabogdány</t>
  </si>
  <si>
    <t>Dunaalmás</t>
  </si>
  <si>
    <t>Duka</t>
  </si>
  <si>
    <t>Dudar</t>
  </si>
  <si>
    <t>Dubicsány</t>
  </si>
  <si>
    <t>Drégelypalánk</t>
  </si>
  <si>
    <t>Drávatamási</t>
  </si>
  <si>
    <t>Drávasztára</t>
  </si>
  <si>
    <t>Drávaszerdahely</t>
  </si>
  <si>
    <t>Drávaszabolcs</t>
  </si>
  <si>
    <t>Drávapiski</t>
  </si>
  <si>
    <t>Drávapalkonya</t>
  </si>
  <si>
    <t>Drávakeresztúr</t>
  </si>
  <si>
    <t>Drávaiványi</t>
  </si>
  <si>
    <t>Drávagárdony</t>
  </si>
  <si>
    <t>Drávafok</t>
  </si>
  <si>
    <t>Drávacsepely</t>
  </si>
  <si>
    <t>Drávacsehi</t>
  </si>
  <si>
    <t>Drágszél</t>
  </si>
  <si>
    <t>Dövény</t>
  </si>
  <si>
    <t>Dötk</t>
  </si>
  <si>
    <t>Döröske</t>
  </si>
  <si>
    <t>Dörgicse</t>
  </si>
  <si>
    <t>Dör</t>
  </si>
  <si>
    <t>Dömsöd</t>
  </si>
  <si>
    <t>Dömös</t>
  </si>
  <si>
    <t>Döge</t>
  </si>
  <si>
    <t>Döbrönte</t>
  </si>
  <si>
    <t>Döbrököz</t>
  </si>
  <si>
    <t>Döbröce</t>
  </si>
  <si>
    <t>Döbörhegy</t>
  </si>
  <si>
    <t>Dozmat</t>
  </si>
  <si>
    <t>Dorogháza</t>
  </si>
  <si>
    <t>Dorog</t>
  </si>
  <si>
    <t>Dormánd</t>
  </si>
  <si>
    <t>Domoszló</t>
  </si>
  <si>
    <t>Domony</t>
  </si>
  <si>
    <t>Dombrád</t>
  </si>
  <si>
    <t>Dombóvár</t>
  </si>
  <si>
    <t>Dombiratos</t>
  </si>
  <si>
    <t>Dombegyház</t>
  </si>
  <si>
    <t>Domaszék</t>
  </si>
  <si>
    <t>Domaháza</t>
  </si>
  <si>
    <t>Dóc</t>
  </si>
  <si>
    <t>Dobronhegy</t>
  </si>
  <si>
    <t>Dobri</t>
  </si>
  <si>
    <t>Doboz</t>
  </si>
  <si>
    <t>Doba</t>
  </si>
  <si>
    <t>Diósviszló</t>
  </si>
  <si>
    <t>Dióskál</t>
  </si>
  <si>
    <t>Diósjenő</t>
  </si>
  <si>
    <t>Diósd</t>
  </si>
  <si>
    <t>Diósberény</t>
  </si>
  <si>
    <t>Dinnyeberki</t>
  </si>
  <si>
    <t>Devecser</t>
  </si>
  <si>
    <t>Dévaványa</t>
  </si>
  <si>
    <t>Detk</t>
  </si>
  <si>
    <t>Detek</t>
  </si>
  <si>
    <t>Deszk</t>
  </si>
  <si>
    <t>Derekegyház</t>
  </si>
  <si>
    <t>Derecske</t>
  </si>
  <si>
    <t>Dénesfa</t>
  </si>
  <si>
    <t>Dencsháza</t>
  </si>
  <si>
    <t>Demjén</t>
  </si>
  <si>
    <t>Demecser</t>
  </si>
  <si>
    <t>Délegyháza</t>
  </si>
  <si>
    <t>Dejtár</t>
  </si>
  <si>
    <t>Dég</t>
  </si>
  <si>
    <t>Dédestapolcsány</t>
  </si>
  <si>
    <t>Decs</t>
  </si>
  <si>
    <t>Debréte</t>
  </si>
  <si>
    <t>Debrecen</t>
  </si>
  <si>
    <t>Debercsény</t>
  </si>
  <si>
    <t>Dávod</t>
  </si>
  <si>
    <t>Darvas</t>
  </si>
  <si>
    <t>Daruszentmiklós</t>
  </si>
  <si>
    <t>Darnózseli</t>
  </si>
  <si>
    <t>Darnó</t>
  </si>
  <si>
    <t>Darány</t>
  </si>
  <si>
    <t>Daraboshegy</t>
  </si>
  <si>
    <t>Dány</t>
  </si>
  <si>
    <t>Dánszentmiklós</t>
  </si>
  <si>
    <t>Dámóc</t>
  </si>
  <si>
    <t>Damak</t>
  </si>
  <si>
    <t>Dalmand</t>
  </si>
  <si>
    <t>Dáka</t>
  </si>
  <si>
    <t>Dág</t>
  </si>
  <si>
    <t>Dad</t>
  </si>
  <si>
    <t>Dabrony</t>
  </si>
  <si>
    <t>Dabronc</t>
  </si>
  <si>
    <t>Dabas</t>
  </si>
  <si>
    <t>Csurgónagymarton</t>
  </si>
  <si>
    <t>Csurgó</t>
  </si>
  <si>
    <t>Csővár</t>
  </si>
  <si>
    <t>Csősz</t>
  </si>
  <si>
    <t>Csörötnek</t>
  </si>
  <si>
    <t>Csörög</t>
  </si>
  <si>
    <t>Csörnyeföld</t>
  </si>
  <si>
    <t>Csönge</t>
  </si>
  <si>
    <t>Csömör</t>
  </si>
  <si>
    <t>Csömödér</t>
  </si>
  <si>
    <t>Csömend</t>
  </si>
  <si>
    <t>Csököly</t>
  </si>
  <si>
    <t>Csökmő</t>
  </si>
  <si>
    <t>Csögle</t>
  </si>
  <si>
    <t>Csöde</t>
  </si>
  <si>
    <t>Csót</t>
  </si>
  <si>
    <t>Csorvás</t>
  </si>
  <si>
    <t>Csorna</t>
  </si>
  <si>
    <t>Csór</t>
  </si>
  <si>
    <t>Csopak</t>
  </si>
  <si>
    <t>Csonkamindszent</t>
  </si>
  <si>
    <t>Csonkahegyhát</t>
  </si>
  <si>
    <t>Csongrád</t>
  </si>
  <si>
    <t>Csombárd</t>
  </si>
  <si>
    <t>Csomád</t>
  </si>
  <si>
    <t>Csoma</t>
  </si>
  <si>
    <t>Csólyospálos</t>
  </si>
  <si>
    <t>Csolnok</t>
  </si>
  <si>
    <t>Csokvaomány</t>
  </si>
  <si>
    <t>Csokonyavisonta</t>
  </si>
  <si>
    <t>Csókakő</t>
  </si>
  <si>
    <t>Csobánka</t>
  </si>
  <si>
    <t>Csobaj</t>
  </si>
  <si>
    <t>Csobád</t>
  </si>
  <si>
    <t>Csitár</t>
  </si>
  <si>
    <t>Csipkerek</t>
  </si>
  <si>
    <t>Csincse</t>
  </si>
  <si>
    <t>Csikvánd</t>
  </si>
  <si>
    <t>Csikóstőttős</t>
  </si>
  <si>
    <t>Csikéria</t>
  </si>
  <si>
    <t>Csibrák</t>
  </si>
  <si>
    <t>Csévharaszt</t>
  </si>
  <si>
    <t>Csetény</t>
  </si>
  <si>
    <t>Csesztve</t>
  </si>
  <si>
    <t>Csesztreg</t>
  </si>
  <si>
    <t>Csesznek</t>
  </si>
  <si>
    <t>Csertő</t>
  </si>
  <si>
    <t>Csertalakos</t>
  </si>
  <si>
    <t>Cserszegtomaj</t>
  </si>
  <si>
    <t>Csernely</t>
  </si>
  <si>
    <t>Cserkút</t>
  </si>
  <si>
    <t>Cserkeszőlő</t>
  </si>
  <si>
    <t>Cserhátszentiván</t>
  </si>
  <si>
    <t>Cserhátsurány</t>
  </si>
  <si>
    <t>Cserháthaláp</t>
  </si>
  <si>
    <t>Cserépváralja</t>
  </si>
  <si>
    <t>Cserépfalu</t>
  </si>
  <si>
    <t>Cserénfa</t>
  </si>
  <si>
    <t>Cserdi</t>
  </si>
  <si>
    <t>Csér</t>
  </si>
  <si>
    <t>Csepreg</t>
  </si>
  <si>
    <t>Csépa</t>
  </si>
  <si>
    <t>Csép</t>
  </si>
  <si>
    <t>Csenyéte</t>
  </si>
  <si>
    <t>Csénye</t>
  </si>
  <si>
    <t>Csengőd</t>
  </si>
  <si>
    <t>Csengerújfalu</t>
  </si>
  <si>
    <t>Csengersima</t>
  </si>
  <si>
    <t>Csenger</t>
  </si>
  <si>
    <t>Csengele</t>
  </si>
  <si>
    <t>Csempeszkopács</t>
  </si>
  <si>
    <t>Csemő</t>
  </si>
  <si>
    <t>Csém</t>
  </si>
  <si>
    <t>Csehimindszent</t>
  </si>
  <si>
    <t>Csehi</t>
  </si>
  <si>
    <t>Csehbánya</t>
  </si>
  <si>
    <t>Csegöld</t>
  </si>
  <si>
    <t>Csécse</t>
  </si>
  <si>
    <t>Csebény</t>
  </si>
  <si>
    <t>Csávoly</t>
  </si>
  <si>
    <t>Csatka</t>
  </si>
  <si>
    <t>Csataszög</t>
  </si>
  <si>
    <t>Csatár</t>
  </si>
  <si>
    <t>Csátalja</t>
  </si>
  <si>
    <t>Császló</t>
  </si>
  <si>
    <t>Császártöltés</t>
  </si>
  <si>
    <t>Császár</t>
  </si>
  <si>
    <t>Csaroda</t>
  </si>
  <si>
    <t>Csarnóta</t>
  </si>
  <si>
    <t>Csárdaszállás</t>
  </si>
  <si>
    <t>Csapod</t>
  </si>
  <si>
    <t>Csapi</t>
  </si>
  <si>
    <t>Csanytelek</t>
  </si>
  <si>
    <t>Csányoszró</t>
  </si>
  <si>
    <t>Csány</t>
  </si>
  <si>
    <t>Csánig</t>
  </si>
  <si>
    <t>Csanádpalota</t>
  </si>
  <si>
    <t>Csanádapáca</t>
  </si>
  <si>
    <t>Csanádalberti</t>
  </si>
  <si>
    <t>Csákvár</t>
  </si>
  <si>
    <t>Csákberény</t>
  </si>
  <si>
    <t>Csákánydoroszló</t>
  </si>
  <si>
    <t>Csákány</t>
  </si>
  <si>
    <t>Csajág</t>
  </si>
  <si>
    <t>Csaholc</t>
  </si>
  <si>
    <t>Csáfordjánosfa</t>
  </si>
  <si>
    <t>Csabrendek</t>
  </si>
  <si>
    <t>Csabdi</t>
  </si>
  <si>
    <t>Csabaszabadi</t>
  </si>
  <si>
    <t>Csabacsűd</t>
  </si>
  <si>
    <t>Cún</t>
  </si>
  <si>
    <t>Cirák</t>
  </si>
  <si>
    <t>Cikó</t>
  </si>
  <si>
    <t>Cigánd</t>
  </si>
  <si>
    <t>Cibakháza</t>
  </si>
  <si>
    <t>Chernelházadamonya</t>
  </si>
  <si>
    <t>Cered</t>
  </si>
  <si>
    <t>Celldömölk</t>
  </si>
  <si>
    <t>Ceglédbercel</t>
  </si>
  <si>
    <t>Cegléd</t>
  </si>
  <si>
    <t>Cégénydányád</t>
  </si>
  <si>
    <t>Cece</t>
  </si>
  <si>
    <t>Cakóháza</t>
  </si>
  <si>
    <t>Cák</t>
  </si>
  <si>
    <t>Büttös</t>
  </si>
  <si>
    <t>Büssü</t>
  </si>
  <si>
    <t>Bürüs</t>
  </si>
  <si>
    <t>Bükkzsérc</t>
  </si>
  <si>
    <t>Bükkszentmárton</t>
  </si>
  <si>
    <t>Bükkszentkereszt</t>
  </si>
  <si>
    <t>Bükkszenterzsébet</t>
  </si>
  <si>
    <t>Bükkszék</t>
  </si>
  <si>
    <t>Bükkösd</t>
  </si>
  <si>
    <t>Bükkmogyorósd</t>
  </si>
  <si>
    <t>Bükkaranyos</t>
  </si>
  <si>
    <t>Bükkábrány</t>
  </si>
  <si>
    <t>Bük</t>
  </si>
  <si>
    <t>Buzsák</t>
  </si>
  <si>
    <t>Buják</t>
  </si>
  <si>
    <t>Buj</t>
  </si>
  <si>
    <t>Bugyi</t>
  </si>
  <si>
    <t>Bugacpusztaháza</t>
  </si>
  <si>
    <t>Bugac</t>
  </si>
  <si>
    <t>Budaörs</t>
  </si>
  <si>
    <t>Budakeszi</t>
  </si>
  <si>
    <t>Budakalász</t>
  </si>
  <si>
    <t>Budajenő</t>
  </si>
  <si>
    <t>Bucsuta</t>
  </si>
  <si>
    <t>Búcsúszentlászló</t>
  </si>
  <si>
    <t>Bucsu</t>
  </si>
  <si>
    <t>Bucsa</t>
  </si>
  <si>
    <t>Bőszénfa</t>
  </si>
  <si>
    <t>Bősárkány</t>
  </si>
  <si>
    <t>Börzönce</t>
  </si>
  <si>
    <t>Börcs</t>
  </si>
  <si>
    <t>Bőny</t>
  </si>
  <si>
    <t>Bölcske</t>
  </si>
  <si>
    <t>Bököny</t>
  </si>
  <si>
    <t>Böhönye</t>
  </si>
  <si>
    <t>Bögöte</t>
  </si>
  <si>
    <t>Bögöt</t>
  </si>
  <si>
    <t>Bödeháza</t>
  </si>
  <si>
    <t>Böde</t>
  </si>
  <si>
    <t>Bőcs</t>
  </si>
  <si>
    <t>Bő</t>
  </si>
  <si>
    <t>Bózsva</t>
  </si>
  <si>
    <t>Bozsok</t>
  </si>
  <si>
    <t>Bozzai</t>
  </si>
  <si>
    <t>Botykapeterd</t>
  </si>
  <si>
    <t>Botpalád</t>
  </si>
  <si>
    <t>Bosta</t>
  </si>
  <si>
    <t>Borzavár</t>
  </si>
  <si>
    <t>Borszörcsök</t>
  </si>
  <si>
    <t>Borsosberény</t>
  </si>
  <si>
    <t>Borsodszirák</t>
  </si>
  <si>
    <t>Borsodszentgyörgy</t>
  </si>
  <si>
    <t>Borsodnádasd</t>
  </si>
  <si>
    <t>Borsodivánka</t>
  </si>
  <si>
    <t>Borsodgeszt</t>
  </si>
  <si>
    <t>Borsodbóta</t>
  </si>
  <si>
    <t>Borsfa</t>
  </si>
  <si>
    <t>Borota</t>
  </si>
  <si>
    <t>Borjád</t>
  </si>
  <si>
    <t>Borgáta</t>
  </si>
  <si>
    <t>Bordány</t>
  </si>
  <si>
    <t>Bonnya</t>
  </si>
  <si>
    <t>Bonyhádvarasd</t>
  </si>
  <si>
    <t>Bonyhád</t>
  </si>
  <si>
    <t>Boncodfölde</t>
  </si>
  <si>
    <t>Bóly</t>
  </si>
  <si>
    <t>Bolhó</t>
  </si>
  <si>
    <t>Bolhás</t>
  </si>
  <si>
    <t>Boldva</t>
  </si>
  <si>
    <t>Boldogkőváralja</t>
  </si>
  <si>
    <t>Boldogkőújfalu</t>
  </si>
  <si>
    <t>Boldogasszonyfa</t>
  </si>
  <si>
    <t>Boldog</t>
  </si>
  <si>
    <t>Bokor</t>
  </si>
  <si>
    <t>Bokod</t>
  </si>
  <si>
    <t>Bókaháza</t>
  </si>
  <si>
    <t>Bojt</t>
  </si>
  <si>
    <t>Bogyoszló</t>
  </si>
  <si>
    <t>Bogyiszló</t>
  </si>
  <si>
    <t>Bogdása</t>
  </si>
  <si>
    <t>Bogádmindszent</t>
  </si>
  <si>
    <t>Bogád</t>
  </si>
  <si>
    <t>Bogács</t>
  </si>
  <si>
    <t>Bódvaszilas</t>
  </si>
  <si>
    <t>Bódvarákó</t>
  </si>
  <si>
    <t>Bódvalenke</t>
  </si>
  <si>
    <t>Bodrogolaszi</t>
  </si>
  <si>
    <t>Bodrogkisfalud</t>
  </si>
  <si>
    <t>Bodrogkeresztúr</t>
  </si>
  <si>
    <t>Bodroghalom</t>
  </si>
  <si>
    <t>Bodrog</t>
  </si>
  <si>
    <t>Bodorfa</t>
  </si>
  <si>
    <t>Bodony</t>
  </si>
  <si>
    <t>Bodonhely</t>
  </si>
  <si>
    <t>Bodolyabér</t>
  </si>
  <si>
    <t>Bodmér</t>
  </si>
  <si>
    <t>Bodajk</t>
  </si>
  <si>
    <t>Boda</t>
  </si>
  <si>
    <t>Bocskaikert</t>
  </si>
  <si>
    <t>Bocska</t>
  </si>
  <si>
    <t>Bócsa</t>
  </si>
  <si>
    <t>Boconád</t>
  </si>
  <si>
    <t>Bocfölde</t>
  </si>
  <si>
    <t>Boba</t>
  </si>
  <si>
    <t>Bisse</t>
  </si>
  <si>
    <t>Birján</t>
  </si>
  <si>
    <t>Biri</t>
  </si>
  <si>
    <t>Bikal</t>
  </si>
  <si>
    <t>Bikács</t>
  </si>
  <si>
    <t>Biharugra</t>
  </si>
  <si>
    <t>Bihartorda</t>
  </si>
  <si>
    <t>Biharnagybajom</t>
  </si>
  <si>
    <t>Biharkeresztes</t>
  </si>
  <si>
    <t>Bihardancsháza</t>
  </si>
  <si>
    <t>Bicske</t>
  </si>
  <si>
    <t>Bicsérd</t>
  </si>
  <si>
    <t>Biatorbágy</t>
  </si>
  <si>
    <t>Bezi</t>
  </si>
  <si>
    <t>Bezeréd</t>
  </si>
  <si>
    <t>Bezenye</t>
  </si>
  <si>
    <t>Bezedek</t>
  </si>
  <si>
    <t>Beszterec</t>
  </si>
  <si>
    <t>Besnyő</t>
  </si>
  <si>
    <t>Besenyszög</t>
  </si>
  <si>
    <t>Besenyőtelek</t>
  </si>
  <si>
    <t>Besenyőd</t>
  </si>
  <si>
    <t>Besence</t>
  </si>
  <si>
    <t>Berzence</t>
  </si>
  <si>
    <t>Berzék</t>
  </si>
  <si>
    <t>Bernecebaráti</t>
  </si>
  <si>
    <t>Berkesz</t>
  </si>
  <si>
    <t>Berkesd</t>
  </si>
  <si>
    <t>Berkenye</t>
  </si>
  <si>
    <t>Berhida</t>
  </si>
  <si>
    <t>Berettyóújfalu</t>
  </si>
  <si>
    <t>Beret</t>
  </si>
  <si>
    <t>Berente</t>
  </si>
  <si>
    <t>Beremend</t>
  </si>
  <si>
    <t>Berekfürdő</t>
  </si>
  <si>
    <t>Berekböszörmény</t>
  </si>
  <si>
    <t>Beregsurány</t>
  </si>
  <si>
    <t>Beregdaróc</t>
  </si>
  <si>
    <t>Bercel</t>
  </si>
  <si>
    <t>Bérbaltavár</t>
  </si>
  <si>
    <t>Bér</t>
  </si>
  <si>
    <t>Bénye</t>
  </si>
  <si>
    <t>Benk</t>
  </si>
  <si>
    <t>Belvárdgyula</t>
  </si>
  <si>
    <t>Belsősárd</t>
  </si>
  <si>
    <t>Beloiannisz</t>
  </si>
  <si>
    <t>Bélmegyer</t>
  </si>
  <si>
    <t>Belezna</t>
  </si>
  <si>
    <t>Beleg</t>
  </si>
  <si>
    <t>Beled</t>
  </si>
  <si>
    <t>Belecska</t>
  </si>
  <si>
    <t>Bélavár</t>
  </si>
  <si>
    <t>Bélapátfalva</t>
  </si>
  <si>
    <t>Bekölce</t>
  </si>
  <si>
    <t>Békésszentandrás</t>
  </si>
  <si>
    <t>Békéssámson</t>
  </si>
  <si>
    <t>Békéscsaba</t>
  </si>
  <si>
    <t>Békés</t>
  </si>
  <si>
    <t>Bekecs</t>
  </si>
  <si>
    <t>Békás</t>
  </si>
  <si>
    <t>Bejcgyertyános</t>
  </si>
  <si>
    <t>Bedő</t>
  </si>
  <si>
    <t>Bedegkér</t>
  </si>
  <si>
    <t>Becsvölgye</t>
  </si>
  <si>
    <t>Becskeháza</t>
  </si>
  <si>
    <t>Becske</t>
  </si>
  <si>
    <t>Becsehely</t>
  </si>
  <si>
    <t>Béb</t>
  </si>
  <si>
    <t>Bazsi</t>
  </si>
  <si>
    <t>Bázakerettye</t>
  </si>
  <si>
    <t>Batyk</t>
  </si>
  <si>
    <t>Bátya</t>
  </si>
  <si>
    <t>Battonya</t>
  </si>
  <si>
    <t>Bátorliget</t>
  </si>
  <si>
    <t>Bátor</t>
  </si>
  <si>
    <t>Bátonyterenye</t>
  </si>
  <si>
    <t>Bátmonostor</t>
  </si>
  <si>
    <t>Baté</t>
  </si>
  <si>
    <t>Bátaszék</t>
  </si>
  <si>
    <t>Bátaapáti</t>
  </si>
  <si>
    <t>Báta</t>
  </si>
  <si>
    <t>Baskó</t>
  </si>
  <si>
    <t>Basal</t>
  </si>
  <si>
    <t>Bársonyos</t>
  </si>
  <si>
    <t>Barnag</t>
  </si>
  <si>
    <t>Bárna</t>
  </si>
  <si>
    <t>Barlahida</t>
  </si>
  <si>
    <t>Bárdudvarnok</t>
  </si>
  <si>
    <t>Barcs</t>
  </si>
  <si>
    <t>Barbacs</t>
  </si>
  <si>
    <t>Baranyaszentgyörgy</t>
  </si>
  <si>
    <t>Baranyajenő</t>
  </si>
  <si>
    <t>Baranyahídvég</t>
  </si>
  <si>
    <t>Báránd</t>
  </si>
  <si>
    <t>Baracska</t>
  </si>
  <si>
    <t>Baracs</t>
  </si>
  <si>
    <t>Barabás</t>
  </si>
  <si>
    <t>Bár</t>
  </si>
  <si>
    <t>Bánréve</t>
  </si>
  <si>
    <t>Bánokszentgyörgy</t>
  </si>
  <si>
    <t>Bánk</t>
  </si>
  <si>
    <t>Bánhorváti</t>
  </si>
  <si>
    <t>Bánfa</t>
  </si>
  <si>
    <t>Bánd</t>
  </si>
  <si>
    <t>Bana</t>
  </si>
  <si>
    <t>Bálványos</t>
  </si>
  <si>
    <t>Balsa</t>
  </si>
  <si>
    <t>Balotaszállás</t>
  </si>
  <si>
    <t>Balogunyom</t>
  </si>
  <si>
    <t>Balmazújváros</t>
  </si>
  <si>
    <t>Ballószög</t>
  </si>
  <si>
    <t>Balkány</t>
  </si>
  <si>
    <t>Balinka</t>
  </si>
  <si>
    <t>Balatonvilágos</t>
  </si>
  <si>
    <t>Balatonújlak</t>
  </si>
  <si>
    <t>Balatonudvari</t>
  </si>
  <si>
    <t>Balatonszőlős</t>
  </si>
  <si>
    <t>Balatonszepezd</t>
  </si>
  <si>
    <t>Balatonszentgyörgy</t>
  </si>
  <si>
    <t>Balatonszemes</t>
  </si>
  <si>
    <t>Balatonszárszó</t>
  </si>
  <si>
    <t>Balatonszabadi</t>
  </si>
  <si>
    <t>Balatonrendes</t>
  </si>
  <si>
    <t>Balatonőszöd</t>
  </si>
  <si>
    <t>Balatonmáriafürdő</t>
  </si>
  <si>
    <t>Balatonmagyaród</t>
  </si>
  <si>
    <t>Balatonlelle</t>
  </si>
  <si>
    <t>Balatonkeresztúr</t>
  </si>
  <si>
    <t>Balatonkenese</t>
  </si>
  <si>
    <t>Balatonhenye</t>
  </si>
  <si>
    <t>Balatongyörök</t>
  </si>
  <si>
    <t>Balatonfűzfő</t>
  </si>
  <si>
    <t>Balatonfüred</t>
  </si>
  <si>
    <t>Balatonföldvár</t>
  </si>
  <si>
    <t>Balatonfőkajár</t>
  </si>
  <si>
    <t>Balatonfenyves</t>
  </si>
  <si>
    <t>Balatonendréd</t>
  </si>
  <si>
    <t>Balatonederics</t>
  </si>
  <si>
    <t>Balatoncsicsó</t>
  </si>
  <si>
    <t>Balatonboglár</t>
  </si>
  <si>
    <t>Balatonberény</t>
  </si>
  <si>
    <t>Balatonalmádi</t>
  </si>
  <si>
    <t>Balatonakarattya</t>
  </si>
  <si>
    <t>Balatonakali</t>
  </si>
  <si>
    <t>Balaton</t>
  </si>
  <si>
    <t>Balástya</t>
  </si>
  <si>
    <t>Balassagyarmat</t>
  </si>
  <si>
    <t>Balajt</t>
  </si>
  <si>
    <t>Baktüttös</t>
  </si>
  <si>
    <t>Baktalórántháza</t>
  </si>
  <si>
    <t>Baktakék</t>
  </si>
  <si>
    <t>Baksa</t>
  </si>
  <si>
    <t>Baks</t>
  </si>
  <si>
    <t>Bakonytamási</t>
  </si>
  <si>
    <t>Bakonyszücs</t>
  </si>
  <si>
    <t>Bakonyszombathely</t>
  </si>
  <si>
    <t>Bakonyszentlászló</t>
  </si>
  <si>
    <t>Bakonyszentkirály</t>
  </si>
  <si>
    <t>Bakonyszentiván</t>
  </si>
  <si>
    <t>Bakonysárkány</t>
  </si>
  <si>
    <t>Bakonyság</t>
  </si>
  <si>
    <t>Bakonypölöske</t>
  </si>
  <si>
    <t>Bakonypéterd</t>
  </si>
  <si>
    <t>Bakonyoszlop</t>
  </si>
  <si>
    <t>Bakonynána</t>
  </si>
  <si>
    <t>Bakonykúti</t>
  </si>
  <si>
    <t>Bakonykoppány</t>
  </si>
  <si>
    <t>Bakonyjákó</t>
  </si>
  <si>
    <t>Bakonygyirót</t>
  </si>
  <si>
    <t>Bakonycsernye</t>
  </si>
  <si>
    <t>Bakonybél</t>
  </si>
  <si>
    <t>Bakonybánk</t>
  </si>
  <si>
    <t>Bakonya</t>
  </si>
  <si>
    <t>Bakonszeg</t>
  </si>
  <si>
    <t>Bakóca</t>
  </si>
  <si>
    <t>Bakháza</t>
  </si>
  <si>
    <t>Bak</t>
  </si>
  <si>
    <t>Bajót</t>
  </si>
  <si>
    <t>Bajna</t>
  </si>
  <si>
    <t>Bajánsenye</t>
  </si>
  <si>
    <t>Baja</t>
  </si>
  <si>
    <t>Baj</t>
  </si>
  <si>
    <t>Bágyogszovát</t>
  </si>
  <si>
    <t>Bagod</t>
  </si>
  <si>
    <t>Baglad</t>
  </si>
  <si>
    <t>Bagamér</t>
  </si>
  <si>
    <t>Bag</t>
  </si>
  <si>
    <t>Badacsonytördemic</t>
  </si>
  <si>
    <t>Badacsonytomaj</t>
  </si>
  <si>
    <t>Bácsszőlős</t>
  </si>
  <si>
    <t>Bácsszentgyörgy</t>
  </si>
  <si>
    <t>Bácsborsód</t>
  </si>
  <si>
    <t>Bácsbokod</t>
  </si>
  <si>
    <t>Bácsalmás</t>
  </si>
  <si>
    <t>Babót</t>
  </si>
  <si>
    <t>Babosdöbréte</t>
  </si>
  <si>
    <t>Bábonymegyer</t>
  </si>
  <si>
    <t>Bábolna</t>
  </si>
  <si>
    <t>Babócsa</t>
  </si>
  <si>
    <t>Babarcszőlős</t>
  </si>
  <si>
    <t>Babarc</t>
  </si>
  <si>
    <t>Attala</t>
  </si>
  <si>
    <t>Atkár</t>
  </si>
  <si>
    <t>Átány</t>
  </si>
  <si>
    <t>Áta</t>
  </si>
  <si>
    <t>Aszófő</t>
  </si>
  <si>
    <t>Aszód</t>
  </si>
  <si>
    <t>Ászár</t>
  </si>
  <si>
    <t>Aszaló</t>
  </si>
  <si>
    <t>Ásványráró</t>
  </si>
  <si>
    <t>Ásotthalom</t>
  </si>
  <si>
    <t>Ártánd</t>
  </si>
  <si>
    <t>Árpás</t>
  </si>
  <si>
    <t>Árpádhalom</t>
  </si>
  <si>
    <t>Ároktő</t>
  </si>
  <si>
    <t>Arnót</t>
  </si>
  <si>
    <t>Arló</t>
  </si>
  <si>
    <t>Arka</t>
  </si>
  <si>
    <t>Aranyosgadány</t>
  </si>
  <si>
    <t>Aranyosapáti</t>
  </si>
  <si>
    <t>Apostag</t>
  </si>
  <si>
    <t>Áporka</t>
  </si>
  <si>
    <t>Apc</t>
  </si>
  <si>
    <t>Apátvarasd</t>
  </si>
  <si>
    <t>Apátistvánfalva</t>
  </si>
  <si>
    <t>Apátfalva</t>
  </si>
  <si>
    <t>Aparhant</t>
  </si>
  <si>
    <t>Apaj</t>
  </si>
  <si>
    <t>Apagy</t>
  </si>
  <si>
    <t>Apácatorna</t>
  </si>
  <si>
    <t>Annavölgy</t>
  </si>
  <si>
    <t>Andrásfa</t>
  </si>
  <si>
    <t>Andornaktálya</t>
  </si>
  <si>
    <t>Andocs</t>
  </si>
  <si>
    <t>Anarcs</t>
  </si>
  <si>
    <t>Ambrózfalva</t>
  </si>
  <si>
    <t>Alsózsolca</t>
  </si>
  <si>
    <t>Alsóvadász</t>
  </si>
  <si>
    <t>Alsóújlak</t>
  </si>
  <si>
    <t>Alsótold</t>
  </si>
  <si>
    <t>Alsótelekes</t>
  </si>
  <si>
    <t>Alsószuha</t>
  </si>
  <si>
    <t>Alsószölnök</t>
  </si>
  <si>
    <t>Alsószentmárton</t>
  </si>
  <si>
    <t>Alsószentiván</t>
  </si>
  <si>
    <t>Alsószenterzsébet</t>
  </si>
  <si>
    <t>Alsóregmec</t>
  </si>
  <si>
    <t>Alsórajk</t>
  </si>
  <si>
    <t>Alsópetény</t>
  </si>
  <si>
    <t>Alsópáhok</t>
  </si>
  <si>
    <t>Alsóörs</t>
  </si>
  <si>
    <t>Alsónyék</t>
  </si>
  <si>
    <t>Alsónemesapáti</t>
  </si>
  <si>
    <t>Alsónémedi</t>
  </si>
  <si>
    <t>Alsónána</t>
  </si>
  <si>
    <t>Alsómocsolád</t>
  </si>
  <si>
    <t>Alsógagy</t>
  </si>
  <si>
    <t>Alsódobsza</t>
  </si>
  <si>
    <t>Alsóbogát</t>
  </si>
  <si>
    <t>Alsóberecki</t>
  </si>
  <si>
    <t>Álmosd</t>
  </si>
  <si>
    <t>Almáskeresztúr</t>
  </si>
  <si>
    <t>Almáskamarás</t>
  </si>
  <si>
    <t>Almásháza</t>
  </si>
  <si>
    <t>Almásfüzitő</t>
  </si>
  <si>
    <t>Almamellék</t>
  </si>
  <si>
    <t>Alibánfa</t>
  </si>
  <si>
    <t>Algyő</t>
  </si>
  <si>
    <t>Aldebrő</t>
  </si>
  <si>
    <t>Alcsútdoboz</t>
  </si>
  <si>
    <t>Albertirsa</t>
  </si>
  <si>
    <t>Alattyán</t>
  </si>
  <si>
    <t>Alap</t>
  </si>
  <si>
    <t>Alacska</t>
  </si>
  <si>
    <t>Akasztó</t>
  </si>
  <si>
    <t>Aka</t>
  </si>
  <si>
    <t>Ajka</t>
  </si>
  <si>
    <t>Ajak</t>
  </si>
  <si>
    <t>Agyagosszergény</t>
  </si>
  <si>
    <t>Aggtelek</t>
  </si>
  <si>
    <t>Ágfalva</t>
  </si>
  <si>
    <t>Ágasegyháza</t>
  </si>
  <si>
    <t>Ág</t>
  </si>
  <si>
    <t>Adorjás</t>
  </si>
  <si>
    <t>Adorjánháza</t>
  </si>
  <si>
    <t>Adony</t>
  </si>
  <si>
    <t>Adásztevel</t>
  </si>
  <si>
    <t>Ádánd</t>
  </si>
  <si>
    <t>Adács</t>
  </si>
  <si>
    <t>Ácsteszér</t>
  </si>
  <si>
    <t>Acsalag</t>
  </si>
  <si>
    <t>Acsád</t>
  </si>
  <si>
    <t>Acsa</t>
  </si>
  <si>
    <t>Ács</t>
  </si>
  <si>
    <t>Ábrahámhegy</t>
  </si>
  <si>
    <t>Abony</t>
  </si>
  <si>
    <t>Abod</t>
  </si>
  <si>
    <t>Abda</t>
  </si>
  <si>
    <t>Abaújvár</t>
  </si>
  <si>
    <t>Abaújszolnok</t>
  </si>
  <si>
    <t>Abaújszántó</t>
  </si>
  <si>
    <t>Abaújlak</t>
  </si>
  <si>
    <t>Abaújkér</t>
  </si>
  <si>
    <t>Abaújalpár</t>
  </si>
  <si>
    <t>Abasár</t>
  </si>
  <si>
    <t>Abaliget</t>
  </si>
  <si>
    <t>Abádszalók</t>
  </si>
  <si>
    <t>Aba</t>
  </si>
  <si>
    <t>Lakó-népesség</t>
  </si>
  <si>
    <t>Település</t>
  </si>
  <si>
    <t>Decilis</t>
  </si>
  <si>
    <t>HI</t>
  </si>
  <si>
    <t>V</t>
  </si>
  <si>
    <t>Casco</t>
  </si>
  <si>
    <t>Kötelező</t>
  </si>
  <si>
    <t>Összefüggés</t>
  </si>
  <si>
    <t>Képlet</t>
  </si>
  <si>
    <t>Herfindahl index:</t>
  </si>
  <si>
    <t>G</t>
  </si>
  <si>
    <t>F</t>
  </si>
  <si>
    <t>E</t>
  </si>
  <si>
    <t>D</t>
  </si>
  <si>
    <t>C</t>
  </si>
  <si>
    <t>B</t>
  </si>
  <si>
    <t>A</t>
  </si>
  <si>
    <t>Biztosító</t>
  </si>
  <si>
    <t>Egy évben egy országban a kötelező és Casco gépjármű-biztosítással foglalkozó biztosítók piaci részesedése százalékban (díjbevételek, nemzeti valuta alapján) az alábbi (mindkét típussal hét cég foglalkozik):</t>
  </si>
  <si>
    <t>Árbevétel</t>
  </si>
  <si>
    <t>Foglalkoztatottak</t>
  </si>
  <si>
    <r>
      <t>g'</t>
    </r>
    <r>
      <rPr>
        <b/>
        <vertAlign val="subscript"/>
        <sz val="10"/>
        <color indexed="9"/>
        <rFont val="Arial"/>
        <family val="2"/>
        <charset val="238"/>
      </rPr>
      <t>i</t>
    </r>
  </si>
  <si>
    <r>
      <t>z'</t>
    </r>
    <r>
      <rPr>
        <b/>
        <vertAlign val="subscript"/>
        <sz val="10"/>
        <color indexed="9"/>
        <rFont val="Arial"/>
        <family val="2"/>
        <charset val="238"/>
      </rPr>
      <t>i</t>
    </r>
  </si>
  <si>
    <t>51 -100</t>
  </si>
  <si>
    <t>41 - 50</t>
  </si>
  <si>
    <t>31 - 40</t>
  </si>
  <si>
    <t>21 - 30</t>
  </si>
  <si>
    <t>11 - 20</t>
  </si>
  <si>
    <t xml:space="preserve">    - 10</t>
  </si>
  <si>
    <t>Foglalkoztatottak 
száma (fő)</t>
  </si>
  <si>
    <r>
      <t>z</t>
    </r>
    <r>
      <rPr>
        <b/>
        <vertAlign val="subscript"/>
        <sz val="10"/>
        <color indexed="9"/>
        <rFont val="Arial"/>
        <family val="2"/>
        <charset val="238"/>
      </rPr>
      <t>i</t>
    </r>
  </si>
  <si>
    <t>Hasonlítsa össze a létszám és árbevétel szerinti koncentrációt Lorenz-görbe segítségével, a létszám szerinti kategóriák alapján!</t>
  </si>
  <si>
    <t>Árbevétel 
(millió Ft)</t>
  </si>
  <si>
    <t>Összes foglal-koztatott (fő)</t>
  </si>
  <si>
    <t>Vállalatok száma</t>
  </si>
  <si>
    <t>Egy ágazatban 100 vállalat működik. A vállalatok megoszlása a foglalkoztatottak száma szerint, illetve ezen vállalatok árbevétele foglalkoztatási kategóriánként a következő:</t>
  </si>
  <si>
    <t>Tizedek</t>
  </si>
  <si>
    <t>Kumulált</t>
  </si>
  <si>
    <t>Jellemezze Lorenz-görbével a jövedelmi egyenlőtlenségek változását!</t>
  </si>
  <si>
    <t>Magyarországon az egy főre jutó személyes nettó jövedelmek alapján képzett népességtizedek az összes személyes jövedelem alábbi részarányával (%) rendelkeznek:
1977: 
4,5;   6,3;   7,3;   8,1;   8,9;   9,8;   10,8;   12,0;   13,7;   18,6
1995:
3,3;   5,0;   6,2;   7,2;   8,2;   9,1;   10,2;   11,7;   14,1;   25,0
2010:
1,8;  4,2;   5,8;   7,1;   7,5;   8,2;   9,4;   11,5;   14,9;   29,6</t>
  </si>
  <si>
    <t xml:space="preserve">Értékesített </t>
  </si>
  <si>
    <t xml:space="preserve">Nyomott </t>
  </si>
  <si>
    <t>Értékesített</t>
  </si>
  <si>
    <t>Nyomott</t>
  </si>
  <si>
    <t>Kumulált relatív értékösszeg</t>
  </si>
  <si>
    <t>Rendezett relatív értékösszeg</t>
  </si>
  <si>
    <t>i</t>
  </si>
  <si>
    <t>Lorenz-görbe:</t>
  </si>
  <si>
    <t>Népszava</t>
  </si>
  <si>
    <t>Népszabadság</t>
  </si>
  <si>
    <t>Nemzeti Sport</t>
  </si>
  <si>
    <t>Metropol</t>
  </si>
  <si>
    <t>Magyar Nemzet</t>
  </si>
  <si>
    <t>Magyar Hírlap</t>
  </si>
  <si>
    <t>Értékesített (%)</t>
  </si>
  <si>
    <t>Nyomott (%)</t>
  </si>
  <si>
    <t>Bors</t>
  </si>
  <si>
    <t>Blikk</t>
  </si>
  <si>
    <t>Segédtáblázattal:</t>
  </si>
  <si>
    <t>Direkt képlettel:</t>
  </si>
  <si>
    <t>Megnevezés</t>
  </si>
  <si>
    <t>"Értékesített" részesedés szerinti rendezettség:</t>
  </si>
  <si>
    <t>"Nyomott" részesedés szerinti rendezettség:</t>
  </si>
  <si>
    <t>Részesedések:</t>
  </si>
  <si>
    <t>Az országos napilapok Magyar Terjesztés-Ellenőrző Szövetség (MATESZ) által jegyzett nyomott és értékesített példányszáma 2011. IV. negyedévében a következő volt:</t>
  </si>
  <si>
    <t>Gázszolgáltatók Herfindahl-index</t>
  </si>
  <si>
    <t>Áramszolgáltatók Herfindahl-index</t>
  </si>
  <si>
    <t>Dél-dunántúli Gázszolgáltató Zrt.</t>
  </si>
  <si>
    <t>Közép-dunántúli Gázszolgáltató Zrt.</t>
  </si>
  <si>
    <t>Észak-dunántúli Gázszolgáltató Zrt.</t>
  </si>
  <si>
    <t>Dél-alföldi Gázszolgáltató Zrt.</t>
  </si>
  <si>
    <t>Fővárosi Gázművek Zrt.</t>
  </si>
  <si>
    <t>Tiszántúli Gázszolgáltató Zrt.</t>
  </si>
  <si>
    <r>
      <t>Lakosságnak értéke-sített gáz (millió m</t>
    </r>
    <r>
      <rPr>
        <b/>
        <vertAlign val="superscript"/>
        <sz val="10"/>
        <color indexed="9"/>
        <rFont val="Arial CE"/>
        <charset val="238"/>
      </rPr>
      <t>3</t>
    </r>
    <r>
      <rPr>
        <b/>
        <sz val="10"/>
        <color indexed="9"/>
        <rFont val="Arial CE"/>
        <charset val="238"/>
      </rPr>
      <t>)</t>
    </r>
  </si>
  <si>
    <t>Gázszolgáltatók</t>
  </si>
  <si>
    <t>ÉMÁSZ Hálózati Kft.</t>
  </si>
  <si>
    <t>E.ON Tiszántúli Áramszolgáltató Zrt.</t>
  </si>
  <si>
    <t>E.ON Észak-dunántúli Áramszolgáltató Zrt.</t>
  </si>
  <si>
    <t>E.ON Dél-dunántúli Áramszolgáltató Zrt.</t>
  </si>
  <si>
    <t>DÉMÁSZ Hálózati Elosztó Kft.</t>
  </si>
  <si>
    <t>ELMŰ Hálózati kft.</t>
  </si>
  <si>
    <t>Kisfeszültségen kiadott energia (GWh)</t>
  </si>
  <si>
    <t>Áramszolgáltatók</t>
  </si>
  <si>
    <t>Hasonlítsa össze az energiaszektor két területén a koncentrációt a Herfindahl-index segítségével!</t>
  </si>
  <si>
    <t>2010-ben az áramszolgáltatók elosztói- és a gázszolgáltatók által szolgáltatott energia jellemző adatai a következők voltak:</t>
  </si>
  <si>
    <r>
      <t>Z'</t>
    </r>
    <r>
      <rPr>
        <b/>
        <vertAlign val="subscript"/>
        <sz val="10"/>
        <color indexed="9"/>
        <rFont val="Arial"/>
        <family val="2"/>
      </rPr>
      <t>i</t>
    </r>
  </si>
  <si>
    <r>
      <t>Z</t>
    </r>
    <r>
      <rPr>
        <b/>
        <vertAlign val="subscript"/>
        <sz val="10"/>
        <color indexed="9"/>
        <rFont val="Arial"/>
        <family val="2"/>
      </rPr>
      <t>i</t>
    </r>
  </si>
  <si>
    <r>
      <t>S</t>
    </r>
    <r>
      <rPr>
        <b/>
        <vertAlign val="subscript"/>
        <sz val="10"/>
        <color indexed="9"/>
        <rFont val="Arial"/>
        <family val="2"/>
      </rPr>
      <t>i</t>
    </r>
  </si>
  <si>
    <r>
      <t>g'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</si>
  <si>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g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</si>
  <si>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</si>
  <si>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t>Osztályköz</t>
  </si>
  <si>
    <r>
      <t>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</si>
  <si>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Becsült S</t>
    </r>
    <r>
      <rPr>
        <b/>
        <vertAlign val="subscript"/>
        <sz val="10"/>
        <color indexed="9"/>
        <rFont val="Arial"/>
        <family val="2"/>
      </rPr>
      <t>i</t>
    </r>
  </si>
  <si>
    <r>
      <t xml:space="preserve">Hasonlítsa össze a napilapok nyomott és értékesített példányszámának koncentrációját 
</t>
    </r>
    <r>
      <rPr>
        <sz val="10"/>
        <color theme="0" tint="-0.499984740745262"/>
        <rFont val="Arial"/>
        <family val="2"/>
      </rPr>
      <t xml:space="preserve">a) a koncentrációs arányszám, </t>
    </r>
    <r>
      <rPr>
        <sz val="10"/>
        <rFont val="Arial"/>
        <family val="2"/>
        <charset val="238"/>
      </rPr>
      <t xml:space="preserve">
b) a Herfindahl-index, 
c) a Lorenz-görbe
segítségével!</t>
    </r>
  </si>
  <si>
    <t>Terület</t>
  </si>
  <si>
    <t>L</t>
  </si>
  <si>
    <r>
      <t>g'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(%)</t>
    </r>
  </si>
  <si>
    <r>
      <t>Z'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(%)</t>
    </r>
  </si>
  <si>
    <t>Átlagpont</t>
  </si>
  <si>
    <t>Medián</t>
  </si>
  <si>
    <r>
      <t>Z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</si>
  <si>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Becsült Z'</t>
    </r>
    <r>
      <rPr>
        <b/>
        <vertAlign val="subscript"/>
        <sz val="10"/>
        <color indexed="9"/>
        <rFont val="Arial"/>
        <family val="2"/>
      </rPr>
      <t>i</t>
    </r>
  </si>
  <si>
    <r>
      <t>Becsült S'</t>
    </r>
    <r>
      <rPr>
        <b/>
        <vertAlign val="subscript"/>
        <sz val="10"/>
        <color indexed="9"/>
        <rFont val="Arial"/>
        <family val="2"/>
      </rPr>
      <t>i</t>
    </r>
  </si>
  <si>
    <r>
      <t>Becsült Z</t>
    </r>
    <r>
      <rPr>
        <b/>
        <vertAlign val="subscript"/>
        <sz val="10"/>
        <color indexed="9"/>
        <rFont val="Arial"/>
        <family val="2"/>
      </rPr>
      <t>i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</si>
  <si>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/ h</t>
    </r>
    <r>
      <rPr>
        <b/>
        <vertAlign val="subscript"/>
        <sz val="10"/>
        <color rgb="FFFFFFFF"/>
        <rFont val="Arial"/>
        <family val="2"/>
      </rPr>
      <t>i</t>
    </r>
  </si>
  <si>
    <r>
      <t>h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</si>
  <si>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</si>
  <si>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t>A lenti táblázatban a saját jogon járó öregségi nyugdíjban részesülők száma (fő) látható a teljes ellátás havi összege (Ft) szerinti bontásban 2024. januárjában, valamint a mennyiségi sorok és a hisztogram képe az előző tanórák számításai alapján, de a 300 ezer Ft feletti nyugdíjakat 100 ezer Ft hosszúságú osztályközökbe összevonva.</t>
  </si>
  <si>
    <t>Fizetési kategória (eFt)</t>
  </si>
  <si>
    <t>Fizetés (eFt)</t>
  </si>
  <si>
    <t>ID</t>
  </si>
  <si>
    <t>Az lenti táblázatban a Stack Overflow programozóknak szóló közösségi oldal éves kérdőíve 2018-2022 közötti magyar kitöltőinek havi bruttó fizetéseit találjuk forintban (2022.12.31-i árfolyamok szerint).
(Az adatokat kigyűjtötte és tisztította Vastag Emese.)</t>
  </si>
  <si>
    <t>A kérdőívet kitöltő magyar programozók körében az átlagfizetés 3110 eFt, ennél kisebb fizetéssel bír a programozók 72,4%-a (messze nem a mediánja!). Az átlagnál kisebb fizetésű programozók birtokolják az összes vizsgált programozó összes havi fizetésének 22,7%-kát.</t>
  </si>
  <si>
    <t>Az MNB kimutatása alapján a magyar háztartások pénzügyi vagyona (készpénzben, részvényben, kötvényben, stb. tartott vagyon) alapján képzett háztartástizedek az összes pénzügyi vagyon alábbi táblázatban látható részarányával (%) rendelkeznek.</t>
  </si>
  <si>
    <t>A nyugdíjasok szegényebb felének a kifizetett nyugdíjösszeg kevesebb, mint 35%-a jut, miközben a nyugdíjasok legjobban "kereső" 10%-a az összes kifizetett nyugdíjösszegnek a 20%-át kapja. A koncentráció mérsékelt mértékű.</t>
  </si>
  <si>
    <t>A gyakorisági sorok felhasználásával mutassuk be a nyugdíjak koncentrációját!</t>
  </si>
  <si>
    <t xml:space="preserve">A lenti táblázat Magyarország településeinek 2025. január 1-jei lakosságszámát tartalmazza (Budapest kerületeivel szerepel benne). </t>
  </si>
  <si>
    <t>Budapest 23. ker.</t>
  </si>
  <si>
    <t>Budapest 05. ker.</t>
  </si>
  <si>
    <t>Budapest 01. ker.</t>
  </si>
  <si>
    <t>Budapest 06. ker.</t>
  </si>
  <si>
    <t>Budapest 07. ker.</t>
  </si>
  <si>
    <t>Budapest 12. ker.</t>
  </si>
  <si>
    <t>Budapest 22. ker.</t>
  </si>
  <si>
    <t>Budapest 19. ker.</t>
  </si>
  <si>
    <t>Budapest 09. ker.</t>
  </si>
  <si>
    <t>Budapest 20. ker.</t>
  </si>
  <si>
    <t>Budapest 21. ker.</t>
  </si>
  <si>
    <t>Budapest 08. ker.</t>
  </si>
  <si>
    <t>Budapest 16. ker.</t>
  </si>
  <si>
    <t>Budapest 10. ker.</t>
  </si>
  <si>
    <t>Budapest 15. ker.</t>
  </si>
  <si>
    <t>Budapest 17. ker.</t>
  </si>
  <si>
    <t>Budapest 02. ker.</t>
  </si>
  <si>
    <t>Budapest 04. ker.</t>
  </si>
  <si>
    <t>Budapest 18. ker.</t>
  </si>
  <si>
    <t>Budapest 14. ker.</t>
  </si>
  <si>
    <t>Budapest 13. ker.</t>
  </si>
  <si>
    <t>Budapest 03. ker.</t>
  </si>
  <si>
    <t>Budapest 11. ker.</t>
  </si>
  <si>
    <t>a) Készítse el a decilisek alapján a Lorenz görbét! Határozza meg a koncentrációs együtthatót!
b) Készítse el a Lorenz-görbét az eredeti adatokkal is! Határozza meg és értelmezze az átlagpontot!</t>
  </si>
  <si>
    <r>
      <t>Hasonlítsa össze a kötelező és Casco biztosítással foglalkozó biztosítók piaci részesedésének koncentrációját
a) a koncentrációs arányszám (CR</t>
    </r>
    <r>
      <rPr>
        <vertAlign val="subscript"/>
        <sz val="10"/>
        <rFont val="Arial"/>
        <family val="2"/>
        <charset val="238"/>
      </rPr>
      <t>4</t>
    </r>
    <r>
      <rPr>
        <sz val="10"/>
        <rFont val="Arial"/>
        <family val="2"/>
        <charset val="238"/>
      </rPr>
      <t>);
b) a Herfindahl-index;
alapján!</t>
    </r>
  </si>
  <si>
    <t>CR4</t>
  </si>
  <si>
    <t>H</t>
  </si>
  <si>
    <t xml:space="preserve">a) Készítse el a decilisek alapján a Lorenz görbét! Határozza meg a Gini-féle koncentrációs együtthatót!
b) Készítse el a Lorenz-görbét az eredeti adatokkal is! Határozza meg és adja meg a Robin Hood-index értékét! Értelmezze ezeket! </t>
  </si>
  <si>
    <t xml:space="preserve">Az átlag-népesség a településeken 3003 fő, ennél kisebb lélekszámú a települések 84,8 %-a (messze nem a mediánja!). Ezekben a népesség 23,9%-a él. 
A Robin Hood-index azt jelenti, hogy a 3003 fő alatti kistelepülések együttes lakossága 61 százalékponttal marad el attól a népességaránytól, ami a települések számából adódóan egyenlő eloszlás mellett megilletné őket. A teljes magyar lakosság 61%-át kellene elköltöztetni a nagy településekről az átlag alatti lélekszámú kistelepülésekre ahhoz, hogy minden magyar településen pontosan ugyanannyian lakjanak (azaz megszűnjön a koncentráció).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</si>
</sst>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"/>
    <numFmt numFmtId="166" formatCode="0.0%"/>
    <numFmt numFmtId="167" formatCode="#,##0.000"/>
    <numFmt numFmtId="168" formatCode="#,##0.0"/>
    <numFmt numFmtId="169" formatCode="0.0000"/>
    <numFmt numFmtId="170" formatCode="0.000%"/>
    <numFmt numFmtId="171" formatCode="0.0000%"/>
  </numFmts>
  <fonts count="41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b/>
      <sz val="10"/>
      <name val="Arial CE"/>
      <charset val="238"/>
    </font>
    <font>
      <b/>
      <sz val="10"/>
      <color indexed="9"/>
      <name val="Arial"/>
      <family val="2"/>
      <charset val="238"/>
    </font>
    <font>
      <b/>
      <sz val="10"/>
      <color indexed="9"/>
      <name val="Arial CE"/>
      <charset val="238"/>
    </font>
    <font>
      <sz val="10"/>
      <name val="Arial"/>
      <family val="2"/>
    </font>
    <font>
      <b/>
      <vertAlign val="subscript"/>
      <sz val="10"/>
      <color indexed="9"/>
      <name val="Arial CE"/>
      <charset val="238"/>
    </font>
    <font>
      <sz val="8"/>
      <color indexed="81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  <charset val="238"/>
    </font>
    <font>
      <b/>
      <vertAlign val="subscript"/>
      <sz val="10"/>
      <color indexed="9"/>
      <name val="Arial"/>
      <family val="2"/>
      <charset val="238"/>
    </font>
    <font>
      <b/>
      <sz val="10"/>
      <name val="Arial"/>
      <family val="2"/>
      <charset val="238"/>
    </font>
    <font>
      <sz val="12"/>
      <name val="Garamond"/>
      <family val="1"/>
      <charset val="238"/>
    </font>
    <font>
      <sz val="10"/>
      <color indexed="21"/>
      <name val="Arial"/>
      <family val="2"/>
      <charset val="238"/>
    </font>
    <font>
      <sz val="10"/>
      <color indexed="57"/>
      <name val="Arial"/>
      <family val="2"/>
      <charset val="238"/>
    </font>
    <font>
      <b/>
      <sz val="10"/>
      <color indexed="21"/>
      <name val="Arial"/>
      <family val="2"/>
      <charset val="238"/>
    </font>
    <font>
      <b/>
      <vertAlign val="superscript"/>
      <sz val="10"/>
      <color indexed="9"/>
      <name val="Arial CE"/>
      <charset val="238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vertAlign val="subscript"/>
      <sz val="10"/>
      <color indexed="9"/>
      <name val="Arial"/>
      <family val="2"/>
    </font>
    <font>
      <sz val="9"/>
      <color indexed="81"/>
      <name val="Tahoma"/>
      <family val="2"/>
    </font>
    <font>
      <sz val="10"/>
      <color theme="4"/>
      <name val="Arial"/>
      <family val="2"/>
    </font>
    <font>
      <sz val="10"/>
      <color theme="0" tint="-0.499984740745262"/>
      <name val="Arial"/>
      <family val="2"/>
    </font>
    <font>
      <b/>
      <vertAlign val="subscript"/>
      <sz val="10"/>
      <color rgb="FFFFFFFF"/>
      <name val="Arial"/>
      <family val="2"/>
    </font>
    <font>
      <sz val="10"/>
      <color theme="1" tint="0.34998626667073579"/>
      <name val="Arial"/>
      <family val="2"/>
    </font>
    <font>
      <sz val="11"/>
      <color theme="1"/>
      <name val="Calibri"/>
      <family val="2"/>
      <scheme val="minor"/>
    </font>
    <font>
      <vertAlign val="subscript"/>
      <sz val="10"/>
      <name val="Arial"/>
      <family val="2"/>
      <charset val="238"/>
    </font>
    <font>
      <sz val="10"/>
      <color rgb="FF4F81BD"/>
      <name val="Arial"/>
      <family val="2"/>
      <charset val="238"/>
    </font>
    <font>
      <sz val="9"/>
      <color indexed="81"/>
      <name val="Tahoma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7"/>
      </right>
      <top style="medium">
        <color indexed="57"/>
      </top>
      <bottom style="medium">
        <color indexed="57"/>
      </bottom>
      <diagonal/>
    </border>
    <border>
      <left/>
      <right/>
      <top style="medium">
        <color indexed="57"/>
      </top>
      <bottom style="medium">
        <color indexed="57"/>
      </bottom>
      <diagonal/>
    </border>
    <border>
      <left style="thin">
        <color indexed="57"/>
      </left>
      <right/>
      <top style="medium">
        <color indexed="57"/>
      </top>
      <bottom style="medium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/>
      <right/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/>
      <right style="thin">
        <color rgb="FF4F81BD"/>
      </right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 style="thin">
        <color rgb="FF4F81BD"/>
      </left>
      <right/>
      <top style="medium">
        <color rgb="FF4F81BD"/>
      </top>
      <bottom style="medium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theme="0"/>
      </bottom>
      <diagonal/>
    </border>
  </borders>
  <cellStyleXfs count="20">
    <xf numFmtId="0" fontId="0" fillId="0" borderId="0"/>
    <xf numFmtId="9" fontId="10" fillId="0" borderId="0" applyFont="0" applyFill="0" applyBorder="0" applyAlignment="0" applyProtection="0"/>
    <xf numFmtId="0" fontId="8" fillId="0" borderId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37" fillId="0" borderId="0"/>
    <xf numFmtId="0" fontId="10" fillId="0" borderId="0"/>
    <xf numFmtId="0" fontId="2" fillId="0" borderId="0"/>
    <xf numFmtId="0" fontId="2" fillId="0" borderId="0"/>
    <xf numFmtId="0" fontId="1" fillId="0" borderId="0"/>
  </cellStyleXfs>
  <cellXfs count="306">
    <xf numFmtId="0" fontId="0" fillId="0" borderId="0" xfId="0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2" fillId="0" borderId="0" xfId="0" applyFont="1"/>
    <xf numFmtId="0" fontId="0" fillId="0" borderId="0" xfId="0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20" fillId="5" borderId="32" xfId="4" applyFont="1" applyFill="1" applyBorder="1" applyAlignment="1">
      <alignment horizontal="center" vertical="center" wrapText="1"/>
    </xf>
    <xf numFmtId="3" fontId="15" fillId="0" borderId="7" xfId="4" applyNumberFormat="1" applyFont="1" applyBorder="1" applyAlignment="1">
      <alignment horizontal="center"/>
    </xf>
    <xf numFmtId="0" fontId="9" fillId="0" borderId="0" xfId="6"/>
    <xf numFmtId="164" fontId="15" fillId="0" borderId="28" xfId="0" applyNumberFormat="1" applyFont="1" applyBorder="1" applyAlignment="1">
      <alignment horizontal="center"/>
    </xf>
    <xf numFmtId="0" fontId="14" fillId="3" borderId="35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167" fontId="11" fillId="0" borderId="8" xfId="6" applyNumberFormat="1" applyFont="1" applyBorder="1" applyAlignment="1">
      <alignment horizontal="center" vertical="center"/>
    </xf>
    <xf numFmtId="0" fontId="18" fillId="0" borderId="9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4" fillId="3" borderId="15" xfId="0" applyFont="1" applyFill="1" applyBorder="1" applyAlignment="1">
      <alignment horizontal="center" vertical="center" wrapText="1"/>
    </xf>
    <xf numFmtId="167" fontId="18" fillId="0" borderId="37" xfId="6" applyNumberFormat="1" applyFont="1" applyBorder="1" applyAlignment="1">
      <alignment horizontal="center" vertical="center"/>
    </xf>
    <xf numFmtId="0" fontId="21" fillId="0" borderId="37" xfId="6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14" fillId="2" borderId="39" xfId="0" applyFont="1" applyFill="1" applyBorder="1" applyAlignment="1">
      <alignment horizontal="center" vertical="center" wrapText="1"/>
    </xf>
    <xf numFmtId="0" fontId="9" fillId="0" borderId="0" xfId="7"/>
    <xf numFmtId="0" fontId="18" fillId="0" borderId="0" xfId="7" applyFont="1"/>
    <xf numFmtId="164" fontId="18" fillId="0" borderId="8" xfId="7" applyNumberFormat="1" applyFont="1" applyBorder="1" applyAlignment="1">
      <alignment horizontal="center"/>
    </xf>
    <xf numFmtId="0" fontId="14" fillId="3" borderId="39" xfId="0" applyFont="1" applyFill="1" applyBorder="1" applyAlignment="1">
      <alignment horizontal="center" vertical="center" wrapText="1"/>
    </xf>
    <xf numFmtId="164" fontId="18" fillId="0" borderId="37" xfId="7" applyNumberFormat="1" applyFont="1" applyBorder="1" applyAlignment="1">
      <alignment horizontal="center"/>
    </xf>
    <xf numFmtId="164" fontId="11" fillId="0" borderId="37" xfId="6" applyNumberFormat="1" applyFont="1" applyBorder="1" applyAlignment="1">
      <alignment horizontal="center" vertical="center"/>
    </xf>
    <xf numFmtId="165" fontId="23" fillId="0" borderId="37" xfId="6" applyNumberFormat="1" applyFont="1" applyBorder="1" applyAlignment="1">
      <alignment horizontal="center" vertical="center"/>
    </xf>
    <xf numFmtId="164" fontId="18" fillId="0" borderId="10" xfId="7" applyNumberFormat="1" applyFont="1" applyBorder="1" applyAlignment="1">
      <alignment horizontal="center"/>
    </xf>
    <xf numFmtId="164" fontId="11" fillId="0" borderId="10" xfId="6" applyNumberFormat="1" applyFont="1" applyBorder="1" applyAlignment="1">
      <alignment horizontal="center" vertical="center"/>
    </xf>
    <xf numFmtId="165" fontId="11" fillId="0" borderId="10" xfId="6" quotePrefix="1" applyNumberFormat="1" applyFont="1" applyBorder="1" applyAlignment="1">
      <alignment horizontal="center" vertical="center"/>
    </xf>
    <xf numFmtId="164" fontId="18" fillId="0" borderId="9" xfId="7" applyNumberFormat="1" applyFont="1" applyBorder="1" applyAlignment="1">
      <alignment horizontal="center"/>
    </xf>
    <xf numFmtId="164" fontId="11" fillId="0" borderId="8" xfId="6" applyNumberFormat="1" applyFont="1" applyBorder="1" applyAlignment="1">
      <alignment horizontal="center" vertical="center"/>
    </xf>
    <xf numFmtId="165" fontId="11" fillId="0" borderId="8" xfId="6" quotePrefix="1" applyNumberFormat="1" applyFont="1" applyBorder="1" applyAlignment="1">
      <alignment horizontal="center" vertical="center"/>
    </xf>
    <xf numFmtId="164" fontId="11" fillId="0" borderId="9" xfId="6" applyNumberFormat="1" applyFont="1" applyBorder="1" applyAlignment="1">
      <alignment horizontal="center" vertical="center"/>
    </xf>
    <xf numFmtId="165" fontId="11" fillId="0" borderId="9" xfId="6" quotePrefix="1" applyNumberFormat="1" applyFont="1" applyBorder="1" applyAlignment="1">
      <alignment horizontal="center" vertical="center"/>
    </xf>
    <xf numFmtId="3" fontId="11" fillId="0" borderId="37" xfId="6" applyNumberFormat="1" applyFont="1" applyBorder="1" applyAlignment="1">
      <alignment horizontal="right" vertical="center" indent="3"/>
    </xf>
    <xf numFmtId="1" fontId="11" fillId="0" borderId="37" xfId="6" applyNumberFormat="1" applyFont="1" applyBorder="1" applyAlignment="1">
      <alignment horizontal="right" vertical="center" indent="4"/>
    </xf>
    <xf numFmtId="3" fontId="11" fillId="0" borderId="10" xfId="6" applyNumberFormat="1" applyFont="1" applyBorder="1" applyAlignment="1">
      <alignment horizontal="right" vertical="center" indent="3"/>
    </xf>
    <xf numFmtId="1" fontId="11" fillId="0" borderId="10" xfId="6" applyNumberFormat="1" applyFont="1" applyBorder="1" applyAlignment="1">
      <alignment horizontal="right" vertical="center" indent="4"/>
    </xf>
    <xf numFmtId="3" fontId="11" fillId="0" borderId="8" xfId="6" applyNumberFormat="1" applyFont="1" applyBorder="1" applyAlignment="1">
      <alignment horizontal="right" vertical="center" indent="3"/>
    </xf>
    <xf numFmtId="1" fontId="11" fillId="0" borderId="8" xfId="6" applyNumberFormat="1" applyFont="1" applyBorder="1" applyAlignment="1">
      <alignment horizontal="right" vertical="center" indent="4"/>
    </xf>
    <xf numFmtId="3" fontId="11" fillId="0" borderId="9" xfId="6" applyNumberFormat="1" applyFont="1" applyBorder="1" applyAlignment="1">
      <alignment horizontal="right" vertical="center" indent="3"/>
    </xf>
    <xf numFmtId="1" fontId="11" fillId="0" borderId="9" xfId="6" applyNumberFormat="1" applyFont="1" applyBorder="1" applyAlignment="1">
      <alignment horizontal="right" vertical="center" indent="4"/>
    </xf>
    <xf numFmtId="0" fontId="24" fillId="0" borderId="0" xfId="0" applyFont="1" applyAlignment="1">
      <alignment horizontal="justify"/>
    </xf>
    <xf numFmtId="165" fontId="0" fillId="0" borderId="9" xfId="0" applyNumberFormat="1" applyBorder="1" applyAlignment="1">
      <alignment horizontal="right" indent="1"/>
    </xf>
    <xf numFmtId="1" fontId="0" fillId="0" borderId="9" xfId="0" applyNumberFormat="1" applyBorder="1" applyAlignment="1">
      <alignment horizontal="right" indent="2"/>
    </xf>
    <xf numFmtId="0" fontId="10" fillId="0" borderId="8" xfId="0" applyFont="1" applyBorder="1" applyAlignment="1">
      <alignment horizontal="right" indent="1"/>
    </xf>
    <xf numFmtId="1" fontId="10" fillId="0" borderId="8" xfId="0" applyNumberFormat="1" applyFont="1" applyBorder="1" applyAlignment="1">
      <alignment horizontal="right" indent="2"/>
    </xf>
    <xf numFmtId="0" fontId="14" fillId="3" borderId="11" xfId="0" applyFont="1" applyFill="1" applyBorder="1" applyAlignment="1">
      <alignment horizontal="center" vertical="center" wrapText="1"/>
    </xf>
    <xf numFmtId="0" fontId="18" fillId="0" borderId="37" xfId="6" applyFont="1" applyBorder="1" applyAlignment="1">
      <alignment horizontal="center"/>
    </xf>
    <xf numFmtId="165" fontId="25" fillId="0" borderId="10" xfId="6" applyNumberFormat="1" applyFont="1" applyBorder="1" applyAlignment="1">
      <alignment horizontal="center"/>
    </xf>
    <xf numFmtId="165" fontId="25" fillId="0" borderId="9" xfId="6" applyNumberFormat="1" applyFont="1" applyBorder="1" applyAlignment="1">
      <alignment horizontal="center"/>
    </xf>
    <xf numFmtId="165" fontId="25" fillId="0" borderId="8" xfId="6" applyNumberFormat="1" applyFont="1" applyBorder="1" applyAlignment="1">
      <alignment horizontal="center"/>
    </xf>
    <xf numFmtId="0" fontId="9" fillId="0" borderId="0" xfId="8"/>
    <xf numFmtId="167" fontId="11" fillId="0" borderId="8" xfId="8" applyNumberFormat="1" applyFont="1" applyBorder="1" applyAlignment="1">
      <alignment horizontal="right" vertical="center" indent="3"/>
    </xf>
    <xf numFmtId="164" fontId="18" fillId="0" borderId="8" xfId="8" applyNumberFormat="1" applyFont="1" applyBorder="1" applyAlignment="1">
      <alignment horizontal="center"/>
    </xf>
    <xf numFmtId="164" fontId="18" fillId="0" borderId="0" xfId="8" applyNumberFormat="1" applyFont="1" applyAlignment="1">
      <alignment horizontal="center"/>
    </xf>
    <xf numFmtId="0" fontId="18" fillId="0" borderId="9" xfId="8" applyFont="1" applyBorder="1" applyAlignment="1">
      <alignment horizontal="center"/>
    </xf>
    <xf numFmtId="0" fontId="18" fillId="0" borderId="8" xfId="8" applyFont="1" applyBorder="1" applyAlignment="1">
      <alignment horizontal="center"/>
    </xf>
    <xf numFmtId="0" fontId="21" fillId="0" borderId="0" xfId="8" applyFont="1" applyAlignment="1">
      <alignment horizontal="center"/>
    </xf>
    <xf numFmtId="167" fontId="18" fillId="0" borderId="37" xfId="8" applyNumberFormat="1" applyFont="1" applyBorder="1" applyAlignment="1">
      <alignment horizontal="center" vertical="center"/>
    </xf>
    <xf numFmtId="0" fontId="14" fillId="3" borderId="37" xfId="0" applyFont="1" applyFill="1" applyBorder="1" applyAlignment="1">
      <alignment horizontal="left" vertical="center" wrapText="1" indent="1"/>
    </xf>
    <xf numFmtId="167" fontId="11" fillId="0" borderId="16" xfId="8" applyNumberFormat="1" applyFont="1" applyBorder="1" applyAlignment="1">
      <alignment horizontal="center" vertical="center"/>
    </xf>
    <xf numFmtId="0" fontId="18" fillId="0" borderId="10" xfId="8" applyFont="1" applyBorder="1" applyAlignment="1">
      <alignment horizontal="left" vertical="center" indent="1"/>
    </xf>
    <xf numFmtId="167" fontId="11" fillId="0" borderId="8" xfId="8" applyNumberFormat="1" applyFont="1" applyBorder="1" applyAlignment="1">
      <alignment horizontal="center" vertical="center"/>
    </xf>
    <xf numFmtId="0" fontId="18" fillId="0" borderId="9" xfId="8" applyFont="1" applyBorder="1" applyAlignment="1">
      <alignment horizontal="left" vertical="center" indent="1"/>
    </xf>
    <xf numFmtId="167" fontId="18" fillId="0" borderId="37" xfId="8" applyNumberFormat="1" applyFont="1" applyBorder="1" applyAlignment="1">
      <alignment horizontal="right" vertical="center" indent="3"/>
    </xf>
    <xf numFmtId="0" fontId="14" fillId="3" borderId="28" xfId="0" applyFont="1" applyFill="1" applyBorder="1" applyAlignment="1">
      <alignment horizontal="left" vertical="center" wrapText="1" indent="1"/>
    </xf>
    <xf numFmtId="0" fontId="13" fillId="3" borderId="38" xfId="0" applyFont="1" applyFill="1" applyBorder="1" applyAlignment="1">
      <alignment horizontal="left" indent="1"/>
    </xf>
    <xf numFmtId="0" fontId="13" fillId="3" borderId="4" xfId="0" applyFont="1" applyFill="1" applyBorder="1" applyAlignment="1">
      <alignment horizontal="left" indent="1"/>
    </xf>
    <xf numFmtId="0" fontId="13" fillId="3" borderId="5" xfId="0" applyFont="1" applyFill="1" applyBorder="1" applyAlignment="1">
      <alignment horizontal="left" indent="1"/>
    </xf>
    <xf numFmtId="0" fontId="14" fillId="7" borderId="22" xfId="0" applyFont="1" applyFill="1" applyBorder="1" applyAlignment="1">
      <alignment horizontal="left" vertical="center" wrapText="1" indent="1"/>
    </xf>
    <xf numFmtId="0" fontId="18" fillId="0" borderId="8" xfId="8" applyFont="1" applyBorder="1" applyAlignment="1">
      <alignment horizontal="left" vertical="center" indent="1"/>
    </xf>
    <xf numFmtId="164" fontId="18" fillId="0" borderId="28" xfId="8" applyNumberFormat="1" applyFont="1" applyBorder="1" applyAlignment="1">
      <alignment horizontal="center"/>
    </xf>
    <xf numFmtId="0" fontId="14" fillId="7" borderId="39" xfId="0" applyFont="1" applyFill="1" applyBorder="1" applyAlignment="1">
      <alignment horizontal="center" vertical="center" wrapText="1"/>
    </xf>
    <xf numFmtId="168" fontId="11" fillId="0" borderId="8" xfId="8" applyNumberFormat="1" applyFont="1" applyBorder="1" applyAlignment="1">
      <alignment horizontal="right" vertical="center" indent="3"/>
    </xf>
    <xf numFmtId="0" fontId="18" fillId="0" borderId="0" xfId="8" applyFont="1"/>
    <xf numFmtId="0" fontId="14" fillId="7" borderId="39" xfId="0" applyFont="1" applyFill="1" applyBorder="1" applyAlignment="1">
      <alignment horizontal="left" vertical="center" wrapText="1" indent="1"/>
    </xf>
    <xf numFmtId="3" fontId="18" fillId="0" borderId="37" xfId="8" applyNumberFormat="1" applyFont="1" applyBorder="1" applyAlignment="1">
      <alignment horizontal="right" vertical="center" indent="3"/>
    </xf>
    <xf numFmtId="0" fontId="21" fillId="0" borderId="37" xfId="8" applyFont="1" applyBorder="1" applyAlignment="1">
      <alignment horizontal="left" vertical="center" indent="1"/>
    </xf>
    <xf numFmtId="0" fontId="26" fillId="0" borderId="10" xfId="8" applyFont="1" applyBorder="1" applyAlignment="1">
      <alignment horizontal="left" vertical="center" indent="1"/>
    </xf>
    <xf numFmtId="0" fontId="26" fillId="0" borderId="9" xfId="8" applyFont="1" applyBorder="1" applyAlignment="1">
      <alignment horizontal="left" vertical="center" indent="1"/>
    </xf>
    <xf numFmtId="0" fontId="26" fillId="0" borderId="8" xfId="8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3" fontId="18" fillId="0" borderId="37" xfId="8" applyNumberFormat="1" applyFont="1" applyBorder="1" applyAlignment="1">
      <alignment horizontal="right" vertical="center" indent="2"/>
    </xf>
    <xf numFmtId="3" fontId="11" fillId="0" borderId="10" xfId="8" applyNumberFormat="1" applyFont="1" applyBorder="1" applyAlignment="1">
      <alignment horizontal="right" vertical="center" indent="2"/>
    </xf>
    <xf numFmtId="3" fontId="11" fillId="0" borderId="9" xfId="8" applyNumberFormat="1" applyFont="1" applyBorder="1" applyAlignment="1">
      <alignment horizontal="right" vertical="center" indent="2"/>
    </xf>
    <xf numFmtId="3" fontId="11" fillId="0" borderId="8" xfId="8" applyNumberFormat="1" applyFont="1" applyBorder="1" applyAlignment="1">
      <alignment horizontal="right" vertical="center" indent="2"/>
    </xf>
    <xf numFmtId="0" fontId="14" fillId="7" borderId="35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14" fillId="3" borderId="6" xfId="0" applyFont="1" applyFill="1" applyBorder="1" applyAlignment="1">
      <alignment horizontal="left" vertical="center" wrapText="1"/>
    </xf>
    <xf numFmtId="0" fontId="14" fillId="3" borderId="44" xfId="0" applyFont="1" applyFill="1" applyBorder="1" applyAlignment="1">
      <alignment horizontal="left" vertical="center" wrapText="1"/>
    </xf>
    <xf numFmtId="3" fontId="25" fillId="0" borderId="37" xfId="8" applyNumberFormat="1" applyFont="1" applyBorder="1" applyAlignment="1">
      <alignment horizontal="right" vertical="center" indent="4"/>
    </xf>
    <xf numFmtId="0" fontId="27" fillId="0" borderId="37" xfId="8" applyFont="1" applyBorder="1" applyAlignment="1">
      <alignment horizontal="left"/>
    </xf>
    <xf numFmtId="3" fontId="25" fillId="0" borderId="8" xfId="8" applyNumberFormat="1" applyFont="1" applyBorder="1" applyAlignment="1">
      <alignment horizontal="right" vertical="center" indent="4"/>
    </xf>
    <xf numFmtId="0" fontId="25" fillId="0" borderId="10" xfId="8" applyFont="1" applyBorder="1" applyAlignment="1">
      <alignment horizontal="left"/>
    </xf>
    <xf numFmtId="0" fontId="25" fillId="0" borderId="9" xfId="8" applyFont="1" applyBorder="1" applyAlignment="1">
      <alignment horizontal="left"/>
    </xf>
    <xf numFmtId="0" fontId="25" fillId="0" borderId="8" xfId="8" applyFont="1" applyBorder="1" applyAlignment="1">
      <alignment horizontal="left"/>
    </xf>
    <xf numFmtId="0" fontId="0" fillId="0" borderId="0" xfId="0" applyAlignment="1">
      <alignment horizontal="left"/>
    </xf>
    <xf numFmtId="3" fontId="18" fillId="0" borderId="37" xfId="8" applyNumberFormat="1" applyFont="1" applyBorder="1" applyAlignment="1">
      <alignment horizontal="right" vertical="center" indent="4"/>
    </xf>
    <xf numFmtId="0" fontId="21" fillId="0" borderId="37" xfId="8" applyFont="1" applyBorder="1" applyAlignment="1">
      <alignment horizontal="left"/>
    </xf>
    <xf numFmtId="3" fontId="11" fillId="0" borderId="8" xfId="8" applyNumberFormat="1" applyFont="1" applyBorder="1" applyAlignment="1">
      <alignment horizontal="right" vertical="center" indent="4"/>
    </xf>
    <xf numFmtId="0" fontId="18" fillId="0" borderId="10" xfId="8" applyFont="1" applyBorder="1" applyAlignment="1">
      <alignment horizontal="left"/>
    </xf>
    <xf numFmtId="0" fontId="18" fillId="0" borderId="9" xfId="8" applyFont="1" applyBorder="1" applyAlignment="1">
      <alignment horizontal="left"/>
    </xf>
    <xf numFmtId="0" fontId="18" fillId="0" borderId="8" xfId="8" applyFont="1" applyBorder="1" applyAlignment="1">
      <alignment horizontal="left"/>
    </xf>
    <xf numFmtId="0" fontId="14" fillId="2" borderId="35" xfId="0" applyFont="1" applyFill="1" applyBorder="1" applyAlignment="1">
      <alignment horizontal="center" vertical="center" wrapText="1"/>
    </xf>
    <xf numFmtId="0" fontId="21" fillId="0" borderId="37" xfId="8" applyFont="1" applyBorder="1" applyAlignment="1">
      <alignment horizontal="center"/>
    </xf>
    <xf numFmtId="3" fontId="15" fillId="0" borderId="9" xfId="4" applyNumberFormat="1" applyFont="1" applyBorder="1" applyAlignment="1">
      <alignment horizontal="right" vertical="center" indent="1"/>
    </xf>
    <xf numFmtId="0" fontId="15" fillId="0" borderId="9" xfId="4" applyFont="1" applyBorder="1" applyAlignment="1">
      <alignment vertical="center"/>
    </xf>
    <xf numFmtId="0" fontId="15" fillId="0" borderId="0" xfId="4" applyFont="1"/>
    <xf numFmtId="1" fontId="15" fillId="0" borderId="0" xfId="4" applyNumberFormat="1" applyFont="1" applyAlignment="1">
      <alignment horizontal="left"/>
    </xf>
    <xf numFmtId="166" fontId="15" fillId="4" borderId="8" xfId="5" applyNumberFormat="1" applyFont="1" applyFill="1" applyBorder="1" applyAlignment="1">
      <alignment horizontal="right" vertical="center" indent="1"/>
    </xf>
    <xf numFmtId="3" fontId="15" fillId="4" borderId="9" xfId="4" applyNumberFormat="1" applyFont="1" applyFill="1" applyBorder="1" applyAlignment="1">
      <alignment horizontal="right" vertical="center" indent="1"/>
    </xf>
    <xf numFmtId="3" fontId="15" fillId="4" borderId="8" xfId="4" applyNumberFormat="1" applyFont="1" applyFill="1" applyBorder="1" applyAlignment="1">
      <alignment horizontal="right" vertical="center" indent="1"/>
    </xf>
    <xf numFmtId="3" fontId="15" fillId="0" borderId="8" xfId="4" applyNumberFormat="1" applyFont="1" applyBorder="1" applyAlignment="1">
      <alignment horizontal="right" vertical="center" indent="1"/>
    </xf>
    <xf numFmtId="0" fontId="15" fillId="0" borderId="8" xfId="4" applyFont="1" applyBorder="1" applyAlignment="1">
      <alignment vertical="center"/>
    </xf>
    <xf numFmtId="3" fontId="33" fillId="4" borderId="8" xfId="4" applyNumberFormat="1" applyFont="1" applyFill="1" applyBorder="1" applyAlignment="1">
      <alignment horizontal="right" vertical="center" indent="1"/>
    </xf>
    <xf numFmtId="3" fontId="33" fillId="4" borderId="9" xfId="4" applyNumberFormat="1" applyFont="1" applyFill="1" applyBorder="1" applyAlignment="1">
      <alignment horizontal="right" vertical="center" indent="1"/>
    </xf>
    <xf numFmtId="0" fontId="15" fillId="0" borderId="0" xfId="3" applyFont="1" applyAlignment="1">
      <alignment vertical="center"/>
    </xf>
    <xf numFmtId="0" fontId="15" fillId="0" borderId="1" xfId="3" applyFont="1" applyBorder="1" applyAlignment="1">
      <alignment horizontal="left" vertical="center" wrapText="1"/>
    </xf>
    <xf numFmtId="0" fontId="15" fillId="0" borderId="1" xfId="3" applyFont="1" applyBorder="1" applyAlignment="1">
      <alignment vertical="center"/>
    </xf>
    <xf numFmtId="0" fontId="30" fillId="6" borderId="2" xfId="4" applyFont="1" applyFill="1" applyBorder="1" applyAlignment="1">
      <alignment horizontal="center" vertical="center" wrapText="1"/>
    </xf>
    <xf numFmtId="0" fontId="30" fillId="3" borderId="2" xfId="4" applyFont="1" applyFill="1" applyBorder="1" applyAlignment="1">
      <alignment horizontal="center" vertical="center" wrapText="1"/>
    </xf>
    <xf numFmtId="0" fontId="30" fillId="3" borderId="3" xfId="4" applyFont="1" applyFill="1" applyBorder="1" applyAlignment="1">
      <alignment horizontal="center" vertical="center" wrapText="1"/>
    </xf>
    <xf numFmtId="3" fontId="15" fillId="0" borderId="8" xfId="4" applyNumberFormat="1" applyFont="1" applyBorder="1" applyAlignment="1">
      <alignment horizontal="center"/>
    </xf>
    <xf numFmtId="3" fontId="15" fillId="0" borderId="9" xfId="4" applyNumberFormat="1" applyFont="1" applyBorder="1" applyAlignment="1">
      <alignment horizontal="center"/>
    </xf>
    <xf numFmtId="3" fontId="15" fillId="0" borderId="10" xfId="4" applyNumberFormat="1" applyFont="1" applyBorder="1" applyAlignment="1">
      <alignment horizontal="center"/>
    </xf>
    <xf numFmtId="3" fontId="15" fillId="0" borderId="17" xfId="4" applyNumberFormat="1" applyFont="1" applyBorder="1" applyAlignment="1">
      <alignment horizontal="center"/>
    </xf>
    <xf numFmtId="0" fontId="30" fillId="3" borderId="39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166" fontId="15" fillId="4" borderId="8" xfId="1" applyNumberFormat="1" applyFont="1" applyFill="1" applyBorder="1" applyAlignment="1">
      <alignment horizontal="center" vertical="center"/>
    </xf>
    <xf numFmtId="166" fontId="15" fillId="4" borderId="9" xfId="1" applyNumberFormat="1" applyFont="1" applyFill="1" applyBorder="1" applyAlignment="1">
      <alignment horizontal="center" vertical="center"/>
    </xf>
    <xf numFmtId="166" fontId="15" fillId="8" borderId="37" xfId="1" applyNumberFormat="1" applyFont="1" applyFill="1" applyBorder="1" applyAlignment="1">
      <alignment horizontal="center" vertical="center" wrapText="1"/>
    </xf>
    <xf numFmtId="169" fontId="15" fillId="0" borderId="0" xfId="4" applyNumberFormat="1" applyFont="1"/>
    <xf numFmtId="0" fontId="19" fillId="0" borderId="0" xfId="3" applyFont="1"/>
    <xf numFmtId="169" fontId="19" fillId="0" borderId="8" xfId="3" applyNumberFormat="1" applyFont="1" applyBorder="1" applyAlignment="1">
      <alignment horizontal="center"/>
    </xf>
    <xf numFmtId="169" fontId="19" fillId="0" borderId="9" xfId="3" applyNumberFormat="1" applyFont="1" applyBorder="1" applyAlignment="1">
      <alignment horizontal="center"/>
    </xf>
    <xf numFmtId="0" fontId="20" fillId="5" borderId="33" xfId="4" applyFont="1" applyFill="1" applyBorder="1" applyAlignment="1">
      <alignment horizontal="center" vertical="center" wrapText="1"/>
    </xf>
    <xf numFmtId="0" fontId="20" fillId="5" borderId="34" xfId="4" applyFont="1" applyFill="1" applyBorder="1" applyAlignment="1">
      <alignment horizontal="center" vertical="center" wrapText="1"/>
    </xf>
    <xf numFmtId="170" fontId="15" fillId="0" borderId="8" xfId="1" applyNumberFormat="1" applyFont="1" applyBorder="1" applyAlignment="1">
      <alignment horizontal="right" vertical="center" indent="1"/>
    </xf>
    <xf numFmtId="171" fontId="15" fillId="0" borderId="8" xfId="1" applyNumberFormat="1" applyFont="1" applyBorder="1" applyAlignment="1">
      <alignment horizontal="right" vertical="center" indent="1"/>
    </xf>
    <xf numFmtId="0" fontId="15" fillId="0" borderId="0" xfId="3" applyFont="1" applyAlignment="1">
      <alignment horizontal="right" vertical="center"/>
    </xf>
    <xf numFmtId="0" fontId="15" fillId="0" borderId="1" xfId="3" applyFont="1" applyBorder="1" applyAlignment="1">
      <alignment horizontal="right" vertical="center" wrapText="1"/>
    </xf>
    <xf numFmtId="0" fontId="19" fillId="0" borderId="0" xfId="3" applyFont="1" applyAlignment="1">
      <alignment horizontal="right" vertical="top"/>
    </xf>
    <xf numFmtId="0" fontId="19" fillId="0" borderId="0" xfId="3" applyFont="1" applyAlignment="1">
      <alignment horizontal="right"/>
    </xf>
    <xf numFmtId="165" fontId="15" fillId="8" borderId="37" xfId="1" applyNumberFormat="1" applyFont="1" applyFill="1" applyBorder="1" applyAlignment="1">
      <alignment horizontal="center" vertical="center" wrapText="1"/>
    </xf>
    <xf numFmtId="166" fontId="15" fillId="8" borderId="28" xfId="1" applyNumberFormat="1" applyFont="1" applyFill="1" applyBorder="1" applyAlignment="1">
      <alignment horizontal="center" vertical="center" wrapText="1"/>
    </xf>
    <xf numFmtId="165" fontId="15" fillId="8" borderId="49" xfId="1" applyNumberFormat="1" applyFont="1" applyFill="1" applyBorder="1" applyAlignment="1">
      <alignment horizontal="center" vertical="center" wrapText="1"/>
    </xf>
    <xf numFmtId="0" fontId="30" fillId="3" borderId="47" xfId="0" applyFont="1" applyFill="1" applyBorder="1" applyAlignment="1">
      <alignment horizontal="left" vertical="center" wrapText="1"/>
    </xf>
    <xf numFmtId="0" fontId="30" fillId="3" borderId="50" xfId="0" applyFont="1" applyFill="1" applyBorder="1" applyAlignment="1">
      <alignment horizontal="left" vertical="center" wrapText="1"/>
    </xf>
    <xf numFmtId="0" fontId="30" fillId="3" borderId="37" xfId="0" applyFont="1" applyFill="1" applyBorder="1" applyAlignment="1">
      <alignment horizontal="left" vertical="center" wrapText="1"/>
    </xf>
    <xf numFmtId="3" fontId="34" fillId="4" borderId="8" xfId="4" applyNumberFormat="1" applyFont="1" applyFill="1" applyBorder="1" applyAlignment="1">
      <alignment horizontal="right" vertical="center" indent="1"/>
    </xf>
    <xf numFmtId="166" fontId="34" fillId="4" borderId="8" xfId="5" applyNumberFormat="1" applyFont="1" applyFill="1" applyBorder="1" applyAlignment="1">
      <alignment horizontal="right" vertical="center" indent="1"/>
    </xf>
    <xf numFmtId="3" fontId="34" fillId="4" borderId="9" xfId="4" applyNumberFormat="1" applyFont="1" applyFill="1" applyBorder="1" applyAlignment="1">
      <alignment horizontal="right" vertical="center" indent="1"/>
    </xf>
    <xf numFmtId="166" fontId="34" fillId="4" borderId="9" xfId="5" applyNumberFormat="1" applyFont="1" applyFill="1" applyBorder="1" applyAlignment="1">
      <alignment horizontal="right" vertical="center" indent="1"/>
    </xf>
    <xf numFmtId="3" fontId="34" fillId="4" borderId="7" xfId="4" applyNumberFormat="1" applyFont="1" applyFill="1" applyBorder="1" applyAlignment="1">
      <alignment horizontal="right" vertical="center" indent="1"/>
    </xf>
    <xf numFmtId="166" fontId="34" fillId="4" borderId="7" xfId="5" applyNumberFormat="1" applyFont="1" applyFill="1" applyBorder="1" applyAlignment="1">
      <alignment horizontal="right" vertical="center" indent="1"/>
    </xf>
    <xf numFmtId="166" fontId="34" fillId="4" borderId="7" xfId="4" applyNumberFormat="1" applyFont="1" applyFill="1" applyBorder="1" applyAlignment="1">
      <alignment horizontal="center" vertical="center"/>
    </xf>
    <xf numFmtId="0" fontId="34" fillId="4" borderId="7" xfId="4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 wrapText="1"/>
    </xf>
    <xf numFmtId="0" fontId="15" fillId="0" borderId="0" xfId="4" applyFont="1" applyAlignment="1">
      <alignment horizontal="right"/>
    </xf>
    <xf numFmtId="166" fontId="36" fillId="4" borderId="7" xfId="4" applyNumberFormat="1" applyFont="1" applyFill="1" applyBorder="1" applyAlignment="1">
      <alignment horizontal="center" vertical="center"/>
    </xf>
    <xf numFmtId="3" fontId="36" fillId="4" borderId="7" xfId="4" applyNumberFormat="1" applyFont="1" applyFill="1" applyBorder="1" applyAlignment="1">
      <alignment horizontal="center" vertical="center"/>
    </xf>
    <xf numFmtId="166" fontId="36" fillId="4" borderId="7" xfId="5" applyNumberFormat="1" applyFont="1" applyFill="1" applyBorder="1" applyAlignment="1">
      <alignment horizontal="right" vertical="center" indent="1"/>
    </xf>
    <xf numFmtId="3" fontId="36" fillId="4" borderId="7" xfId="4" applyNumberFormat="1" applyFont="1" applyFill="1" applyBorder="1" applyAlignment="1">
      <alignment horizontal="right" vertical="center" indent="1"/>
    </xf>
    <xf numFmtId="166" fontId="36" fillId="4" borderId="45" xfId="4" applyNumberFormat="1" applyFont="1" applyFill="1" applyBorder="1" applyAlignment="1">
      <alignment horizontal="center" vertical="center"/>
    </xf>
    <xf numFmtId="3" fontId="36" fillId="0" borderId="45" xfId="4" applyNumberFormat="1" applyFont="1" applyBorder="1" applyAlignment="1">
      <alignment horizontal="center"/>
    </xf>
    <xf numFmtId="170" fontId="36" fillId="4" borderId="7" xfId="4" applyNumberFormat="1" applyFont="1" applyFill="1" applyBorder="1" applyAlignment="1">
      <alignment horizontal="center" vertical="center"/>
    </xf>
    <xf numFmtId="170" fontId="36" fillId="4" borderId="7" xfId="5" applyNumberFormat="1" applyFont="1" applyFill="1" applyBorder="1" applyAlignment="1">
      <alignment horizontal="right" vertical="center" indent="1"/>
    </xf>
    <xf numFmtId="166" fontId="36" fillId="4" borderId="9" xfId="5" applyNumberFormat="1" applyFont="1" applyFill="1" applyBorder="1" applyAlignment="1">
      <alignment horizontal="right" vertical="center" indent="1"/>
    </xf>
    <xf numFmtId="3" fontId="36" fillId="4" borderId="9" xfId="4" applyNumberFormat="1" applyFont="1" applyFill="1" applyBorder="1" applyAlignment="1">
      <alignment horizontal="right" vertical="center" indent="1"/>
    </xf>
    <xf numFmtId="166" fontId="36" fillId="4" borderId="8" xfId="5" applyNumberFormat="1" applyFont="1" applyFill="1" applyBorder="1" applyAlignment="1">
      <alignment horizontal="right" vertical="center" indent="1"/>
    </xf>
    <xf numFmtId="3" fontId="36" fillId="4" borderId="8" xfId="5" applyNumberFormat="1" applyFont="1" applyFill="1" applyBorder="1" applyAlignment="1">
      <alignment horizontal="right" vertical="center" indent="1"/>
    </xf>
    <xf numFmtId="3" fontId="36" fillId="0" borderId="9" xfId="4" applyNumberFormat="1" applyFont="1" applyBorder="1" applyAlignment="1">
      <alignment horizontal="right" indent="1"/>
    </xf>
    <xf numFmtId="170" fontId="36" fillId="4" borderId="9" xfId="5" applyNumberFormat="1" applyFont="1" applyFill="1" applyBorder="1" applyAlignment="1">
      <alignment horizontal="right" vertical="center" indent="1"/>
    </xf>
    <xf numFmtId="166" fontId="36" fillId="0" borderId="9" xfId="5" applyNumberFormat="1" applyFont="1" applyFill="1" applyBorder="1" applyAlignment="1">
      <alignment horizontal="right" vertical="center" indent="1"/>
    </xf>
    <xf numFmtId="3" fontId="36" fillId="0" borderId="9" xfId="4" applyNumberFormat="1" applyFont="1" applyBorder="1" applyAlignment="1">
      <alignment horizontal="right" vertical="center" indent="1"/>
    </xf>
    <xf numFmtId="166" fontId="36" fillId="0" borderId="8" xfId="5" applyNumberFormat="1" applyFont="1" applyFill="1" applyBorder="1" applyAlignment="1">
      <alignment horizontal="right" vertical="center" indent="1"/>
    </xf>
    <xf numFmtId="170" fontId="36" fillId="0" borderId="9" xfId="5" applyNumberFormat="1" applyFont="1" applyFill="1" applyBorder="1" applyAlignment="1">
      <alignment horizontal="right" vertical="center" indent="1"/>
    </xf>
    <xf numFmtId="3" fontId="33" fillId="0" borderId="9" xfId="4" applyNumberFormat="1" applyFont="1" applyBorder="1" applyAlignment="1">
      <alignment horizontal="right" vertical="center" indent="1"/>
    </xf>
    <xf numFmtId="3" fontId="36" fillId="4" borderId="8" xfId="4" applyNumberFormat="1" applyFont="1" applyFill="1" applyBorder="1" applyAlignment="1">
      <alignment horizontal="right" vertical="center" indent="1"/>
    </xf>
    <xf numFmtId="3" fontId="36" fillId="0" borderId="8" xfId="4" applyNumberFormat="1" applyFont="1" applyBorder="1" applyAlignment="1">
      <alignment horizontal="right" indent="1"/>
    </xf>
    <xf numFmtId="170" fontId="36" fillId="4" borderId="8" xfId="5" applyNumberFormat="1" applyFont="1" applyFill="1" applyBorder="1" applyAlignment="1">
      <alignment horizontal="right" vertical="center" indent="1"/>
    </xf>
    <xf numFmtId="0" fontId="15" fillId="0" borderId="1" xfId="4" applyFont="1" applyBorder="1" applyAlignment="1">
      <alignment vertical="center"/>
    </xf>
    <xf numFmtId="0" fontId="15" fillId="0" borderId="1" xfId="4" applyFont="1" applyBorder="1" applyAlignment="1">
      <alignment horizontal="left" vertical="center" wrapText="1"/>
    </xf>
    <xf numFmtId="0" fontId="15" fillId="0" borderId="1" xfId="4" applyFont="1" applyBorder="1" applyAlignment="1">
      <alignment horizontal="right" vertical="center"/>
    </xf>
    <xf numFmtId="0" fontId="29" fillId="0" borderId="0" xfId="4" applyFont="1"/>
    <xf numFmtId="3" fontId="15" fillId="4" borderId="7" xfId="4" applyNumberFormat="1" applyFont="1" applyFill="1" applyBorder="1" applyAlignment="1">
      <alignment horizontal="right" vertical="center" indent="1"/>
    </xf>
    <xf numFmtId="166" fontId="15" fillId="4" borderId="7" xfId="4" applyNumberFormat="1" applyFont="1" applyFill="1" applyBorder="1" applyAlignment="1">
      <alignment horizontal="center" vertical="center"/>
    </xf>
    <xf numFmtId="167" fontId="34" fillId="4" borderId="8" xfId="5" applyNumberFormat="1" applyFont="1" applyFill="1" applyBorder="1" applyAlignment="1">
      <alignment horizontal="right" vertical="center" indent="1"/>
    </xf>
    <xf numFmtId="167" fontId="34" fillId="0" borderId="9" xfId="4" applyNumberFormat="1" applyFont="1" applyBorder="1" applyAlignment="1">
      <alignment horizontal="right" vertical="center" indent="1"/>
    </xf>
    <xf numFmtId="166" fontId="34" fillId="4" borderId="45" xfId="4" applyNumberFormat="1" applyFont="1" applyFill="1" applyBorder="1" applyAlignment="1">
      <alignment horizontal="center" vertical="center"/>
    </xf>
    <xf numFmtId="0" fontId="30" fillId="5" borderId="39" xfId="0" applyFont="1" applyFill="1" applyBorder="1" applyAlignment="1">
      <alignment horizontal="center" vertical="center" wrapText="1"/>
    </xf>
    <xf numFmtId="0" fontId="19" fillId="0" borderId="0" xfId="13" applyFont="1"/>
    <xf numFmtId="0" fontId="19" fillId="0" borderId="0" xfId="13" applyFont="1" applyAlignment="1">
      <alignment horizontal="right"/>
    </xf>
    <xf numFmtId="171" fontId="15" fillId="0" borderId="8" xfId="5" applyNumberFormat="1" applyFont="1" applyBorder="1" applyAlignment="1">
      <alignment horizontal="right" vertical="center" indent="1"/>
    </xf>
    <xf numFmtId="170" fontId="15" fillId="0" borderId="8" xfId="5" applyNumberFormat="1" applyFont="1" applyBorder="1" applyAlignment="1">
      <alignment horizontal="right" vertical="center" indent="1"/>
    </xf>
    <xf numFmtId="3" fontId="19" fillId="0" borderId="9" xfId="13" applyNumberFormat="1" applyFont="1" applyBorder="1" applyAlignment="1">
      <alignment horizontal="right" indent="1"/>
    </xf>
    <xf numFmtId="0" fontId="19" fillId="0" borderId="9" xfId="13" applyFont="1" applyBorder="1"/>
    <xf numFmtId="165" fontId="15" fillId="8" borderId="7" xfId="5" applyNumberFormat="1" applyFont="1" applyFill="1" applyBorder="1" applyAlignment="1">
      <alignment horizontal="center" vertical="center" wrapText="1"/>
    </xf>
    <xf numFmtId="0" fontId="30" fillId="3" borderId="7" xfId="4" applyFont="1" applyFill="1" applyBorder="1" applyAlignment="1">
      <alignment horizontal="left" vertical="center" wrapText="1"/>
    </xf>
    <xf numFmtId="166" fontId="15" fillId="8" borderId="7" xfId="5" applyNumberFormat="1" applyFont="1" applyFill="1" applyBorder="1" applyAlignment="1">
      <alignment horizontal="center" vertical="center" wrapText="1"/>
    </xf>
    <xf numFmtId="166" fontId="15" fillId="8" borderId="28" xfId="5" applyNumberFormat="1" applyFont="1" applyFill="1" applyBorder="1" applyAlignment="1">
      <alignment horizontal="center" vertical="center" wrapText="1"/>
    </xf>
    <xf numFmtId="0" fontId="30" fillId="3" borderId="47" xfId="4" applyFont="1" applyFill="1" applyBorder="1" applyAlignment="1">
      <alignment horizontal="left" vertical="center" wrapText="1"/>
    </xf>
    <xf numFmtId="3" fontId="15" fillId="8" borderId="60" xfId="5" applyNumberFormat="1" applyFont="1" applyFill="1" applyBorder="1" applyAlignment="1">
      <alignment horizontal="center" vertical="center" wrapText="1"/>
    </xf>
    <xf numFmtId="0" fontId="30" fillId="3" borderId="50" xfId="4" applyFont="1" applyFill="1" applyBorder="1" applyAlignment="1">
      <alignment horizontal="left" vertical="center" wrapText="1"/>
    </xf>
    <xf numFmtId="0" fontId="30" fillId="3" borderId="61" xfId="4" applyFont="1" applyFill="1" applyBorder="1" applyAlignment="1">
      <alignment horizontal="center" vertical="center" wrapText="1"/>
    </xf>
    <xf numFmtId="169" fontId="19" fillId="0" borderId="9" xfId="13" applyNumberFormat="1" applyFont="1" applyBorder="1" applyAlignment="1">
      <alignment horizontal="center"/>
    </xf>
    <xf numFmtId="166" fontId="15" fillId="4" borderId="9" xfId="5" applyNumberFormat="1" applyFont="1" applyFill="1" applyBorder="1" applyAlignment="1">
      <alignment horizontal="center" vertical="center"/>
    </xf>
    <xf numFmtId="169" fontId="19" fillId="0" borderId="8" xfId="13" applyNumberFormat="1" applyFont="1" applyBorder="1" applyAlignment="1">
      <alignment horizontal="center"/>
    </xf>
    <xf numFmtId="166" fontId="15" fillId="4" borderId="8" xfId="5" applyNumberFormat="1" applyFont="1" applyFill="1" applyBorder="1" applyAlignment="1">
      <alignment horizontal="center" vertical="center"/>
    </xf>
    <xf numFmtId="0" fontId="20" fillId="5" borderId="62" xfId="4" applyFont="1" applyFill="1" applyBorder="1" applyAlignment="1">
      <alignment horizontal="center" vertical="center" wrapText="1"/>
    </xf>
    <xf numFmtId="0" fontId="19" fillId="0" borderId="0" xfId="13" applyFont="1" applyAlignment="1">
      <alignment horizontal="right" vertical="top"/>
    </xf>
    <xf numFmtId="0" fontId="20" fillId="5" borderId="63" xfId="4" applyFont="1" applyFill="1" applyBorder="1" applyAlignment="1">
      <alignment horizontal="center" vertical="center" wrapText="1"/>
    </xf>
    <xf numFmtId="0" fontId="20" fillId="5" borderId="64" xfId="4" applyFont="1" applyFill="1" applyBorder="1" applyAlignment="1">
      <alignment horizontal="center" vertical="center" wrapText="1"/>
    </xf>
    <xf numFmtId="0" fontId="15" fillId="0" borderId="0" xfId="13" applyFont="1" applyAlignment="1">
      <alignment vertical="center"/>
    </xf>
    <xf numFmtId="0" fontId="15" fillId="0" borderId="0" xfId="13" applyFont="1" applyAlignment="1">
      <alignment horizontal="right" vertical="center"/>
    </xf>
    <xf numFmtId="0" fontId="15" fillId="0" borderId="1" xfId="13" applyFont="1" applyBorder="1" applyAlignment="1">
      <alignment vertical="center"/>
    </xf>
    <xf numFmtId="0" fontId="15" fillId="0" borderId="1" xfId="13" applyFont="1" applyBorder="1" applyAlignment="1">
      <alignment horizontal="left" vertical="center" wrapText="1"/>
    </xf>
    <xf numFmtId="0" fontId="15" fillId="0" borderId="1" xfId="13" applyFont="1" applyBorder="1" applyAlignment="1">
      <alignment horizontal="right" vertical="center" wrapText="1"/>
    </xf>
    <xf numFmtId="165" fontId="39" fillId="0" borderId="10" xfId="6" applyNumberFormat="1" applyFont="1" applyBorder="1" applyAlignment="1">
      <alignment horizontal="center"/>
    </xf>
    <xf numFmtId="165" fontId="39" fillId="0" borderId="9" xfId="6" applyNumberFormat="1" applyFont="1" applyBorder="1" applyAlignment="1">
      <alignment horizontal="center"/>
    </xf>
    <xf numFmtId="165" fontId="39" fillId="0" borderId="8" xfId="6" applyNumberFormat="1" applyFont="1" applyBorder="1" applyAlignment="1">
      <alignment horizontal="center"/>
    </xf>
    <xf numFmtId="0" fontId="14" fillId="9" borderId="3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1" xfId="0" applyFont="1" applyFill="1" applyBorder="1" applyAlignment="1">
      <alignment horizontal="center" vertical="center" wrapText="1"/>
    </xf>
    <xf numFmtId="3" fontId="19" fillId="0" borderId="8" xfId="13" applyNumberFormat="1" applyFont="1" applyBorder="1" applyAlignment="1">
      <alignment horizontal="right" indent="1"/>
    </xf>
    <xf numFmtId="0" fontId="19" fillId="0" borderId="8" xfId="13" applyFont="1" applyBorder="1"/>
    <xf numFmtId="0" fontId="15" fillId="0" borderId="8" xfId="4" applyFont="1" applyBorder="1" applyAlignment="1">
      <alignment horizontal="right" vertical="center" indent="1"/>
    </xf>
    <xf numFmtId="0" fontId="15" fillId="0" borderId="9" xfId="4" applyFont="1" applyBorder="1" applyAlignment="1">
      <alignment horizontal="right" vertical="center" indent="1"/>
    </xf>
    <xf numFmtId="0" fontId="19" fillId="0" borderId="9" xfId="13" applyFont="1" applyBorder="1" applyAlignment="1">
      <alignment horizontal="right" indent="1"/>
    </xf>
    <xf numFmtId="166" fontId="15" fillId="4" borderId="9" xfId="5" applyNumberFormat="1" applyFont="1" applyFill="1" applyBorder="1" applyAlignment="1">
      <alignment horizontal="right" vertical="center" indent="1"/>
    </xf>
    <xf numFmtId="166" fontId="15" fillId="4" borderId="7" xfId="5" applyNumberFormat="1" applyFont="1" applyFill="1" applyBorder="1" applyAlignment="1">
      <alignment horizontal="right" vertical="center" indent="1"/>
    </xf>
    <xf numFmtId="0" fontId="15" fillId="4" borderId="7" xfId="4" applyFont="1" applyFill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/>
    </xf>
    <xf numFmtId="0" fontId="14" fillId="3" borderId="68" xfId="0" applyFont="1" applyFill="1" applyBorder="1" applyAlignment="1">
      <alignment horizontal="center" vertical="center" wrapText="1"/>
    </xf>
    <xf numFmtId="0" fontId="19" fillId="0" borderId="31" xfId="13" applyFont="1" applyBorder="1" applyAlignment="1">
      <alignment horizontal="left" vertical="center" wrapText="1"/>
    </xf>
    <xf numFmtId="0" fontId="19" fillId="0" borderId="30" xfId="13" applyFont="1" applyBorder="1" applyAlignment="1">
      <alignment horizontal="left" vertical="center" wrapText="1"/>
    </xf>
    <xf numFmtId="0" fontId="19" fillId="0" borderId="29" xfId="1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30" fillId="6" borderId="33" xfId="4" applyFont="1" applyFill="1" applyBorder="1" applyAlignment="1">
      <alignment horizontal="center" vertical="center" wrapText="1"/>
    </xf>
    <xf numFmtId="0" fontId="30" fillId="6" borderId="27" xfId="4" applyFont="1" applyFill="1" applyBorder="1" applyAlignment="1">
      <alignment horizontal="center" vertical="center" wrapText="1"/>
    </xf>
    <xf numFmtId="3" fontId="29" fillId="4" borderId="13" xfId="4" applyNumberFormat="1" applyFont="1" applyFill="1" applyBorder="1" applyAlignment="1">
      <alignment horizontal="center" vertical="center"/>
    </xf>
    <xf numFmtId="3" fontId="29" fillId="4" borderId="14" xfId="4" applyNumberFormat="1" applyFont="1" applyFill="1" applyBorder="1" applyAlignment="1">
      <alignment horizontal="center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0" xfId="3" applyFont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5" fillId="0" borderId="52" xfId="4" applyFont="1" applyBorder="1" applyAlignment="1">
      <alignment horizontal="left" vertical="top" wrapText="1"/>
    </xf>
    <xf numFmtId="0" fontId="15" fillId="0" borderId="51" xfId="4" applyFont="1" applyBorder="1" applyAlignment="1">
      <alignment horizontal="left" vertical="top" wrapText="1"/>
    </xf>
    <xf numFmtId="0" fontId="15" fillId="0" borderId="53" xfId="4" applyFont="1" applyBorder="1" applyAlignment="1">
      <alignment horizontal="left" vertical="top" wrapText="1"/>
    </xf>
    <xf numFmtId="0" fontId="15" fillId="0" borderId="56" xfId="4" applyFont="1" applyBorder="1" applyAlignment="1">
      <alignment horizontal="left" vertical="top" wrapText="1"/>
    </xf>
    <xf numFmtId="0" fontId="15" fillId="0" borderId="57" xfId="4" applyFont="1" applyBorder="1" applyAlignment="1">
      <alignment horizontal="left" vertical="top" wrapText="1"/>
    </xf>
    <xf numFmtId="0" fontId="15" fillId="0" borderId="58" xfId="4" applyFont="1" applyBorder="1" applyAlignment="1">
      <alignment horizontal="left" vertical="top" wrapText="1"/>
    </xf>
    <xf numFmtId="0" fontId="15" fillId="0" borderId="31" xfId="14" applyFont="1" applyBorder="1" applyAlignment="1">
      <alignment horizontal="left" vertical="center" wrapText="1"/>
    </xf>
    <xf numFmtId="0" fontId="15" fillId="0" borderId="30" xfId="14" applyFont="1" applyBorder="1" applyAlignment="1">
      <alignment horizontal="left" vertical="center" wrapText="1"/>
    </xf>
    <xf numFmtId="0" fontId="15" fillId="0" borderId="29" xfId="14" applyFont="1" applyBorder="1" applyAlignment="1">
      <alignment horizontal="left" vertical="center" wrapText="1"/>
    </xf>
    <xf numFmtId="0" fontId="30" fillId="5" borderId="13" xfId="4" applyFont="1" applyFill="1" applyBorder="1" applyAlignment="1">
      <alignment horizontal="center" vertical="center" wrapText="1"/>
    </xf>
    <xf numFmtId="0" fontId="30" fillId="5" borderId="46" xfId="4" applyFont="1" applyFill="1" applyBorder="1" applyAlignment="1">
      <alignment horizontal="center" vertical="center" wrapText="1"/>
    </xf>
    <xf numFmtId="3" fontId="29" fillId="4" borderId="45" xfId="4" applyNumberFormat="1" applyFont="1" applyFill="1" applyBorder="1" applyAlignment="1">
      <alignment horizontal="center" vertical="center"/>
    </xf>
    <xf numFmtId="0" fontId="19" fillId="0" borderId="51" xfId="13" applyFont="1" applyBorder="1" applyAlignment="1">
      <alignment horizontal="left" vertical="center" wrapText="1"/>
    </xf>
    <xf numFmtId="0" fontId="19" fillId="0" borderId="0" xfId="13" applyFont="1" applyAlignment="1">
      <alignment horizontal="left" vertical="center" wrapText="1"/>
    </xf>
    <xf numFmtId="0" fontId="19" fillId="0" borderId="57" xfId="13" applyFont="1" applyBorder="1" applyAlignment="1">
      <alignment horizontal="left" vertical="center" wrapText="1"/>
    </xf>
    <xf numFmtId="0" fontId="14" fillId="9" borderId="22" xfId="0" applyFont="1" applyFill="1" applyBorder="1" applyAlignment="1">
      <alignment horizontal="center" vertical="center" wrapText="1"/>
    </xf>
    <xf numFmtId="0" fontId="14" fillId="9" borderId="59" xfId="0" applyFont="1" applyFill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1" fillId="0" borderId="67" xfId="0" applyFont="1" applyBorder="1" applyAlignment="1">
      <alignment horizontal="left" vertical="center" wrapText="1"/>
    </xf>
    <xf numFmtId="0" fontId="11" fillId="0" borderId="66" xfId="0" applyFont="1" applyBorder="1" applyAlignment="1">
      <alignment horizontal="left" vertical="center" wrapText="1"/>
    </xf>
    <xf numFmtId="0" fontId="11" fillId="0" borderId="65" xfId="0" applyFont="1" applyBorder="1" applyAlignment="1">
      <alignment horizontal="left" vertical="center" wrapText="1"/>
    </xf>
    <xf numFmtId="0" fontId="14" fillId="7" borderId="40" xfId="0" applyFont="1" applyFill="1" applyBorder="1" applyAlignment="1">
      <alignment horizontal="left" vertical="center" wrapText="1"/>
    </xf>
    <xf numFmtId="0" fontId="14" fillId="7" borderId="26" xfId="0" applyFont="1" applyFill="1" applyBorder="1" applyAlignment="1">
      <alignment horizontal="left" vertical="center" wrapText="1"/>
    </xf>
    <xf numFmtId="0" fontId="14" fillId="7" borderId="14" xfId="0" applyFont="1" applyFill="1" applyBorder="1" applyAlignment="1">
      <alignment horizontal="left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 wrapText="1"/>
    </xf>
    <xf numFmtId="0" fontId="14" fillId="7" borderId="48" xfId="0" applyFont="1" applyFill="1" applyBorder="1" applyAlignment="1">
      <alignment horizontal="left" vertical="center" wrapText="1"/>
    </xf>
    <xf numFmtId="0" fontId="14" fillId="7" borderId="45" xfId="0" applyFont="1" applyFill="1" applyBorder="1" applyAlignment="1">
      <alignment horizontal="left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2" fontId="15" fillId="8" borderId="37" xfId="1" applyNumberFormat="1" applyFont="1" applyFill="1" applyBorder="1" applyAlignment="1">
      <alignment horizontal="center" vertical="center" wrapText="1"/>
    </xf>
  </cellXfs>
  <cellStyles count="20">
    <cellStyle name="Normál" xfId="0" builtinId="0"/>
    <cellStyle name="Normál 2" xfId="2" xr:uid="{00000000-0005-0000-0000-000001000000}"/>
    <cellStyle name="Normal 2 2" xfId="16" xr:uid="{8C1109DC-60E6-4312-8973-E2D1D7B40180}"/>
    <cellStyle name="Normál 2 2" xfId="4" xr:uid="{00000000-0005-0000-0000-000002000000}"/>
    <cellStyle name="Normál 2 2 2" xfId="3" xr:uid="{00000000-0005-0000-0000-000003000000}"/>
    <cellStyle name="Normál 2 2 2 2" xfId="9" xr:uid="{CB6C4390-3CCC-4360-8FA0-F68DDF33B254}"/>
    <cellStyle name="Normál 2 2 2 2 2" xfId="12" xr:uid="{CA4223C2-745C-4B71-A180-5C0E1E67FBC6}"/>
    <cellStyle name="Normál 2 2 2 2 2 2" xfId="13" xr:uid="{59D9E277-336E-4EF8-8A37-A3E919575B25}"/>
    <cellStyle name="Normál 2 2 2 2 2 2 2" xfId="19" xr:uid="{52ADE5C8-E7AD-423D-B10D-80CAF82AC516}"/>
    <cellStyle name="Normál 2 2 2 3" xfId="10" xr:uid="{902BA9BB-173D-4A3A-8D0A-C80B3341A446}"/>
    <cellStyle name="Normál 2 2 2 3 2" xfId="11" xr:uid="{40BBB3DF-5708-4099-BA54-CDB0017BE78C}"/>
    <cellStyle name="Normál 2 2 2 3 2 2 2" xfId="14" xr:uid="{1DB8D2AB-3402-402A-B662-48E5554C1F72}"/>
    <cellStyle name="Normál 2 2 2 4 2" xfId="18" xr:uid="{D6ADBD70-810B-48DF-A23A-69F80385D92D}"/>
    <cellStyle name="Normál 2 2 2 5 2 3" xfId="17" xr:uid="{91DACA8D-4CFB-44BD-9E0C-8354B3F710F4}"/>
    <cellStyle name="Normal 3" xfId="15" xr:uid="{7456874F-E3B9-4D2C-A91F-628EDD8DDB88}"/>
    <cellStyle name="Normál_András excel_2_Egyismérv_megoldás" xfId="6" xr:uid="{00000000-0005-0000-0000-000004000000}"/>
    <cellStyle name="Normál_András excel_2_Egyismérv_megoldás_1" xfId="8" xr:uid="{00000000-0005-0000-0000-000005000000}"/>
    <cellStyle name="Normál_koncentráció" xfId="7" xr:uid="{00000000-0005-0000-0000-000007000000}"/>
    <cellStyle name="Százalék" xfId="1" builtinId="5"/>
    <cellStyle name="Százalék 2" xfId="5" xr:uid="{00000000-0005-0000-0000-000009000000}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 sz="1100" b="1"/>
              <a:t>A népesség településnagyság szerinti koncentrációja</a:t>
            </a:r>
          </a:p>
        </c:rich>
      </c:tx>
      <c:layout>
        <c:manualLayout>
          <c:xMode val="edge"/>
          <c:yMode val="edge"/>
          <c:x val="0.17347911330360813"/>
          <c:y val="2.23463069061892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84618790121125E-2"/>
          <c:y val="0.15206624846168088"/>
          <c:w val="0.85349397590361442"/>
          <c:h val="0.7732713649383038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2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tx2"/>
                </a:solidFill>
                <a:prstDash val="solid"/>
              </a:ln>
            </c:spPr>
          </c:marker>
          <c:xVal>
            <c:numRef>
              <c:f>'E5.1'!$I$21:$I$31</c:f>
              <c:numCache>
                <c:formatCode>0.0%</c:formatCode>
                <c:ptCount val="11"/>
                <c:pt idx="0">
                  <c:v>0</c:v>
                </c:pt>
                <c:pt idx="1">
                  <c:v>0.10040919106074914</c:v>
                </c:pt>
                <c:pt idx="2">
                  <c:v>0.20018885741265346</c:v>
                </c:pt>
                <c:pt idx="3">
                  <c:v>0.29996852376455779</c:v>
                </c:pt>
                <c:pt idx="4">
                  <c:v>0.40037771482530693</c:v>
                </c:pt>
                <c:pt idx="5">
                  <c:v>0.5001573811772112</c:v>
                </c:pt>
                <c:pt idx="6">
                  <c:v>0.59993704752911547</c:v>
                </c:pt>
                <c:pt idx="7">
                  <c:v>0.70066100094428707</c:v>
                </c:pt>
                <c:pt idx="8">
                  <c:v>0.80012590494176894</c:v>
                </c:pt>
                <c:pt idx="9">
                  <c:v>0.90022033364809562</c:v>
                </c:pt>
                <c:pt idx="10">
                  <c:v>0.99999999999999989</c:v>
                </c:pt>
              </c:numCache>
            </c:numRef>
          </c:xVal>
          <c:yVal>
            <c:numRef>
              <c:f>('E5.1'!$J$21:$J$31,'E5.1'!$F$2719)</c:f>
              <c:numCache>
                <c:formatCode>0.0%</c:formatCode>
                <c:ptCount val="12"/>
                <c:pt idx="0">
                  <c:v>0</c:v>
                </c:pt>
                <c:pt idx="1">
                  <c:v>3.2545724084967957E-3</c:v>
                </c:pt>
                <c:pt idx="2">
                  <c:v>1.0455262758999368E-2</c:v>
                </c:pt>
                <c:pt idx="3">
                  <c:v>2.1296918853835348E-2</c:v>
                </c:pt>
                <c:pt idx="4">
                  <c:v>3.7089252667487256E-2</c:v>
                </c:pt>
                <c:pt idx="5">
                  <c:v>5.8729585674388456E-2</c:v>
                </c:pt>
                <c:pt idx="6">
                  <c:v>8.8892795452005777E-2</c:v>
                </c:pt>
                <c:pt idx="7">
                  <c:v>0.13285892701736424</c:v>
                </c:pt>
                <c:pt idx="8">
                  <c:v>0.19650134776427536</c:v>
                </c:pt>
                <c:pt idx="9">
                  <c:v>0.30292210222294624</c:v>
                </c:pt>
                <c:pt idx="10">
                  <c:v>1</c:v>
                </c:pt>
                <c:pt idx="11" formatCode="0.0000%">
                  <c:v>0.24381838800390218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F-4A46-AB54-96FDEA6F8217}"/>
            </c:ext>
          </c:extLst>
        </c:ser>
        <c:ser>
          <c:idx val="1"/>
          <c:order val="1"/>
          <c:spPr>
            <a:ln w="1905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'E5.1'!$I$21:$I$31</c:f>
              <c:numCache>
                <c:formatCode>0.0%</c:formatCode>
                <c:ptCount val="11"/>
                <c:pt idx="0">
                  <c:v>0</c:v>
                </c:pt>
                <c:pt idx="1">
                  <c:v>0.10040919106074914</c:v>
                </c:pt>
                <c:pt idx="2">
                  <c:v>0.20018885741265346</c:v>
                </c:pt>
                <c:pt idx="3">
                  <c:v>0.29996852376455779</c:v>
                </c:pt>
                <c:pt idx="4">
                  <c:v>0.40037771482530693</c:v>
                </c:pt>
                <c:pt idx="5">
                  <c:v>0.5001573811772112</c:v>
                </c:pt>
                <c:pt idx="6">
                  <c:v>0.59993704752911547</c:v>
                </c:pt>
                <c:pt idx="7">
                  <c:v>0.70066100094428707</c:v>
                </c:pt>
                <c:pt idx="8">
                  <c:v>0.80012590494176894</c:v>
                </c:pt>
                <c:pt idx="9">
                  <c:v>0.90022033364809562</c:v>
                </c:pt>
                <c:pt idx="10">
                  <c:v>0.99999999999999989</c:v>
                </c:pt>
              </c:numCache>
            </c:numRef>
          </c:xVal>
          <c:yVal>
            <c:numRef>
              <c:f>'E5.1'!$I$21:$I$31</c:f>
              <c:numCache>
                <c:formatCode>0.0%</c:formatCode>
                <c:ptCount val="11"/>
                <c:pt idx="0">
                  <c:v>0</c:v>
                </c:pt>
                <c:pt idx="1">
                  <c:v>0.10040919106074914</c:v>
                </c:pt>
                <c:pt idx="2">
                  <c:v>0.20018885741265346</c:v>
                </c:pt>
                <c:pt idx="3">
                  <c:v>0.29996852376455779</c:v>
                </c:pt>
                <c:pt idx="4">
                  <c:v>0.40037771482530693</c:v>
                </c:pt>
                <c:pt idx="5">
                  <c:v>0.5001573811772112</c:v>
                </c:pt>
                <c:pt idx="6">
                  <c:v>0.59993704752911547</c:v>
                </c:pt>
                <c:pt idx="7">
                  <c:v>0.70066100094428707</c:v>
                </c:pt>
                <c:pt idx="8">
                  <c:v>0.80012590494176894</c:v>
                </c:pt>
                <c:pt idx="9">
                  <c:v>0.90022033364809562</c:v>
                </c:pt>
                <c:pt idx="1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4F-4A46-AB54-96FDEA6F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53680"/>
        <c:axId val="294353120"/>
      </c:scatterChart>
      <c:valAx>
        <c:axId val="294353680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0.94701686121919582"/>
              <c:y val="0.8805128160949247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120"/>
        <c:crosses val="autoZero"/>
        <c:crossBetween val="midCat"/>
        <c:majorUnit val="0.1"/>
      </c:valAx>
      <c:valAx>
        <c:axId val="29435312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Z'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2.4735234943881041E-2"/>
              <c:y val="6.6914159070365173E-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680"/>
        <c:crossesAt val="0"/>
        <c:crossBetween val="midCat"/>
      </c:valAx>
      <c:spPr>
        <a:solidFill>
          <a:srgbClr val="FFFFFF"/>
        </a:solidFill>
        <a:ln w="9525">
          <a:solidFill>
            <a:schemeClr val="bg1">
              <a:lumMod val="65000"/>
            </a:scheme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233" r="0.75000000000000233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 sz="1100" b="1"/>
              <a:t>A népesség településnagyság szerinti koncentrációja</a:t>
            </a:r>
          </a:p>
        </c:rich>
      </c:tx>
      <c:layout>
        <c:manualLayout>
          <c:xMode val="edge"/>
          <c:yMode val="edge"/>
          <c:x val="0.17347911330360813"/>
          <c:y val="2.23463069061892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84618790121125E-2"/>
          <c:y val="0.15206624846168088"/>
          <c:w val="0.85349397590361442"/>
          <c:h val="0.7732713649383038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2"/>
              </a:solidFill>
              <a:prstDash val="solid"/>
            </a:ln>
          </c:spPr>
          <c:marker>
            <c:symbol val="none"/>
          </c:marker>
          <c:xVal>
            <c:numRef>
              <c:f>'E5.1'!$D$8:$D$3185</c:f>
              <c:numCache>
                <c:formatCode>0.000%</c:formatCode>
                <c:ptCount val="3178"/>
                <c:pt idx="0">
                  <c:v>0</c:v>
                </c:pt>
                <c:pt idx="1">
                  <c:v>3.1476235442241108E-4</c:v>
                </c:pt>
                <c:pt idx="2">
                  <c:v>6.2952470884482215E-4</c:v>
                </c:pt>
                <c:pt idx="3">
                  <c:v>9.4428706326723328E-4</c:v>
                </c:pt>
                <c:pt idx="4">
                  <c:v>1.2590494176896443E-3</c:v>
                </c:pt>
                <c:pt idx="5">
                  <c:v>1.5738117721120553E-3</c:v>
                </c:pt>
                <c:pt idx="6">
                  <c:v>1.8885741265344664E-3</c:v>
                </c:pt>
                <c:pt idx="7">
                  <c:v>2.2033364809568774E-3</c:v>
                </c:pt>
                <c:pt idx="8">
                  <c:v>2.5180988353792886E-3</c:v>
                </c:pt>
                <c:pt idx="9">
                  <c:v>2.8328611898016999E-3</c:v>
                </c:pt>
                <c:pt idx="10">
                  <c:v>3.1476235442241111E-3</c:v>
                </c:pt>
                <c:pt idx="11">
                  <c:v>3.4623858986465223E-3</c:v>
                </c:pt>
                <c:pt idx="12">
                  <c:v>3.7771482530689336E-3</c:v>
                </c:pt>
                <c:pt idx="13">
                  <c:v>4.0919106074913444E-3</c:v>
                </c:pt>
                <c:pt idx="14">
                  <c:v>4.4066729619137556E-3</c:v>
                </c:pt>
                <c:pt idx="15">
                  <c:v>4.7214353163361669E-3</c:v>
                </c:pt>
                <c:pt idx="16">
                  <c:v>5.0361976707585781E-3</c:v>
                </c:pt>
                <c:pt idx="17">
                  <c:v>5.3509600251809893E-3</c:v>
                </c:pt>
                <c:pt idx="18">
                  <c:v>5.6657223796034006E-3</c:v>
                </c:pt>
                <c:pt idx="19">
                  <c:v>5.9804847340258118E-3</c:v>
                </c:pt>
                <c:pt idx="20">
                  <c:v>6.295247088448223E-3</c:v>
                </c:pt>
                <c:pt idx="21">
                  <c:v>6.6100094428706343E-3</c:v>
                </c:pt>
                <c:pt idx="22">
                  <c:v>6.9247717972930455E-3</c:v>
                </c:pt>
                <c:pt idx="23">
                  <c:v>7.2395341517154568E-3</c:v>
                </c:pt>
                <c:pt idx="24">
                  <c:v>7.554296506137868E-3</c:v>
                </c:pt>
                <c:pt idx="25">
                  <c:v>7.8690588605602792E-3</c:v>
                </c:pt>
                <c:pt idx="26">
                  <c:v>8.1838212149826905E-3</c:v>
                </c:pt>
                <c:pt idx="27">
                  <c:v>8.4985835694051017E-3</c:v>
                </c:pt>
                <c:pt idx="28">
                  <c:v>8.813345923827513E-3</c:v>
                </c:pt>
                <c:pt idx="29">
                  <c:v>9.1281082782499242E-3</c:v>
                </c:pt>
                <c:pt idx="30">
                  <c:v>9.4428706326723354E-3</c:v>
                </c:pt>
                <c:pt idx="31">
                  <c:v>9.7576329870947467E-3</c:v>
                </c:pt>
                <c:pt idx="32">
                  <c:v>1.0072395341517158E-2</c:v>
                </c:pt>
                <c:pt idx="33">
                  <c:v>1.0387157695939569E-2</c:v>
                </c:pt>
                <c:pt idx="34">
                  <c:v>1.070192005036198E-2</c:v>
                </c:pt>
                <c:pt idx="35">
                  <c:v>1.1016682404784392E-2</c:v>
                </c:pt>
                <c:pt idx="36">
                  <c:v>1.1331444759206803E-2</c:v>
                </c:pt>
                <c:pt idx="37">
                  <c:v>1.1646207113629214E-2</c:v>
                </c:pt>
                <c:pt idx="38">
                  <c:v>1.1960969468051625E-2</c:v>
                </c:pt>
                <c:pt idx="39">
                  <c:v>1.2275731822474037E-2</c:v>
                </c:pt>
                <c:pt idx="40">
                  <c:v>1.2590494176896448E-2</c:v>
                </c:pt>
                <c:pt idx="41">
                  <c:v>1.2905256531318859E-2</c:v>
                </c:pt>
                <c:pt idx="42">
                  <c:v>1.322001888574127E-2</c:v>
                </c:pt>
                <c:pt idx="43">
                  <c:v>1.3534781240163682E-2</c:v>
                </c:pt>
                <c:pt idx="44">
                  <c:v>1.3849543594586093E-2</c:v>
                </c:pt>
                <c:pt idx="45">
                  <c:v>1.4164305949008504E-2</c:v>
                </c:pt>
                <c:pt idx="46">
                  <c:v>1.4479068303430915E-2</c:v>
                </c:pt>
                <c:pt idx="47">
                  <c:v>1.4793830657853327E-2</c:v>
                </c:pt>
                <c:pt idx="48">
                  <c:v>1.5108593012275738E-2</c:v>
                </c:pt>
                <c:pt idx="49">
                  <c:v>1.5423355366698149E-2</c:v>
                </c:pt>
                <c:pt idx="50">
                  <c:v>1.5738117721120558E-2</c:v>
                </c:pt>
                <c:pt idx="51">
                  <c:v>1.605288007554297E-2</c:v>
                </c:pt>
                <c:pt idx="52">
                  <c:v>1.6367642429965381E-2</c:v>
                </c:pt>
                <c:pt idx="53">
                  <c:v>1.6682404784387792E-2</c:v>
                </c:pt>
                <c:pt idx="54">
                  <c:v>1.6997167138810203E-2</c:v>
                </c:pt>
                <c:pt idx="55">
                  <c:v>1.7311929493232615E-2</c:v>
                </c:pt>
                <c:pt idx="56">
                  <c:v>1.7626691847655026E-2</c:v>
                </c:pt>
                <c:pt idx="57">
                  <c:v>1.7941454202077437E-2</c:v>
                </c:pt>
                <c:pt idx="58">
                  <c:v>1.8256216556499848E-2</c:v>
                </c:pt>
                <c:pt idx="59">
                  <c:v>1.857097891092226E-2</c:v>
                </c:pt>
                <c:pt idx="60">
                  <c:v>1.8885741265344671E-2</c:v>
                </c:pt>
                <c:pt idx="61">
                  <c:v>1.9200503619767082E-2</c:v>
                </c:pt>
                <c:pt idx="62">
                  <c:v>1.9515265974189493E-2</c:v>
                </c:pt>
                <c:pt idx="63">
                  <c:v>1.9830028328611905E-2</c:v>
                </c:pt>
                <c:pt idx="64">
                  <c:v>2.0144790683034316E-2</c:v>
                </c:pt>
                <c:pt idx="65">
                  <c:v>2.0459553037456727E-2</c:v>
                </c:pt>
                <c:pt idx="66">
                  <c:v>2.0774315391879138E-2</c:v>
                </c:pt>
                <c:pt idx="67">
                  <c:v>2.108907774630155E-2</c:v>
                </c:pt>
                <c:pt idx="68">
                  <c:v>2.1403840100723961E-2</c:v>
                </c:pt>
                <c:pt idx="69">
                  <c:v>2.1718602455146372E-2</c:v>
                </c:pt>
                <c:pt idx="70">
                  <c:v>2.2033364809568783E-2</c:v>
                </c:pt>
                <c:pt idx="71">
                  <c:v>2.2348127163991195E-2</c:v>
                </c:pt>
                <c:pt idx="72">
                  <c:v>2.2662889518413606E-2</c:v>
                </c:pt>
                <c:pt idx="73">
                  <c:v>2.2977651872836017E-2</c:v>
                </c:pt>
                <c:pt idx="74">
                  <c:v>2.3292414227258428E-2</c:v>
                </c:pt>
                <c:pt idx="75">
                  <c:v>2.3607176581680839E-2</c:v>
                </c:pt>
                <c:pt idx="76">
                  <c:v>2.3921938936103251E-2</c:v>
                </c:pt>
                <c:pt idx="77">
                  <c:v>2.4236701290525662E-2</c:v>
                </c:pt>
                <c:pt idx="78">
                  <c:v>2.4551463644948073E-2</c:v>
                </c:pt>
                <c:pt idx="79">
                  <c:v>2.4866225999370484E-2</c:v>
                </c:pt>
                <c:pt idx="80">
                  <c:v>2.5180988353792896E-2</c:v>
                </c:pt>
                <c:pt idx="81">
                  <c:v>2.5495750708215307E-2</c:v>
                </c:pt>
                <c:pt idx="82">
                  <c:v>2.5810513062637718E-2</c:v>
                </c:pt>
                <c:pt idx="83">
                  <c:v>2.6125275417060129E-2</c:v>
                </c:pt>
                <c:pt idx="84">
                  <c:v>2.6440037771482541E-2</c:v>
                </c:pt>
                <c:pt idx="85">
                  <c:v>2.6754800125904952E-2</c:v>
                </c:pt>
                <c:pt idx="86">
                  <c:v>2.7069562480327363E-2</c:v>
                </c:pt>
                <c:pt idx="87">
                  <c:v>2.7384324834749774E-2</c:v>
                </c:pt>
                <c:pt idx="88">
                  <c:v>2.7699087189172186E-2</c:v>
                </c:pt>
                <c:pt idx="89">
                  <c:v>2.8013849543594597E-2</c:v>
                </c:pt>
                <c:pt idx="90">
                  <c:v>2.8328611898017008E-2</c:v>
                </c:pt>
                <c:pt idx="91">
                  <c:v>2.8643374252439419E-2</c:v>
                </c:pt>
                <c:pt idx="92">
                  <c:v>2.8958136606861831E-2</c:v>
                </c:pt>
                <c:pt idx="93">
                  <c:v>2.9272898961284242E-2</c:v>
                </c:pt>
                <c:pt idx="94">
                  <c:v>2.9587661315706653E-2</c:v>
                </c:pt>
                <c:pt idx="95">
                  <c:v>2.9902423670129064E-2</c:v>
                </c:pt>
                <c:pt idx="96">
                  <c:v>3.0217186024551475E-2</c:v>
                </c:pt>
                <c:pt idx="97">
                  <c:v>3.0531948378973887E-2</c:v>
                </c:pt>
                <c:pt idx="98">
                  <c:v>3.0846710733396298E-2</c:v>
                </c:pt>
                <c:pt idx="99">
                  <c:v>3.1161473087818709E-2</c:v>
                </c:pt>
                <c:pt idx="100">
                  <c:v>3.1476235442241117E-2</c:v>
                </c:pt>
                <c:pt idx="101">
                  <c:v>3.1790997796663528E-2</c:v>
                </c:pt>
                <c:pt idx="102">
                  <c:v>3.2105760151085939E-2</c:v>
                </c:pt>
                <c:pt idx="103">
                  <c:v>3.2420522505508351E-2</c:v>
                </c:pt>
                <c:pt idx="104">
                  <c:v>3.2735284859930762E-2</c:v>
                </c:pt>
                <c:pt idx="105">
                  <c:v>3.3050047214353173E-2</c:v>
                </c:pt>
                <c:pt idx="106">
                  <c:v>3.3364809568775584E-2</c:v>
                </c:pt>
                <c:pt idx="107">
                  <c:v>3.3679571923197996E-2</c:v>
                </c:pt>
                <c:pt idx="108">
                  <c:v>3.3994334277620407E-2</c:v>
                </c:pt>
                <c:pt idx="109">
                  <c:v>3.4309096632042818E-2</c:v>
                </c:pt>
                <c:pt idx="110">
                  <c:v>3.4623858986465229E-2</c:v>
                </c:pt>
                <c:pt idx="111">
                  <c:v>3.4938621340887641E-2</c:v>
                </c:pt>
                <c:pt idx="112">
                  <c:v>3.5253383695310052E-2</c:v>
                </c:pt>
                <c:pt idx="113">
                  <c:v>3.5568146049732463E-2</c:v>
                </c:pt>
                <c:pt idx="114">
                  <c:v>3.5882908404154874E-2</c:v>
                </c:pt>
                <c:pt idx="115">
                  <c:v>3.6197670758577286E-2</c:v>
                </c:pt>
                <c:pt idx="116">
                  <c:v>3.6512433112999697E-2</c:v>
                </c:pt>
                <c:pt idx="117">
                  <c:v>3.6827195467422108E-2</c:v>
                </c:pt>
                <c:pt idx="118">
                  <c:v>3.7141957821844519E-2</c:v>
                </c:pt>
                <c:pt idx="119">
                  <c:v>3.7456720176266931E-2</c:v>
                </c:pt>
                <c:pt idx="120">
                  <c:v>3.7771482530689342E-2</c:v>
                </c:pt>
                <c:pt idx="121">
                  <c:v>3.8086244885111753E-2</c:v>
                </c:pt>
                <c:pt idx="122">
                  <c:v>3.8401007239534164E-2</c:v>
                </c:pt>
                <c:pt idx="123">
                  <c:v>3.8715769593956575E-2</c:v>
                </c:pt>
                <c:pt idx="124">
                  <c:v>3.9030531948378987E-2</c:v>
                </c:pt>
                <c:pt idx="125">
                  <c:v>3.9345294302801398E-2</c:v>
                </c:pt>
                <c:pt idx="126">
                  <c:v>3.9660056657223809E-2</c:v>
                </c:pt>
                <c:pt idx="127">
                  <c:v>3.997481901164622E-2</c:v>
                </c:pt>
                <c:pt idx="128">
                  <c:v>4.0289581366068632E-2</c:v>
                </c:pt>
                <c:pt idx="129">
                  <c:v>4.0604343720491043E-2</c:v>
                </c:pt>
                <c:pt idx="130">
                  <c:v>4.0919106074913454E-2</c:v>
                </c:pt>
                <c:pt idx="131">
                  <c:v>4.1233868429335865E-2</c:v>
                </c:pt>
                <c:pt idx="132">
                  <c:v>4.1548630783758277E-2</c:v>
                </c:pt>
                <c:pt idx="133">
                  <c:v>4.1863393138180688E-2</c:v>
                </c:pt>
                <c:pt idx="134">
                  <c:v>4.2178155492603099E-2</c:v>
                </c:pt>
                <c:pt idx="135">
                  <c:v>4.249291784702551E-2</c:v>
                </c:pt>
                <c:pt idx="136">
                  <c:v>4.2807680201447922E-2</c:v>
                </c:pt>
                <c:pt idx="137">
                  <c:v>4.3122442555870333E-2</c:v>
                </c:pt>
                <c:pt idx="138">
                  <c:v>4.3437204910292744E-2</c:v>
                </c:pt>
                <c:pt idx="139">
                  <c:v>4.3751967264715155E-2</c:v>
                </c:pt>
                <c:pt idx="140">
                  <c:v>4.4066729619137567E-2</c:v>
                </c:pt>
                <c:pt idx="141">
                  <c:v>4.4381491973559978E-2</c:v>
                </c:pt>
                <c:pt idx="142">
                  <c:v>4.4696254327982389E-2</c:v>
                </c:pt>
                <c:pt idx="143">
                  <c:v>4.50110166824048E-2</c:v>
                </c:pt>
                <c:pt idx="144">
                  <c:v>4.5325779036827211E-2</c:v>
                </c:pt>
                <c:pt idx="145">
                  <c:v>4.5640541391249623E-2</c:v>
                </c:pt>
                <c:pt idx="146">
                  <c:v>4.5955303745672034E-2</c:v>
                </c:pt>
                <c:pt idx="147">
                  <c:v>4.6270066100094445E-2</c:v>
                </c:pt>
                <c:pt idx="148">
                  <c:v>4.6584828454516856E-2</c:v>
                </c:pt>
                <c:pt idx="149">
                  <c:v>4.6899590808939268E-2</c:v>
                </c:pt>
                <c:pt idx="150">
                  <c:v>4.7214353163361679E-2</c:v>
                </c:pt>
                <c:pt idx="151">
                  <c:v>4.752911551778409E-2</c:v>
                </c:pt>
                <c:pt idx="152">
                  <c:v>4.7843877872206501E-2</c:v>
                </c:pt>
                <c:pt idx="153">
                  <c:v>4.8158640226628913E-2</c:v>
                </c:pt>
                <c:pt idx="154">
                  <c:v>4.8473402581051324E-2</c:v>
                </c:pt>
                <c:pt idx="155">
                  <c:v>4.8788164935473735E-2</c:v>
                </c:pt>
                <c:pt idx="156">
                  <c:v>4.9102927289896146E-2</c:v>
                </c:pt>
                <c:pt idx="157">
                  <c:v>4.9417689644318558E-2</c:v>
                </c:pt>
                <c:pt idx="158">
                  <c:v>4.9732451998740969E-2</c:v>
                </c:pt>
                <c:pt idx="159">
                  <c:v>5.004721435316338E-2</c:v>
                </c:pt>
                <c:pt idx="160">
                  <c:v>5.0361976707585791E-2</c:v>
                </c:pt>
                <c:pt idx="161">
                  <c:v>5.0676739062008203E-2</c:v>
                </c:pt>
                <c:pt idx="162">
                  <c:v>5.0991501416430614E-2</c:v>
                </c:pt>
                <c:pt idx="163">
                  <c:v>5.1306263770853025E-2</c:v>
                </c:pt>
                <c:pt idx="164">
                  <c:v>5.1621026125275436E-2</c:v>
                </c:pt>
                <c:pt idx="165">
                  <c:v>5.1935788479697848E-2</c:v>
                </c:pt>
                <c:pt idx="166">
                  <c:v>5.2250550834120259E-2</c:v>
                </c:pt>
                <c:pt idx="167">
                  <c:v>5.256531318854267E-2</c:v>
                </c:pt>
                <c:pt idx="168">
                  <c:v>5.2880075542965081E-2</c:v>
                </c:pt>
                <c:pt idx="169">
                  <c:v>5.3194837897387492E-2</c:v>
                </c:pt>
                <c:pt idx="170">
                  <c:v>5.3509600251809904E-2</c:v>
                </c:pt>
                <c:pt idx="171">
                  <c:v>5.3824362606232315E-2</c:v>
                </c:pt>
                <c:pt idx="172">
                  <c:v>5.4139124960654726E-2</c:v>
                </c:pt>
                <c:pt idx="173">
                  <c:v>5.4453887315077137E-2</c:v>
                </c:pt>
                <c:pt idx="174">
                  <c:v>5.4768649669499549E-2</c:v>
                </c:pt>
                <c:pt idx="175">
                  <c:v>5.508341202392196E-2</c:v>
                </c:pt>
                <c:pt idx="176">
                  <c:v>5.5398174378344371E-2</c:v>
                </c:pt>
                <c:pt idx="177">
                  <c:v>5.5712936732766782E-2</c:v>
                </c:pt>
                <c:pt idx="178">
                  <c:v>5.6027699087189194E-2</c:v>
                </c:pt>
                <c:pt idx="179">
                  <c:v>5.6342461441611605E-2</c:v>
                </c:pt>
                <c:pt idx="180">
                  <c:v>5.6657223796034016E-2</c:v>
                </c:pt>
                <c:pt idx="181">
                  <c:v>5.6971986150456427E-2</c:v>
                </c:pt>
                <c:pt idx="182">
                  <c:v>5.7286748504878839E-2</c:v>
                </c:pt>
                <c:pt idx="183">
                  <c:v>5.760151085930125E-2</c:v>
                </c:pt>
                <c:pt idx="184">
                  <c:v>5.7916273213723661E-2</c:v>
                </c:pt>
                <c:pt idx="185">
                  <c:v>5.8231035568146072E-2</c:v>
                </c:pt>
                <c:pt idx="186">
                  <c:v>5.8545797922568484E-2</c:v>
                </c:pt>
                <c:pt idx="187">
                  <c:v>5.8860560276990895E-2</c:v>
                </c:pt>
                <c:pt idx="188">
                  <c:v>5.9175322631413306E-2</c:v>
                </c:pt>
                <c:pt idx="189">
                  <c:v>5.9490084985835717E-2</c:v>
                </c:pt>
                <c:pt idx="190">
                  <c:v>5.9804847340258128E-2</c:v>
                </c:pt>
                <c:pt idx="191">
                  <c:v>6.011960969468054E-2</c:v>
                </c:pt>
                <c:pt idx="192">
                  <c:v>6.0434372049102951E-2</c:v>
                </c:pt>
                <c:pt idx="193">
                  <c:v>6.0749134403525362E-2</c:v>
                </c:pt>
                <c:pt idx="194">
                  <c:v>6.1063896757947773E-2</c:v>
                </c:pt>
                <c:pt idx="195">
                  <c:v>6.1378659112370185E-2</c:v>
                </c:pt>
                <c:pt idx="196">
                  <c:v>6.1693421466792596E-2</c:v>
                </c:pt>
                <c:pt idx="197">
                  <c:v>6.2008183821215007E-2</c:v>
                </c:pt>
                <c:pt idx="198">
                  <c:v>6.2322946175637418E-2</c:v>
                </c:pt>
                <c:pt idx="199">
                  <c:v>6.263770853005983E-2</c:v>
                </c:pt>
                <c:pt idx="200">
                  <c:v>6.2952470884482234E-2</c:v>
                </c:pt>
                <c:pt idx="201">
                  <c:v>6.3267233238904638E-2</c:v>
                </c:pt>
                <c:pt idx="202">
                  <c:v>6.3581995593327043E-2</c:v>
                </c:pt>
                <c:pt idx="203">
                  <c:v>6.3896757947749447E-2</c:v>
                </c:pt>
                <c:pt idx="204">
                  <c:v>6.4211520302171851E-2</c:v>
                </c:pt>
                <c:pt idx="205">
                  <c:v>6.4526282656594255E-2</c:v>
                </c:pt>
                <c:pt idx="206">
                  <c:v>6.484104501101666E-2</c:v>
                </c:pt>
                <c:pt idx="207">
                  <c:v>6.5155807365439064E-2</c:v>
                </c:pt>
                <c:pt idx="208">
                  <c:v>6.5470569719861468E-2</c:v>
                </c:pt>
                <c:pt idx="209">
                  <c:v>6.5785332074283873E-2</c:v>
                </c:pt>
                <c:pt idx="210">
                  <c:v>6.6100094428706277E-2</c:v>
                </c:pt>
                <c:pt idx="211">
                  <c:v>6.6414856783128681E-2</c:v>
                </c:pt>
                <c:pt idx="212">
                  <c:v>6.6729619137551086E-2</c:v>
                </c:pt>
                <c:pt idx="213">
                  <c:v>6.704438149197349E-2</c:v>
                </c:pt>
                <c:pt idx="214">
                  <c:v>6.7359143846395894E-2</c:v>
                </c:pt>
                <c:pt idx="215">
                  <c:v>6.7673906200818298E-2</c:v>
                </c:pt>
                <c:pt idx="216">
                  <c:v>6.7988668555240703E-2</c:v>
                </c:pt>
                <c:pt idx="217">
                  <c:v>6.8303430909663107E-2</c:v>
                </c:pt>
                <c:pt idx="218">
                  <c:v>6.8618193264085511E-2</c:v>
                </c:pt>
                <c:pt idx="219">
                  <c:v>6.8932955618507916E-2</c:v>
                </c:pt>
                <c:pt idx="220">
                  <c:v>6.924771797293032E-2</c:v>
                </c:pt>
                <c:pt idx="221">
                  <c:v>6.9562480327352724E-2</c:v>
                </c:pt>
                <c:pt idx="222">
                  <c:v>6.9877242681775129E-2</c:v>
                </c:pt>
                <c:pt idx="223">
                  <c:v>7.0192005036197533E-2</c:v>
                </c:pt>
                <c:pt idx="224">
                  <c:v>7.0506767390619937E-2</c:v>
                </c:pt>
                <c:pt idx="225">
                  <c:v>7.0821529745042341E-2</c:v>
                </c:pt>
                <c:pt idx="226">
                  <c:v>7.1136292099464746E-2</c:v>
                </c:pt>
                <c:pt idx="227">
                  <c:v>7.145105445388715E-2</c:v>
                </c:pt>
                <c:pt idx="228">
                  <c:v>7.1765816808309554E-2</c:v>
                </c:pt>
                <c:pt idx="229">
                  <c:v>7.2080579162731959E-2</c:v>
                </c:pt>
                <c:pt idx="230">
                  <c:v>7.2395341517154363E-2</c:v>
                </c:pt>
                <c:pt idx="231">
                  <c:v>7.2710103871576767E-2</c:v>
                </c:pt>
                <c:pt idx="232">
                  <c:v>7.3024866225999172E-2</c:v>
                </c:pt>
                <c:pt idx="233">
                  <c:v>7.3339628580421576E-2</c:v>
                </c:pt>
                <c:pt idx="234">
                  <c:v>7.365439093484398E-2</c:v>
                </c:pt>
                <c:pt idx="235">
                  <c:v>7.3969153289266384E-2</c:v>
                </c:pt>
                <c:pt idx="236">
                  <c:v>7.4283915643688789E-2</c:v>
                </c:pt>
                <c:pt idx="237">
                  <c:v>7.4598677998111193E-2</c:v>
                </c:pt>
                <c:pt idx="238">
                  <c:v>7.4913440352533597E-2</c:v>
                </c:pt>
                <c:pt idx="239">
                  <c:v>7.5228202706956002E-2</c:v>
                </c:pt>
                <c:pt idx="240">
                  <c:v>7.5542965061378406E-2</c:v>
                </c:pt>
                <c:pt idx="241">
                  <c:v>7.585772741580081E-2</c:v>
                </c:pt>
                <c:pt idx="242">
                  <c:v>7.6172489770223215E-2</c:v>
                </c:pt>
                <c:pt idx="243">
                  <c:v>7.6487252124645619E-2</c:v>
                </c:pt>
                <c:pt idx="244">
                  <c:v>7.6802014479068023E-2</c:v>
                </c:pt>
                <c:pt idx="245">
                  <c:v>7.7116776833490427E-2</c:v>
                </c:pt>
                <c:pt idx="246">
                  <c:v>7.7431539187912832E-2</c:v>
                </c:pt>
                <c:pt idx="247">
                  <c:v>7.7746301542335236E-2</c:v>
                </c:pt>
                <c:pt idx="248">
                  <c:v>7.806106389675764E-2</c:v>
                </c:pt>
                <c:pt idx="249">
                  <c:v>7.8375826251180045E-2</c:v>
                </c:pt>
                <c:pt idx="250">
                  <c:v>7.8690588605602449E-2</c:v>
                </c:pt>
                <c:pt idx="251">
                  <c:v>7.9005350960024853E-2</c:v>
                </c:pt>
                <c:pt idx="252">
                  <c:v>7.9320113314447258E-2</c:v>
                </c:pt>
                <c:pt idx="253">
                  <c:v>7.9634875668869662E-2</c:v>
                </c:pt>
                <c:pt idx="254">
                  <c:v>7.9949638023292066E-2</c:v>
                </c:pt>
                <c:pt idx="255">
                  <c:v>8.026440037771447E-2</c:v>
                </c:pt>
                <c:pt idx="256">
                  <c:v>8.0579162732136875E-2</c:v>
                </c:pt>
                <c:pt idx="257">
                  <c:v>8.0893925086559279E-2</c:v>
                </c:pt>
                <c:pt idx="258">
                  <c:v>8.1208687440981683E-2</c:v>
                </c:pt>
                <c:pt idx="259">
                  <c:v>8.1523449795404088E-2</c:v>
                </c:pt>
                <c:pt idx="260">
                  <c:v>8.1838212149826492E-2</c:v>
                </c:pt>
                <c:pt idx="261">
                  <c:v>8.2152974504248896E-2</c:v>
                </c:pt>
                <c:pt idx="262">
                  <c:v>8.2467736858671301E-2</c:v>
                </c:pt>
                <c:pt idx="263">
                  <c:v>8.2782499213093705E-2</c:v>
                </c:pt>
                <c:pt idx="264">
                  <c:v>8.3097261567516109E-2</c:v>
                </c:pt>
                <c:pt idx="265">
                  <c:v>8.3412023921938513E-2</c:v>
                </c:pt>
                <c:pt idx="266">
                  <c:v>8.3726786276360918E-2</c:v>
                </c:pt>
                <c:pt idx="267">
                  <c:v>8.4041548630783322E-2</c:v>
                </c:pt>
                <c:pt idx="268">
                  <c:v>8.4356310985205726E-2</c:v>
                </c:pt>
                <c:pt idx="269">
                  <c:v>8.4671073339628131E-2</c:v>
                </c:pt>
                <c:pt idx="270">
                  <c:v>8.4985835694050535E-2</c:v>
                </c:pt>
                <c:pt idx="271">
                  <c:v>8.5300598048472939E-2</c:v>
                </c:pt>
                <c:pt idx="272">
                  <c:v>8.5615360402895344E-2</c:v>
                </c:pt>
                <c:pt idx="273">
                  <c:v>8.5930122757317748E-2</c:v>
                </c:pt>
                <c:pt idx="274">
                  <c:v>8.6244885111740152E-2</c:v>
                </c:pt>
                <c:pt idx="275">
                  <c:v>8.6559647466162556E-2</c:v>
                </c:pt>
                <c:pt idx="276">
                  <c:v>8.6874409820584961E-2</c:v>
                </c:pt>
                <c:pt idx="277">
                  <c:v>8.7189172175007365E-2</c:v>
                </c:pt>
                <c:pt idx="278">
                  <c:v>8.7503934529429769E-2</c:v>
                </c:pt>
                <c:pt idx="279">
                  <c:v>8.7818696883852174E-2</c:v>
                </c:pt>
                <c:pt idx="280">
                  <c:v>8.8133459238274578E-2</c:v>
                </c:pt>
                <c:pt idx="281">
                  <c:v>8.8448221592696982E-2</c:v>
                </c:pt>
                <c:pt idx="282">
                  <c:v>8.8762983947119387E-2</c:v>
                </c:pt>
                <c:pt idx="283">
                  <c:v>8.9077746301541791E-2</c:v>
                </c:pt>
                <c:pt idx="284">
                  <c:v>8.9392508655964195E-2</c:v>
                </c:pt>
                <c:pt idx="285">
                  <c:v>8.9707271010386599E-2</c:v>
                </c:pt>
                <c:pt idx="286">
                  <c:v>9.0022033364809004E-2</c:v>
                </c:pt>
                <c:pt idx="287">
                  <c:v>9.0336795719231408E-2</c:v>
                </c:pt>
                <c:pt idx="288">
                  <c:v>9.0651558073653812E-2</c:v>
                </c:pt>
                <c:pt idx="289">
                  <c:v>9.0966320428076217E-2</c:v>
                </c:pt>
                <c:pt idx="290">
                  <c:v>9.1281082782498621E-2</c:v>
                </c:pt>
                <c:pt idx="291">
                  <c:v>9.1595845136921025E-2</c:v>
                </c:pt>
                <c:pt idx="292">
                  <c:v>9.191060749134343E-2</c:v>
                </c:pt>
                <c:pt idx="293">
                  <c:v>9.2225369845765834E-2</c:v>
                </c:pt>
                <c:pt idx="294">
                  <c:v>9.2540132200188238E-2</c:v>
                </c:pt>
                <c:pt idx="295">
                  <c:v>9.2854894554610642E-2</c:v>
                </c:pt>
                <c:pt idx="296">
                  <c:v>9.3169656909033047E-2</c:v>
                </c:pt>
                <c:pt idx="297">
                  <c:v>9.3484419263455451E-2</c:v>
                </c:pt>
                <c:pt idx="298">
                  <c:v>9.3799181617877855E-2</c:v>
                </c:pt>
                <c:pt idx="299">
                  <c:v>9.411394397230026E-2</c:v>
                </c:pt>
                <c:pt idx="300">
                  <c:v>9.4428706326722664E-2</c:v>
                </c:pt>
                <c:pt idx="301">
                  <c:v>9.4743468681145068E-2</c:v>
                </c:pt>
                <c:pt idx="302">
                  <c:v>9.5058231035567473E-2</c:v>
                </c:pt>
                <c:pt idx="303">
                  <c:v>9.5372993389989877E-2</c:v>
                </c:pt>
                <c:pt idx="304">
                  <c:v>9.5687755744412281E-2</c:v>
                </c:pt>
                <c:pt idx="305">
                  <c:v>9.6002518098834685E-2</c:v>
                </c:pt>
                <c:pt idx="306">
                  <c:v>9.631728045325709E-2</c:v>
                </c:pt>
                <c:pt idx="307">
                  <c:v>9.6632042807679494E-2</c:v>
                </c:pt>
                <c:pt idx="308">
                  <c:v>9.6946805162101898E-2</c:v>
                </c:pt>
                <c:pt idx="309">
                  <c:v>9.7261567516524303E-2</c:v>
                </c:pt>
                <c:pt idx="310">
                  <c:v>9.7576329870946707E-2</c:v>
                </c:pt>
                <c:pt idx="311">
                  <c:v>9.7891092225369111E-2</c:v>
                </c:pt>
                <c:pt idx="312">
                  <c:v>9.8205854579791516E-2</c:v>
                </c:pt>
                <c:pt idx="313">
                  <c:v>9.852061693421392E-2</c:v>
                </c:pt>
                <c:pt idx="314">
                  <c:v>9.8835379288636324E-2</c:v>
                </c:pt>
                <c:pt idx="315">
                  <c:v>9.9150141643058728E-2</c:v>
                </c:pt>
                <c:pt idx="316">
                  <c:v>9.9464903997481133E-2</c:v>
                </c:pt>
                <c:pt idx="317">
                  <c:v>9.9779666351903537E-2</c:v>
                </c:pt>
                <c:pt idx="318">
                  <c:v>0.10009442870632594</c:v>
                </c:pt>
                <c:pt idx="319">
                  <c:v>0.10040919106074835</c:v>
                </c:pt>
                <c:pt idx="320">
                  <c:v>0.10072395341517075</c:v>
                </c:pt>
                <c:pt idx="321">
                  <c:v>0.10103871576959315</c:v>
                </c:pt>
                <c:pt idx="322">
                  <c:v>0.10135347812401556</c:v>
                </c:pt>
                <c:pt idx="323">
                  <c:v>0.10166824047843796</c:v>
                </c:pt>
                <c:pt idx="324">
                  <c:v>0.10198300283286037</c:v>
                </c:pt>
                <c:pt idx="325">
                  <c:v>0.10229776518728277</c:v>
                </c:pt>
                <c:pt idx="326">
                  <c:v>0.10261252754170518</c:v>
                </c:pt>
                <c:pt idx="327">
                  <c:v>0.10292728989612758</c:v>
                </c:pt>
                <c:pt idx="328">
                  <c:v>0.10324205225054998</c:v>
                </c:pt>
                <c:pt idx="329">
                  <c:v>0.10355681460497239</c:v>
                </c:pt>
                <c:pt idx="330">
                  <c:v>0.10387157695939479</c:v>
                </c:pt>
                <c:pt idx="331">
                  <c:v>0.1041863393138172</c:v>
                </c:pt>
                <c:pt idx="332">
                  <c:v>0.1045011016682396</c:v>
                </c:pt>
                <c:pt idx="333">
                  <c:v>0.10481586402266201</c:v>
                </c:pt>
                <c:pt idx="334">
                  <c:v>0.10513062637708441</c:v>
                </c:pt>
                <c:pt idx="335">
                  <c:v>0.10544538873150681</c:v>
                </c:pt>
                <c:pt idx="336">
                  <c:v>0.10576015108592922</c:v>
                </c:pt>
                <c:pt idx="337">
                  <c:v>0.10607491344035162</c:v>
                </c:pt>
                <c:pt idx="338">
                  <c:v>0.10638967579477403</c:v>
                </c:pt>
                <c:pt idx="339">
                  <c:v>0.10670443814919643</c:v>
                </c:pt>
                <c:pt idx="340">
                  <c:v>0.10701920050361884</c:v>
                </c:pt>
                <c:pt idx="341">
                  <c:v>0.10733396285804124</c:v>
                </c:pt>
                <c:pt idx="342">
                  <c:v>0.10764872521246364</c:v>
                </c:pt>
                <c:pt idx="343">
                  <c:v>0.10796348756688605</c:v>
                </c:pt>
                <c:pt idx="344">
                  <c:v>0.10827824992130845</c:v>
                </c:pt>
                <c:pt idx="345">
                  <c:v>0.10859301227573086</c:v>
                </c:pt>
                <c:pt idx="346">
                  <c:v>0.10890777463015326</c:v>
                </c:pt>
                <c:pt idx="347">
                  <c:v>0.10922253698457567</c:v>
                </c:pt>
                <c:pt idx="348">
                  <c:v>0.10953729933899807</c:v>
                </c:pt>
                <c:pt idx="349">
                  <c:v>0.10985206169342047</c:v>
                </c:pt>
                <c:pt idx="350">
                  <c:v>0.11016682404784288</c:v>
                </c:pt>
                <c:pt idx="351">
                  <c:v>0.11048158640226528</c:v>
                </c:pt>
                <c:pt idx="352">
                  <c:v>0.11079634875668769</c:v>
                </c:pt>
                <c:pt idx="353">
                  <c:v>0.11111111111111009</c:v>
                </c:pt>
                <c:pt idx="354">
                  <c:v>0.1114258734655325</c:v>
                </c:pt>
                <c:pt idx="355">
                  <c:v>0.1117406358199549</c:v>
                </c:pt>
                <c:pt idx="356">
                  <c:v>0.1120553981743773</c:v>
                </c:pt>
                <c:pt idx="357">
                  <c:v>0.11237016052879971</c:v>
                </c:pt>
                <c:pt idx="358">
                  <c:v>0.11268492288322211</c:v>
                </c:pt>
                <c:pt idx="359">
                  <c:v>0.11299968523764452</c:v>
                </c:pt>
                <c:pt idx="360">
                  <c:v>0.11331444759206692</c:v>
                </c:pt>
                <c:pt idx="361">
                  <c:v>0.11362920994648933</c:v>
                </c:pt>
                <c:pt idx="362">
                  <c:v>0.11394397230091173</c:v>
                </c:pt>
                <c:pt idx="363">
                  <c:v>0.11425873465533413</c:v>
                </c:pt>
                <c:pt idx="364">
                  <c:v>0.11457349700975654</c:v>
                </c:pt>
                <c:pt idx="365">
                  <c:v>0.11488825936417894</c:v>
                </c:pt>
                <c:pt idx="366">
                  <c:v>0.11520302171860135</c:v>
                </c:pt>
                <c:pt idx="367">
                  <c:v>0.11551778407302375</c:v>
                </c:pt>
                <c:pt idx="368">
                  <c:v>0.11583254642744616</c:v>
                </c:pt>
                <c:pt idx="369">
                  <c:v>0.11614730878186856</c:v>
                </c:pt>
                <c:pt idx="370">
                  <c:v>0.11646207113629096</c:v>
                </c:pt>
                <c:pt idx="371">
                  <c:v>0.11677683349071337</c:v>
                </c:pt>
                <c:pt idx="372">
                  <c:v>0.11709159584513577</c:v>
                </c:pt>
                <c:pt idx="373">
                  <c:v>0.11740635819955818</c:v>
                </c:pt>
                <c:pt idx="374">
                  <c:v>0.11772112055398058</c:v>
                </c:pt>
                <c:pt idx="375">
                  <c:v>0.11803588290840299</c:v>
                </c:pt>
                <c:pt idx="376">
                  <c:v>0.11835064526282539</c:v>
                </c:pt>
                <c:pt idx="377">
                  <c:v>0.1186654076172478</c:v>
                </c:pt>
                <c:pt idx="378">
                  <c:v>0.1189801699716702</c:v>
                </c:pt>
                <c:pt idx="379">
                  <c:v>0.1192949323260926</c:v>
                </c:pt>
                <c:pt idx="380">
                  <c:v>0.11960969468051501</c:v>
                </c:pt>
                <c:pt idx="381">
                  <c:v>0.11992445703493741</c:v>
                </c:pt>
                <c:pt idx="382">
                  <c:v>0.12023921938935982</c:v>
                </c:pt>
                <c:pt idx="383">
                  <c:v>0.12055398174378222</c:v>
                </c:pt>
                <c:pt idx="384">
                  <c:v>0.12086874409820463</c:v>
                </c:pt>
                <c:pt idx="385">
                  <c:v>0.12118350645262703</c:v>
                </c:pt>
                <c:pt idx="386">
                  <c:v>0.12149826880704943</c:v>
                </c:pt>
                <c:pt idx="387">
                  <c:v>0.12181303116147184</c:v>
                </c:pt>
                <c:pt idx="388">
                  <c:v>0.12212779351589424</c:v>
                </c:pt>
                <c:pt idx="389">
                  <c:v>0.12244255587031665</c:v>
                </c:pt>
                <c:pt idx="390">
                  <c:v>0.12275731822473905</c:v>
                </c:pt>
                <c:pt idx="391">
                  <c:v>0.12307208057916146</c:v>
                </c:pt>
                <c:pt idx="392">
                  <c:v>0.12338684293358386</c:v>
                </c:pt>
                <c:pt idx="393">
                  <c:v>0.12370160528800626</c:v>
                </c:pt>
                <c:pt idx="394">
                  <c:v>0.12401636764242867</c:v>
                </c:pt>
                <c:pt idx="395">
                  <c:v>0.12433112999685107</c:v>
                </c:pt>
                <c:pt idx="396">
                  <c:v>0.12464589235127348</c:v>
                </c:pt>
                <c:pt idx="397">
                  <c:v>0.12496065470569588</c:v>
                </c:pt>
                <c:pt idx="398">
                  <c:v>0.1252754170601183</c:v>
                </c:pt>
                <c:pt idx="399">
                  <c:v>0.1255901794145407</c:v>
                </c:pt>
                <c:pt idx="400">
                  <c:v>0.12590494176896311</c:v>
                </c:pt>
                <c:pt idx="401">
                  <c:v>0.12621970412338551</c:v>
                </c:pt>
                <c:pt idx="402">
                  <c:v>0.12653446647780792</c:v>
                </c:pt>
                <c:pt idx="403">
                  <c:v>0.12684922883223032</c:v>
                </c:pt>
                <c:pt idx="404">
                  <c:v>0.12716399118665273</c:v>
                </c:pt>
                <c:pt idx="405">
                  <c:v>0.12747875354107513</c:v>
                </c:pt>
                <c:pt idx="406">
                  <c:v>0.12779351589549753</c:v>
                </c:pt>
                <c:pt idx="407">
                  <c:v>0.12810827824991994</c:v>
                </c:pt>
                <c:pt idx="408">
                  <c:v>0.12842304060434234</c:v>
                </c:pt>
                <c:pt idx="409">
                  <c:v>0.12873780295876475</c:v>
                </c:pt>
                <c:pt idx="410">
                  <c:v>0.12905256531318715</c:v>
                </c:pt>
                <c:pt idx="411">
                  <c:v>0.12936732766760956</c:v>
                </c:pt>
                <c:pt idx="412">
                  <c:v>0.12968209002203196</c:v>
                </c:pt>
                <c:pt idx="413">
                  <c:v>0.12999685237645436</c:v>
                </c:pt>
                <c:pt idx="414">
                  <c:v>0.13031161473087677</c:v>
                </c:pt>
                <c:pt idx="415">
                  <c:v>0.13062637708529917</c:v>
                </c:pt>
                <c:pt idx="416">
                  <c:v>0.13094113943972158</c:v>
                </c:pt>
                <c:pt idx="417">
                  <c:v>0.13125590179414398</c:v>
                </c:pt>
                <c:pt idx="418">
                  <c:v>0.13157066414856639</c:v>
                </c:pt>
                <c:pt idx="419">
                  <c:v>0.13188542650298879</c:v>
                </c:pt>
                <c:pt idx="420">
                  <c:v>0.13220018885741119</c:v>
                </c:pt>
                <c:pt idx="421">
                  <c:v>0.1325149512118336</c:v>
                </c:pt>
                <c:pt idx="422">
                  <c:v>0.132829713566256</c:v>
                </c:pt>
                <c:pt idx="423">
                  <c:v>0.13314447592067841</c:v>
                </c:pt>
                <c:pt idx="424">
                  <c:v>0.13345923827510081</c:v>
                </c:pt>
                <c:pt idx="425">
                  <c:v>0.13377400062952322</c:v>
                </c:pt>
                <c:pt idx="426">
                  <c:v>0.13408876298394562</c:v>
                </c:pt>
                <c:pt idx="427">
                  <c:v>0.13440352533836802</c:v>
                </c:pt>
                <c:pt idx="428">
                  <c:v>0.13471828769279043</c:v>
                </c:pt>
                <c:pt idx="429">
                  <c:v>0.13503305004721283</c:v>
                </c:pt>
                <c:pt idx="430">
                  <c:v>0.13534781240163524</c:v>
                </c:pt>
                <c:pt idx="431">
                  <c:v>0.13566257475605764</c:v>
                </c:pt>
                <c:pt idx="432">
                  <c:v>0.13597733711048005</c:v>
                </c:pt>
                <c:pt idx="433">
                  <c:v>0.13629209946490245</c:v>
                </c:pt>
                <c:pt idx="434">
                  <c:v>0.13660686181932485</c:v>
                </c:pt>
                <c:pt idx="435">
                  <c:v>0.13692162417374726</c:v>
                </c:pt>
                <c:pt idx="436">
                  <c:v>0.13723638652816966</c:v>
                </c:pt>
                <c:pt idx="437">
                  <c:v>0.13755114888259207</c:v>
                </c:pt>
                <c:pt idx="438">
                  <c:v>0.13786591123701447</c:v>
                </c:pt>
                <c:pt idx="439">
                  <c:v>0.13818067359143688</c:v>
                </c:pt>
                <c:pt idx="440">
                  <c:v>0.13849543594585928</c:v>
                </c:pt>
                <c:pt idx="441">
                  <c:v>0.13881019830028168</c:v>
                </c:pt>
                <c:pt idx="442">
                  <c:v>0.13912496065470409</c:v>
                </c:pt>
                <c:pt idx="443">
                  <c:v>0.13943972300912649</c:v>
                </c:pt>
                <c:pt idx="444">
                  <c:v>0.1397544853635489</c:v>
                </c:pt>
                <c:pt idx="445">
                  <c:v>0.1400692477179713</c:v>
                </c:pt>
                <c:pt idx="446">
                  <c:v>0.14038401007239371</c:v>
                </c:pt>
                <c:pt idx="447">
                  <c:v>0.14069877242681611</c:v>
                </c:pt>
                <c:pt idx="448">
                  <c:v>0.14101353478123851</c:v>
                </c:pt>
                <c:pt idx="449">
                  <c:v>0.14132829713566092</c:v>
                </c:pt>
                <c:pt idx="450">
                  <c:v>0.14164305949008332</c:v>
                </c:pt>
                <c:pt idx="451">
                  <c:v>0.14195782184450573</c:v>
                </c:pt>
                <c:pt idx="452">
                  <c:v>0.14227258419892813</c:v>
                </c:pt>
                <c:pt idx="453">
                  <c:v>0.14258734655335054</c:v>
                </c:pt>
                <c:pt idx="454">
                  <c:v>0.14290210890777294</c:v>
                </c:pt>
                <c:pt idx="455">
                  <c:v>0.14321687126219534</c:v>
                </c:pt>
                <c:pt idx="456">
                  <c:v>0.14353163361661775</c:v>
                </c:pt>
                <c:pt idx="457">
                  <c:v>0.14384639597104015</c:v>
                </c:pt>
                <c:pt idx="458">
                  <c:v>0.14416115832546256</c:v>
                </c:pt>
                <c:pt idx="459">
                  <c:v>0.14447592067988496</c:v>
                </c:pt>
                <c:pt idx="460">
                  <c:v>0.14479068303430737</c:v>
                </c:pt>
                <c:pt idx="461">
                  <c:v>0.14510544538872977</c:v>
                </c:pt>
                <c:pt idx="462">
                  <c:v>0.14542020774315217</c:v>
                </c:pt>
                <c:pt idx="463">
                  <c:v>0.14573497009757458</c:v>
                </c:pt>
                <c:pt idx="464">
                  <c:v>0.14604973245199698</c:v>
                </c:pt>
                <c:pt idx="465">
                  <c:v>0.14636449480641939</c:v>
                </c:pt>
                <c:pt idx="466">
                  <c:v>0.14667925716084179</c:v>
                </c:pt>
                <c:pt idx="467">
                  <c:v>0.1469940195152642</c:v>
                </c:pt>
                <c:pt idx="468">
                  <c:v>0.1473087818696866</c:v>
                </c:pt>
                <c:pt idx="469">
                  <c:v>0.147623544224109</c:v>
                </c:pt>
                <c:pt idx="470">
                  <c:v>0.14793830657853141</c:v>
                </c:pt>
                <c:pt idx="471">
                  <c:v>0.14825306893295381</c:v>
                </c:pt>
                <c:pt idx="472">
                  <c:v>0.14856783128737622</c:v>
                </c:pt>
                <c:pt idx="473">
                  <c:v>0.14888259364179862</c:v>
                </c:pt>
                <c:pt idx="474">
                  <c:v>0.14919735599622103</c:v>
                </c:pt>
                <c:pt idx="475">
                  <c:v>0.14951211835064343</c:v>
                </c:pt>
                <c:pt idx="476">
                  <c:v>0.14982688070506583</c:v>
                </c:pt>
                <c:pt idx="477">
                  <c:v>0.15014164305948824</c:v>
                </c:pt>
                <c:pt idx="478">
                  <c:v>0.15045640541391064</c:v>
                </c:pt>
                <c:pt idx="479">
                  <c:v>0.15077116776833305</c:v>
                </c:pt>
                <c:pt idx="480">
                  <c:v>0.15108593012275545</c:v>
                </c:pt>
                <c:pt idx="481">
                  <c:v>0.15140069247717786</c:v>
                </c:pt>
                <c:pt idx="482">
                  <c:v>0.15171545483160026</c:v>
                </c:pt>
                <c:pt idx="483">
                  <c:v>0.15203021718602266</c:v>
                </c:pt>
                <c:pt idx="484">
                  <c:v>0.15234497954044507</c:v>
                </c:pt>
                <c:pt idx="485">
                  <c:v>0.15265974189486747</c:v>
                </c:pt>
                <c:pt idx="486">
                  <c:v>0.15297450424928988</c:v>
                </c:pt>
                <c:pt idx="487">
                  <c:v>0.15328926660371228</c:v>
                </c:pt>
                <c:pt idx="488">
                  <c:v>0.15360402895813469</c:v>
                </c:pt>
                <c:pt idx="489">
                  <c:v>0.15391879131255709</c:v>
                </c:pt>
                <c:pt idx="490">
                  <c:v>0.15423355366697949</c:v>
                </c:pt>
                <c:pt idx="491">
                  <c:v>0.1545483160214019</c:v>
                </c:pt>
                <c:pt idx="492">
                  <c:v>0.1548630783758243</c:v>
                </c:pt>
                <c:pt idx="493">
                  <c:v>0.15517784073024671</c:v>
                </c:pt>
                <c:pt idx="494">
                  <c:v>0.15549260308466911</c:v>
                </c:pt>
                <c:pt idx="495">
                  <c:v>0.15580736543909152</c:v>
                </c:pt>
                <c:pt idx="496">
                  <c:v>0.15612212779351392</c:v>
                </c:pt>
                <c:pt idx="497">
                  <c:v>0.15643689014793632</c:v>
                </c:pt>
                <c:pt idx="498">
                  <c:v>0.15675165250235873</c:v>
                </c:pt>
                <c:pt idx="499">
                  <c:v>0.15706641485678113</c:v>
                </c:pt>
                <c:pt idx="500">
                  <c:v>0.15738117721120354</c:v>
                </c:pt>
                <c:pt idx="501">
                  <c:v>0.15769593956562594</c:v>
                </c:pt>
                <c:pt idx="502">
                  <c:v>0.15801070192004835</c:v>
                </c:pt>
                <c:pt idx="503">
                  <c:v>0.15832546427447075</c:v>
                </c:pt>
                <c:pt idx="504">
                  <c:v>0.15864022662889316</c:v>
                </c:pt>
                <c:pt idx="505">
                  <c:v>0.15895498898331556</c:v>
                </c:pt>
                <c:pt idx="506">
                  <c:v>0.15926975133773796</c:v>
                </c:pt>
                <c:pt idx="507">
                  <c:v>0.15958451369216037</c:v>
                </c:pt>
                <c:pt idx="508">
                  <c:v>0.15989927604658277</c:v>
                </c:pt>
                <c:pt idx="509">
                  <c:v>0.16021403840100518</c:v>
                </c:pt>
                <c:pt idx="510">
                  <c:v>0.16052880075542758</c:v>
                </c:pt>
                <c:pt idx="511">
                  <c:v>0.16084356310984999</c:v>
                </c:pt>
                <c:pt idx="512">
                  <c:v>0.16115832546427239</c:v>
                </c:pt>
                <c:pt idx="513">
                  <c:v>0.16147308781869479</c:v>
                </c:pt>
                <c:pt idx="514">
                  <c:v>0.1617878501731172</c:v>
                </c:pt>
                <c:pt idx="515">
                  <c:v>0.1621026125275396</c:v>
                </c:pt>
                <c:pt idx="516">
                  <c:v>0.16241737488196201</c:v>
                </c:pt>
                <c:pt idx="517">
                  <c:v>0.16273213723638441</c:v>
                </c:pt>
                <c:pt idx="518">
                  <c:v>0.16304689959080682</c:v>
                </c:pt>
                <c:pt idx="519">
                  <c:v>0.16336166194522922</c:v>
                </c:pt>
                <c:pt idx="520">
                  <c:v>0.16367642429965162</c:v>
                </c:pt>
                <c:pt idx="521">
                  <c:v>0.16399118665407403</c:v>
                </c:pt>
                <c:pt idx="522">
                  <c:v>0.16430594900849643</c:v>
                </c:pt>
                <c:pt idx="523">
                  <c:v>0.16462071136291884</c:v>
                </c:pt>
                <c:pt idx="524">
                  <c:v>0.16493547371734124</c:v>
                </c:pt>
                <c:pt idx="525">
                  <c:v>0.16525023607176365</c:v>
                </c:pt>
                <c:pt idx="526">
                  <c:v>0.16556499842618605</c:v>
                </c:pt>
                <c:pt idx="527">
                  <c:v>0.16587976078060845</c:v>
                </c:pt>
                <c:pt idx="528">
                  <c:v>0.16619452313503086</c:v>
                </c:pt>
                <c:pt idx="529">
                  <c:v>0.16650928548945326</c:v>
                </c:pt>
                <c:pt idx="530">
                  <c:v>0.16682404784387567</c:v>
                </c:pt>
                <c:pt idx="531">
                  <c:v>0.16713881019829807</c:v>
                </c:pt>
                <c:pt idx="532">
                  <c:v>0.16745357255272048</c:v>
                </c:pt>
                <c:pt idx="533">
                  <c:v>0.16776833490714288</c:v>
                </c:pt>
                <c:pt idx="534">
                  <c:v>0.16808309726156528</c:v>
                </c:pt>
                <c:pt idx="535">
                  <c:v>0.16839785961598769</c:v>
                </c:pt>
                <c:pt idx="536">
                  <c:v>0.16871262197041009</c:v>
                </c:pt>
                <c:pt idx="537">
                  <c:v>0.1690273843248325</c:v>
                </c:pt>
                <c:pt idx="538">
                  <c:v>0.1693421466792549</c:v>
                </c:pt>
                <c:pt idx="539">
                  <c:v>0.16965690903367731</c:v>
                </c:pt>
                <c:pt idx="540">
                  <c:v>0.16997167138809971</c:v>
                </c:pt>
                <c:pt idx="541">
                  <c:v>0.17028643374252211</c:v>
                </c:pt>
                <c:pt idx="542">
                  <c:v>0.17060119609694452</c:v>
                </c:pt>
                <c:pt idx="543">
                  <c:v>0.17091595845136692</c:v>
                </c:pt>
                <c:pt idx="544">
                  <c:v>0.17123072080578933</c:v>
                </c:pt>
                <c:pt idx="545">
                  <c:v>0.17154548316021173</c:v>
                </c:pt>
                <c:pt idx="546">
                  <c:v>0.17186024551463414</c:v>
                </c:pt>
                <c:pt idx="547">
                  <c:v>0.17217500786905654</c:v>
                </c:pt>
                <c:pt idx="548">
                  <c:v>0.17248977022347894</c:v>
                </c:pt>
                <c:pt idx="549">
                  <c:v>0.17280453257790135</c:v>
                </c:pt>
                <c:pt idx="550">
                  <c:v>0.17311929493232375</c:v>
                </c:pt>
                <c:pt idx="551">
                  <c:v>0.17343405728674616</c:v>
                </c:pt>
                <c:pt idx="552">
                  <c:v>0.17374881964116856</c:v>
                </c:pt>
                <c:pt idx="553">
                  <c:v>0.17406358199559097</c:v>
                </c:pt>
                <c:pt idx="554">
                  <c:v>0.17437834435001337</c:v>
                </c:pt>
                <c:pt idx="555">
                  <c:v>0.17469310670443577</c:v>
                </c:pt>
                <c:pt idx="556">
                  <c:v>0.17500786905885818</c:v>
                </c:pt>
                <c:pt idx="557">
                  <c:v>0.17532263141328058</c:v>
                </c:pt>
                <c:pt idx="558">
                  <c:v>0.17563739376770299</c:v>
                </c:pt>
                <c:pt idx="559">
                  <c:v>0.17595215612212539</c:v>
                </c:pt>
                <c:pt idx="560">
                  <c:v>0.1762669184765478</c:v>
                </c:pt>
                <c:pt idx="561">
                  <c:v>0.1765816808309702</c:v>
                </c:pt>
                <c:pt idx="562">
                  <c:v>0.1768964431853926</c:v>
                </c:pt>
                <c:pt idx="563">
                  <c:v>0.17721120553981501</c:v>
                </c:pt>
                <c:pt idx="564">
                  <c:v>0.17752596789423741</c:v>
                </c:pt>
                <c:pt idx="565">
                  <c:v>0.17784073024865982</c:v>
                </c:pt>
                <c:pt idx="566">
                  <c:v>0.17815549260308222</c:v>
                </c:pt>
                <c:pt idx="567">
                  <c:v>0.17847025495750463</c:v>
                </c:pt>
                <c:pt idx="568">
                  <c:v>0.17878501731192703</c:v>
                </c:pt>
                <c:pt idx="569">
                  <c:v>0.17909977966634943</c:v>
                </c:pt>
                <c:pt idx="570">
                  <c:v>0.17941454202077184</c:v>
                </c:pt>
                <c:pt idx="571">
                  <c:v>0.17972930437519424</c:v>
                </c:pt>
                <c:pt idx="572">
                  <c:v>0.18004406672961665</c:v>
                </c:pt>
                <c:pt idx="573">
                  <c:v>0.18035882908403905</c:v>
                </c:pt>
                <c:pt idx="574">
                  <c:v>0.18067359143846146</c:v>
                </c:pt>
                <c:pt idx="575">
                  <c:v>0.18098835379288386</c:v>
                </c:pt>
                <c:pt idx="576">
                  <c:v>0.18130311614730626</c:v>
                </c:pt>
                <c:pt idx="577">
                  <c:v>0.18161787850172867</c:v>
                </c:pt>
                <c:pt idx="578">
                  <c:v>0.18193264085615107</c:v>
                </c:pt>
                <c:pt idx="579">
                  <c:v>0.18224740321057348</c:v>
                </c:pt>
                <c:pt idx="580">
                  <c:v>0.18256216556499588</c:v>
                </c:pt>
                <c:pt idx="581">
                  <c:v>0.18287692791941829</c:v>
                </c:pt>
                <c:pt idx="582">
                  <c:v>0.18319169027384069</c:v>
                </c:pt>
                <c:pt idx="583">
                  <c:v>0.18350645262826309</c:v>
                </c:pt>
                <c:pt idx="584">
                  <c:v>0.1838212149826855</c:v>
                </c:pt>
                <c:pt idx="585">
                  <c:v>0.1841359773371079</c:v>
                </c:pt>
                <c:pt idx="586">
                  <c:v>0.18445073969153031</c:v>
                </c:pt>
                <c:pt idx="587">
                  <c:v>0.18476550204595271</c:v>
                </c:pt>
                <c:pt idx="588">
                  <c:v>0.18508026440037512</c:v>
                </c:pt>
                <c:pt idx="589">
                  <c:v>0.18539502675479752</c:v>
                </c:pt>
                <c:pt idx="590">
                  <c:v>0.18570978910921992</c:v>
                </c:pt>
                <c:pt idx="591">
                  <c:v>0.18602455146364233</c:v>
                </c:pt>
                <c:pt idx="592">
                  <c:v>0.18633931381806473</c:v>
                </c:pt>
                <c:pt idx="593">
                  <c:v>0.18665407617248714</c:v>
                </c:pt>
                <c:pt idx="594">
                  <c:v>0.18696883852690954</c:v>
                </c:pt>
                <c:pt idx="595">
                  <c:v>0.18728360088133195</c:v>
                </c:pt>
                <c:pt idx="596">
                  <c:v>0.18759836323575435</c:v>
                </c:pt>
                <c:pt idx="597">
                  <c:v>0.18791312559017675</c:v>
                </c:pt>
                <c:pt idx="598">
                  <c:v>0.18822788794459916</c:v>
                </c:pt>
                <c:pt idx="599">
                  <c:v>0.18854265029902156</c:v>
                </c:pt>
                <c:pt idx="600">
                  <c:v>0.18885741265344397</c:v>
                </c:pt>
                <c:pt idx="601">
                  <c:v>0.18917217500786637</c:v>
                </c:pt>
                <c:pt idx="602">
                  <c:v>0.18948693736228878</c:v>
                </c:pt>
                <c:pt idx="603">
                  <c:v>0.18980169971671118</c:v>
                </c:pt>
                <c:pt idx="604">
                  <c:v>0.19011646207113359</c:v>
                </c:pt>
                <c:pt idx="605">
                  <c:v>0.19043122442555599</c:v>
                </c:pt>
                <c:pt idx="606">
                  <c:v>0.19074598677997839</c:v>
                </c:pt>
                <c:pt idx="607">
                  <c:v>0.1910607491344008</c:v>
                </c:pt>
                <c:pt idx="608">
                  <c:v>0.1913755114888232</c:v>
                </c:pt>
                <c:pt idx="609">
                  <c:v>0.19169027384324561</c:v>
                </c:pt>
                <c:pt idx="610">
                  <c:v>0.19200503619766801</c:v>
                </c:pt>
                <c:pt idx="611">
                  <c:v>0.19231979855209042</c:v>
                </c:pt>
                <c:pt idx="612">
                  <c:v>0.19263456090651282</c:v>
                </c:pt>
                <c:pt idx="613">
                  <c:v>0.19294932326093522</c:v>
                </c:pt>
                <c:pt idx="614">
                  <c:v>0.19326408561535763</c:v>
                </c:pt>
                <c:pt idx="615">
                  <c:v>0.19357884796978003</c:v>
                </c:pt>
                <c:pt idx="616">
                  <c:v>0.19389361032420244</c:v>
                </c:pt>
                <c:pt idx="617">
                  <c:v>0.19420837267862484</c:v>
                </c:pt>
                <c:pt idx="618">
                  <c:v>0.19452313503304725</c:v>
                </c:pt>
                <c:pt idx="619">
                  <c:v>0.19483789738746965</c:v>
                </c:pt>
                <c:pt idx="620">
                  <c:v>0.19515265974189205</c:v>
                </c:pt>
                <c:pt idx="621">
                  <c:v>0.19546742209631446</c:v>
                </c:pt>
                <c:pt idx="622">
                  <c:v>0.19578218445073686</c:v>
                </c:pt>
                <c:pt idx="623">
                  <c:v>0.19609694680515927</c:v>
                </c:pt>
                <c:pt idx="624">
                  <c:v>0.19641170915958167</c:v>
                </c:pt>
                <c:pt idx="625">
                  <c:v>0.19672647151400408</c:v>
                </c:pt>
                <c:pt idx="626">
                  <c:v>0.19704123386842648</c:v>
                </c:pt>
                <c:pt idx="627">
                  <c:v>0.19735599622284888</c:v>
                </c:pt>
                <c:pt idx="628">
                  <c:v>0.19767075857727129</c:v>
                </c:pt>
                <c:pt idx="629">
                  <c:v>0.19798552093169369</c:v>
                </c:pt>
                <c:pt idx="630">
                  <c:v>0.1983002832861161</c:v>
                </c:pt>
                <c:pt idx="631">
                  <c:v>0.1986150456405385</c:v>
                </c:pt>
                <c:pt idx="632">
                  <c:v>0.19892980799496091</c:v>
                </c:pt>
                <c:pt idx="633">
                  <c:v>0.19924457034938331</c:v>
                </c:pt>
                <c:pt idx="634">
                  <c:v>0.19955933270380571</c:v>
                </c:pt>
                <c:pt idx="635">
                  <c:v>0.19987409505822812</c:v>
                </c:pt>
                <c:pt idx="636">
                  <c:v>0.20018885741265052</c:v>
                </c:pt>
                <c:pt idx="637">
                  <c:v>0.20050361976707293</c:v>
                </c:pt>
                <c:pt idx="638">
                  <c:v>0.20081838212149533</c:v>
                </c:pt>
                <c:pt idx="639">
                  <c:v>0.20113314447591774</c:v>
                </c:pt>
                <c:pt idx="640">
                  <c:v>0.20144790683034014</c:v>
                </c:pt>
                <c:pt idx="641">
                  <c:v>0.20176266918476254</c:v>
                </c:pt>
                <c:pt idx="642">
                  <c:v>0.20207743153918495</c:v>
                </c:pt>
                <c:pt idx="643">
                  <c:v>0.20239219389360735</c:v>
                </c:pt>
                <c:pt idx="644">
                  <c:v>0.20270695624802976</c:v>
                </c:pt>
                <c:pt idx="645">
                  <c:v>0.20302171860245216</c:v>
                </c:pt>
                <c:pt idx="646">
                  <c:v>0.20333648095687457</c:v>
                </c:pt>
                <c:pt idx="647">
                  <c:v>0.20365124331129697</c:v>
                </c:pt>
                <c:pt idx="648">
                  <c:v>0.20396600566571937</c:v>
                </c:pt>
                <c:pt idx="649">
                  <c:v>0.20428076802014178</c:v>
                </c:pt>
                <c:pt idx="650">
                  <c:v>0.20459553037456418</c:v>
                </c:pt>
                <c:pt idx="651">
                  <c:v>0.20491029272898659</c:v>
                </c:pt>
                <c:pt idx="652">
                  <c:v>0.20522505508340899</c:v>
                </c:pt>
                <c:pt idx="653">
                  <c:v>0.2055398174378314</c:v>
                </c:pt>
                <c:pt idx="654">
                  <c:v>0.2058545797922538</c:v>
                </c:pt>
                <c:pt idx="655">
                  <c:v>0.2061693421466762</c:v>
                </c:pt>
                <c:pt idx="656">
                  <c:v>0.20648410450109861</c:v>
                </c:pt>
                <c:pt idx="657">
                  <c:v>0.20679886685552101</c:v>
                </c:pt>
                <c:pt idx="658">
                  <c:v>0.20711362920994342</c:v>
                </c:pt>
                <c:pt idx="659">
                  <c:v>0.20742839156436582</c:v>
                </c:pt>
                <c:pt idx="660">
                  <c:v>0.20774315391878823</c:v>
                </c:pt>
                <c:pt idx="661">
                  <c:v>0.20805791627321063</c:v>
                </c:pt>
                <c:pt idx="662">
                  <c:v>0.20837267862763303</c:v>
                </c:pt>
                <c:pt idx="663">
                  <c:v>0.20868744098205544</c:v>
                </c:pt>
                <c:pt idx="664">
                  <c:v>0.20900220333647784</c:v>
                </c:pt>
                <c:pt idx="665">
                  <c:v>0.20931696569090025</c:v>
                </c:pt>
                <c:pt idx="666">
                  <c:v>0.20963172804532265</c:v>
                </c:pt>
                <c:pt idx="667">
                  <c:v>0.20994649039974506</c:v>
                </c:pt>
                <c:pt idx="668">
                  <c:v>0.21026125275416746</c:v>
                </c:pt>
                <c:pt idx="669">
                  <c:v>0.21057601510858986</c:v>
                </c:pt>
                <c:pt idx="670">
                  <c:v>0.21089077746301227</c:v>
                </c:pt>
                <c:pt idx="671">
                  <c:v>0.21120553981743467</c:v>
                </c:pt>
                <c:pt idx="672">
                  <c:v>0.21152030217185708</c:v>
                </c:pt>
                <c:pt idx="673">
                  <c:v>0.21183506452627948</c:v>
                </c:pt>
                <c:pt idx="674">
                  <c:v>0.21214982688070189</c:v>
                </c:pt>
                <c:pt idx="675">
                  <c:v>0.21246458923512429</c:v>
                </c:pt>
                <c:pt idx="676">
                  <c:v>0.21277935158954669</c:v>
                </c:pt>
                <c:pt idx="677">
                  <c:v>0.2130941139439691</c:v>
                </c:pt>
                <c:pt idx="678">
                  <c:v>0.2134088762983915</c:v>
                </c:pt>
                <c:pt idx="679">
                  <c:v>0.21372363865281391</c:v>
                </c:pt>
                <c:pt idx="680">
                  <c:v>0.21403840100723631</c:v>
                </c:pt>
                <c:pt idx="681">
                  <c:v>0.21435316336165872</c:v>
                </c:pt>
                <c:pt idx="682">
                  <c:v>0.21466792571608112</c:v>
                </c:pt>
                <c:pt idx="683">
                  <c:v>0.21498268807050352</c:v>
                </c:pt>
                <c:pt idx="684">
                  <c:v>0.21529745042492593</c:v>
                </c:pt>
                <c:pt idx="685">
                  <c:v>0.21561221277934833</c:v>
                </c:pt>
                <c:pt idx="686">
                  <c:v>0.21592697513377074</c:v>
                </c:pt>
                <c:pt idx="687">
                  <c:v>0.21624173748819314</c:v>
                </c:pt>
                <c:pt idx="688">
                  <c:v>0.21655649984261555</c:v>
                </c:pt>
                <c:pt idx="689">
                  <c:v>0.21687126219703795</c:v>
                </c:pt>
                <c:pt idx="690">
                  <c:v>0.21718602455146035</c:v>
                </c:pt>
                <c:pt idx="691">
                  <c:v>0.21750078690588276</c:v>
                </c:pt>
                <c:pt idx="692">
                  <c:v>0.21781554926030516</c:v>
                </c:pt>
                <c:pt idx="693">
                  <c:v>0.21813031161472757</c:v>
                </c:pt>
                <c:pt idx="694">
                  <c:v>0.21844507396914997</c:v>
                </c:pt>
                <c:pt idx="695">
                  <c:v>0.21875983632357238</c:v>
                </c:pt>
                <c:pt idx="696">
                  <c:v>0.21907459867799478</c:v>
                </c:pt>
                <c:pt idx="697">
                  <c:v>0.21938936103241719</c:v>
                </c:pt>
                <c:pt idx="698">
                  <c:v>0.21970412338683959</c:v>
                </c:pt>
                <c:pt idx="699">
                  <c:v>0.22001888574126199</c:v>
                </c:pt>
                <c:pt idx="700">
                  <c:v>0.2203336480956844</c:v>
                </c:pt>
                <c:pt idx="701">
                  <c:v>0.2206484104501068</c:v>
                </c:pt>
                <c:pt idx="702">
                  <c:v>0.22096317280452921</c:v>
                </c:pt>
                <c:pt idx="703">
                  <c:v>0.22127793515895161</c:v>
                </c:pt>
                <c:pt idx="704">
                  <c:v>0.22159269751337402</c:v>
                </c:pt>
                <c:pt idx="705">
                  <c:v>0.22190745986779642</c:v>
                </c:pt>
                <c:pt idx="706">
                  <c:v>0.22222222222221882</c:v>
                </c:pt>
                <c:pt idx="707">
                  <c:v>0.22253698457664123</c:v>
                </c:pt>
                <c:pt idx="708">
                  <c:v>0.22285174693106363</c:v>
                </c:pt>
                <c:pt idx="709">
                  <c:v>0.22316650928548604</c:v>
                </c:pt>
                <c:pt idx="710">
                  <c:v>0.22348127163990844</c:v>
                </c:pt>
                <c:pt idx="711">
                  <c:v>0.22379603399433085</c:v>
                </c:pt>
                <c:pt idx="712">
                  <c:v>0.22411079634875325</c:v>
                </c:pt>
                <c:pt idx="713">
                  <c:v>0.22442555870317565</c:v>
                </c:pt>
                <c:pt idx="714">
                  <c:v>0.22474032105759806</c:v>
                </c:pt>
                <c:pt idx="715">
                  <c:v>0.22505508341202046</c:v>
                </c:pt>
                <c:pt idx="716">
                  <c:v>0.22536984576644287</c:v>
                </c:pt>
                <c:pt idx="717">
                  <c:v>0.22568460812086527</c:v>
                </c:pt>
                <c:pt idx="718">
                  <c:v>0.22599937047528768</c:v>
                </c:pt>
                <c:pt idx="719">
                  <c:v>0.22631413282971008</c:v>
                </c:pt>
                <c:pt idx="720">
                  <c:v>0.22662889518413248</c:v>
                </c:pt>
                <c:pt idx="721">
                  <c:v>0.22694365753855489</c:v>
                </c:pt>
                <c:pt idx="722">
                  <c:v>0.22725841989297729</c:v>
                </c:pt>
                <c:pt idx="723">
                  <c:v>0.2275731822473997</c:v>
                </c:pt>
                <c:pt idx="724">
                  <c:v>0.2278879446018221</c:v>
                </c:pt>
                <c:pt idx="725">
                  <c:v>0.22820270695624451</c:v>
                </c:pt>
                <c:pt idx="726">
                  <c:v>0.22851746931066691</c:v>
                </c:pt>
                <c:pt idx="727">
                  <c:v>0.22883223166508931</c:v>
                </c:pt>
                <c:pt idx="728">
                  <c:v>0.22914699401951172</c:v>
                </c:pt>
                <c:pt idx="729">
                  <c:v>0.22946175637393412</c:v>
                </c:pt>
                <c:pt idx="730">
                  <c:v>0.22977651872835653</c:v>
                </c:pt>
                <c:pt idx="731">
                  <c:v>0.23009128108277893</c:v>
                </c:pt>
                <c:pt idx="732">
                  <c:v>0.23040604343720134</c:v>
                </c:pt>
                <c:pt idx="733">
                  <c:v>0.23072080579162374</c:v>
                </c:pt>
                <c:pt idx="734">
                  <c:v>0.23103556814604614</c:v>
                </c:pt>
                <c:pt idx="735">
                  <c:v>0.23135033050046855</c:v>
                </c:pt>
                <c:pt idx="736">
                  <c:v>0.23166509285489095</c:v>
                </c:pt>
                <c:pt idx="737">
                  <c:v>0.23197985520931336</c:v>
                </c:pt>
                <c:pt idx="738">
                  <c:v>0.23229461756373576</c:v>
                </c:pt>
                <c:pt idx="739">
                  <c:v>0.23260937991815817</c:v>
                </c:pt>
                <c:pt idx="740">
                  <c:v>0.23292414227258057</c:v>
                </c:pt>
                <c:pt idx="741">
                  <c:v>0.23323890462700297</c:v>
                </c:pt>
                <c:pt idx="742">
                  <c:v>0.23355366698142538</c:v>
                </c:pt>
                <c:pt idx="743">
                  <c:v>0.23386842933584778</c:v>
                </c:pt>
                <c:pt idx="744">
                  <c:v>0.23418319169027019</c:v>
                </c:pt>
                <c:pt idx="745">
                  <c:v>0.23449795404469259</c:v>
                </c:pt>
                <c:pt idx="746">
                  <c:v>0.234812716399115</c:v>
                </c:pt>
                <c:pt idx="747">
                  <c:v>0.2351274787535374</c:v>
                </c:pt>
                <c:pt idx="748">
                  <c:v>0.2354422411079598</c:v>
                </c:pt>
                <c:pt idx="749">
                  <c:v>0.23575700346238221</c:v>
                </c:pt>
                <c:pt idx="750">
                  <c:v>0.23607176581680461</c:v>
                </c:pt>
                <c:pt idx="751">
                  <c:v>0.23638652817122702</c:v>
                </c:pt>
                <c:pt idx="752">
                  <c:v>0.23670129052564942</c:v>
                </c:pt>
                <c:pt idx="753">
                  <c:v>0.23701605288007183</c:v>
                </c:pt>
                <c:pt idx="754">
                  <c:v>0.23733081523449423</c:v>
                </c:pt>
                <c:pt idx="755">
                  <c:v>0.23764557758891663</c:v>
                </c:pt>
                <c:pt idx="756">
                  <c:v>0.23796033994333904</c:v>
                </c:pt>
                <c:pt idx="757">
                  <c:v>0.23827510229776144</c:v>
                </c:pt>
                <c:pt idx="758">
                  <c:v>0.23858986465218385</c:v>
                </c:pt>
                <c:pt idx="759">
                  <c:v>0.23890462700660625</c:v>
                </c:pt>
                <c:pt idx="760">
                  <c:v>0.23921938936102866</c:v>
                </c:pt>
                <c:pt idx="761">
                  <c:v>0.23953415171545106</c:v>
                </c:pt>
                <c:pt idx="762">
                  <c:v>0.23984891406987346</c:v>
                </c:pt>
                <c:pt idx="763">
                  <c:v>0.24016367642429587</c:v>
                </c:pt>
                <c:pt idx="764">
                  <c:v>0.24047843877871827</c:v>
                </c:pt>
                <c:pt idx="765">
                  <c:v>0.24079320113314068</c:v>
                </c:pt>
                <c:pt idx="766">
                  <c:v>0.24110796348756308</c:v>
                </c:pt>
                <c:pt idx="767">
                  <c:v>0.24142272584198549</c:v>
                </c:pt>
                <c:pt idx="768">
                  <c:v>0.24173748819640789</c:v>
                </c:pt>
                <c:pt idx="769">
                  <c:v>0.24205225055083029</c:v>
                </c:pt>
                <c:pt idx="770">
                  <c:v>0.2423670129052527</c:v>
                </c:pt>
                <c:pt idx="771">
                  <c:v>0.2426817752596751</c:v>
                </c:pt>
                <c:pt idx="772">
                  <c:v>0.24299653761409751</c:v>
                </c:pt>
                <c:pt idx="773">
                  <c:v>0.24331129996851991</c:v>
                </c:pt>
                <c:pt idx="774">
                  <c:v>0.24362606232294232</c:v>
                </c:pt>
                <c:pt idx="775">
                  <c:v>0.24394082467736472</c:v>
                </c:pt>
                <c:pt idx="776">
                  <c:v>0.24425558703178712</c:v>
                </c:pt>
                <c:pt idx="777">
                  <c:v>0.24457034938620953</c:v>
                </c:pt>
                <c:pt idx="778">
                  <c:v>0.24488511174063193</c:v>
                </c:pt>
                <c:pt idx="779">
                  <c:v>0.24519987409505434</c:v>
                </c:pt>
                <c:pt idx="780">
                  <c:v>0.24551463644947674</c:v>
                </c:pt>
                <c:pt idx="781">
                  <c:v>0.24582939880389915</c:v>
                </c:pt>
                <c:pt idx="782">
                  <c:v>0.24614416115832155</c:v>
                </c:pt>
                <c:pt idx="783">
                  <c:v>0.24645892351274395</c:v>
                </c:pt>
                <c:pt idx="784">
                  <c:v>0.24677368586716636</c:v>
                </c:pt>
                <c:pt idx="785">
                  <c:v>0.24708844822158876</c:v>
                </c:pt>
                <c:pt idx="786">
                  <c:v>0.24740321057601117</c:v>
                </c:pt>
                <c:pt idx="787">
                  <c:v>0.24771797293043357</c:v>
                </c:pt>
                <c:pt idx="788">
                  <c:v>0.24803273528485598</c:v>
                </c:pt>
                <c:pt idx="789">
                  <c:v>0.24834749763927838</c:v>
                </c:pt>
                <c:pt idx="790">
                  <c:v>0.24866225999370078</c:v>
                </c:pt>
                <c:pt idx="791">
                  <c:v>0.24897702234812319</c:v>
                </c:pt>
                <c:pt idx="792">
                  <c:v>0.24929178470254559</c:v>
                </c:pt>
                <c:pt idx="793">
                  <c:v>0.249606547056968</c:v>
                </c:pt>
                <c:pt idx="794">
                  <c:v>0.2499213094113904</c:v>
                </c:pt>
                <c:pt idx="795">
                  <c:v>0.25023607176581281</c:v>
                </c:pt>
                <c:pt idx="796">
                  <c:v>0.25055083412023521</c:v>
                </c:pt>
                <c:pt idx="797">
                  <c:v>0.25086559647465762</c:v>
                </c:pt>
                <c:pt idx="798">
                  <c:v>0.25118035882908002</c:v>
                </c:pt>
                <c:pt idx="799">
                  <c:v>0.25149512118350242</c:v>
                </c:pt>
                <c:pt idx="800">
                  <c:v>0.25180988353792483</c:v>
                </c:pt>
                <c:pt idx="801">
                  <c:v>0.25212464589234723</c:v>
                </c:pt>
                <c:pt idx="802">
                  <c:v>0.25243940824676964</c:v>
                </c:pt>
                <c:pt idx="803">
                  <c:v>0.25275417060119204</c:v>
                </c:pt>
                <c:pt idx="804">
                  <c:v>0.25306893295561445</c:v>
                </c:pt>
                <c:pt idx="805">
                  <c:v>0.25338369531003685</c:v>
                </c:pt>
                <c:pt idx="806">
                  <c:v>0.25369845766445925</c:v>
                </c:pt>
                <c:pt idx="807">
                  <c:v>0.25401322001888166</c:v>
                </c:pt>
                <c:pt idx="808">
                  <c:v>0.25432798237330406</c:v>
                </c:pt>
                <c:pt idx="809">
                  <c:v>0.25464274472772647</c:v>
                </c:pt>
                <c:pt idx="810">
                  <c:v>0.25495750708214887</c:v>
                </c:pt>
                <c:pt idx="811">
                  <c:v>0.25527226943657128</c:v>
                </c:pt>
                <c:pt idx="812">
                  <c:v>0.25558703179099368</c:v>
                </c:pt>
                <c:pt idx="813">
                  <c:v>0.25590179414541608</c:v>
                </c:pt>
                <c:pt idx="814">
                  <c:v>0.25621655649983849</c:v>
                </c:pt>
                <c:pt idx="815">
                  <c:v>0.25653131885426089</c:v>
                </c:pt>
                <c:pt idx="816">
                  <c:v>0.2568460812086833</c:v>
                </c:pt>
                <c:pt idx="817">
                  <c:v>0.2571608435631057</c:v>
                </c:pt>
                <c:pt idx="818">
                  <c:v>0.25747560591752811</c:v>
                </c:pt>
                <c:pt idx="819">
                  <c:v>0.25779036827195051</c:v>
                </c:pt>
                <c:pt idx="820">
                  <c:v>0.25810513062637291</c:v>
                </c:pt>
                <c:pt idx="821">
                  <c:v>0.25841989298079532</c:v>
                </c:pt>
                <c:pt idx="822">
                  <c:v>0.25873465533521772</c:v>
                </c:pt>
                <c:pt idx="823">
                  <c:v>0.25904941768964013</c:v>
                </c:pt>
                <c:pt idx="824">
                  <c:v>0.25936418004406253</c:v>
                </c:pt>
                <c:pt idx="825">
                  <c:v>0.25967894239848494</c:v>
                </c:pt>
                <c:pt idx="826">
                  <c:v>0.25999370475290734</c:v>
                </c:pt>
                <c:pt idx="827">
                  <c:v>0.26030846710732974</c:v>
                </c:pt>
                <c:pt idx="828">
                  <c:v>0.26062322946175215</c:v>
                </c:pt>
                <c:pt idx="829">
                  <c:v>0.26093799181617455</c:v>
                </c:pt>
                <c:pt idx="830">
                  <c:v>0.26125275417059696</c:v>
                </c:pt>
                <c:pt idx="831">
                  <c:v>0.26156751652501936</c:v>
                </c:pt>
                <c:pt idx="832">
                  <c:v>0.26188227887944177</c:v>
                </c:pt>
                <c:pt idx="833">
                  <c:v>0.26219704123386417</c:v>
                </c:pt>
                <c:pt idx="834">
                  <c:v>0.26251180358828657</c:v>
                </c:pt>
                <c:pt idx="835">
                  <c:v>0.26282656594270898</c:v>
                </c:pt>
                <c:pt idx="836">
                  <c:v>0.26314132829713138</c:v>
                </c:pt>
                <c:pt idx="837">
                  <c:v>0.26345609065155379</c:v>
                </c:pt>
                <c:pt idx="838">
                  <c:v>0.26377085300597619</c:v>
                </c:pt>
                <c:pt idx="839">
                  <c:v>0.2640856153603986</c:v>
                </c:pt>
                <c:pt idx="840">
                  <c:v>0.264400377714821</c:v>
                </c:pt>
                <c:pt idx="841">
                  <c:v>0.2647151400692434</c:v>
                </c:pt>
                <c:pt idx="842">
                  <c:v>0.26502990242366581</c:v>
                </c:pt>
                <c:pt idx="843">
                  <c:v>0.26534466477808821</c:v>
                </c:pt>
                <c:pt idx="844">
                  <c:v>0.26565942713251062</c:v>
                </c:pt>
                <c:pt idx="845">
                  <c:v>0.26597418948693302</c:v>
                </c:pt>
                <c:pt idx="846">
                  <c:v>0.26628895184135543</c:v>
                </c:pt>
                <c:pt idx="847">
                  <c:v>0.26660371419577783</c:v>
                </c:pt>
                <c:pt idx="848">
                  <c:v>0.26691847655020023</c:v>
                </c:pt>
                <c:pt idx="849">
                  <c:v>0.26723323890462264</c:v>
                </c:pt>
                <c:pt idx="850">
                  <c:v>0.26754800125904504</c:v>
                </c:pt>
                <c:pt idx="851">
                  <c:v>0.26786276361346745</c:v>
                </c:pt>
                <c:pt idx="852">
                  <c:v>0.26817752596788985</c:v>
                </c:pt>
                <c:pt idx="853">
                  <c:v>0.26849228832231226</c:v>
                </c:pt>
                <c:pt idx="854">
                  <c:v>0.26880705067673466</c:v>
                </c:pt>
                <c:pt idx="855">
                  <c:v>0.26912181303115706</c:v>
                </c:pt>
                <c:pt idx="856">
                  <c:v>0.26943657538557947</c:v>
                </c:pt>
                <c:pt idx="857">
                  <c:v>0.26975133774000187</c:v>
                </c:pt>
                <c:pt idx="858">
                  <c:v>0.27006610009442428</c:v>
                </c:pt>
                <c:pt idx="859">
                  <c:v>0.27038086244884668</c:v>
                </c:pt>
                <c:pt idx="860">
                  <c:v>0.27069562480326909</c:v>
                </c:pt>
                <c:pt idx="861">
                  <c:v>0.27101038715769149</c:v>
                </c:pt>
                <c:pt idx="862">
                  <c:v>0.27132514951211389</c:v>
                </c:pt>
                <c:pt idx="863">
                  <c:v>0.2716399118665363</c:v>
                </c:pt>
                <c:pt idx="864">
                  <c:v>0.2719546742209587</c:v>
                </c:pt>
                <c:pt idx="865">
                  <c:v>0.27226943657538111</c:v>
                </c:pt>
                <c:pt idx="866">
                  <c:v>0.27258419892980351</c:v>
                </c:pt>
                <c:pt idx="867">
                  <c:v>0.27289896128422592</c:v>
                </c:pt>
                <c:pt idx="868">
                  <c:v>0.27321372363864832</c:v>
                </c:pt>
                <c:pt idx="869">
                  <c:v>0.27352848599307072</c:v>
                </c:pt>
                <c:pt idx="870">
                  <c:v>0.27384324834749313</c:v>
                </c:pt>
                <c:pt idx="871">
                  <c:v>0.27415801070191553</c:v>
                </c:pt>
                <c:pt idx="872">
                  <c:v>0.27447277305633794</c:v>
                </c:pt>
                <c:pt idx="873">
                  <c:v>0.27478753541076034</c:v>
                </c:pt>
                <c:pt idx="874">
                  <c:v>0.27510229776518275</c:v>
                </c:pt>
                <c:pt idx="875">
                  <c:v>0.27541706011960515</c:v>
                </c:pt>
                <c:pt idx="876">
                  <c:v>0.27573182247402755</c:v>
                </c:pt>
                <c:pt idx="877">
                  <c:v>0.27604658482844996</c:v>
                </c:pt>
                <c:pt idx="878">
                  <c:v>0.27636134718287236</c:v>
                </c:pt>
                <c:pt idx="879">
                  <c:v>0.27667610953729477</c:v>
                </c:pt>
                <c:pt idx="880">
                  <c:v>0.27699087189171717</c:v>
                </c:pt>
                <c:pt idx="881">
                  <c:v>0.27730563424613958</c:v>
                </c:pt>
                <c:pt idx="882">
                  <c:v>0.27762039660056198</c:v>
                </c:pt>
                <c:pt idx="883">
                  <c:v>0.27793515895498438</c:v>
                </c:pt>
                <c:pt idx="884">
                  <c:v>0.27824992130940679</c:v>
                </c:pt>
                <c:pt idx="885">
                  <c:v>0.27856468366382919</c:v>
                </c:pt>
                <c:pt idx="886">
                  <c:v>0.2788794460182516</c:v>
                </c:pt>
                <c:pt idx="887">
                  <c:v>0.279194208372674</c:v>
                </c:pt>
                <c:pt idx="888">
                  <c:v>0.27950897072709641</c:v>
                </c:pt>
                <c:pt idx="889">
                  <c:v>0.27982373308151881</c:v>
                </c:pt>
                <c:pt idx="890">
                  <c:v>0.28013849543594121</c:v>
                </c:pt>
                <c:pt idx="891">
                  <c:v>0.28045325779036362</c:v>
                </c:pt>
                <c:pt idx="892">
                  <c:v>0.28076802014478602</c:v>
                </c:pt>
                <c:pt idx="893">
                  <c:v>0.28108278249920843</c:v>
                </c:pt>
                <c:pt idx="894">
                  <c:v>0.28139754485363083</c:v>
                </c:pt>
                <c:pt idx="895">
                  <c:v>0.28171230720805324</c:v>
                </c:pt>
                <c:pt idx="896">
                  <c:v>0.28202706956247564</c:v>
                </c:pt>
                <c:pt idx="897">
                  <c:v>0.28234183191689805</c:v>
                </c:pt>
                <c:pt idx="898">
                  <c:v>0.28265659427132045</c:v>
                </c:pt>
                <c:pt idx="899">
                  <c:v>0.28297135662574285</c:v>
                </c:pt>
                <c:pt idx="900">
                  <c:v>0.28328611898016526</c:v>
                </c:pt>
                <c:pt idx="901">
                  <c:v>0.28360088133458766</c:v>
                </c:pt>
                <c:pt idx="902">
                  <c:v>0.28391564368901007</c:v>
                </c:pt>
                <c:pt idx="903">
                  <c:v>0.28423040604343247</c:v>
                </c:pt>
                <c:pt idx="904">
                  <c:v>0.28454516839785488</c:v>
                </c:pt>
                <c:pt idx="905">
                  <c:v>0.28485993075227728</c:v>
                </c:pt>
                <c:pt idx="906">
                  <c:v>0.28517469310669968</c:v>
                </c:pt>
                <c:pt idx="907">
                  <c:v>0.28548945546112209</c:v>
                </c:pt>
                <c:pt idx="908">
                  <c:v>0.28580421781554449</c:v>
                </c:pt>
                <c:pt idx="909">
                  <c:v>0.2861189801699669</c:v>
                </c:pt>
                <c:pt idx="910">
                  <c:v>0.2864337425243893</c:v>
                </c:pt>
                <c:pt idx="911">
                  <c:v>0.28674850487881171</c:v>
                </c:pt>
                <c:pt idx="912">
                  <c:v>0.28706326723323411</c:v>
                </c:pt>
                <c:pt idx="913">
                  <c:v>0.28737802958765651</c:v>
                </c:pt>
                <c:pt idx="914">
                  <c:v>0.28769279194207892</c:v>
                </c:pt>
                <c:pt idx="915">
                  <c:v>0.28800755429650132</c:v>
                </c:pt>
                <c:pt idx="916">
                  <c:v>0.28832231665092373</c:v>
                </c:pt>
                <c:pt idx="917">
                  <c:v>0.28863707900534613</c:v>
                </c:pt>
                <c:pt idx="918">
                  <c:v>0.28895184135976854</c:v>
                </c:pt>
                <c:pt idx="919">
                  <c:v>0.28926660371419094</c:v>
                </c:pt>
                <c:pt idx="920">
                  <c:v>0.28958136606861334</c:v>
                </c:pt>
                <c:pt idx="921">
                  <c:v>0.28989612842303575</c:v>
                </c:pt>
                <c:pt idx="922">
                  <c:v>0.29021089077745815</c:v>
                </c:pt>
                <c:pt idx="923">
                  <c:v>0.29052565313188056</c:v>
                </c:pt>
                <c:pt idx="924">
                  <c:v>0.29084041548630296</c:v>
                </c:pt>
                <c:pt idx="925">
                  <c:v>0.29115517784072537</c:v>
                </c:pt>
                <c:pt idx="926">
                  <c:v>0.29146994019514777</c:v>
                </c:pt>
                <c:pt idx="927">
                  <c:v>0.29178470254957017</c:v>
                </c:pt>
                <c:pt idx="928">
                  <c:v>0.29209946490399258</c:v>
                </c:pt>
                <c:pt idx="929">
                  <c:v>0.29241422725841498</c:v>
                </c:pt>
                <c:pt idx="930">
                  <c:v>0.29272898961283739</c:v>
                </c:pt>
                <c:pt idx="931">
                  <c:v>0.29304375196725979</c:v>
                </c:pt>
                <c:pt idx="932">
                  <c:v>0.2933585143216822</c:v>
                </c:pt>
                <c:pt idx="933">
                  <c:v>0.2936732766761046</c:v>
                </c:pt>
                <c:pt idx="934">
                  <c:v>0.293988039030527</c:v>
                </c:pt>
                <c:pt idx="935">
                  <c:v>0.29430280138494941</c:v>
                </c:pt>
                <c:pt idx="936">
                  <c:v>0.29461756373937181</c:v>
                </c:pt>
                <c:pt idx="937">
                  <c:v>0.29493232609379422</c:v>
                </c:pt>
                <c:pt idx="938">
                  <c:v>0.29524708844821662</c:v>
                </c:pt>
                <c:pt idx="939">
                  <c:v>0.29556185080263903</c:v>
                </c:pt>
                <c:pt idx="940">
                  <c:v>0.29587661315706143</c:v>
                </c:pt>
                <c:pt idx="941">
                  <c:v>0.29619137551148383</c:v>
                </c:pt>
                <c:pt idx="942">
                  <c:v>0.29650613786590624</c:v>
                </c:pt>
                <c:pt idx="943">
                  <c:v>0.29682090022032864</c:v>
                </c:pt>
                <c:pt idx="944">
                  <c:v>0.29713566257475105</c:v>
                </c:pt>
                <c:pt idx="945">
                  <c:v>0.29745042492917345</c:v>
                </c:pt>
                <c:pt idx="946">
                  <c:v>0.29776518728359586</c:v>
                </c:pt>
                <c:pt idx="947">
                  <c:v>0.29807994963801826</c:v>
                </c:pt>
                <c:pt idx="948">
                  <c:v>0.29839471199244066</c:v>
                </c:pt>
                <c:pt idx="949">
                  <c:v>0.29870947434686307</c:v>
                </c:pt>
                <c:pt idx="950">
                  <c:v>0.29902423670128547</c:v>
                </c:pt>
                <c:pt idx="951">
                  <c:v>0.29933899905570788</c:v>
                </c:pt>
                <c:pt idx="952">
                  <c:v>0.29965376141013028</c:v>
                </c:pt>
                <c:pt idx="953">
                  <c:v>0.29996852376455269</c:v>
                </c:pt>
                <c:pt idx="954">
                  <c:v>0.30028328611897509</c:v>
                </c:pt>
                <c:pt idx="955">
                  <c:v>0.30059804847339749</c:v>
                </c:pt>
                <c:pt idx="956">
                  <c:v>0.3009128108278199</c:v>
                </c:pt>
                <c:pt idx="957">
                  <c:v>0.3012275731822423</c:v>
                </c:pt>
                <c:pt idx="958">
                  <c:v>0.30154233553666471</c:v>
                </c:pt>
                <c:pt idx="959">
                  <c:v>0.30185709789108711</c:v>
                </c:pt>
                <c:pt idx="960">
                  <c:v>0.30217186024550952</c:v>
                </c:pt>
                <c:pt idx="961">
                  <c:v>0.30248662259993192</c:v>
                </c:pt>
                <c:pt idx="962">
                  <c:v>0.30280138495435432</c:v>
                </c:pt>
                <c:pt idx="963">
                  <c:v>0.30311614730877673</c:v>
                </c:pt>
                <c:pt idx="964">
                  <c:v>0.30343090966319913</c:v>
                </c:pt>
                <c:pt idx="965">
                  <c:v>0.30374567201762154</c:v>
                </c:pt>
                <c:pt idx="966">
                  <c:v>0.30406043437204394</c:v>
                </c:pt>
                <c:pt idx="967">
                  <c:v>0.30437519672646635</c:v>
                </c:pt>
                <c:pt idx="968">
                  <c:v>0.30468995908088875</c:v>
                </c:pt>
                <c:pt idx="969">
                  <c:v>0.30500472143531115</c:v>
                </c:pt>
                <c:pt idx="970">
                  <c:v>0.30531948378973356</c:v>
                </c:pt>
                <c:pt idx="971">
                  <c:v>0.30563424614415596</c:v>
                </c:pt>
                <c:pt idx="972">
                  <c:v>0.30594900849857837</c:v>
                </c:pt>
                <c:pt idx="973">
                  <c:v>0.30626377085300077</c:v>
                </c:pt>
                <c:pt idx="974">
                  <c:v>0.30657853320742318</c:v>
                </c:pt>
                <c:pt idx="975">
                  <c:v>0.30689329556184558</c:v>
                </c:pt>
                <c:pt idx="976">
                  <c:v>0.30720805791626798</c:v>
                </c:pt>
                <c:pt idx="977">
                  <c:v>0.30752282027069039</c:v>
                </c:pt>
                <c:pt idx="978">
                  <c:v>0.30783758262511279</c:v>
                </c:pt>
                <c:pt idx="979">
                  <c:v>0.3081523449795352</c:v>
                </c:pt>
                <c:pt idx="980">
                  <c:v>0.3084671073339576</c:v>
                </c:pt>
                <c:pt idx="981">
                  <c:v>0.30878186968838001</c:v>
                </c:pt>
                <c:pt idx="982">
                  <c:v>0.30909663204280241</c:v>
                </c:pt>
                <c:pt idx="983">
                  <c:v>0.30941139439722481</c:v>
                </c:pt>
                <c:pt idx="984">
                  <c:v>0.30972615675164722</c:v>
                </c:pt>
                <c:pt idx="985">
                  <c:v>0.31004091910606962</c:v>
                </c:pt>
                <c:pt idx="986">
                  <c:v>0.31035568146049203</c:v>
                </c:pt>
                <c:pt idx="987">
                  <c:v>0.31067044381491443</c:v>
                </c:pt>
                <c:pt idx="988">
                  <c:v>0.31098520616933684</c:v>
                </c:pt>
                <c:pt idx="989">
                  <c:v>0.31129996852375924</c:v>
                </c:pt>
                <c:pt idx="990">
                  <c:v>0.31161473087818164</c:v>
                </c:pt>
                <c:pt idx="991">
                  <c:v>0.31192949323260405</c:v>
                </c:pt>
                <c:pt idx="992">
                  <c:v>0.31224425558702645</c:v>
                </c:pt>
                <c:pt idx="993">
                  <c:v>0.31255901794144886</c:v>
                </c:pt>
                <c:pt idx="994">
                  <c:v>0.31287378029587126</c:v>
                </c:pt>
                <c:pt idx="995">
                  <c:v>0.31318854265029367</c:v>
                </c:pt>
                <c:pt idx="996">
                  <c:v>0.31350330500471607</c:v>
                </c:pt>
                <c:pt idx="997">
                  <c:v>0.31381806735913848</c:v>
                </c:pt>
                <c:pt idx="998">
                  <c:v>0.31413282971356088</c:v>
                </c:pt>
                <c:pt idx="999">
                  <c:v>0.31444759206798328</c:v>
                </c:pt>
                <c:pt idx="1000">
                  <c:v>0.31476235442240569</c:v>
                </c:pt>
                <c:pt idx="1001">
                  <c:v>0.31507711677682809</c:v>
                </c:pt>
                <c:pt idx="1002">
                  <c:v>0.3153918791312505</c:v>
                </c:pt>
                <c:pt idx="1003">
                  <c:v>0.3157066414856729</c:v>
                </c:pt>
                <c:pt idx="1004">
                  <c:v>0.31602140384009531</c:v>
                </c:pt>
                <c:pt idx="1005">
                  <c:v>0.31633616619451771</c:v>
                </c:pt>
                <c:pt idx="1006">
                  <c:v>0.31665092854894011</c:v>
                </c:pt>
                <c:pt idx="1007">
                  <c:v>0.31696569090336252</c:v>
                </c:pt>
                <c:pt idx="1008">
                  <c:v>0.31728045325778492</c:v>
                </c:pt>
                <c:pt idx="1009">
                  <c:v>0.31759521561220733</c:v>
                </c:pt>
                <c:pt idx="1010">
                  <c:v>0.31790997796662973</c:v>
                </c:pt>
                <c:pt idx="1011">
                  <c:v>0.31822474032105214</c:v>
                </c:pt>
                <c:pt idx="1012">
                  <c:v>0.31853950267547454</c:v>
                </c:pt>
                <c:pt idx="1013">
                  <c:v>0.31885426502989694</c:v>
                </c:pt>
                <c:pt idx="1014">
                  <c:v>0.31916902738431935</c:v>
                </c:pt>
                <c:pt idx="1015">
                  <c:v>0.31948378973874175</c:v>
                </c:pt>
                <c:pt idx="1016">
                  <c:v>0.31979855209316416</c:v>
                </c:pt>
                <c:pt idx="1017">
                  <c:v>0.32011331444758656</c:v>
                </c:pt>
                <c:pt idx="1018">
                  <c:v>0.32042807680200897</c:v>
                </c:pt>
                <c:pt idx="1019">
                  <c:v>0.32074283915643137</c:v>
                </c:pt>
                <c:pt idx="1020">
                  <c:v>0.32105760151085377</c:v>
                </c:pt>
                <c:pt idx="1021">
                  <c:v>0.32137236386527618</c:v>
                </c:pt>
                <c:pt idx="1022">
                  <c:v>0.32168712621969858</c:v>
                </c:pt>
                <c:pt idx="1023">
                  <c:v>0.32200188857412099</c:v>
                </c:pt>
                <c:pt idx="1024">
                  <c:v>0.32231665092854339</c:v>
                </c:pt>
                <c:pt idx="1025">
                  <c:v>0.3226314132829658</c:v>
                </c:pt>
                <c:pt idx="1026">
                  <c:v>0.3229461756373882</c:v>
                </c:pt>
                <c:pt idx="1027">
                  <c:v>0.3232609379918106</c:v>
                </c:pt>
                <c:pt idx="1028">
                  <c:v>0.32357570034623301</c:v>
                </c:pt>
                <c:pt idx="1029">
                  <c:v>0.32389046270065541</c:v>
                </c:pt>
                <c:pt idx="1030">
                  <c:v>0.32420522505507782</c:v>
                </c:pt>
                <c:pt idx="1031">
                  <c:v>0.32451998740950022</c:v>
                </c:pt>
                <c:pt idx="1032">
                  <c:v>0.32483474976392263</c:v>
                </c:pt>
                <c:pt idx="1033">
                  <c:v>0.32514951211834503</c:v>
                </c:pt>
                <c:pt idx="1034">
                  <c:v>0.32546427447276743</c:v>
                </c:pt>
                <c:pt idx="1035">
                  <c:v>0.32577903682718984</c:v>
                </c:pt>
                <c:pt idx="1036">
                  <c:v>0.32609379918161224</c:v>
                </c:pt>
                <c:pt idx="1037">
                  <c:v>0.32640856153603465</c:v>
                </c:pt>
                <c:pt idx="1038">
                  <c:v>0.32672332389045705</c:v>
                </c:pt>
                <c:pt idx="1039">
                  <c:v>0.32703808624487946</c:v>
                </c:pt>
                <c:pt idx="1040">
                  <c:v>0.32735284859930186</c:v>
                </c:pt>
                <c:pt idx="1041">
                  <c:v>0.32766761095372426</c:v>
                </c:pt>
                <c:pt idx="1042">
                  <c:v>0.32798237330814667</c:v>
                </c:pt>
                <c:pt idx="1043">
                  <c:v>0.32829713566256907</c:v>
                </c:pt>
                <c:pt idx="1044">
                  <c:v>0.32861189801699148</c:v>
                </c:pt>
                <c:pt idx="1045">
                  <c:v>0.32892666037141388</c:v>
                </c:pt>
                <c:pt idx="1046">
                  <c:v>0.32924142272583629</c:v>
                </c:pt>
                <c:pt idx="1047">
                  <c:v>0.32955618508025869</c:v>
                </c:pt>
                <c:pt idx="1048">
                  <c:v>0.32987094743468109</c:v>
                </c:pt>
                <c:pt idx="1049">
                  <c:v>0.3301857097891035</c:v>
                </c:pt>
                <c:pt idx="1050">
                  <c:v>0.3305004721435259</c:v>
                </c:pt>
                <c:pt idx="1051">
                  <c:v>0.33081523449794831</c:v>
                </c:pt>
                <c:pt idx="1052">
                  <c:v>0.33112999685237071</c:v>
                </c:pt>
                <c:pt idx="1053">
                  <c:v>0.33144475920679312</c:v>
                </c:pt>
                <c:pt idx="1054">
                  <c:v>0.33175952156121552</c:v>
                </c:pt>
                <c:pt idx="1055">
                  <c:v>0.33207428391563792</c:v>
                </c:pt>
                <c:pt idx="1056">
                  <c:v>0.33238904627006033</c:v>
                </c:pt>
                <c:pt idx="1057">
                  <c:v>0.33270380862448273</c:v>
                </c:pt>
                <c:pt idx="1058">
                  <c:v>0.33301857097890514</c:v>
                </c:pt>
                <c:pt idx="1059">
                  <c:v>0.33333333333332754</c:v>
                </c:pt>
                <c:pt idx="1060">
                  <c:v>0.33364809568774995</c:v>
                </c:pt>
                <c:pt idx="1061">
                  <c:v>0.33396285804217235</c:v>
                </c:pt>
                <c:pt idx="1062">
                  <c:v>0.33427762039659475</c:v>
                </c:pt>
                <c:pt idx="1063">
                  <c:v>0.33459238275101716</c:v>
                </c:pt>
                <c:pt idx="1064">
                  <c:v>0.33490714510543956</c:v>
                </c:pt>
                <c:pt idx="1065">
                  <c:v>0.33522190745986197</c:v>
                </c:pt>
                <c:pt idx="1066">
                  <c:v>0.33553666981428437</c:v>
                </c:pt>
                <c:pt idx="1067">
                  <c:v>0.33585143216870678</c:v>
                </c:pt>
                <c:pt idx="1068">
                  <c:v>0.33616619452312918</c:v>
                </c:pt>
                <c:pt idx="1069">
                  <c:v>0.33648095687755158</c:v>
                </c:pt>
                <c:pt idx="1070">
                  <c:v>0.33679571923197399</c:v>
                </c:pt>
                <c:pt idx="1071">
                  <c:v>0.33711048158639639</c:v>
                </c:pt>
                <c:pt idx="1072">
                  <c:v>0.3374252439408188</c:v>
                </c:pt>
                <c:pt idx="1073">
                  <c:v>0.3377400062952412</c:v>
                </c:pt>
                <c:pt idx="1074">
                  <c:v>0.33805476864966361</c:v>
                </c:pt>
                <c:pt idx="1075">
                  <c:v>0.33836953100408601</c:v>
                </c:pt>
                <c:pt idx="1076">
                  <c:v>0.33868429335850841</c:v>
                </c:pt>
                <c:pt idx="1077">
                  <c:v>0.33899905571293082</c:v>
                </c:pt>
                <c:pt idx="1078">
                  <c:v>0.33931381806735322</c:v>
                </c:pt>
                <c:pt idx="1079">
                  <c:v>0.33962858042177563</c:v>
                </c:pt>
                <c:pt idx="1080">
                  <c:v>0.33994334277619803</c:v>
                </c:pt>
                <c:pt idx="1081">
                  <c:v>0.34025810513062044</c:v>
                </c:pt>
                <c:pt idx="1082">
                  <c:v>0.34057286748504284</c:v>
                </c:pt>
                <c:pt idx="1083">
                  <c:v>0.34088762983946524</c:v>
                </c:pt>
                <c:pt idx="1084">
                  <c:v>0.34120239219388765</c:v>
                </c:pt>
                <c:pt idx="1085">
                  <c:v>0.34151715454831005</c:v>
                </c:pt>
                <c:pt idx="1086">
                  <c:v>0.34183191690273246</c:v>
                </c:pt>
                <c:pt idx="1087">
                  <c:v>0.34214667925715486</c:v>
                </c:pt>
                <c:pt idx="1088">
                  <c:v>0.34246144161157727</c:v>
                </c:pt>
                <c:pt idx="1089">
                  <c:v>0.34277620396599967</c:v>
                </c:pt>
                <c:pt idx="1090">
                  <c:v>0.34309096632042207</c:v>
                </c:pt>
                <c:pt idx="1091">
                  <c:v>0.34340572867484448</c:v>
                </c:pt>
                <c:pt idx="1092">
                  <c:v>0.34372049102926688</c:v>
                </c:pt>
                <c:pt idx="1093">
                  <c:v>0.34403525338368929</c:v>
                </c:pt>
                <c:pt idx="1094">
                  <c:v>0.34435001573811169</c:v>
                </c:pt>
                <c:pt idx="1095">
                  <c:v>0.3446647780925341</c:v>
                </c:pt>
                <c:pt idx="1096">
                  <c:v>0.3449795404469565</c:v>
                </c:pt>
                <c:pt idx="1097">
                  <c:v>0.34529430280137891</c:v>
                </c:pt>
                <c:pt idx="1098">
                  <c:v>0.34560906515580131</c:v>
                </c:pt>
                <c:pt idx="1099">
                  <c:v>0.34592382751022371</c:v>
                </c:pt>
                <c:pt idx="1100">
                  <c:v>0.34623858986464612</c:v>
                </c:pt>
                <c:pt idx="1101">
                  <c:v>0.34655335221906852</c:v>
                </c:pt>
                <c:pt idx="1102">
                  <c:v>0.34686811457349093</c:v>
                </c:pt>
                <c:pt idx="1103">
                  <c:v>0.34718287692791333</c:v>
                </c:pt>
                <c:pt idx="1104">
                  <c:v>0.34749763928233574</c:v>
                </c:pt>
                <c:pt idx="1105">
                  <c:v>0.34781240163675814</c:v>
                </c:pt>
                <c:pt idx="1106">
                  <c:v>0.34812716399118054</c:v>
                </c:pt>
                <c:pt idx="1107">
                  <c:v>0.34844192634560295</c:v>
                </c:pt>
                <c:pt idx="1108">
                  <c:v>0.34875668870002535</c:v>
                </c:pt>
                <c:pt idx="1109">
                  <c:v>0.34907145105444776</c:v>
                </c:pt>
                <c:pt idx="1110">
                  <c:v>0.34938621340887016</c:v>
                </c:pt>
                <c:pt idx="1111">
                  <c:v>0.34970097576329257</c:v>
                </c:pt>
                <c:pt idx="1112">
                  <c:v>0.35001573811771497</c:v>
                </c:pt>
                <c:pt idx="1113">
                  <c:v>0.35033050047213737</c:v>
                </c:pt>
                <c:pt idx="1114">
                  <c:v>0.35064526282655978</c:v>
                </c:pt>
                <c:pt idx="1115">
                  <c:v>0.35096002518098218</c:v>
                </c:pt>
                <c:pt idx="1116">
                  <c:v>0.35127478753540459</c:v>
                </c:pt>
                <c:pt idx="1117">
                  <c:v>0.35158954988982699</c:v>
                </c:pt>
                <c:pt idx="1118">
                  <c:v>0.3519043122442494</c:v>
                </c:pt>
                <c:pt idx="1119">
                  <c:v>0.3522190745986718</c:v>
                </c:pt>
                <c:pt idx="1120">
                  <c:v>0.3525338369530942</c:v>
                </c:pt>
                <c:pt idx="1121">
                  <c:v>0.35284859930751661</c:v>
                </c:pt>
                <c:pt idx="1122">
                  <c:v>0.35316336166193901</c:v>
                </c:pt>
                <c:pt idx="1123">
                  <c:v>0.35347812401636142</c:v>
                </c:pt>
                <c:pt idx="1124">
                  <c:v>0.35379288637078382</c:v>
                </c:pt>
                <c:pt idx="1125">
                  <c:v>0.35410764872520623</c:v>
                </c:pt>
                <c:pt idx="1126">
                  <c:v>0.35442241107962863</c:v>
                </c:pt>
                <c:pt idx="1127">
                  <c:v>0.35473717343405103</c:v>
                </c:pt>
                <c:pt idx="1128">
                  <c:v>0.35505193578847344</c:v>
                </c:pt>
                <c:pt idx="1129">
                  <c:v>0.35536669814289584</c:v>
                </c:pt>
                <c:pt idx="1130">
                  <c:v>0.35568146049731825</c:v>
                </c:pt>
                <c:pt idx="1131">
                  <c:v>0.35599622285174065</c:v>
                </c:pt>
                <c:pt idx="1132">
                  <c:v>0.35631098520616306</c:v>
                </c:pt>
                <c:pt idx="1133">
                  <c:v>0.35662574756058546</c:v>
                </c:pt>
                <c:pt idx="1134">
                  <c:v>0.35694050991500786</c:v>
                </c:pt>
                <c:pt idx="1135">
                  <c:v>0.35725527226943027</c:v>
                </c:pt>
                <c:pt idx="1136">
                  <c:v>0.35757003462385267</c:v>
                </c:pt>
                <c:pt idx="1137">
                  <c:v>0.35788479697827508</c:v>
                </c:pt>
                <c:pt idx="1138">
                  <c:v>0.35819955933269748</c:v>
                </c:pt>
                <c:pt idx="1139">
                  <c:v>0.35851432168711989</c:v>
                </c:pt>
                <c:pt idx="1140">
                  <c:v>0.35882908404154229</c:v>
                </c:pt>
                <c:pt idx="1141">
                  <c:v>0.35914384639596469</c:v>
                </c:pt>
                <c:pt idx="1142">
                  <c:v>0.3594586087503871</c:v>
                </c:pt>
                <c:pt idx="1143">
                  <c:v>0.3597733711048095</c:v>
                </c:pt>
                <c:pt idx="1144">
                  <c:v>0.36008813345923191</c:v>
                </c:pt>
                <c:pt idx="1145">
                  <c:v>0.36040289581365431</c:v>
                </c:pt>
                <c:pt idx="1146">
                  <c:v>0.36071765816807672</c:v>
                </c:pt>
                <c:pt idx="1147">
                  <c:v>0.36103242052249912</c:v>
                </c:pt>
                <c:pt idx="1148">
                  <c:v>0.36134718287692152</c:v>
                </c:pt>
                <c:pt idx="1149">
                  <c:v>0.36166194523134393</c:v>
                </c:pt>
                <c:pt idx="1150">
                  <c:v>0.36197670758576633</c:v>
                </c:pt>
                <c:pt idx="1151">
                  <c:v>0.36229146994018874</c:v>
                </c:pt>
                <c:pt idx="1152">
                  <c:v>0.36260623229461114</c:v>
                </c:pt>
                <c:pt idx="1153">
                  <c:v>0.36292099464903355</c:v>
                </c:pt>
                <c:pt idx="1154">
                  <c:v>0.36323575700345595</c:v>
                </c:pt>
                <c:pt idx="1155">
                  <c:v>0.36355051935787835</c:v>
                </c:pt>
                <c:pt idx="1156">
                  <c:v>0.36386528171230076</c:v>
                </c:pt>
                <c:pt idx="1157">
                  <c:v>0.36418004406672316</c:v>
                </c:pt>
                <c:pt idx="1158">
                  <c:v>0.36449480642114557</c:v>
                </c:pt>
                <c:pt idx="1159">
                  <c:v>0.36480956877556797</c:v>
                </c:pt>
                <c:pt idx="1160">
                  <c:v>0.36512433112999038</c:v>
                </c:pt>
                <c:pt idx="1161">
                  <c:v>0.36543909348441278</c:v>
                </c:pt>
                <c:pt idx="1162">
                  <c:v>0.36575385583883518</c:v>
                </c:pt>
                <c:pt idx="1163">
                  <c:v>0.36606861819325759</c:v>
                </c:pt>
                <c:pt idx="1164">
                  <c:v>0.36638338054767999</c:v>
                </c:pt>
                <c:pt idx="1165">
                  <c:v>0.3666981429021024</c:v>
                </c:pt>
                <c:pt idx="1166">
                  <c:v>0.3670129052565248</c:v>
                </c:pt>
                <c:pt idx="1167">
                  <c:v>0.36732766761094721</c:v>
                </c:pt>
                <c:pt idx="1168">
                  <c:v>0.36764242996536961</c:v>
                </c:pt>
                <c:pt idx="1169">
                  <c:v>0.36795719231979201</c:v>
                </c:pt>
                <c:pt idx="1170">
                  <c:v>0.36827195467421442</c:v>
                </c:pt>
                <c:pt idx="1171">
                  <c:v>0.36858671702863682</c:v>
                </c:pt>
                <c:pt idx="1172">
                  <c:v>0.36890147938305923</c:v>
                </c:pt>
                <c:pt idx="1173">
                  <c:v>0.36921624173748163</c:v>
                </c:pt>
                <c:pt idx="1174">
                  <c:v>0.36953100409190404</c:v>
                </c:pt>
                <c:pt idx="1175">
                  <c:v>0.36984576644632644</c:v>
                </c:pt>
                <c:pt idx="1176">
                  <c:v>0.37016052880074884</c:v>
                </c:pt>
                <c:pt idx="1177">
                  <c:v>0.37047529115517125</c:v>
                </c:pt>
                <c:pt idx="1178">
                  <c:v>0.37079005350959365</c:v>
                </c:pt>
                <c:pt idx="1179">
                  <c:v>0.37110481586401606</c:v>
                </c:pt>
                <c:pt idx="1180">
                  <c:v>0.37141957821843846</c:v>
                </c:pt>
                <c:pt idx="1181">
                  <c:v>0.37173434057286087</c:v>
                </c:pt>
                <c:pt idx="1182">
                  <c:v>0.37204910292728327</c:v>
                </c:pt>
                <c:pt idx="1183">
                  <c:v>0.37236386528170567</c:v>
                </c:pt>
                <c:pt idx="1184">
                  <c:v>0.37267862763612808</c:v>
                </c:pt>
                <c:pt idx="1185">
                  <c:v>0.37299338999055048</c:v>
                </c:pt>
                <c:pt idx="1186">
                  <c:v>0.37330815234497289</c:v>
                </c:pt>
                <c:pt idx="1187">
                  <c:v>0.37362291469939529</c:v>
                </c:pt>
                <c:pt idx="1188">
                  <c:v>0.3739376770538177</c:v>
                </c:pt>
                <c:pt idx="1189">
                  <c:v>0.3742524394082401</c:v>
                </c:pt>
                <c:pt idx="1190">
                  <c:v>0.3745672017626625</c:v>
                </c:pt>
                <c:pt idx="1191">
                  <c:v>0.37488196411708491</c:v>
                </c:pt>
                <c:pt idx="1192">
                  <c:v>0.37519672647150731</c:v>
                </c:pt>
                <c:pt idx="1193">
                  <c:v>0.37551148882592972</c:v>
                </c:pt>
                <c:pt idx="1194">
                  <c:v>0.37582625118035212</c:v>
                </c:pt>
                <c:pt idx="1195">
                  <c:v>0.37614101353477453</c:v>
                </c:pt>
                <c:pt idx="1196">
                  <c:v>0.37645577588919693</c:v>
                </c:pt>
                <c:pt idx="1197">
                  <c:v>0.37677053824361934</c:v>
                </c:pt>
                <c:pt idx="1198">
                  <c:v>0.37708530059804174</c:v>
                </c:pt>
                <c:pt idx="1199">
                  <c:v>0.37740006295246414</c:v>
                </c:pt>
                <c:pt idx="1200">
                  <c:v>0.37771482530688655</c:v>
                </c:pt>
                <c:pt idx="1201">
                  <c:v>0.37802958766130895</c:v>
                </c:pt>
                <c:pt idx="1202">
                  <c:v>0.37834435001573136</c:v>
                </c:pt>
                <c:pt idx="1203">
                  <c:v>0.37865911237015376</c:v>
                </c:pt>
                <c:pt idx="1204">
                  <c:v>0.37897387472457617</c:v>
                </c:pt>
                <c:pt idx="1205">
                  <c:v>0.37928863707899857</c:v>
                </c:pt>
                <c:pt idx="1206">
                  <c:v>0.37960339943342097</c:v>
                </c:pt>
                <c:pt idx="1207">
                  <c:v>0.37991816178784338</c:v>
                </c:pt>
                <c:pt idx="1208">
                  <c:v>0.38023292414226578</c:v>
                </c:pt>
                <c:pt idx="1209">
                  <c:v>0.38054768649668819</c:v>
                </c:pt>
                <c:pt idx="1210">
                  <c:v>0.38086244885111059</c:v>
                </c:pt>
                <c:pt idx="1211">
                  <c:v>0.381177211205533</c:v>
                </c:pt>
                <c:pt idx="1212">
                  <c:v>0.3814919735599554</c:v>
                </c:pt>
                <c:pt idx="1213">
                  <c:v>0.3818067359143778</c:v>
                </c:pt>
                <c:pt idx="1214">
                  <c:v>0.38212149826880021</c:v>
                </c:pt>
                <c:pt idx="1215">
                  <c:v>0.38243626062322261</c:v>
                </c:pt>
                <c:pt idx="1216">
                  <c:v>0.38275102297764502</c:v>
                </c:pt>
                <c:pt idx="1217">
                  <c:v>0.38306578533206742</c:v>
                </c:pt>
                <c:pt idx="1218">
                  <c:v>0.38338054768648983</c:v>
                </c:pt>
                <c:pt idx="1219">
                  <c:v>0.38369531004091223</c:v>
                </c:pt>
                <c:pt idx="1220">
                  <c:v>0.38401007239533463</c:v>
                </c:pt>
                <c:pt idx="1221">
                  <c:v>0.38432483474975704</c:v>
                </c:pt>
                <c:pt idx="1222">
                  <c:v>0.38463959710417944</c:v>
                </c:pt>
                <c:pt idx="1223">
                  <c:v>0.38495435945860185</c:v>
                </c:pt>
                <c:pt idx="1224">
                  <c:v>0.38526912181302425</c:v>
                </c:pt>
                <c:pt idx="1225">
                  <c:v>0.38558388416744666</c:v>
                </c:pt>
                <c:pt idx="1226">
                  <c:v>0.38589864652186906</c:v>
                </c:pt>
                <c:pt idx="1227">
                  <c:v>0.38621340887629146</c:v>
                </c:pt>
                <c:pt idx="1228">
                  <c:v>0.38652817123071387</c:v>
                </c:pt>
                <c:pt idx="1229">
                  <c:v>0.38684293358513627</c:v>
                </c:pt>
                <c:pt idx="1230">
                  <c:v>0.38715769593955868</c:v>
                </c:pt>
                <c:pt idx="1231">
                  <c:v>0.38747245829398108</c:v>
                </c:pt>
                <c:pt idx="1232">
                  <c:v>0.38778722064840349</c:v>
                </c:pt>
                <c:pt idx="1233">
                  <c:v>0.38810198300282589</c:v>
                </c:pt>
                <c:pt idx="1234">
                  <c:v>0.38841674535724829</c:v>
                </c:pt>
                <c:pt idx="1235">
                  <c:v>0.3887315077116707</c:v>
                </c:pt>
                <c:pt idx="1236">
                  <c:v>0.3890462700660931</c:v>
                </c:pt>
                <c:pt idx="1237">
                  <c:v>0.38936103242051551</c:v>
                </c:pt>
                <c:pt idx="1238">
                  <c:v>0.38967579477493791</c:v>
                </c:pt>
                <c:pt idx="1239">
                  <c:v>0.38999055712936032</c:v>
                </c:pt>
                <c:pt idx="1240">
                  <c:v>0.39030531948378272</c:v>
                </c:pt>
                <c:pt idx="1241">
                  <c:v>0.39062008183820512</c:v>
                </c:pt>
                <c:pt idx="1242">
                  <c:v>0.39093484419262753</c:v>
                </c:pt>
                <c:pt idx="1243">
                  <c:v>0.39124960654704993</c:v>
                </c:pt>
                <c:pt idx="1244">
                  <c:v>0.39156436890147234</c:v>
                </c:pt>
                <c:pt idx="1245">
                  <c:v>0.39187913125589474</c:v>
                </c:pt>
                <c:pt idx="1246">
                  <c:v>0.39219389361031715</c:v>
                </c:pt>
                <c:pt idx="1247">
                  <c:v>0.39250865596473955</c:v>
                </c:pt>
                <c:pt idx="1248">
                  <c:v>0.39282341831916195</c:v>
                </c:pt>
                <c:pt idx="1249">
                  <c:v>0.39313818067358436</c:v>
                </c:pt>
                <c:pt idx="1250">
                  <c:v>0.39345294302800676</c:v>
                </c:pt>
                <c:pt idx="1251">
                  <c:v>0.39376770538242917</c:v>
                </c:pt>
                <c:pt idx="1252">
                  <c:v>0.39408246773685157</c:v>
                </c:pt>
                <c:pt idx="1253">
                  <c:v>0.39439723009127398</c:v>
                </c:pt>
                <c:pt idx="1254">
                  <c:v>0.39471199244569638</c:v>
                </c:pt>
                <c:pt idx="1255">
                  <c:v>0.39502675480011878</c:v>
                </c:pt>
                <c:pt idx="1256">
                  <c:v>0.39534151715454119</c:v>
                </c:pt>
                <c:pt idx="1257">
                  <c:v>0.39565627950896359</c:v>
                </c:pt>
                <c:pt idx="1258">
                  <c:v>0.395971041863386</c:v>
                </c:pt>
                <c:pt idx="1259">
                  <c:v>0.3962858042178084</c:v>
                </c:pt>
                <c:pt idx="1260">
                  <c:v>0.39660056657223081</c:v>
                </c:pt>
                <c:pt idx="1261">
                  <c:v>0.39691532892665321</c:v>
                </c:pt>
                <c:pt idx="1262">
                  <c:v>0.39723009128107561</c:v>
                </c:pt>
                <c:pt idx="1263">
                  <c:v>0.39754485363549802</c:v>
                </c:pt>
                <c:pt idx="1264">
                  <c:v>0.39785961598992042</c:v>
                </c:pt>
                <c:pt idx="1265">
                  <c:v>0.39817437834434283</c:v>
                </c:pt>
                <c:pt idx="1266">
                  <c:v>0.39848914069876523</c:v>
                </c:pt>
                <c:pt idx="1267">
                  <c:v>0.39880390305318764</c:v>
                </c:pt>
                <c:pt idx="1268">
                  <c:v>0.39911866540761004</c:v>
                </c:pt>
                <c:pt idx="1269">
                  <c:v>0.39943342776203244</c:v>
                </c:pt>
                <c:pt idx="1270">
                  <c:v>0.39974819011645485</c:v>
                </c:pt>
                <c:pt idx="1271">
                  <c:v>0.40006295247087725</c:v>
                </c:pt>
                <c:pt idx="1272">
                  <c:v>0.40037771482529966</c:v>
                </c:pt>
                <c:pt idx="1273">
                  <c:v>0.40069247717972206</c:v>
                </c:pt>
                <c:pt idx="1274">
                  <c:v>0.40100723953414447</c:v>
                </c:pt>
                <c:pt idx="1275">
                  <c:v>0.40132200188856687</c:v>
                </c:pt>
                <c:pt idx="1276">
                  <c:v>0.40163676424298927</c:v>
                </c:pt>
                <c:pt idx="1277">
                  <c:v>0.40195152659741168</c:v>
                </c:pt>
                <c:pt idx="1278">
                  <c:v>0.40226628895183408</c:v>
                </c:pt>
                <c:pt idx="1279">
                  <c:v>0.40258105130625649</c:v>
                </c:pt>
                <c:pt idx="1280">
                  <c:v>0.40289581366067889</c:v>
                </c:pt>
                <c:pt idx="1281">
                  <c:v>0.4032105760151013</c:v>
                </c:pt>
                <c:pt idx="1282">
                  <c:v>0.4035253383695237</c:v>
                </c:pt>
                <c:pt idx="1283">
                  <c:v>0.4038401007239461</c:v>
                </c:pt>
                <c:pt idx="1284">
                  <c:v>0.40415486307836851</c:v>
                </c:pt>
                <c:pt idx="1285">
                  <c:v>0.40446962543279091</c:v>
                </c:pt>
                <c:pt idx="1286">
                  <c:v>0.40478438778721332</c:v>
                </c:pt>
                <c:pt idx="1287">
                  <c:v>0.40509915014163572</c:v>
                </c:pt>
                <c:pt idx="1288">
                  <c:v>0.40541391249605813</c:v>
                </c:pt>
                <c:pt idx="1289">
                  <c:v>0.40572867485048053</c:v>
                </c:pt>
                <c:pt idx="1290">
                  <c:v>0.40604343720490294</c:v>
                </c:pt>
                <c:pt idx="1291">
                  <c:v>0.40635819955932534</c:v>
                </c:pt>
                <c:pt idx="1292">
                  <c:v>0.40667296191374774</c:v>
                </c:pt>
                <c:pt idx="1293">
                  <c:v>0.40698772426817015</c:v>
                </c:pt>
                <c:pt idx="1294">
                  <c:v>0.40730248662259255</c:v>
                </c:pt>
                <c:pt idx="1295">
                  <c:v>0.40761724897701496</c:v>
                </c:pt>
                <c:pt idx="1296">
                  <c:v>0.40793201133143736</c:v>
                </c:pt>
                <c:pt idx="1297">
                  <c:v>0.40824677368585977</c:v>
                </c:pt>
                <c:pt idx="1298">
                  <c:v>0.40856153604028217</c:v>
                </c:pt>
                <c:pt idx="1299">
                  <c:v>0.40887629839470457</c:v>
                </c:pt>
                <c:pt idx="1300">
                  <c:v>0.40919106074912698</c:v>
                </c:pt>
                <c:pt idx="1301">
                  <c:v>0.40950582310354938</c:v>
                </c:pt>
                <c:pt idx="1302">
                  <c:v>0.40982058545797179</c:v>
                </c:pt>
                <c:pt idx="1303">
                  <c:v>0.41013534781239419</c:v>
                </c:pt>
                <c:pt idx="1304">
                  <c:v>0.4104501101668166</c:v>
                </c:pt>
                <c:pt idx="1305">
                  <c:v>0.410764872521239</c:v>
                </c:pt>
                <c:pt idx="1306">
                  <c:v>0.4110796348756614</c:v>
                </c:pt>
                <c:pt idx="1307">
                  <c:v>0.41139439723008381</c:v>
                </c:pt>
                <c:pt idx="1308">
                  <c:v>0.41170915958450621</c:v>
                </c:pt>
                <c:pt idx="1309">
                  <c:v>0.41202392193892862</c:v>
                </c:pt>
                <c:pt idx="1310">
                  <c:v>0.41233868429335102</c:v>
                </c:pt>
                <c:pt idx="1311">
                  <c:v>0.41265344664777343</c:v>
                </c:pt>
                <c:pt idx="1312">
                  <c:v>0.41296820900219583</c:v>
                </c:pt>
                <c:pt idx="1313">
                  <c:v>0.41328297135661823</c:v>
                </c:pt>
                <c:pt idx="1314">
                  <c:v>0.41359773371104064</c:v>
                </c:pt>
                <c:pt idx="1315">
                  <c:v>0.41391249606546304</c:v>
                </c:pt>
                <c:pt idx="1316">
                  <c:v>0.41422725841988545</c:v>
                </c:pt>
                <c:pt idx="1317">
                  <c:v>0.41454202077430785</c:v>
                </c:pt>
                <c:pt idx="1318">
                  <c:v>0.41485678312873026</c:v>
                </c:pt>
                <c:pt idx="1319">
                  <c:v>0.41517154548315266</c:v>
                </c:pt>
                <c:pt idx="1320">
                  <c:v>0.41548630783757506</c:v>
                </c:pt>
                <c:pt idx="1321">
                  <c:v>0.41580107019199747</c:v>
                </c:pt>
                <c:pt idx="1322">
                  <c:v>0.41611583254641987</c:v>
                </c:pt>
                <c:pt idx="1323">
                  <c:v>0.41643059490084228</c:v>
                </c:pt>
                <c:pt idx="1324">
                  <c:v>0.41674535725526468</c:v>
                </c:pt>
                <c:pt idx="1325">
                  <c:v>0.41706011960968709</c:v>
                </c:pt>
                <c:pt idx="1326">
                  <c:v>0.41737488196410949</c:v>
                </c:pt>
                <c:pt idx="1327">
                  <c:v>0.41768964431853189</c:v>
                </c:pt>
                <c:pt idx="1328">
                  <c:v>0.4180044066729543</c:v>
                </c:pt>
                <c:pt idx="1329">
                  <c:v>0.4183191690273767</c:v>
                </c:pt>
                <c:pt idx="1330">
                  <c:v>0.41863393138179911</c:v>
                </c:pt>
                <c:pt idx="1331">
                  <c:v>0.41894869373622151</c:v>
                </c:pt>
                <c:pt idx="1332">
                  <c:v>0.41926345609064392</c:v>
                </c:pt>
                <c:pt idx="1333">
                  <c:v>0.41957821844506632</c:v>
                </c:pt>
                <c:pt idx="1334">
                  <c:v>0.41989298079948872</c:v>
                </c:pt>
                <c:pt idx="1335">
                  <c:v>0.42020774315391113</c:v>
                </c:pt>
                <c:pt idx="1336">
                  <c:v>0.42052250550833353</c:v>
                </c:pt>
                <c:pt idx="1337">
                  <c:v>0.42083726786275594</c:v>
                </c:pt>
                <c:pt idx="1338">
                  <c:v>0.42115203021717834</c:v>
                </c:pt>
                <c:pt idx="1339">
                  <c:v>0.42146679257160075</c:v>
                </c:pt>
                <c:pt idx="1340">
                  <c:v>0.42178155492602315</c:v>
                </c:pt>
                <c:pt idx="1341">
                  <c:v>0.42209631728044555</c:v>
                </c:pt>
                <c:pt idx="1342">
                  <c:v>0.42241107963486796</c:v>
                </c:pt>
                <c:pt idx="1343">
                  <c:v>0.42272584198929036</c:v>
                </c:pt>
                <c:pt idx="1344">
                  <c:v>0.42304060434371277</c:v>
                </c:pt>
                <c:pt idx="1345">
                  <c:v>0.42335536669813517</c:v>
                </c:pt>
                <c:pt idx="1346">
                  <c:v>0.42367012905255758</c:v>
                </c:pt>
                <c:pt idx="1347">
                  <c:v>0.42398489140697998</c:v>
                </c:pt>
                <c:pt idx="1348">
                  <c:v>0.42429965376140238</c:v>
                </c:pt>
                <c:pt idx="1349">
                  <c:v>0.42461441611582479</c:v>
                </c:pt>
                <c:pt idx="1350">
                  <c:v>0.42492917847024719</c:v>
                </c:pt>
                <c:pt idx="1351">
                  <c:v>0.4252439408246696</c:v>
                </c:pt>
                <c:pt idx="1352">
                  <c:v>0.425558703179092</c:v>
                </c:pt>
                <c:pt idx="1353">
                  <c:v>0.42587346553351441</c:v>
                </c:pt>
                <c:pt idx="1354">
                  <c:v>0.42618822788793681</c:v>
                </c:pt>
                <c:pt idx="1355">
                  <c:v>0.42650299024235921</c:v>
                </c:pt>
                <c:pt idx="1356">
                  <c:v>0.42681775259678162</c:v>
                </c:pt>
                <c:pt idx="1357">
                  <c:v>0.42713251495120402</c:v>
                </c:pt>
                <c:pt idx="1358">
                  <c:v>0.42744727730562643</c:v>
                </c:pt>
                <c:pt idx="1359">
                  <c:v>0.42776203966004883</c:v>
                </c:pt>
                <c:pt idx="1360">
                  <c:v>0.42807680201447124</c:v>
                </c:pt>
                <c:pt idx="1361">
                  <c:v>0.42839156436889364</c:v>
                </c:pt>
                <c:pt idx="1362">
                  <c:v>0.42870632672331604</c:v>
                </c:pt>
                <c:pt idx="1363">
                  <c:v>0.42902108907773845</c:v>
                </c:pt>
                <c:pt idx="1364">
                  <c:v>0.42933585143216085</c:v>
                </c:pt>
                <c:pt idx="1365">
                  <c:v>0.42965061378658326</c:v>
                </c:pt>
                <c:pt idx="1366">
                  <c:v>0.42996537614100566</c:v>
                </c:pt>
                <c:pt idx="1367">
                  <c:v>0.43028013849542807</c:v>
                </c:pt>
                <c:pt idx="1368">
                  <c:v>0.43059490084985047</c:v>
                </c:pt>
                <c:pt idx="1369">
                  <c:v>0.43090966320427287</c:v>
                </c:pt>
                <c:pt idx="1370">
                  <c:v>0.43122442555869528</c:v>
                </c:pt>
                <c:pt idx="1371">
                  <c:v>0.43153918791311768</c:v>
                </c:pt>
                <c:pt idx="1372">
                  <c:v>0.43185395026754009</c:v>
                </c:pt>
                <c:pt idx="1373">
                  <c:v>0.43216871262196249</c:v>
                </c:pt>
                <c:pt idx="1374">
                  <c:v>0.4324834749763849</c:v>
                </c:pt>
                <c:pt idx="1375">
                  <c:v>0.4327982373308073</c:v>
                </c:pt>
                <c:pt idx="1376">
                  <c:v>0.4331129996852297</c:v>
                </c:pt>
                <c:pt idx="1377">
                  <c:v>0.43342776203965211</c:v>
                </c:pt>
                <c:pt idx="1378">
                  <c:v>0.43374252439407451</c:v>
                </c:pt>
                <c:pt idx="1379">
                  <c:v>0.43405728674849692</c:v>
                </c:pt>
                <c:pt idx="1380">
                  <c:v>0.43437204910291932</c:v>
                </c:pt>
                <c:pt idx="1381">
                  <c:v>0.43468681145734173</c:v>
                </c:pt>
                <c:pt idx="1382">
                  <c:v>0.43500157381176413</c:v>
                </c:pt>
                <c:pt idx="1383">
                  <c:v>0.43531633616618653</c:v>
                </c:pt>
                <c:pt idx="1384">
                  <c:v>0.43563109852060894</c:v>
                </c:pt>
                <c:pt idx="1385">
                  <c:v>0.43594586087503134</c:v>
                </c:pt>
                <c:pt idx="1386">
                  <c:v>0.43626062322945375</c:v>
                </c:pt>
                <c:pt idx="1387">
                  <c:v>0.43657538558387615</c:v>
                </c:pt>
                <c:pt idx="1388">
                  <c:v>0.43689014793829856</c:v>
                </c:pt>
                <c:pt idx="1389">
                  <c:v>0.43720491029272096</c:v>
                </c:pt>
                <c:pt idx="1390">
                  <c:v>0.43751967264714337</c:v>
                </c:pt>
                <c:pt idx="1391">
                  <c:v>0.43783443500156577</c:v>
                </c:pt>
                <c:pt idx="1392">
                  <c:v>0.43814919735598817</c:v>
                </c:pt>
                <c:pt idx="1393">
                  <c:v>0.43846395971041058</c:v>
                </c:pt>
                <c:pt idx="1394">
                  <c:v>0.43877872206483298</c:v>
                </c:pt>
                <c:pt idx="1395">
                  <c:v>0.43909348441925539</c:v>
                </c:pt>
                <c:pt idx="1396">
                  <c:v>0.43940824677367779</c:v>
                </c:pt>
                <c:pt idx="1397">
                  <c:v>0.4397230091281002</c:v>
                </c:pt>
                <c:pt idx="1398">
                  <c:v>0.4400377714825226</c:v>
                </c:pt>
                <c:pt idx="1399">
                  <c:v>0.440352533836945</c:v>
                </c:pt>
                <c:pt idx="1400">
                  <c:v>0.44066729619136741</c:v>
                </c:pt>
                <c:pt idx="1401">
                  <c:v>0.44098205854578981</c:v>
                </c:pt>
                <c:pt idx="1402">
                  <c:v>0.44129682090021222</c:v>
                </c:pt>
                <c:pt idx="1403">
                  <c:v>0.44161158325463462</c:v>
                </c:pt>
                <c:pt idx="1404">
                  <c:v>0.44192634560905703</c:v>
                </c:pt>
                <c:pt idx="1405">
                  <c:v>0.44224110796347943</c:v>
                </c:pt>
                <c:pt idx="1406">
                  <c:v>0.44255587031790183</c:v>
                </c:pt>
                <c:pt idx="1407">
                  <c:v>0.44287063267232424</c:v>
                </c:pt>
                <c:pt idx="1408">
                  <c:v>0.44318539502674664</c:v>
                </c:pt>
                <c:pt idx="1409">
                  <c:v>0.44350015738116905</c:v>
                </c:pt>
                <c:pt idx="1410">
                  <c:v>0.44381491973559145</c:v>
                </c:pt>
                <c:pt idx="1411">
                  <c:v>0.44412968209001386</c:v>
                </c:pt>
                <c:pt idx="1412">
                  <c:v>0.44444444444443626</c:v>
                </c:pt>
                <c:pt idx="1413">
                  <c:v>0.44475920679885866</c:v>
                </c:pt>
                <c:pt idx="1414">
                  <c:v>0.44507396915328107</c:v>
                </c:pt>
                <c:pt idx="1415">
                  <c:v>0.44538873150770347</c:v>
                </c:pt>
                <c:pt idx="1416">
                  <c:v>0.44570349386212588</c:v>
                </c:pt>
                <c:pt idx="1417">
                  <c:v>0.44601825621654828</c:v>
                </c:pt>
                <c:pt idx="1418">
                  <c:v>0.44633301857097069</c:v>
                </c:pt>
                <c:pt idx="1419">
                  <c:v>0.44664778092539309</c:v>
                </c:pt>
                <c:pt idx="1420">
                  <c:v>0.44696254327981549</c:v>
                </c:pt>
                <c:pt idx="1421">
                  <c:v>0.4472773056342379</c:v>
                </c:pt>
                <c:pt idx="1422">
                  <c:v>0.4475920679886603</c:v>
                </c:pt>
                <c:pt idx="1423">
                  <c:v>0.44790683034308271</c:v>
                </c:pt>
                <c:pt idx="1424">
                  <c:v>0.44822159269750511</c:v>
                </c:pt>
                <c:pt idx="1425">
                  <c:v>0.44853635505192752</c:v>
                </c:pt>
                <c:pt idx="1426">
                  <c:v>0.44885111740634992</c:v>
                </c:pt>
                <c:pt idx="1427">
                  <c:v>0.44916587976077232</c:v>
                </c:pt>
                <c:pt idx="1428">
                  <c:v>0.44948064211519473</c:v>
                </c:pt>
                <c:pt idx="1429">
                  <c:v>0.44979540446961713</c:v>
                </c:pt>
                <c:pt idx="1430">
                  <c:v>0.45011016682403954</c:v>
                </c:pt>
                <c:pt idx="1431">
                  <c:v>0.45042492917846194</c:v>
                </c:pt>
                <c:pt idx="1432">
                  <c:v>0.45073969153288435</c:v>
                </c:pt>
                <c:pt idx="1433">
                  <c:v>0.45105445388730675</c:v>
                </c:pt>
                <c:pt idx="1434">
                  <c:v>0.45136921624172915</c:v>
                </c:pt>
                <c:pt idx="1435">
                  <c:v>0.45168397859615156</c:v>
                </c:pt>
                <c:pt idx="1436">
                  <c:v>0.45199874095057396</c:v>
                </c:pt>
                <c:pt idx="1437">
                  <c:v>0.45231350330499637</c:v>
                </c:pt>
                <c:pt idx="1438">
                  <c:v>0.45262826565941877</c:v>
                </c:pt>
                <c:pt idx="1439">
                  <c:v>0.45294302801384118</c:v>
                </c:pt>
                <c:pt idx="1440">
                  <c:v>0.45325779036826358</c:v>
                </c:pt>
                <c:pt idx="1441">
                  <c:v>0.45357255272268598</c:v>
                </c:pt>
                <c:pt idx="1442">
                  <c:v>0.45388731507710839</c:v>
                </c:pt>
                <c:pt idx="1443">
                  <c:v>0.45420207743153079</c:v>
                </c:pt>
                <c:pt idx="1444">
                  <c:v>0.4545168397859532</c:v>
                </c:pt>
                <c:pt idx="1445">
                  <c:v>0.4548316021403756</c:v>
                </c:pt>
                <c:pt idx="1446">
                  <c:v>0.45514636449479801</c:v>
                </c:pt>
                <c:pt idx="1447">
                  <c:v>0.45546112684922041</c:v>
                </c:pt>
                <c:pt idx="1448">
                  <c:v>0.45577588920364281</c:v>
                </c:pt>
                <c:pt idx="1449">
                  <c:v>0.45609065155806522</c:v>
                </c:pt>
                <c:pt idx="1450">
                  <c:v>0.45640541391248762</c:v>
                </c:pt>
                <c:pt idx="1451">
                  <c:v>0.45672017626691003</c:v>
                </c:pt>
                <c:pt idx="1452">
                  <c:v>0.45703493862133243</c:v>
                </c:pt>
                <c:pt idx="1453">
                  <c:v>0.45734970097575484</c:v>
                </c:pt>
                <c:pt idx="1454">
                  <c:v>0.45766446333017724</c:v>
                </c:pt>
                <c:pt idx="1455">
                  <c:v>0.45797922568459964</c:v>
                </c:pt>
                <c:pt idx="1456">
                  <c:v>0.45829398803902205</c:v>
                </c:pt>
                <c:pt idx="1457">
                  <c:v>0.45860875039344445</c:v>
                </c:pt>
                <c:pt idx="1458">
                  <c:v>0.45892351274786686</c:v>
                </c:pt>
                <c:pt idx="1459">
                  <c:v>0.45923827510228926</c:v>
                </c:pt>
                <c:pt idx="1460">
                  <c:v>0.45955303745671167</c:v>
                </c:pt>
                <c:pt idx="1461">
                  <c:v>0.45986779981113407</c:v>
                </c:pt>
                <c:pt idx="1462">
                  <c:v>0.46018256216555647</c:v>
                </c:pt>
                <c:pt idx="1463">
                  <c:v>0.46049732451997888</c:v>
                </c:pt>
                <c:pt idx="1464">
                  <c:v>0.46081208687440128</c:v>
                </c:pt>
                <c:pt idx="1465">
                  <c:v>0.46112684922882369</c:v>
                </c:pt>
                <c:pt idx="1466">
                  <c:v>0.46144161158324609</c:v>
                </c:pt>
                <c:pt idx="1467">
                  <c:v>0.4617563739376685</c:v>
                </c:pt>
                <c:pt idx="1468">
                  <c:v>0.4620711362920909</c:v>
                </c:pt>
                <c:pt idx="1469">
                  <c:v>0.4623858986465133</c:v>
                </c:pt>
                <c:pt idx="1470">
                  <c:v>0.46270066100093571</c:v>
                </c:pt>
                <c:pt idx="1471">
                  <c:v>0.46301542335535811</c:v>
                </c:pt>
                <c:pt idx="1472">
                  <c:v>0.46333018570978052</c:v>
                </c:pt>
                <c:pt idx="1473">
                  <c:v>0.46364494806420292</c:v>
                </c:pt>
                <c:pt idx="1474">
                  <c:v>0.46395971041862533</c:v>
                </c:pt>
                <c:pt idx="1475">
                  <c:v>0.46427447277304773</c:v>
                </c:pt>
                <c:pt idx="1476">
                  <c:v>0.46458923512747013</c:v>
                </c:pt>
                <c:pt idx="1477">
                  <c:v>0.46490399748189254</c:v>
                </c:pt>
                <c:pt idx="1478">
                  <c:v>0.46521875983631494</c:v>
                </c:pt>
                <c:pt idx="1479">
                  <c:v>0.46553352219073735</c:v>
                </c:pt>
                <c:pt idx="1480">
                  <c:v>0.46584828454515975</c:v>
                </c:pt>
                <c:pt idx="1481">
                  <c:v>0.46616304689958216</c:v>
                </c:pt>
                <c:pt idx="1482">
                  <c:v>0.46647780925400456</c:v>
                </c:pt>
                <c:pt idx="1483">
                  <c:v>0.46679257160842696</c:v>
                </c:pt>
                <c:pt idx="1484">
                  <c:v>0.46710733396284937</c:v>
                </c:pt>
                <c:pt idx="1485">
                  <c:v>0.46742209631727177</c:v>
                </c:pt>
                <c:pt idx="1486">
                  <c:v>0.46773685867169418</c:v>
                </c:pt>
                <c:pt idx="1487">
                  <c:v>0.46805162102611658</c:v>
                </c:pt>
                <c:pt idx="1488">
                  <c:v>0.46836638338053899</c:v>
                </c:pt>
                <c:pt idx="1489">
                  <c:v>0.46868114573496139</c:v>
                </c:pt>
                <c:pt idx="1490">
                  <c:v>0.4689959080893838</c:v>
                </c:pt>
                <c:pt idx="1491">
                  <c:v>0.4693106704438062</c:v>
                </c:pt>
                <c:pt idx="1492">
                  <c:v>0.4696254327982286</c:v>
                </c:pt>
                <c:pt idx="1493">
                  <c:v>0.46994019515265101</c:v>
                </c:pt>
                <c:pt idx="1494">
                  <c:v>0.47025495750707341</c:v>
                </c:pt>
                <c:pt idx="1495">
                  <c:v>0.47056971986149582</c:v>
                </c:pt>
                <c:pt idx="1496">
                  <c:v>0.47088448221591822</c:v>
                </c:pt>
                <c:pt idx="1497">
                  <c:v>0.47119924457034063</c:v>
                </c:pt>
                <c:pt idx="1498">
                  <c:v>0.47151400692476303</c:v>
                </c:pt>
                <c:pt idx="1499">
                  <c:v>0.47182876927918543</c:v>
                </c:pt>
                <c:pt idx="1500">
                  <c:v>0.47214353163360784</c:v>
                </c:pt>
                <c:pt idx="1501">
                  <c:v>0.47245829398803024</c:v>
                </c:pt>
                <c:pt idx="1502">
                  <c:v>0.47277305634245265</c:v>
                </c:pt>
                <c:pt idx="1503">
                  <c:v>0.47308781869687505</c:v>
                </c:pt>
                <c:pt idx="1504">
                  <c:v>0.47340258105129746</c:v>
                </c:pt>
                <c:pt idx="1505">
                  <c:v>0.47371734340571986</c:v>
                </c:pt>
                <c:pt idx="1506">
                  <c:v>0.47403210576014226</c:v>
                </c:pt>
                <c:pt idx="1507">
                  <c:v>0.47434686811456467</c:v>
                </c:pt>
                <c:pt idx="1508">
                  <c:v>0.47466163046898707</c:v>
                </c:pt>
                <c:pt idx="1509">
                  <c:v>0.47497639282340948</c:v>
                </c:pt>
                <c:pt idx="1510">
                  <c:v>0.47529115517783188</c:v>
                </c:pt>
                <c:pt idx="1511">
                  <c:v>0.47560591753225429</c:v>
                </c:pt>
                <c:pt idx="1512">
                  <c:v>0.47592067988667669</c:v>
                </c:pt>
                <c:pt idx="1513">
                  <c:v>0.47623544224109909</c:v>
                </c:pt>
                <c:pt idx="1514">
                  <c:v>0.4765502045955215</c:v>
                </c:pt>
                <c:pt idx="1515">
                  <c:v>0.4768649669499439</c:v>
                </c:pt>
                <c:pt idx="1516">
                  <c:v>0.47717972930436631</c:v>
                </c:pt>
                <c:pt idx="1517">
                  <c:v>0.47749449165878871</c:v>
                </c:pt>
                <c:pt idx="1518">
                  <c:v>0.47780925401321112</c:v>
                </c:pt>
                <c:pt idx="1519">
                  <c:v>0.47812401636763352</c:v>
                </c:pt>
                <c:pt idx="1520">
                  <c:v>0.47843877872205592</c:v>
                </c:pt>
                <c:pt idx="1521">
                  <c:v>0.47875354107647833</c:v>
                </c:pt>
                <c:pt idx="1522">
                  <c:v>0.47906830343090073</c:v>
                </c:pt>
                <c:pt idx="1523">
                  <c:v>0.47938306578532314</c:v>
                </c:pt>
                <c:pt idx="1524">
                  <c:v>0.47969782813974554</c:v>
                </c:pt>
                <c:pt idx="1525">
                  <c:v>0.48001259049416795</c:v>
                </c:pt>
                <c:pt idx="1526">
                  <c:v>0.48032735284859035</c:v>
                </c:pt>
                <c:pt idx="1527">
                  <c:v>0.48064211520301275</c:v>
                </c:pt>
                <c:pt idx="1528">
                  <c:v>0.48095687755743516</c:v>
                </c:pt>
                <c:pt idx="1529">
                  <c:v>0.48127163991185756</c:v>
                </c:pt>
                <c:pt idx="1530">
                  <c:v>0.48158640226627997</c:v>
                </c:pt>
                <c:pt idx="1531">
                  <c:v>0.48190116462070237</c:v>
                </c:pt>
                <c:pt idx="1532">
                  <c:v>0.48221592697512478</c:v>
                </c:pt>
                <c:pt idx="1533">
                  <c:v>0.48253068932954718</c:v>
                </c:pt>
                <c:pt idx="1534">
                  <c:v>0.48284545168396958</c:v>
                </c:pt>
                <c:pt idx="1535">
                  <c:v>0.48316021403839199</c:v>
                </c:pt>
                <c:pt idx="1536">
                  <c:v>0.48347497639281439</c:v>
                </c:pt>
                <c:pt idx="1537">
                  <c:v>0.4837897387472368</c:v>
                </c:pt>
                <c:pt idx="1538">
                  <c:v>0.4841045011016592</c:v>
                </c:pt>
                <c:pt idx="1539">
                  <c:v>0.48441926345608161</c:v>
                </c:pt>
                <c:pt idx="1540">
                  <c:v>0.48473402581050401</c:v>
                </c:pt>
                <c:pt idx="1541">
                  <c:v>0.48504878816492641</c:v>
                </c:pt>
                <c:pt idx="1542">
                  <c:v>0.48536355051934882</c:v>
                </c:pt>
                <c:pt idx="1543">
                  <c:v>0.48567831287377122</c:v>
                </c:pt>
                <c:pt idx="1544">
                  <c:v>0.48599307522819363</c:v>
                </c:pt>
                <c:pt idx="1545">
                  <c:v>0.48630783758261603</c:v>
                </c:pt>
                <c:pt idx="1546">
                  <c:v>0.48662259993703844</c:v>
                </c:pt>
                <c:pt idx="1547">
                  <c:v>0.48693736229146084</c:v>
                </c:pt>
                <c:pt idx="1548">
                  <c:v>0.48725212464588324</c:v>
                </c:pt>
                <c:pt idx="1549">
                  <c:v>0.48756688700030565</c:v>
                </c:pt>
                <c:pt idx="1550">
                  <c:v>0.48788164935472805</c:v>
                </c:pt>
                <c:pt idx="1551">
                  <c:v>0.48819641170915046</c:v>
                </c:pt>
                <c:pt idx="1552">
                  <c:v>0.48851117406357286</c:v>
                </c:pt>
                <c:pt idx="1553">
                  <c:v>0.48882593641799527</c:v>
                </c:pt>
                <c:pt idx="1554">
                  <c:v>0.48914069877241767</c:v>
                </c:pt>
                <c:pt idx="1555">
                  <c:v>0.48945546112684007</c:v>
                </c:pt>
                <c:pt idx="1556">
                  <c:v>0.48977022348126248</c:v>
                </c:pt>
                <c:pt idx="1557">
                  <c:v>0.49008498583568488</c:v>
                </c:pt>
                <c:pt idx="1558">
                  <c:v>0.49039974819010729</c:v>
                </c:pt>
                <c:pt idx="1559">
                  <c:v>0.49071451054452969</c:v>
                </c:pt>
                <c:pt idx="1560">
                  <c:v>0.4910292728989521</c:v>
                </c:pt>
                <c:pt idx="1561">
                  <c:v>0.4913440352533745</c:v>
                </c:pt>
                <c:pt idx="1562">
                  <c:v>0.4916587976077969</c:v>
                </c:pt>
                <c:pt idx="1563">
                  <c:v>0.49197355996221931</c:v>
                </c:pt>
                <c:pt idx="1564">
                  <c:v>0.49228832231664171</c:v>
                </c:pt>
                <c:pt idx="1565">
                  <c:v>0.49260308467106412</c:v>
                </c:pt>
                <c:pt idx="1566">
                  <c:v>0.49291784702548652</c:v>
                </c:pt>
                <c:pt idx="1567">
                  <c:v>0.49323260937990893</c:v>
                </c:pt>
                <c:pt idx="1568">
                  <c:v>0.49354737173433133</c:v>
                </c:pt>
                <c:pt idx="1569">
                  <c:v>0.49386213408875373</c:v>
                </c:pt>
                <c:pt idx="1570">
                  <c:v>0.49417689644317614</c:v>
                </c:pt>
                <c:pt idx="1571">
                  <c:v>0.49449165879759854</c:v>
                </c:pt>
                <c:pt idx="1572">
                  <c:v>0.49480642115202095</c:v>
                </c:pt>
                <c:pt idx="1573">
                  <c:v>0.49512118350644335</c:v>
                </c:pt>
                <c:pt idx="1574">
                  <c:v>0.49543594586086576</c:v>
                </c:pt>
                <c:pt idx="1575">
                  <c:v>0.49575070821528816</c:v>
                </c:pt>
                <c:pt idx="1576">
                  <c:v>0.49606547056971056</c:v>
                </c:pt>
                <c:pt idx="1577">
                  <c:v>0.49638023292413297</c:v>
                </c:pt>
                <c:pt idx="1578">
                  <c:v>0.49669499527855537</c:v>
                </c:pt>
                <c:pt idx="1579">
                  <c:v>0.49700975763297778</c:v>
                </c:pt>
                <c:pt idx="1580">
                  <c:v>0.49732451998740018</c:v>
                </c:pt>
                <c:pt idx="1581">
                  <c:v>0.49763928234182259</c:v>
                </c:pt>
                <c:pt idx="1582">
                  <c:v>0.49795404469624499</c:v>
                </c:pt>
                <c:pt idx="1583">
                  <c:v>0.49826880705066739</c:v>
                </c:pt>
                <c:pt idx="1584">
                  <c:v>0.4985835694050898</c:v>
                </c:pt>
                <c:pt idx="1585">
                  <c:v>0.4988983317595122</c:v>
                </c:pt>
                <c:pt idx="1586">
                  <c:v>0.49921309411393461</c:v>
                </c:pt>
                <c:pt idx="1587">
                  <c:v>0.49952785646835701</c:v>
                </c:pt>
                <c:pt idx="1588">
                  <c:v>0.49984261882277942</c:v>
                </c:pt>
                <c:pt idx="1589">
                  <c:v>0.50015738117720188</c:v>
                </c:pt>
                <c:pt idx="1590">
                  <c:v>0.50047214353162428</c:v>
                </c:pt>
                <c:pt idx="1591">
                  <c:v>0.50078690588604668</c:v>
                </c:pt>
                <c:pt idx="1592">
                  <c:v>0.50110166824046909</c:v>
                </c:pt>
                <c:pt idx="1593">
                  <c:v>0.50141643059489149</c:v>
                </c:pt>
                <c:pt idx="1594">
                  <c:v>0.5017311929493139</c:v>
                </c:pt>
                <c:pt idx="1595">
                  <c:v>0.5020459553037363</c:v>
                </c:pt>
                <c:pt idx="1596">
                  <c:v>0.50236071765815871</c:v>
                </c:pt>
                <c:pt idx="1597">
                  <c:v>0.50267548001258111</c:v>
                </c:pt>
                <c:pt idx="1598">
                  <c:v>0.50299024236700351</c:v>
                </c:pt>
                <c:pt idx="1599">
                  <c:v>0.50330500472142592</c:v>
                </c:pt>
                <c:pt idx="1600">
                  <c:v>0.50361976707584832</c:v>
                </c:pt>
                <c:pt idx="1601">
                  <c:v>0.50393452943027073</c:v>
                </c:pt>
                <c:pt idx="1602">
                  <c:v>0.50424929178469313</c:v>
                </c:pt>
                <c:pt idx="1603">
                  <c:v>0.50456405413911554</c:v>
                </c:pt>
                <c:pt idx="1604">
                  <c:v>0.50487881649353794</c:v>
                </c:pt>
                <c:pt idx="1605">
                  <c:v>0.50519357884796035</c:v>
                </c:pt>
                <c:pt idx="1606">
                  <c:v>0.50550834120238275</c:v>
                </c:pt>
                <c:pt idx="1607">
                  <c:v>0.50582310355680515</c:v>
                </c:pt>
                <c:pt idx="1608">
                  <c:v>0.50613786591122756</c:v>
                </c:pt>
                <c:pt idx="1609">
                  <c:v>0.50645262826564996</c:v>
                </c:pt>
                <c:pt idx="1610">
                  <c:v>0.50676739062007237</c:v>
                </c:pt>
                <c:pt idx="1611">
                  <c:v>0.50708215297449477</c:v>
                </c:pt>
                <c:pt idx="1612">
                  <c:v>0.50739691532891718</c:v>
                </c:pt>
                <c:pt idx="1613">
                  <c:v>0.50771167768333958</c:v>
                </c:pt>
                <c:pt idx="1614">
                  <c:v>0.50802644003776198</c:v>
                </c:pt>
                <c:pt idx="1615">
                  <c:v>0.50834120239218439</c:v>
                </c:pt>
                <c:pt idx="1616">
                  <c:v>0.50865596474660679</c:v>
                </c:pt>
                <c:pt idx="1617">
                  <c:v>0.5089707271010292</c:v>
                </c:pt>
                <c:pt idx="1618">
                  <c:v>0.5092854894554516</c:v>
                </c:pt>
                <c:pt idx="1619">
                  <c:v>0.50960025180987401</c:v>
                </c:pt>
                <c:pt idx="1620">
                  <c:v>0.50991501416429641</c:v>
                </c:pt>
                <c:pt idx="1621">
                  <c:v>0.51022977651871881</c:v>
                </c:pt>
                <c:pt idx="1622">
                  <c:v>0.51054453887314122</c:v>
                </c:pt>
                <c:pt idx="1623">
                  <c:v>0.51085930122756362</c:v>
                </c:pt>
                <c:pt idx="1624">
                  <c:v>0.51117406358198603</c:v>
                </c:pt>
                <c:pt idx="1625">
                  <c:v>0.51148882593640843</c:v>
                </c:pt>
                <c:pt idx="1626">
                  <c:v>0.51180358829083084</c:v>
                </c:pt>
                <c:pt idx="1627">
                  <c:v>0.51211835064525324</c:v>
                </c:pt>
                <c:pt idx="1628">
                  <c:v>0.51243311299967564</c:v>
                </c:pt>
                <c:pt idx="1629">
                  <c:v>0.51274787535409805</c:v>
                </c:pt>
                <c:pt idx="1630">
                  <c:v>0.51306263770852045</c:v>
                </c:pt>
                <c:pt idx="1631">
                  <c:v>0.51337740006294286</c:v>
                </c:pt>
                <c:pt idx="1632">
                  <c:v>0.51369216241736526</c:v>
                </c:pt>
                <c:pt idx="1633">
                  <c:v>0.51400692477178767</c:v>
                </c:pt>
                <c:pt idx="1634">
                  <c:v>0.51432168712621007</c:v>
                </c:pt>
                <c:pt idx="1635">
                  <c:v>0.51463644948063247</c:v>
                </c:pt>
                <c:pt idx="1636">
                  <c:v>0.51495121183505488</c:v>
                </c:pt>
                <c:pt idx="1637">
                  <c:v>0.51526597418947728</c:v>
                </c:pt>
                <c:pt idx="1638">
                  <c:v>0.51558073654389969</c:v>
                </c:pt>
                <c:pt idx="1639">
                  <c:v>0.51589549889832209</c:v>
                </c:pt>
                <c:pt idx="1640">
                  <c:v>0.5162102612527445</c:v>
                </c:pt>
                <c:pt idx="1641">
                  <c:v>0.5165250236071669</c:v>
                </c:pt>
                <c:pt idx="1642">
                  <c:v>0.5168397859615893</c:v>
                </c:pt>
                <c:pt idx="1643">
                  <c:v>0.51715454831601171</c:v>
                </c:pt>
                <c:pt idx="1644">
                  <c:v>0.51746931067043411</c:v>
                </c:pt>
                <c:pt idx="1645">
                  <c:v>0.51778407302485652</c:v>
                </c:pt>
                <c:pt idx="1646">
                  <c:v>0.51809883537927892</c:v>
                </c:pt>
                <c:pt idx="1647">
                  <c:v>0.51841359773370133</c:v>
                </c:pt>
                <c:pt idx="1648">
                  <c:v>0.51872836008812373</c:v>
                </c:pt>
                <c:pt idx="1649">
                  <c:v>0.51904312244254613</c:v>
                </c:pt>
                <c:pt idx="1650">
                  <c:v>0.51935788479696854</c:v>
                </c:pt>
                <c:pt idx="1651">
                  <c:v>0.51967264715139094</c:v>
                </c:pt>
                <c:pt idx="1652">
                  <c:v>0.51998740950581335</c:v>
                </c:pt>
                <c:pt idx="1653">
                  <c:v>0.52030217186023575</c:v>
                </c:pt>
                <c:pt idx="1654">
                  <c:v>0.52061693421465816</c:v>
                </c:pt>
                <c:pt idx="1655">
                  <c:v>0.52093169656908056</c:v>
                </c:pt>
                <c:pt idx="1656">
                  <c:v>0.52124645892350296</c:v>
                </c:pt>
                <c:pt idx="1657">
                  <c:v>0.52156122127792537</c:v>
                </c:pt>
                <c:pt idx="1658">
                  <c:v>0.52187598363234777</c:v>
                </c:pt>
                <c:pt idx="1659">
                  <c:v>0.52219074598677018</c:v>
                </c:pt>
                <c:pt idx="1660">
                  <c:v>0.52250550834119258</c:v>
                </c:pt>
                <c:pt idx="1661">
                  <c:v>0.52282027069561499</c:v>
                </c:pt>
                <c:pt idx="1662">
                  <c:v>0.52313503305003739</c:v>
                </c:pt>
                <c:pt idx="1663">
                  <c:v>0.52344979540445979</c:v>
                </c:pt>
                <c:pt idx="1664">
                  <c:v>0.5237645577588822</c:v>
                </c:pt>
                <c:pt idx="1665">
                  <c:v>0.5240793201133046</c:v>
                </c:pt>
                <c:pt idx="1666">
                  <c:v>0.52439408246772701</c:v>
                </c:pt>
                <c:pt idx="1667">
                  <c:v>0.52470884482214941</c:v>
                </c:pt>
                <c:pt idx="1668">
                  <c:v>0.52502360717657182</c:v>
                </c:pt>
                <c:pt idx="1669">
                  <c:v>0.52533836953099422</c:v>
                </c:pt>
                <c:pt idx="1670">
                  <c:v>0.52565313188541662</c:v>
                </c:pt>
                <c:pt idx="1671">
                  <c:v>0.52596789423983903</c:v>
                </c:pt>
                <c:pt idx="1672">
                  <c:v>0.52628265659426143</c:v>
                </c:pt>
                <c:pt idx="1673">
                  <c:v>0.52659741894868384</c:v>
                </c:pt>
                <c:pt idx="1674">
                  <c:v>0.52691218130310624</c:v>
                </c:pt>
                <c:pt idx="1675">
                  <c:v>0.52722694365752865</c:v>
                </c:pt>
                <c:pt idx="1676">
                  <c:v>0.52754170601195105</c:v>
                </c:pt>
                <c:pt idx="1677">
                  <c:v>0.52785646836637345</c:v>
                </c:pt>
                <c:pt idx="1678">
                  <c:v>0.52817123072079586</c:v>
                </c:pt>
                <c:pt idx="1679">
                  <c:v>0.52848599307521826</c:v>
                </c:pt>
                <c:pt idx="1680">
                  <c:v>0.52880075542964067</c:v>
                </c:pt>
                <c:pt idx="1681">
                  <c:v>0.52911551778406307</c:v>
                </c:pt>
                <c:pt idx="1682">
                  <c:v>0.52943028013848548</c:v>
                </c:pt>
                <c:pt idx="1683">
                  <c:v>0.52974504249290788</c:v>
                </c:pt>
                <c:pt idx="1684">
                  <c:v>0.53005980484733028</c:v>
                </c:pt>
                <c:pt idx="1685">
                  <c:v>0.53037456720175269</c:v>
                </c:pt>
                <c:pt idx="1686">
                  <c:v>0.53068932955617509</c:v>
                </c:pt>
                <c:pt idx="1687">
                  <c:v>0.5310040919105975</c:v>
                </c:pt>
                <c:pt idx="1688">
                  <c:v>0.5313188542650199</c:v>
                </c:pt>
                <c:pt idx="1689">
                  <c:v>0.53163361661944231</c:v>
                </c:pt>
                <c:pt idx="1690">
                  <c:v>0.53194837897386471</c:v>
                </c:pt>
                <c:pt idx="1691">
                  <c:v>0.53226314132828711</c:v>
                </c:pt>
                <c:pt idx="1692">
                  <c:v>0.53257790368270952</c:v>
                </c:pt>
                <c:pt idx="1693">
                  <c:v>0.53289266603713192</c:v>
                </c:pt>
                <c:pt idx="1694">
                  <c:v>0.53320742839155433</c:v>
                </c:pt>
                <c:pt idx="1695">
                  <c:v>0.53352219074597673</c:v>
                </c:pt>
                <c:pt idx="1696">
                  <c:v>0.53383695310039914</c:v>
                </c:pt>
                <c:pt idx="1697">
                  <c:v>0.53415171545482154</c:v>
                </c:pt>
                <c:pt idx="1698">
                  <c:v>0.53446647780924394</c:v>
                </c:pt>
                <c:pt idx="1699">
                  <c:v>0.53478124016366635</c:v>
                </c:pt>
                <c:pt idx="1700">
                  <c:v>0.53509600251808875</c:v>
                </c:pt>
                <c:pt idx="1701">
                  <c:v>0.53541076487251116</c:v>
                </c:pt>
                <c:pt idx="1702">
                  <c:v>0.53572552722693356</c:v>
                </c:pt>
                <c:pt idx="1703">
                  <c:v>0.53604028958135597</c:v>
                </c:pt>
                <c:pt idx="1704">
                  <c:v>0.53635505193577837</c:v>
                </c:pt>
                <c:pt idx="1705">
                  <c:v>0.53666981429020078</c:v>
                </c:pt>
                <c:pt idx="1706">
                  <c:v>0.53698457664462318</c:v>
                </c:pt>
                <c:pt idx="1707">
                  <c:v>0.53729933899904558</c:v>
                </c:pt>
                <c:pt idx="1708">
                  <c:v>0.53761410135346799</c:v>
                </c:pt>
                <c:pt idx="1709">
                  <c:v>0.53792886370789039</c:v>
                </c:pt>
                <c:pt idx="1710">
                  <c:v>0.5382436260623128</c:v>
                </c:pt>
                <c:pt idx="1711">
                  <c:v>0.5385583884167352</c:v>
                </c:pt>
                <c:pt idx="1712">
                  <c:v>0.53887315077115761</c:v>
                </c:pt>
                <c:pt idx="1713">
                  <c:v>0.53918791312558001</c:v>
                </c:pt>
                <c:pt idx="1714">
                  <c:v>0.53950267548000241</c:v>
                </c:pt>
                <c:pt idx="1715">
                  <c:v>0.53981743783442482</c:v>
                </c:pt>
                <c:pt idx="1716">
                  <c:v>0.54013220018884722</c:v>
                </c:pt>
                <c:pt idx="1717">
                  <c:v>0.54044696254326963</c:v>
                </c:pt>
                <c:pt idx="1718">
                  <c:v>0.54076172489769203</c:v>
                </c:pt>
                <c:pt idx="1719">
                  <c:v>0.54107648725211444</c:v>
                </c:pt>
                <c:pt idx="1720">
                  <c:v>0.54139124960653684</c:v>
                </c:pt>
                <c:pt idx="1721">
                  <c:v>0.54170601196095924</c:v>
                </c:pt>
                <c:pt idx="1722">
                  <c:v>0.54202077431538165</c:v>
                </c:pt>
                <c:pt idx="1723">
                  <c:v>0.54233553666980405</c:v>
                </c:pt>
                <c:pt idx="1724">
                  <c:v>0.54265029902422646</c:v>
                </c:pt>
                <c:pt idx="1725">
                  <c:v>0.54296506137864886</c:v>
                </c:pt>
                <c:pt idx="1726">
                  <c:v>0.54327982373307127</c:v>
                </c:pt>
                <c:pt idx="1727">
                  <c:v>0.54359458608749367</c:v>
                </c:pt>
                <c:pt idx="1728">
                  <c:v>0.54390934844191607</c:v>
                </c:pt>
                <c:pt idx="1729">
                  <c:v>0.54422411079633848</c:v>
                </c:pt>
                <c:pt idx="1730">
                  <c:v>0.54453887315076088</c:v>
                </c:pt>
                <c:pt idx="1731">
                  <c:v>0.54485363550518329</c:v>
                </c:pt>
                <c:pt idx="1732">
                  <c:v>0.54516839785960569</c:v>
                </c:pt>
                <c:pt idx="1733">
                  <c:v>0.5454831602140281</c:v>
                </c:pt>
                <c:pt idx="1734">
                  <c:v>0.5457979225684505</c:v>
                </c:pt>
                <c:pt idx="1735">
                  <c:v>0.5461126849228729</c:v>
                </c:pt>
                <c:pt idx="1736">
                  <c:v>0.54642744727729531</c:v>
                </c:pt>
                <c:pt idx="1737">
                  <c:v>0.54674220963171771</c:v>
                </c:pt>
                <c:pt idx="1738">
                  <c:v>0.54705697198614012</c:v>
                </c:pt>
                <c:pt idx="1739">
                  <c:v>0.54737173434056252</c:v>
                </c:pt>
                <c:pt idx="1740">
                  <c:v>0.54768649669498493</c:v>
                </c:pt>
                <c:pt idx="1741">
                  <c:v>0.54800125904940733</c:v>
                </c:pt>
                <c:pt idx="1742">
                  <c:v>0.54831602140382973</c:v>
                </c:pt>
                <c:pt idx="1743">
                  <c:v>0.54863078375825214</c:v>
                </c:pt>
                <c:pt idx="1744">
                  <c:v>0.54894554611267454</c:v>
                </c:pt>
                <c:pt idx="1745">
                  <c:v>0.54926030846709695</c:v>
                </c:pt>
                <c:pt idx="1746">
                  <c:v>0.54957507082151935</c:v>
                </c:pt>
                <c:pt idx="1747">
                  <c:v>0.54988983317594176</c:v>
                </c:pt>
                <c:pt idx="1748">
                  <c:v>0.55020459553036416</c:v>
                </c:pt>
                <c:pt idx="1749">
                  <c:v>0.55051935788478656</c:v>
                </c:pt>
                <c:pt idx="1750">
                  <c:v>0.55083412023920897</c:v>
                </c:pt>
                <c:pt idx="1751">
                  <c:v>0.55114888259363137</c:v>
                </c:pt>
                <c:pt idx="1752">
                  <c:v>0.55146364494805378</c:v>
                </c:pt>
                <c:pt idx="1753">
                  <c:v>0.55177840730247618</c:v>
                </c:pt>
                <c:pt idx="1754">
                  <c:v>0.55209316965689859</c:v>
                </c:pt>
                <c:pt idx="1755">
                  <c:v>0.55240793201132099</c:v>
                </c:pt>
                <c:pt idx="1756">
                  <c:v>0.55272269436574339</c:v>
                </c:pt>
                <c:pt idx="1757">
                  <c:v>0.5530374567201658</c:v>
                </c:pt>
                <c:pt idx="1758">
                  <c:v>0.5533522190745882</c:v>
                </c:pt>
                <c:pt idx="1759">
                  <c:v>0.55366698142901061</c:v>
                </c:pt>
                <c:pt idx="1760">
                  <c:v>0.55398174378343301</c:v>
                </c:pt>
                <c:pt idx="1761">
                  <c:v>0.55429650613785542</c:v>
                </c:pt>
                <c:pt idx="1762">
                  <c:v>0.55461126849227782</c:v>
                </c:pt>
                <c:pt idx="1763">
                  <c:v>0.55492603084670022</c:v>
                </c:pt>
                <c:pt idx="1764">
                  <c:v>0.55524079320112263</c:v>
                </c:pt>
                <c:pt idx="1765">
                  <c:v>0.55555555555554503</c:v>
                </c:pt>
                <c:pt idx="1766">
                  <c:v>0.55587031790996744</c:v>
                </c:pt>
                <c:pt idx="1767">
                  <c:v>0.55618508026438984</c:v>
                </c:pt>
                <c:pt idx="1768">
                  <c:v>0.55649984261881225</c:v>
                </c:pt>
                <c:pt idx="1769">
                  <c:v>0.55681460497323465</c:v>
                </c:pt>
                <c:pt idx="1770">
                  <c:v>0.55712936732765705</c:v>
                </c:pt>
                <c:pt idx="1771">
                  <c:v>0.55744412968207946</c:v>
                </c:pt>
                <c:pt idx="1772">
                  <c:v>0.55775889203650186</c:v>
                </c:pt>
                <c:pt idx="1773">
                  <c:v>0.55807365439092427</c:v>
                </c:pt>
                <c:pt idx="1774">
                  <c:v>0.55838841674534667</c:v>
                </c:pt>
                <c:pt idx="1775">
                  <c:v>0.55870317909976908</c:v>
                </c:pt>
                <c:pt idx="1776">
                  <c:v>0.55901794145419148</c:v>
                </c:pt>
                <c:pt idx="1777">
                  <c:v>0.55933270380861388</c:v>
                </c:pt>
                <c:pt idx="1778">
                  <c:v>0.55964746616303629</c:v>
                </c:pt>
                <c:pt idx="1779">
                  <c:v>0.55996222851745869</c:v>
                </c:pt>
                <c:pt idx="1780">
                  <c:v>0.5602769908718811</c:v>
                </c:pt>
                <c:pt idx="1781">
                  <c:v>0.5605917532263035</c:v>
                </c:pt>
                <c:pt idx="1782">
                  <c:v>0.56090651558072591</c:v>
                </c:pt>
                <c:pt idx="1783">
                  <c:v>0.56122127793514831</c:v>
                </c:pt>
                <c:pt idx="1784">
                  <c:v>0.56153604028957071</c:v>
                </c:pt>
                <c:pt idx="1785">
                  <c:v>0.56185080264399312</c:v>
                </c:pt>
                <c:pt idx="1786">
                  <c:v>0.56216556499841552</c:v>
                </c:pt>
                <c:pt idx="1787">
                  <c:v>0.56248032735283793</c:v>
                </c:pt>
                <c:pt idx="1788">
                  <c:v>0.56279508970726033</c:v>
                </c:pt>
                <c:pt idx="1789">
                  <c:v>0.56310985206168274</c:v>
                </c:pt>
                <c:pt idx="1790">
                  <c:v>0.56342461441610514</c:v>
                </c:pt>
                <c:pt idx="1791">
                  <c:v>0.56373937677052754</c:v>
                </c:pt>
                <c:pt idx="1792">
                  <c:v>0.56405413912494995</c:v>
                </c:pt>
                <c:pt idx="1793">
                  <c:v>0.56436890147937235</c:v>
                </c:pt>
                <c:pt idx="1794">
                  <c:v>0.56468366383379476</c:v>
                </c:pt>
                <c:pt idx="1795">
                  <c:v>0.56499842618821716</c:v>
                </c:pt>
                <c:pt idx="1796">
                  <c:v>0.56531318854263957</c:v>
                </c:pt>
                <c:pt idx="1797">
                  <c:v>0.56562795089706197</c:v>
                </c:pt>
                <c:pt idx="1798">
                  <c:v>0.56594271325148438</c:v>
                </c:pt>
                <c:pt idx="1799">
                  <c:v>0.56625747560590678</c:v>
                </c:pt>
                <c:pt idx="1800">
                  <c:v>0.56657223796032918</c:v>
                </c:pt>
                <c:pt idx="1801">
                  <c:v>0.56688700031475159</c:v>
                </c:pt>
                <c:pt idx="1802">
                  <c:v>0.56720176266917399</c:v>
                </c:pt>
                <c:pt idx="1803">
                  <c:v>0.5675165250235964</c:v>
                </c:pt>
                <c:pt idx="1804">
                  <c:v>0.5678312873780188</c:v>
                </c:pt>
                <c:pt idx="1805">
                  <c:v>0.56814604973244121</c:v>
                </c:pt>
                <c:pt idx="1806">
                  <c:v>0.56846081208686361</c:v>
                </c:pt>
                <c:pt idx="1807">
                  <c:v>0.56877557444128601</c:v>
                </c:pt>
                <c:pt idx="1808">
                  <c:v>0.56909033679570842</c:v>
                </c:pt>
                <c:pt idx="1809">
                  <c:v>0.56940509915013082</c:v>
                </c:pt>
                <c:pt idx="1810">
                  <c:v>0.56971986150455323</c:v>
                </c:pt>
                <c:pt idx="1811">
                  <c:v>0.57003462385897563</c:v>
                </c:pt>
                <c:pt idx="1812">
                  <c:v>0.57034938621339804</c:v>
                </c:pt>
                <c:pt idx="1813">
                  <c:v>0.57066414856782044</c:v>
                </c:pt>
                <c:pt idx="1814">
                  <c:v>0.57097891092224284</c:v>
                </c:pt>
                <c:pt idx="1815">
                  <c:v>0.57129367327666525</c:v>
                </c:pt>
                <c:pt idx="1816">
                  <c:v>0.57160843563108765</c:v>
                </c:pt>
                <c:pt idx="1817">
                  <c:v>0.57192319798551006</c:v>
                </c:pt>
                <c:pt idx="1818">
                  <c:v>0.57223796033993246</c:v>
                </c:pt>
                <c:pt idx="1819">
                  <c:v>0.57255272269435487</c:v>
                </c:pt>
                <c:pt idx="1820">
                  <c:v>0.57286748504877727</c:v>
                </c:pt>
                <c:pt idx="1821">
                  <c:v>0.57318224740319967</c:v>
                </c:pt>
                <c:pt idx="1822">
                  <c:v>0.57349700975762208</c:v>
                </c:pt>
                <c:pt idx="1823">
                  <c:v>0.57381177211204448</c:v>
                </c:pt>
                <c:pt idx="1824">
                  <c:v>0.57412653446646689</c:v>
                </c:pt>
                <c:pt idx="1825">
                  <c:v>0.57444129682088929</c:v>
                </c:pt>
                <c:pt idx="1826">
                  <c:v>0.5747560591753117</c:v>
                </c:pt>
                <c:pt idx="1827">
                  <c:v>0.5750708215297341</c:v>
                </c:pt>
                <c:pt idx="1828">
                  <c:v>0.5753855838841565</c:v>
                </c:pt>
                <c:pt idx="1829">
                  <c:v>0.57570034623857891</c:v>
                </c:pt>
                <c:pt idx="1830">
                  <c:v>0.57601510859300131</c:v>
                </c:pt>
                <c:pt idx="1831">
                  <c:v>0.57632987094742372</c:v>
                </c:pt>
                <c:pt idx="1832">
                  <c:v>0.57664463330184612</c:v>
                </c:pt>
                <c:pt idx="1833">
                  <c:v>0.57695939565626853</c:v>
                </c:pt>
                <c:pt idx="1834">
                  <c:v>0.57727415801069093</c:v>
                </c:pt>
                <c:pt idx="1835">
                  <c:v>0.57758892036511333</c:v>
                </c:pt>
                <c:pt idx="1836">
                  <c:v>0.57790368271953574</c:v>
                </c:pt>
                <c:pt idx="1837">
                  <c:v>0.57821844507395814</c:v>
                </c:pt>
                <c:pt idx="1838">
                  <c:v>0.57853320742838055</c:v>
                </c:pt>
                <c:pt idx="1839">
                  <c:v>0.57884796978280295</c:v>
                </c:pt>
                <c:pt idx="1840">
                  <c:v>0.57916273213722536</c:v>
                </c:pt>
                <c:pt idx="1841">
                  <c:v>0.57947749449164776</c:v>
                </c:pt>
                <c:pt idx="1842">
                  <c:v>0.57979225684607016</c:v>
                </c:pt>
                <c:pt idx="1843">
                  <c:v>0.58010701920049257</c:v>
                </c:pt>
                <c:pt idx="1844">
                  <c:v>0.58042178155491497</c:v>
                </c:pt>
                <c:pt idx="1845">
                  <c:v>0.58073654390933738</c:v>
                </c:pt>
                <c:pt idx="1846">
                  <c:v>0.58105130626375978</c:v>
                </c:pt>
                <c:pt idx="1847">
                  <c:v>0.58136606861818219</c:v>
                </c:pt>
                <c:pt idx="1848">
                  <c:v>0.58168083097260459</c:v>
                </c:pt>
                <c:pt idx="1849">
                  <c:v>0.58199559332702699</c:v>
                </c:pt>
                <c:pt idx="1850">
                  <c:v>0.5823103556814494</c:v>
                </c:pt>
                <c:pt idx="1851">
                  <c:v>0.5826251180358718</c:v>
                </c:pt>
                <c:pt idx="1852">
                  <c:v>0.58293988039029421</c:v>
                </c:pt>
                <c:pt idx="1853">
                  <c:v>0.58325464274471661</c:v>
                </c:pt>
                <c:pt idx="1854">
                  <c:v>0.58356940509913902</c:v>
                </c:pt>
                <c:pt idx="1855">
                  <c:v>0.58388416745356142</c:v>
                </c:pt>
                <c:pt idx="1856">
                  <c:v>0.58419892980798382</c:v>
                </c:pt>
                <c:pt idx="1857">
                  <c:v>0.58451369216240623</c:v>
                </c:pt>
                <c:pt idx="1858">
                  <c:v>0.58482845451682863</c:v>
                </c:pt>
                <c:pt idx="1859">
                  <c:v>0.58514321687125104</c:v>
                </c:pt>
                <c:pt idx="1860">
                  <c:v>0.58545797922567344</c:v>
                </c:pt>
                <c:pt idx="1861">
                  <c:v>0.58577274158009585</c:v>
                </c:pt>
                <c:pt idx="1862">
                  <c:v>0.58608750393451825</c:v>
                </c:pt>
                <c:pt idx="1863">
                  <c:v>0.58640226628894065</c:v>
                </c:pt>
                <c:pt idx="1864">
                  <c:v>0.58671702864336306</c:v>
                </c:pt>
                <c:pt idx="1865">
                  <c:v>0.58703179099778546</c:v>
                </c:pt>
                <c:pt idx="1866">
                  <c:v>0.58734655335220787</c:v>
                </c:pt>
                <c:pt idx="1867">
                  <c:v>0.58766131570663027</c:v>
                </c:pt>
                <c:pt idx="1868">
                  <c:v>0.58797607806105268</c:v>
                </c:pt>
                <c:pt idx="1869">
                  <c:v>0.58829084041547508</c:v>
                </c:pt>
                <c:pt idx="1870">
                  <c:v>0.58860560276989748</c:v>
                </c:pt>
                <c:pt idx="1871">
                  <c:v>0.58892036512431989</c:v>
                </c:pt>
                <c:pt idx="1872">
                  <c:v>0.58923512747874229</c:v>
                </c:pt>
                <c:pt idx="1873">
                  <c:v>0.5895498898331647</c:v>
                </c:pt>
                <c:pt idx="1874">
                  <c:v>0.5898646521875871</c:v>
                </c:pt>
                <c:pt idx="1875">
                  <c:v>0.59017941454200951</c:v>
                </c:pt>
                <c:pt idx="1876">
                  <c:v>0.59049417689643191</c:v>
                </c:pt>
                <c:pt idx="1877">
                  <c:v>0.59080893925085431</c:v>
                </c:pt>
                <c:pt idx="1878">
                  <c:v>0.59112370160527672</c:v>
                </c:pt>
                <c:pt idx="1879">
                  <c:v>0.59143846395969912</c:v>
                </c:pt>
                <c:pt idx="1880">
                  <c:v>0.59175322631412153</c:v>
                </c:pt>
                <c:pt idx="1881">
                  <c:v>0.59206798866854393</c:v>
                </c:pt>
                <c:pt idx="1882">
                  <c:v>0.59238275102296634</c:v>
                </c:pt>
                <c:pt idx="1883">
                  <c:v>0.59269751337738874</c:v>
                </c:pt>
                <c:pt idx="1884">
                  <c:v>0.59301227573181114</c:v>
                </c:pt>
                <c:pt idx="1885">
                  <c:v>0.59332703808623355</c:v>
                </c:pt>
                <c:pt idx="1886">
                  <c:v>0.59364180044065595</c:v>
                </c:pt>
                <c:pt idx="1887">
                  <c:v>0.59395656279507836</c:v>
                </c:pt>
                <c:pt idx="1888">
                  <c:v>0.59427132514950076</c:v>
                </c:pt>
                <c:pt idx="1889">
                  <c:v>0.59458608750392317</c:v>
                </c:pt>
                <c:pt idx="1890">
                  <c:v>0.59490084985834557</c:v>
                </c:pt>
                <c:pt idx="1891">
                  <c:v>0.59521561221276797</c:v>
                </c:pt>
                <c:pt idx="1892">
                  <c:v>0.59553037456719038</c:v>
                </c:pt>
                <c:pt idx="1893">
                  <c:v>0.59584513692161278</c:v>
                </c:pt>
                <c:pt idx="1894">
                  <c:v>0.59615989927603519</c:v>
                </c:pt>
                <c:pt idx="1895">
                  <c:v>0.59647466163045759</c:v>
                </c:pt>
                <c:pt idx="1896">
                  <c:v>0.59678942398488</c:v>
                </c:pt>
                <c:pt idx="1897">
                  <c:v>0.5971041863393024</c:v>
                </c:pt>
                <c:pt idx="1898">
                  <c:v>0.59741894869372481</c:v>
                </c:pt>
                <c:pt idx="1899">
                  <c:v>0.59773371104814721</c:v>
                </c:pt>
                <c:pt idx="1900">
                  <c:v>0.59804847340256961</c:v>
                </c:pt>
                <c:pt idx="1901">
                  <c:v>0.59836323575699202</c:v>
                </c:pt>
                <c:pt idx="1902">
                  <c:v>0.59867799811141442</c:v>
                </c:pt>
                <c:pt idx="1903">
                  <c:v>0.59899276046583683</c:v>
                </c:pt>
                <c:pt idx="1904">
                  <c:v>0.59930752282025923</c:v>
                </c:pt>
                <c:pt idx="1905">
                  <c:v>0.59962228517468164</c:v>
                </c:pt>
                <c:pt idx="1906">
                  <c:v>0.59993704752910404</c:v>
                </c:pt>
                <c:pt idx="1907">
                  <c:v>0.60025180988352644</c:v>
                </c:pt>
                <c:pt idx="1908">
                  <c:v>0.60056657223794885</c:v>
                </c:pt>
                <c:pt idx="1909">
                  <c:v>0.60088133459237125</c:v>
                </c:pt>
                <c:pt idx="1910">
                  <c:v>0.60119609694679366</c:v>
                </c:pt>
                <c:pt idx="1911">
                  <c:v>0.60151085930121606</c:v>
                </c:pt>
                <c:pt idx="1912">
                  <c:v>0.60182562165563847</c:v>
                </c:pt>
                <c:pt idx="1913">
                  <c:v>0.60214038401006087</c:v>
                </c:pt>
                <c:pt idx="1914">
                  <c:v>0.60245514636448327</c:v>
                </c:pt>
                <c:pt idx="1915">
                  <c:v>0.60276990871890568</c:v>
                </c:pt>
                <c:pt idx="1916">
                  <c:v>0.60308467107332808</c:v>
                </c:pt>
                <c:pt idx="1917">
                  <c:v>0.60339943342775049</c:v>
                </c:pt>
                <c:pt idx="1918">
                  <c:v>0.60371419578217289</c:v>
                </c:pt>
                <c:pt idx="1919">
                  <c:v>0.6040289581365953</c:v>
                </c:pt>
                <c:pt idx="1920">
                  <c:v>0.6043437204910177</c:v>
                </c:pt>
                <c:pt idx="1921">
                  <c:v>0.6046584828454401</c:v>
                </c:pt>
                <c:pt idx="1922">
                  <c:v>0.60497324519986251</c:v>
                </c:pt>
                <c:pt idx="1923">
                  <c:v>0.60528800755428491</c:v>
                </c:pt>
                <c:pt idx="1924">
                  <c:v>0.60560276990870732</c:v>
                </c:pt>
                <c:pt idx="1925">
                  <c:v>0.60591753226312972</c:v>
                </c:pt>
                <c:pt idx="1926">
                  <c:v>0.60623229461755213</c:v>
                </c:pt>
                <c:pt idx="1927">
                  <c:v>0.60654705697197453</c:v>
                </c:pt>
                <c:pt idx="1928">
                  <c:v>0.60686181932639693</c:v>
                </c:pt>
                <c:pt idx="1929">
                  <c:v>0.60717658168081934</c:v>
                </c:pt>
                <c:pt idx="1930">
                  <c:v>0.60749134403524174</c:v>
                </c:pt>
                <c:pt idx="1931">
                  <c:v>0.60780610638966415</c:v>
                </c:pt>
                <c:pt idx="1932">
                  <c:v>0.60812086874408655</c:v>
                </c:pt>
                <c:pt idx="1933">
                  <c:v>0.60843563109850896</c:v>
                </c:pt>
                <c:pt idx="1934">
                  <c:v>0.60875039345293136</c:v>
                </c:pt>
                <c:pt idx="1935">
                  <c:v>0.60906515580735376</c:v>
                </c:pt>
                <c:pt idx="1936">
                  <c:v>0.60937991816177617</c:v>
                </c:pt>
                <c:pt idx="1937">
                  <c:v>0.60969468051619857</c:v>
                </c:pt>
                <c:pt idx="1938">
                  <c:v>0.61000944287062098</c:v>
                </c:pt>
                <c:pt idx="1939">
                  <c:v>0.61032420522504338</c:v>
                </c:pt>
                <c:pt idx="1940">
                  <c:v>0.61063896757946579</c:v>
                </c:pt>
                <c:pt idx="1941">
                  <c:v>0.61095372993388819</c:v>
                </c:pt>
                <c:pt idx="1942">
                  <c:v>0.61126849228831059</c:v>
                </c:pt>
                <c:pt idx="1943">
                  <c:v>0.611583254642733</c:v>
                </c:pt>
                <c:pt idx="1944">
                  <c:v>0.6118980169971554</c:v>
                </c:pt>
                <c:pt idx="1945">
                  <c:v>0.61221277935157781</c:v>
                </c:pt>
                <c:pt idx="1946">
                  <c:v>0.61252754170600021</c:v>
                </c:pt>
                <c:pt idx="1947">
                  <c:v>0.61284230406042262</c:v>
                </c:pt>
                <c:pt idx="1948">
                  <c:v>0.61315706641484502</c:v>
                </c:pt>
                <c:pt idx="1949">
                  <c:v>0.61347182876926742</c:v>
                </c:pt>
                <c:pt idx="1950">
                  <c:v>0.61378659112368983</c:v>
                </c:pt>
                <c:pt idx="1951">
                  <c:v>0.61410135347811223</c:v>
                </c:pt>
                <c:pt idx="1952">
                  <c:v>0.61441611583253464</c:v>
                </c:pt>
                <c:pt idx="1953">
                  <c:v>0.61473087818695704</c:v>
                </c:pt>
                <c:pt idx="1954">
                  <c:v>0.61504564054137945</c:v>
                </c:pt>
                <c:pt idx="1955">
                  <c:v>0.61536040289580185</c:v>
                </c:pt>
                <c:pt idx="1956">
                  <c:v>0.61567516525022425</c:v>
                </c:pt>
                <c:pt idx="1957">
                  <c:v>0.61598992760464666</c:v>
                </c:pt>
                <c:pt idx="1958">
                  <c:v>0.61630468995906906</c:v>
                </c:pt>
                <c:pt idx="1959">
                  <c:v>0.61661945231349147</c:v>
                </c:pt>
                <c:pt idx="1960">
                  <c:v>0.61693421466791387</c:v>
                </c:pt>
                <c:pt idx="1961">
                  <c:v>0.61724897702233628</c:v>
                </c:pt>
                <c:pt idx="1962">
                  <c:v>0.61756373937675868</c:v>
                </c:pt>
                <c:pt idx="1963">
                  <c:v>0.61787850173118108</c:v>
                </c:pt>
                <c:pt idx="1964">
                  <c:v>0.61819326408560349</c:v>
                </c:pt>
                <c:pt idx="1965">
                  <c:v>0.61850802644002589</c:v>
                </c:pt>
                <c:pt idx="1966">
                  <c:v>0.6188227887944483</c:v>
                </c:pt>
                <c:pt idx="1967">
                  <c:v>0.6191375511488707</c:v>
                </c:pt>
                <c:pt idx="1968">
                  <c:v>0.61945231350329311</c:v>
                </c:pt>
                <c:pt idx="1969">
                  <c:v>0.61976707585771551</c:v>
                </c:pt>
                <c:pt idx="1970">
                  <c:v>0.62008183821213791</c:v>
                </c:pt>
                <c:pt idx="1971">
                  <c:v>0.62039660056656032</c:v>
                </c:pt>
                <c:pt idx="1972">
                  <c:v>0.62071136292098272</c:v>
                </c:pt>
                <c:pt idx="1973">
                  <c:v>0.62102612527540513</c:v>
                </c:pt>
                <c:pt idx="1974">
                  <c:v>0.62134088762982753</c:v>
                </c:pt>
                <c:pt idx="1975">
                  <c:v>0.62165564998424994</c:v>
                </c:pt>
                <c:pt idx="1976">
                  <c:v>0.62197041233867234</c:v>
                </c:pt>
                <c:pt idx="1977">
                  <c:v>0.62228517469309474</c:v>
                </c:pt>
                <c:pt idx="1978">
                  <c:v>0.62259993704751715</c:v>
                </c:pt>
                <c:pt idx="1979">
                  <c:v>0.62291469940193955</c:v>
                </c:pt>
                <c:pt idx="1980">
                  <c:v>0.62322946175636196</c:v>
                </c:pt>
                <c:pt idx="1981">
                  <c:v>0.62354422411078436</c:v>
                </c:pt>
                <c:pt idx="1982">
                  <c:v>0.62385898646520677</c:v>
                </c:pt>
                <c:pt idx="1983">
                  <c:v>0.62417374881962917</c:v>
                </c:pt>
                <c:pt idx="1984">
                  <c:v>0.62448851117405157</c:v>
                </c:pt>
                <c:pt idx="1985">
                  <c:v>0.62480327352847398</c:v>
                </c:pt>
                <c:pt idx="1986">
                  <c:v>0.62511803588289638</c:v>
                </c:pt>
                <c:pt idx="1987">
                  <c:v>0.62543279823731879</c:v>
                </c:pt>
                <c:pt idx="1988">
                  <c:v>0.62574756059174119</c:v>
                </c:pt>
                <c:pt idx="1989">
                  <c:v>0.6260623229461636</c:v>
                </c:pt>
                <c:pt idx="1990">
                  <c:v>0.626377085300586</c:v>
                </c:pt>
                <c:pt idx="1991">
                  <c:v>0.6266918476550084</c:v>
                </c:pt>
                <c:pt idx="1992">
                  <c:v>0.62700661000943081</c:v>
                </c:pt>
                <c:pt idx="1993">
                  <c:v>0.62732137236385321</c:v>
                </c:pt>
                <c:pt idx="1994">
                  <c:v>0.62763613471827562</c:v>
                </c:pt>
                <c:pt idx="1995">
                  <c:v>0.62795089707269802</c:v>
                </c:pt>
                <c:pt idx="1996">
                  <c:v>0.62826565942712043</c:v>
                </c:pt>
                <c:pt idx="1997">
                  <c:v>0.62858042178154283</c:v>
                </c:pt>
                <c:pt idx="1998">
                  <c:v>0.62889518413596524</c:v>
                </c:pt>
                <c:pt idx="1999">
                  <c:v>0.62920994649038764</c:v>
                </c:pt>
                <c:pt idx="2000">
                  <c:v>0.62952470884481004</c:v>
                </c:pt>
                <c:pt idx="2001">
                  <c:v>0.62983947119923245</c:v>
                </c:pt>
                <c:pt idx="2002">
                  <c:v>0.63015423355365485</c:v>
                </c:pt>
                <c:pt idx="2003">
                  <c:v>0.63046899590807726</c:v>
                </c:pt>
                <c:pt idx="2004">
                  <c:v>0.63078375826249966</c:v>
                </c:pt>
                <c:pt idx="2005">
                  <c:v>0.63109852061692207</c:v>
                </c:pt>
                <c:pt idx="2006">
                  <c:v>0.63141328297134447</c:v>
                </c:pt>
                <c:pt idx="2007">
                  <c:v>0.63172804532576687</c:v>
                </c:pt>
                <c:pt idx="2008">
                  <c:v>0.63204280768018928</c:v>
                </c:pt>
                <c:pt idx="2009">
                  <c:v>0.63235757003461168</c:v>
                </c:pt>
                <c:pt idx="2010">
                  <c:v>0.63267233238903409</c:v>
                </c:pt>
                <c:pt idx="2011">
                  <c:v>0.63298709474345649</c:v>
                </c:pt>
                <c:pt idx="2012">
                  <c:v>0.6333018570978789</c:v>
                </c:pt>
                <c:pt idx="2013">
                  <c:v>0.6336166194523013</c:v>
                </c:pt>
                <c:pt idx="2014">
                  <c:v>0.6339313818067237</c:v>
                </c:pt>
                <c:pt idx="2015">
                  <c:v>0.63424614416114611</c:v>
                </c:pt>
                <c:pt idx="2016">
                  <c:v>0.63456090651556851</c:v>
                </c:pt>
                <c:pt idx="2017">
                  <c:v>0.63487566886999092</c:v>
                </c:pt>
                <c:pt idx="2018">
                  <c:v>0.63519043122441332</c:v>
                </c:pt>
                <c:pt idx="2019">
                  <c:v>0.63550519357883573</c:v>
                </c:pt>
                <c:pt idx="2020">
                  <c:v>0.63581995593325813</c:v>
                </c:pt>
                <c:pt idx="2021">
                  <c:v>0.63613471828768053</c:v>
                </c:pt>
                <c:pt idx="2022">
                  <c:v>0.63644948064210294</c:v>
                </c:pt>
                <c:pt idx="2023">
                  <c:v>0.63676424299652534</c:v>
                </c:pt>
                <c:pt idx="2024">
                  <c:v>0.63707900535094775</c:v>
                </c:pt>
                <c:pt idx="2025">
                  <c:v>0.63739376770537015</c:v>
                </c:pt>
                <c:pt idx="2026">
                  <c:v>0.63770853005979256</c:v>
                </c:pt>
                <c:pt idx="2027">
                  <c:v>0.63802329241421496</c:v>
                </c:pt>
                <c:pt idx="2028">
                  <c:v>0.63833805476863736</c:v>
                </c:pt>
                <c:pt idx="2029">
                  <c:v>0.63865281712305977</c:v>
                </c:pt>
                <c:pt idx="2030">
                  <c:v>0.63896757947748217</c:v>
                </c:pt>
                <c:pt idx="2031">
                  <c:v>0.63928234183190458</c:v>
                </c:pt>
                <c:pt idx="2032">
                  <c:v>0.63959710418632698</c:v>
                </c:pt>
                <c:pt idx="2033">
                  <c:v>0.63991186654074939</c:v>
                </c:pt>
                <c:pt idx="2034">
                  <c:v>0.64022662889517179</c:v>
                </c:pt>
                <c:pt idx="2035">
                  <c:v>0.64054139124959419</c:v>
                </c:pt>
                <c:pt idx="2036">
                  <c:v>0.6408561536040166</c:v>
                </c:pt>
                <c:pt idx="2037">
                  <c:v>0.641170915958439</c:v>
                </c:pt>
                <c:pt idx="2038">
                  <c:v>0.64148567831286141</c:v>
                </c:pt>
                <c:pt idx="2039">
                  <c:v>0.64180044066728381</c:v>
                </c:pt>
                <c:pt idx="2040">
                  <c:v>0.64211520302170622</c:v>
                </c:pt>
                <c:pt idx="2041">
                  <c:v>0.64242996537612862</c:v>
                </c:pt>
                <c:pt idx="2042">
                  <c:v>0.64274472773055102</c:v>
                </c:pt>
                <c:pt idx="2043">
                  <c:v>0.64305949008497343</c:v>
                </c:pt>
                <c:pt idx="2044">
                  <c:v>0.64337425243939583</c:v>
                </c:pt>
                <c:pt idx="2045">
                  <c:v>0.64368901479381824</c:v>
                </c:pt>
                <c:pt idx="2046">
                  <c:v>0.64400377714824064</c:v>
                </c:pt>
                <c:pt idx="2047">
                  <c:v>0.64431853950266305</c:v>
                </c:pt>
                <c:pt idx="2048">
                  <c:v>0.64463330185708545</c:v>
                </c:pt>
                <c:pt idx="2049">
                  <c:v>0.64494806421150785</c:v>
                </c:pt>
                <c:pt idx="2050">
                  <c:v>0.64526282656593026</c:v>
                </c:pt>
                <c:pt idx="2051">
                  <c:v>0.64557758892035266</c:v>
                </c:pt>
                <c:pt idx="2052">
                  <c:v>0.64589235127477507</c:v>
                </c:pt>
                <c:pt idx="2053">
                  <c:v>0.64620711362919747</c:v>
                </c:pt>
                <c:pt idx="2054">
                  <c:v>0.64652187598361988</c:v>
                </c:pt>
                <c:pt idx="2055">
                  <c:v>0.64683663833804228</c:v>
                </c:pt>
                <c:pt idx="2056">
                  <c:v>0.64715140069246468</c:v>
                </c:pt>
                <c:pt idx="2057">
                  <c:v>0.64746616304688709</c:v>
                </c:pt>
                <c:pt idx="2058">
                  <c:v>0.64778092540130949</c:v>
                </c:pt>
                <c:pt idx="2059">
                  <c:v>0.6480956877557319</c:v>
                </c:pt>
                <c:pt idx="2060">
                  <c:v>0.6484104501101543</c:v>
                </c:pt>
                <c:pt idx="2061">
                  <c:v>0.64872521246457671</c:v>
                </c:pt>
                <c:pt idx="2062">
                  <c:v>0.64903997481899911</c:v>
                </c:pt>
                <c:pt idx="2063">
                  <c:v>0.64935473717342151</c:v>
                </c:pt>
                <c:pt idx="2064">
                  <c:v>0.64966949952784392</c:v>
                </c:pt>
                <c:pt idx="2065">
                  <c:v>0.64998426188226632</c:v>
                </c:pt>
                <c:pt idx="2066">
                  <c:v>0.65029902423668873</c:v>
                </c:pt>
                <c:pt idx="2067">
                  <c:v>0.65061378659111113</c:v>
                </c:pt>
                <c:pt idx="2068">
                  <c:v>0.65092854894553354</c:v>
                </c:pt>
                <c:pt idx="2069">
                  <c:v>0.65124331129995594</c:v>
                </c:pt>
                <c:pt idx="2070">
                  <c:v>0.65155807365437834</c:v>
                </c:pt>
                <c:pt idx="2071">
                  <c:v>0.65187283600880075</c:v>
                </c:pt>
                <c:pt idx="2072">
                  <c:v>0.65218759836322315</c:v>
                </c:pt>
                <c:pt idx="2073">
                  <c:v>0.65250236071764556</c:v>
                </c:pt>
                <c:pt idx="2074">
                  <c:v>0.65281712307206796</c:v>
                </c:pt>
                <c:pt idx="2075">
                  <c:v>0.65313188542649037</c:v>
                </c:pt>
                <c:pt idx="2076">
                  <c:v>0.65344664778091277</c:v>
                </c:pt>
                <c:pt idx="2077">
                  <c:v>0.65376141013533517</c:v>
                </c:pt>
                <c:pt idx="2078">
                  <c:v>0.65407617248975758</c:v>
                </c:pt>
                <c:pt idx="2079">
                  <c:v>0.65439093484417998</c:v>
                </c:pt>
                <c:pt idx="2080">
                  <c:v>0.65470569719860239</c:v>
                </c:pt>
                <c:pt idx="2081">
                  <c:v>0.65502045955302479</c:v>
                </c:pt>
                <c:pt idx="2082">
                  <c:v>0.6553352219074472</c:v>
                </c:pt>
                <c:pt idx="2083">
                  <c:v>0.6556499842618696</c:v>
                </c:pt>
                <c:pt idx="2084">
                  <c:v>0.655964746616292</c:v>
                </c:pt>
                <c:pt idx="2085">
                  <c:v>0.65627950897071441</c:v>
                </c:pt>
                <c:pt idx="2086">
                  <c:v>0.65659427132513681</c:v>
                </c:pt>
                <c:pt idx="2087">
                  <c:v>0.65690903367955922</c:v>
                </c:pt>
                <c:pt idx="2088">
                  <c:v>0.65722379603398162</c:v>
                </c:pt>
                <c:pt idx="2089">
                  <c:v>0.65753855838840403</c:v>
                </c:pt>
                <c:pt idx="2090">
                  <c:v>0.65785332074282643</c:v>
                </c:pt>
                <c:pt idx="2091">
                  <c:v>0.65816808309724883</c:v>
                </c:pt>
                <c:pt idx="2092">
                  <c:v>0.65848284545167124</c:v>
                </c:pt>
                <c:pt idx="2093">
                  <c:v>0.65879760780609364</c:v>
                </c:pt>
                <c:pt idx="2094">
                  <c:v>0.65911237016051605</c:v>
                </c:pt>
                <c:pt idx="2095">
                  <c:v>0.65942713251493845</c:v>
                </c:pt>
                <c:pt idx="2096">
                  <c:v>0.65974189486936086</c:v>
                </c:pt>
                <c:pt idx="2097">
                  <c:v>0.66005665722378326</c:v>
                </c:pt>
                <c:pt idx="2098">
                  <c:v>0.66037141957820567</c:v>
                </c:pt>
                <c:pt idx="2099">
                  <c:v>0.66068618193262807</c:v>
                </c:pt>
                <c:pt idx="2100">
                  <c:v>0.66100094428705047</c:v>
                </c:pt>
                <c:pt idx="2101">
                  <c:v>0.66131570664147288</c:v>
                </c:pt>
                <c:pt idx="2102">
                  <c:v>0.66163046899589528</c:v>
                </c:pt>
                <c:pt idx="2103">
                  <c:v>0.66194523135031769</c:v>
                </c:pt>
                <c:pt idx="2104">
                  <c:v>0.66225999370474009</c:v>
                </c:pt>
                <c:pt idx="2105">
                  <c:v>0.6625747560591625</c:v>
                </c:pt>
                <c:pt idx="2106">
                  <c:v>0.6628895184135849</c:v>
                </c:pt>
                <c:pt idx="2107">
                  <c:v>0.6632042807680073</c:v>
                </c:pt>
                <c:pt idx="2108">
                  <c:v>0.66351904312242971</c:v>
                </c:pt>
                <c:pt idx="2109">
                  <c:v>0.66383380547685211</c:v>
                </c:pt>
                <c:pt idx="2110">
                  <c:v>0.66414856783127452</c:v>
                </c:pt>
                <c:pt idx="2111">
                  <c:v>0.66446333018569692</c:v>
                </c:pt>
                <c:pt idx="2112">
                  <c:v>0.66477809254011933</c:v>
                </c:pt>
                <c:pt idx="2113">
                  <c:v>0.66509285489454173</c:v>
                </c:pt>
                <c:pt idx="2114">
                  <c:v>0.66540761724896413</c:v>
                </c:pt>
                <c:pt idx="2115">
                  <c:v>0.66572237960338654</c:v>
                </c:pt>
                <c:pt idx="2116">
                  <c:v>0.66603714195780894</c:v>
                </c:pt>
                <c:pt idx="2117">
                  <c:v>0.66635190431223135</c:v>
                </c:pt>
                <c:pt idx="2118">
                  <c:v>0.66666666666665375</c:v>
                </c:pt>
                <c:pt idx="2119">
                  <c:v>0.66698142902107616</c:v>
                </c:pt>
                <c:pt idx="2120">
                  <c:v>0.66729619137549856</c:v>
                </c:pt>
                <c:pt idx="2121">
                  <c:v>0.66761095372992096</c:v>
                </c:pt>
                <c:pt idx="2122">
                  <c:v>0.66792571608434337</c:v>
                </c:pt>
                <c:pt idx="2123">
                  <c:v>0.66824047843876577</c:v>
                </c:pt>
                <c:pt idx="2124">
                  <c:v>0.66855524079318818</c:v>
                </c:pt>
                <c:pt idx="2125">
                  <c:v>0.66887000314761058</c:v>
                </c:pt>
                <c:pt idx="2126">
                  <c:v>0.66918476550203299</c:v>
                </c:pt>
                <c:pt idx="2127">
                  <c:v>0.66949952785645539</c:v>
                </c:pt>
                <c:pt idx="2128">
                  <c:v>0.66981429021087779</c:v>
                </c:pt>
                <c:pt idx="2129">
                  <c:v>0.6701290525653002</c:v>
                </c:pt>
                <c:pt idx="2130">
                  <c:v>0.6704438149197226</c:v>
                </c:pt>
                <c:pt idx="2131">
                  <c:v>0.67075857727414501</c:v>
                </c:pt>
                <c:pt idx="2132">
                  <c:v>0.67107333962856741</c:v>
                </c:pt>
                <c:pt idx="2133">
                  <c:v>0.67138810198298982</c:v>
                </c:pt>
                <c:pt idx="2134">
                  <c:v>0.67170286433741222</c:v>
                </c:pt>
                <c:pt idx="2135">
                  <c:v>0.67201762669183462</c:v>
                </c:pt>
                <c:pt idx="2136">
                  <c:v>0.67233238904625703</c:v>
                </c:pt>
                <c:pt idx="2137">
                  <c:v>0.67264715140067943</c:v>
                </c:pt>
                <c:pt idx="2138">
                  <c:v>0.67296191375510184</c:v>
                </c:pt>
                <c:pt idx="2139">
                  <c:v>0.67327667610952424</c:v>
                </c:pt>
                <c:pt idx="2140">
                  <c:v>0.67359143846394665</c:v>
                </c:pt>
                <c:pt idx="2141">
                  <c:v>0.67390620081836905</c:v>
                </c:pt>
                <c:pt idx="2142">
                  <c:v>0.67422096317279145</c:v>
                </c:pt>
                <c:pt idx="2143">
                  <c:v>0.67453572552721386</c:v>
                </c:pt>
                <c:pt idx="2144">
                  <c:v>0.67485048788163626</c:v>
                </c:pt>
                <c:pt idx="2145">
                  <c:v>0.67516525023605867</c:v>
                </c:pt>
                <c:pt idx="2146">
                  <c:v>0.67548001259048107</c:v>
                </c:pt>
                <c:pt idx="2147">
                  <c:v>0.67579477494490348</c:v>
                </c:pt>
                <c:pt idx="2148">
                  <c:v>0.67610953729932588</c:v>
                </c:pt>
                <c:pt idx="2149">
                  <c:v>0.67642429965374828</c:v>
                </c:pt>
                <c:pt idx="2150">
                  <c:v>0.67673906200817069</c:v>
                </c:pt>
                <c:pt idx="2151">
                  <c:v>0.67705382436259309</c:v>
                </c:pt>
                <c:pt idx="2152">
                  <c:v>0.6773685867170155</c:v>
                </c:pt>
                <c:pt idx="2153">
                  <c:v>0.6776833490714379</c:v>
                </c:pt>
                <c:pt idx="2154">
                  <c:v>0.67799811142586031</c:v>
                </c:pt>
                <c:pt idx="2155">
                  <c:v>0.67831287378028271</c:v>
                </c:pt>
                <c:pt idx="2156">
                  <c:v>0.67862763613470511</c:v>
                </c:pt>
                <c:pt idx="2157">
                  <c:v>0.67894239848912752</c:v>
                </c:pt>
                <c:pt idx="2158">
                  <c:v>0.67925716084354992</c:v>
                </c:pt>
                <c:pt idx="2159">
                  <c:v>0.67957192319797233</c:v>
                </c:pt>
                <c:pt idx="2160">
                  <c:v>0.67988668555239473</c:v>
                </c:pt>
                <c:pt idx="2161">
                  <c:v>0.68020144790681714</c:v>
                </c:pt>
                <c:pt idx="2162">
                  <c:v>0.68051621026123954</c:v>
                </c:pt>
                <c:pt idx="2163">
                  <c:v>0.68083097261566194</c:v>
                </c:pt>
                <c:pt idx="2164">
                  <c:v>0.68114573497008435</c:v>
                </c:pt>
                <c:pt idx="2165">
                  <c:v>0.68146049732450675</c:v>
                </c:pt>
                <c:pt idx="2166">
                  <c:v>0.68177525967892916</c:v>
                </c:pt>
                <c:pt idx="2167">
                  <c:v>0.68209002203335156</c:v>
                </c:pt>
                <c:pt idx="2168">
                  <c:v>0.68240478438777397</c:v>
                </c:pt>
                <c:pt idx="2169">
                  <c:v>0.68271954674219637</c:v>
                </c:pt>
                <c:pt idx="2170">
                  <c:v>0.68303430909661877</c:v>
                </c:pt>
                <c:pt idx="2171">
                  <c:v>0.68334907145104118</c:v>
                </c:pt>
                <c:pt idx="2172">
                  <c:v>0.68366383380546358</c:v>
                </c:pt>
                <c:pt idx="2173">
                  <c:v>0.68397859615988599</c:v>
                </c:pt>
                <c:pt idx="2174">
                  <c:v>0.68429335851430839</c:v>
                </c:pt>
                <c:pt idx="2175">
                  <c:v>0.6846081208687308</c:v>
                </c:pt>
                <c:pt idx="2176">
                  <c:v>0.6849228832231532</c:v>
                </c:pt>
                <c:pt idx="2177">
                  <c:v>0.6852376455775756</c:v>
                </c:pt>
                <c:pt idx="2178">
                  <c:v>0.68555240793199801</c:v>
                </c:pt>
                <c:pt idx="2179">
                  <c:v>0.68586717028642041</c:v>
                </c:pt>
                <c:pt idx="2180">
                  <c:v>0.68618193264084282</c:v>
                </c:pt>
                <c:pt idx="2181">
                  <c:v>0.68649669499526522</c:v>
                </c:pt>
                <c:pt idx="2182">
                  <c:v>0.68681145734968763</c:v>
                </c:pt>
                <c:pt idx="2183">
                  <c:v>0.68712621970411003</c:v>
                </c:pt>
                <c:pt idx="2184">
                  <c:v>0.68744098205853243</c:v>
                </c:pt>
                <c:pt idx="2185">
                  <c:v>0.68775574441295484</c:v>
                </c:pt>
                <c:pt idx="2186">
                  <c:v>0.68807050676737724</c:v>
                </c:pt>
                <c:pt idx="2187">
                  <c:v>0.68838526912179965</c:v>
                </c:pt>
                <c:pt idx="2188">
                  <c:v>0.68870003147622205</c:v>
                </c:pt>
                <c:pt idx="2189">
                  <c:v>0.68901479383064446</c:v>
                </c:pt>
                <c:pt idx="2190">
                  <c:v>0.68932955618506686</c:v>
                </c:pt>
                <c:pt idx="2191">
                  <c:v>0.68964431853948926</c:v>
                </c:pt>
                <c:pt idx="2192">
                  <c:v>0.68995908089391167</c:v>
                </c:pt>
                <c:pt idx="2193">
                  <c:v>0.69027384324833407</c:v>
                </c:pt>
                <c:pt idx="2194">
                  <c:v>0.69058860560275648</c:v>
                </c:pt>
                <c:pt idx="2195">
                  <c:v>0.69090336795717888</c:v>
                </c:pt>
                <c:pt idx="2196">
                  <c:v>0.69121813031160129</c:v>
                </c:pt>
                <c:pt idx="2197">
                  <c:v>0.69153289266602369</c:v>
                </c:pt>
                <c:pt idx="2198">
                  <c:v>0.6918476550204461</c:v>
                </c:pt>
                <c:pt idx="2199">
                  <c:v>0.6921624173748685</c:v>
                </c:pt>
                <c:pt idx="2200">
                  <c:v>0.6924771797292909</c:v>
                </c:pt>
                <c:pt idx="2201">
                  <c:v>0.69279194208371331</c:v>
                </c:pt>
                <c:pt idx="2202">
                  <c:v>0.69310670443813571</c:v>
                </c:pt>
                <c:pt idx="2203">
                  <c:v>0.69342146679255812</c:v>
                </c:pt>
                <c:pt idx="2204">
                  <c:v>0.69373622914698052</c:v>
                </c:pt>
                <c:pt idx="2205">
                  <c:v>0.69405099150140293</c:v>
                </c:pt>
                <c:pt idx="2206">
                  <c:v>0.69436575385582533</c:v>
                </c:pt>
                <c:pt idx="2207">
                  <c:v>0.69468051621024773</c:v>
                </c:pt>
                <c:pt idx="2208">
                  <c:v>0.69499527856467014</c:v>
                </c:pt>
                <c:pt idx="2209">
                  <c:v>0.69531004091909254</c:v>
                </c:pt>
                <c:pt idx="2210">
                  <c:v>0.69562480327351495</c:v>
                </c:pt>
                <c:pt idx="2211">
                  <c:v>0.69593956562793735</c:v>
                </c:pt>
                <c:pt idx="2212">
                  <c:v>0.69625432798235976</c:v>
                </c:pt>
                <c:pt idx="2213">
                  <c:v>0.69656909033678216</c:v>
                </c:pt>
                <c:pt idx="2214">
                  <c:v>0.69688385269120456</c:v>
                </c:pt>
                <c:pt idx="2215">
                  <c:v>0.69719861504562697</c:v>
                </c:pt>
                <c:pt idx="2216">
                  <c:v>0.69751337740004937</c:v>
                </c:pt>
                <c:pt idx="2217">
                  <c:v>0.69782813975447178</c:v>
                </c:pt>
                <c:pt idx="2218">
                  <c:v>0.69814290210889418</c:v>
                </c:pt>
                <c:pt idx="2219">
                  <c:v>0.69845766446331659</c:v>
                </c:pt>
                <c:pt idx="2220">
                  <c:v>0.69877242681773899</c:v>
                </c:pt>
                <c:pt idx="2221">
                  <c:v>0.69908718917216139</c:v>
                </c:pt>
                <c:pt idx="2222">
                  <c:v>0.6994019515265838</c:v>
                </c:pt>
                <c:pt idx="2223">
                  <c:v>0.6997167138810062</c:v>
                </c:pt>
                <c:pt idx="2224">
                  <c:v>0.70003147623542861</c:v>
                </c:pt>
                <c:pt idx="2225">
                  <c:v>0.70034623858985101</c:v>
                </c:pt>
                <c:pt idx="2226">
                  <c:v>0.70066100094427342</c:v>
                </c:pt>
                <c:pt idx="2227">
                  <c:v>0.70097576329869582</c:v>
                </c:pt>
                <c:pt idx="2228">
                  <c:v>0.70129052565311822</c:v>
                </c:pt>
                <c:pt idx="2229">
                  <c:v>0.70160528800754063</c:v>
                </c:pt>
                <c:pt idx="2230">
                  <c:v>0.70192005036196303</c:v>
                </c:pt>
                <c:pt idx="2231">
                  <c:v>0.70223481271638544</c:v>
                </c:pt>
                <c:pt idx="2232">
                  <c:v>0.70254957507080784</c:v>
                </c:pt>
                <c:pt idx="2233">
                  <c:v>0.70286433742523025</c:v>
                </c:pt>
                <c:pt idx="2234">
                  <c:v>0.70317909977965265</c:v>
                </c:pt>
                <c:pt idx="2235">
                  <c:v>0.70349386213407505</c:v>
                </c:pt>
                <c:pt idx="2236">
                  <c:v>0.70380862448849746</c:v>
                </c:pt>
                <c:pt idx="2237">
                  <c:v>0.70412338684291986</c:v>
                </c:pt>
                <c:pt idx="2238">
                  <c:v>0.70443814919734227</c:v>
                </c:pt>
                <c:pt idx="2239">
                  <c:v>0.70475291155176467</c:v>
                </c:pt>
                <c:pt idx="2240">
                  <c:v>0.70506767390618708</c:v>
                </c:pt>
                <c:pt idx="2241">
                  <c:v>0.70538243626060948</c:v>
                </c:pt>
                <c:pt idx="2242">
                  <c:v>0.70569719861503188</c:v>
                </c:pt>
                <c:pt idx="2243">
                  <c:v>0.70601196096945429</c:v>
                </c:pt>
                <c:pt idx="2244">
                  <c:v>0.70632672332387669</c:v>
                </c:pt>
                <c:pt idx="2245">
                  <c:v>0.7066414856782991</c:v>
                </c:pt>
                <c:pt idx="2246">
                  <c:v>0.7069562480327215</c:v>
                </c:pt>
                <c:pt idx="2247">
                  <c:v>0.70727101038714391</c:v>
                </c:pt>
                <c:pt idx="2248">
                  <c:v>0.70758577274156631</c:v>
                </c:pt>
                <c:pt idx="2249">
                  <c:v>0.70790053509598871</c:v>
                </c:pt>
                <c:pt idx="2250">
                  <c:v>0.70821529745041112</c:v>
                </c:pt>
                <c:pt idx="2251">
                  <c:v>0.70853005980483352</c:v>
                </c:pt>
                <c:pt idx="2252">
                  <c:v>0.70884482215925593</c:v>
                </c:pt>
                <c:pt idx="2253">
                  <c:v>0.70915958451367833</c:v>
                </c:pt>
                <c:pt idx="2254">
                  <c:v>0.70947434686810074</c:v>
                </c:pt>
                <c:pt idx="2255">
                  <c:v>0.70978910922252314</c:v>
                </c:pt>
                <c:pt idx="2256">
                  <c:v>0.71010387157694554</c:v>
                </c:pt>
                <c:pt idx="2257">
                  <c:v>0.71041863393136795</c:v>
                </c:pt>
                <c:pt idx="2258">
                  <c:v>0.71073339628579035</c:v>
                </c:pt>
                <c:pt idx="2259">
                  <c:v>0.71104815864021276</c:v>
                </c:pt>
                <c:pt idx="2260">
                  <c:v>0.71136292099463516</c:v>
                </c:pt>
                <c:pt idx="2261">
                  <c:v>0.71167768334905757</c:v>
                </c:pt>
                <c:pt idx="2262">
                  <c:v>0.71199244570347997</c:v>
                </c:pt>
                <c:pt idx="2263">
                  <c:v>0.71230720805790237</c:v>
                </c:pt>
                <c:pt idx="2264">
                  <c:v>0.71262197041232478</c:v>
                </c:pt>
                <c:pt idx="2265">
                  <c:v>0.71293673276674718</c:v>
                </c:pt>
                <c:pt idx="2266">
                  <c:v>0.71325149512116959</c:v>
                </c:pt>
                <c:pt idx="2267">
                  <c:v>0.71356625747559199</c:v>
                </c:pt>
                <c:pt idx="2268">
                  <c:v>0.7138810198300144</c:v>
                </c:pt>
                <c:pt idx="2269">
                  <c:v>0.7141957821844368</c:v>
                </c:pt>
                <c:pt idx="2270">
                  <c:v>0.7145105445388592</c:v>
                </c:pt>
                <c:pt idx="2271">
                  <c:v>0.71482530689328161</c:v>
                </c:pt>
                <c:pt idx="2272">
                  <c:v>0.71514006924770401</c:v>
                </c:pt>
                <c:pt idx="2273">
                  <c:v>0.71545483160212642</c:v>
                </c:pt>
                <c:pt idx="2274">
                  <c:v>0.71576959395654882</c:v>
                </c:pt>
                <c:pt idx="2275">
                  <c:v>0.71608435631097123</c:v>
                </c:pt>
                <c:pt idx="2276">
                  <c:v>0.71639911866539363</c:v>
                </c:pt>
                <c:pt idx="2277">
                  <c:v>0.71671388101981603</c:v>
                </c:pt>
                <c:pt idx="2278">
                  <c:v>0.71702864337423844</c:v>
                </c:pt>
                <c:pt idx="2279">
                  <c:v>0.71734340572866084</c:v>
                </c:pt>
                <c:pt idx="2280">
                  <c:v>0.71765816808308325</c:v>
                </c:pt>
                <c:pt idx="2281">
                  <c:v>0.71797293043750565</c:v>
                </c:pt>
                <c:pt idx="2282">
                  <c:v>0.71828769279192806</c:v>
                </c:pt>
                <c:pt idx="2283">
                  <c:v>0.71860245514635046</c:v>
                </c:pt>
                <c:pt idx="2284">
                  <c:v>0.71891721750077286</c:v>
                </c:pt>
                <c:pt idx="2285">
                  <c:v>0.71923197985519527</c:v>
                </c:pt>
                <c:pt idx="2286">
                  <c:v>0.71954674220961767</c:v>
                </c:pt>
                <c:pt idx="2287">
                  <c:v>0.71986150456404008</c:v>
                </c:pt>
                <c:pt idx="2288">
                  <c:v>0.72017626691846248</c:v>
                </c:pt>
                <c:pt idx="2289">
                  <c:v>0.72049102927288489</c:v>
                </c:pt>
                <c:pt idx="2290">
                  <c:v>0.72080579162730729</c:v>
                </c:pt>
                <c:pt idx="2291">
                  <c:v>0.7211205539817297</c:v>
                </c:pt>
                <c:pt idx="2292">
                  <c:v>0.7214353163361521</c:v>
                </c:pt>
                <c:pt idx="2293">
                  <c:v>0.7217500786905745</c:v>
                </c:pt>
                <c:pt idx="2294">
                  <c:v>0.72206484104499691</c:v>
                </c:pt>
                <c:pt idx="2295">
                  <c:v>0.72237960339941931</c:v>
                </c:pt>
                <c:pt idx="2296">
                  <c:v>0.72269436575384172</c:v>
                </c:pt>
                <c:pt idx="2297">
                  <c:v>0.72300912810826412</c:v>
                </c:pt>
                <c:pt idx="2298">
                  <c:v>0.72332389046268653</c:v>
                </c:pt>
                <c:pt idx="2299">
                  <c:v>0.72363865281710893</c:v>
                </c:pt>
                <c:pt idx="2300">
                  <c:v>0.72395341517153133</c:v>
                </c:pt>
                <c:pt idx="2301">
                  <c:v>0.72426817752595374</c:v>
                </c:pt>
                <c:pt idx="2302">
                  <c:v>0.72458293988037614</c:v>
                </c:pt>
                <c:pt idx="2303">
                  <c:v>0.72489770223479855</c:v>
                </c:pt>
                <c:pt idx="2304">
                  <c:v>0.72521246458922095</c:v>
                </c:pt>
                <c:pt idx="2305">
                  <c:v>0.72552722694364336</c:v>
                </c:pt>
                <c:pt idx="2306">
                  <c:v>0.72584198929806576</c:v>
                </c:pt>
                <c:pt idx="2307">
                  <c:v>0.72615675165248816</c:v>
                </c:pt>
                <c:pt idx="2308">
                  <c:v>0.72647151400691057</c:v>
                </c:pt>
                <c:pt idx="2309">
                  <c:v>0.72678627636133297</c:v>
                </c:pt>
                <c:pt idx="2310">
                  <c:v>0.72710103871575538</c:v>
                </c:pt>
                <c:pt idx="2311">
                  <c:v>0.72741580107017778</c:v>
                </c:pt>
                <c:pt idx="2312">
                  <c:v>0.72773056342460019</c:v>
                </c:pt>
                <c:pt idx="2313">
                  <c:v>0.72804532577902259</c:v>
                </c:pt>
                <c:pt idx="2314">
                  <c:v>0.72836008813344499</c:v>
                </c:pt>
                <c:pt idx="2315">
                  <c:v>0.7286748504878674</c:v>
                </c:pt>
                <c:pt idx="2316">
                  <c:v>0.7289896128422898</c:v>
                </c:pt>
                <c:pt idx="2317">
                  <c:v>0.72930437519671221</c:v>
                </c:pt>
                <c:pt idx="2318">
                  <c:v>0.72961913755113461</c:v>
                </c:pt>
                <c:pt idx="2319">
                  <c:v>0.72993389990555702</c:v>
                </c:pt>
                <c:pt idx="2320">
                  <c:v>0.73024866225997942</c:v>
                </c:pt>
                <c:pt idx="2321">
                  <c:v>0.73056342461440182</c:v>
                </c:pt>
                <c:pt idx="2322">
                  <c:v>0.73087818696882423</c:v>
                </c:pt>
                <c:pt idx="2323">
                  <c:v>0.73119294932324663</c:v>
                </c:pt>
                <c:pt idx="2324">
                  <c:v>0.73150771167766904</c:v>
                </c:pt>
                <c:pt idx="2325">
                  <c:v>0.73182247403209144</c:v>
                </c:pt>
                <c:pt idx="2326">
                  <c:v>0.73213723638651385</c:v>
                </c:pt>
                <c:pt idx="2327">
                  <c:v>0.73245199874093625</c:v>
                </c:pt>
                <c:pt idx="2328">
                  <c:v>0.73276676109535865</c:v>
                </c:pt>
                <c:pt idx="2329">
                  <c:v>0.73308152344978106</c:v>
                </c:pt>
                <c:pt idx="2330">
                  <c:v>0.73339628580420346</c:v>
                </c:pt>
                <c:pt idx="2331">
                  <c:v>0.73371104815862587</c:v>
                </c:pt>
                <c:pt idx="2332">
                  <c:v>0.73402581051304827</c:v>
                </c:pt>
                <c:pt idx="2333">
                  <c:v>0.73434057286747068</c:v>
                </c:pt>
                <c:pt idx="2334">
                  <c:v>0.73465533522189308</c:v>
                </c:pt>
                <c:pt idx="2335">
                  <c:v>0.73497009757631548</c:v>
                </c:pt>
                <c:pt idx="2336">
                  <c:v>0.73528485993073789</c:v>
                </c:pt>
                <c:pt idx="2337">
                  <c:v>0.73559962228516029</c:v>
                </c:pt>
                <c:pt idx="2338">
                  <c:v>0.7359143846395827</c:v>
                </c:pt>
                <c:pt idx="2339">
                  <c:v>0.7362291469940051</c:v>
                </c:pt>
                <c:pt idx="2340">
                  <c:v>0.73654390934842751</c:v>
                </c:pt>
                <c:pt idx="2341">
                  <c:v>0.73685867170284991</c:v>
                </c:pt>
                <c:pt idx="2342">
                  <c:v>0.73717343405727231</c:v>
                </c:pt>
                <c:pt idx="2343">
                  <c:v>0.73748819641169472</c:v>
                </c:pt>
                <c:pt idx="2344">
                  <c:v>0.73780295876611712</c:v>
                </c:pt>
                <c:pt idx="2345">
                  <c:v>0.73811772112053953</c:v>
                </c:pt>
                <c:pt idx="2346">
                  <c:v>0.73843248347496193</c:v>
                </c:pt>
                <c:pt idx="2347">
                  <c:v>0.73874724582938434</c:v>
                </c:pt>
                <c:pt idx="2348">
                  <c:v>0.73906200818380674</c:v>
                </c:pt>
                <c:pt idx="2349">
                  <c:v>0.73937677053822914</c:v>
                </c:pt>
                <c:pt idx="2350">
                  <c:v>0.73969153289265155</c:v>
                </c:pt>
                <c:pt idx="2351">
                  <c:v>0.74000629524707395</c:v>
                </c:pt>
                <c:pt idx="2352">
                  <c:v>0.74032105760149636</c:v>
                </c:pt>
                <c:pt idx="2353">
                  <c:v>0.74063581995591876</c:v>
                </c:pt>
                <c:pt idx="2354">
                  <c:v>0.74095058231034117</c:v>
                </c:pt>
                <c:pt idx="2355">
                  <c:v>0.74126534466476357</c:v>
                </c:pt>
                <c:pt idx="2356">
                  <c:v>0.74158010701918597</c:v>
                </c:pt>
                <c:pt idx="2357">
                  <c:v>0.74189486937360838</c:v>
                </c:pt>
                <c:pt idx="2358">
                  <c:v>0.74220963172803078</c:v>
                </c:pt>
                <c:pt idx="2359">
                  <c:v>0.74252439408245319</c:v>
                </c:pt>
                <c:pt idx="2360">
                  <c:v>0.74283915643687559</c:v>
                </c:pt>
                <c:pt idx="2361">
                  <c:v>0.743153918791298</c:v>
                </c:pt>
                <c:pt idx="2362">
                  <c:v>0.7434686811457204</c:v>
                </c:pt>
                <c:pt idx="2363">
                  <c:v>0.7437834435001428</c:v>
                </c:pt>
                <c:pt idx="2364">
                  <c:v>0.74409820585456521</c:v>
                </c:pt>
                <c:pt idx="2365">
                  <c:v>0.74441296820898761</c:v>
                </c:pt>
                <c:pt idx="2366">
                  <c:v>0.74472773056341002</c:v>
                </c:pt>
                <c:pt idx="2367">
                  <c:v>0.74504249291783242</c:v>
                </c:pt>
                <c:pt idx="2368">
                  <c:v>0.74535725527225483</c:v>
                </c:pt>
                <c:pt idx="2369">
                  <c:v>0.74567201762667723</c:v>
                </c:pt>
                <c:pt idx="2370">
                  <c:v>0.74598677998109963</c:v>
                </c:pt>
                <c:pt idx="2371">
                  <c:v>0.74630154233552204</c:v>
                </c:pt>
                <c:pt idx="2372">
                  <c:v>0.74661630468994444</c:v>
                </c:pt>
                <c:pt idx="2373">
                  <c:v>0.74693106704436685</c:v>
                </c:pt>
                <c:pt idx="2374">
                  <c:v>0.74724582939878925</c:v>
                </c:pt>
                <c:pt idx="2375">
                  <c:v>0.74756059175321166</c:v>
                </c:pt>
                <c:pt idx="2376">
                  <c:v>0.74787535410763406</c:v>
                </c:pt>
                <c:pt idx="2377">
                  <c:v>0.74819011646205646</c:v>
                </c:pt>
                <c:pt idx="2378">
                  <c:v>0.74850487881647887</c:v>
                </c:pt>
                <c:pt idx="2379">
                  <c:v>0.74881964117090127</c:v>
                </c:pt>
                <c:pt idx="2380">
                  <c:v>0.74913440352532368</c:v>
                </c:pt>
                <c:pt idx="2381">
                  <c:v>0.74944916587974608</c:v>
                </c:pt>
                <c:pt idx="2382">
                  <c:v>0.74976392823416849</c:v>
                </c:pt>
                <c:pt idx="2383">
                  <c:v>0.75007869058859089</c:v>
                </c:pt>
                <c:pt idx="2384">
                  <c:v>0.75039345294301329</c:v>
                </c:pt>
                <c:pt idx="2385">
                  <c:v>0.7507082152974357</c:v>
                </c:pt>
                <c:pt idx="2386">
                  <c:v>0.7510229776518581</c:v>
                </c:pt>
                <c:pt idx="2387">
                  <c:v>0.75133774000628051</c:v>
                </c:pt>
                <c:pt idx="2388">
                  <c:v>0.75165250236070291</c:v>
                </c:pt>
                <c:pt idx="2389">
                  <c:v>0.75196726471512532</c:v>
                </c:pt>
                <c:pt idx="2390">
                  <c:v>0.75228202706954772</c:v>
                </c:pt>
                <c:pt idx="2391">
                  <c:v>0.75259678942397013</c:v>
                </c:pt>
                <c:pt idx="2392">
                  <c:v>0.75291155177839253</c:v>
                </c:pt>
                <c:pt idx="2393">
                  <c:v>0.75322631413281493</c:v>
                </c:pt>
                <c:pt idx="2394">
                  <c:v>0.75354107648723734</c:v>
                </c:pt>
                <c:pt idx="2395">
                  <c:v>0.75385583884165974</c:v>
                </c:pt>
                <c:pt idx="2396">
                  <c:v>0.75417060119608215</c:v>
                </c:pt>
                <c:pt idx="2397">
                  <c:v>0.75448536355050455</c:v>
                </c:pt>
                <c:pt idx="2398">
                  <c:v>0.75480012590492696</c:v>
                </c:pt>
                <c:pt idx="2399">
                  <c:v>0.75511488825934936</c:v>
                </c:pt>
                <c:pt idx="2400">
                  <c:v>0.75542965061377176</c:v>
                </c:pt>
                <c:pt idx="2401">
                  <c:v>0.75574441296819417</c:v>
                </c:pt>
                <c:pt idx="2402">
                  <c:v>0.75605917532261657</c:v>
                </c:pt>
                <c:pt idx="2403">
                  <c:v>0.75637393767703898</c:v>
                </c:pt>
                <c:pt idx="2404">
                  <c:v>0.75668870003146138</c:v>
                </c:pt>
                <c:pt idx="2405">
                  <c:v>0.75700346238588379</c:v>
                </c:pt>
                <c:pt idx="2406">
                  <c:v>0.75731822474030619</c:v>
                </c:pt>
                <c:pt idx="2407">
                  <c:v>0.75763298709472859</c:v>
                </c:pt>
                <c:pt idx="2408">
                  <c:v>0.757947749449151</c:v>
                </c:pt>
                <c:pt idx="2409">
                  <c:v>0.7582625118035734</c:v>
                </c:pt>
                <c:pt idx="2410">
                  <c:v>0.75857727415799581</c:v>
                </c:pt>
                <c:pt idx="2411">
                  <c:v>0.75889203651241821</c:v>
                </c:pt>
                <c:pt idx="2412">
                  <c:v>0.75920679886684062</c:v>
                </c:pt>
                <c:pt idx="2413">
                  <c:v>0.75952156122126302</c:v>
                </c:pt>
                <c:pt idx="2414">
                  <c:v>0.75983632357568542</c:v>
                </c:pt>
                <c:pt idx="2415">
                  <c:v>0.76015108593010783</c:v>
                </c:pt>
                <c:pt idx="2416">
                  <c:v>0.76046584828453023</c:v>
                </c:pt>
                <c:pt idx="2417">
                  <c:v>0.76078061063895264</c:v>
                </c:pt>
                <c:pt idx="2418">
                  <c:v>0.76109537299337504</c:v>
                </c:pt>
                <c:pt idx="2419">
                  <c:v>0.76141013534779745</c:v>
                </c:pt>
                <c:pt idx="2420">
                  <c:v>0.76172489770221985</c:v>
                </c:pt>
                <c:pt idx="2421">
                  <c:v>0.76203966005664225</c:v>
                </c:pt>
                <c:pt idx="2422">
                  <c:v>0.76235442241106466</c:v>
                </c:pt>
                <c:pt idx="2423">
                  <c:v>0.76266918476548706</c:v>
                </c:pt>
                <c:pt idx="2424">
                  <c:v>0.76298394711990947</c:v>
                </c:pt>
                <c:pt idx="2425">
                  <c:v>0.76329870947433187</c:v>
                </c:pt>
                <c:pt idx="2426">
                  <c:v>0.76361347182875428</c:v>
                </c:pt>
                <c:pt idx="2427">
                  <c:v>0.76392823418317668</c:v>
                </c:pt>
                <c:pt idx="2428">
                  <c:v>0.76424299653759908</c:v>
                </c:pt>
                <c:pt idx="2429">
                  <c:v>0.76455775889202149</c:v>
                </c:pt>
                <c:pt idx="2430">
                  <c:v>0.76487252124644389</c:v>
                </c:pt>
                <c:pt idx="2431">
                  <c:v>0.7651872836008663</c:v>
                </c:pt>
                <c:pt idx="2432">
                  <c:v>0.7655020459552887</c:v>
                </c:pt>
                <c:pt idx="2433">
                  <c:v>0.76581680830971111</c:v>
                </c:pt>
                <c:pt idx="2434">
                  <c:v>0.76613157066413351</c:v>
                </c:pt>
                <c:pt idx="2435">
                  <c:v>0.76644633301855591</c:v>
                </c:pt>
                <c:pt idx="2436">
                  <c:v>0.76676109537297832</c:v>
                </c:pt>
                <c:pt idx="2437">
                  <c:v>0.76707585772740072</c:v>
                </c:pt>
                <c:pt idx="2438">
                  <c:v>0.76739062008182313</c:v>
                </c:pt>
                <c:pt idx="2439">
                  <c:v>0.76770538243624553</c:v>
                </c:pt>
                <c:pt idx="2440">
                  <c:v>0.76802014479066794</c:v>
                </c:pt>
                <c:pt idx="2441">
                  <c:v>0.76833490714509034</c:v>
                </c:pt>
                <c:pt idx="2442">
                  <c:v>0.76864966949951274</c:v>
                </c:pt>
                <c:pt idx="2443">
                  <c:v>0.76896443185393515</c:v>
                </c:pt>
                <c:pt idx="2444">
                  <c:v>0.76927919420835755</c:v>
                </c:pt>
                <c:pt idx="2445">
                  <c:v>0.76959395656277996</c:v>
                </c:pt>
                <c:pt idx="2446">
                  <c:v>0.76990871891720236</c:v>
                </c:pt>
                <c:pt idx="2447">
                  <c:v>0.77022348127162477</c:v>
                </c:pt>
                <c:pt idx="2448">
                  <c:v>0.77053824362604717</c:v>
                </c:pt>
                <c:pt idx="2449">
                  <c:v>0.77085300598046957</c:v>
                </c:pt>
                <c:pt idx="2450">
                  <c:v>0.77116776833489198</c:v>
                </c:pt>
                <c:pt idx="2451">
                  <c:v>0.77148253068931438</c:v>
                </c:pt>
                <c:pt idx="2452">
                  <c:v>0.77179729304373679</c:v>
                </c:pt>
                <c:pt idx="2453">
                  <c:v>0.77211205539815919</c:v>
                </c:pt>
                <c:pt idx="2454">
                  <c:v>0.7724268177525816</c:v>
                </c:pt>
                <c:pt idx="2455">
                  <c:v>0.772741580107004</c:v>
                </c:pt>
                <c:pt idx="2456">
                  <c:v>0.7730563424614264</c:v>
                </c:pt>
                <c:pt idx="2457">
                  <c:v>0.77337110481584881</c:v>
                </c:pt>
                <c:pt idx="2458">
                  <c:v>0.77368586717027121</c:v>
                </c:pt>
                <c:pt idx="2459">
                  <c:v>0.77400062952469362</c:v>
                </c:pt>
                <c:pt idx="2460">
                  <c:v>0.77431539187911602</c:v>
                </c:pt>
                <c:pt idx="2461">
                  <c:v>0.77463015423353843</c:v>
                </c:pt>
                <c:pt idx="2462">
                  <c:v>0.77494491658796083</c:v>
                </c:pt>
                <c:pt idx="2463">
                  <c:v>0.77525967894238323</c:v>
                </c:pt>
                <c:pt idx="2464">
                  <c:v>0.77557444129680564</c:v>
                </c:pt>
                <c:pt idx="2465">
                  <c:v>0.77588920365122804</c:v>
                </c:pt>
                <c:pt idx="2466">
                  <c:v>0.77620396600565045</c:v>
                </c:pt>
                <c:pt idx="2467">
                  <c:v>0.77651872836007285</c:v>
                </c:pt>
                <c:pt idx="2468">
                  <c:v>0.77683349071449526</c:v>
                </c:pt>
                <c:pt idx="2469">
                  <c:v>0.77714825306891766</c:v>
                </c:pt>
                <c:pt idx="2470">
                  <c:v>0.77746301542334006</c:v>
                </c:pt>
                <c:pt idx="2471">
                  <c:v>0.77777777777776247</c:v>
                </c:pt>
                <c:pt idx="2472">
                  <c:v>0.77809254013218487</c:v>
                </c:pt>
                <c:pt idx="2473">
                  <c:v>0.77840730248660728</c:v>
                </c:pt>
                <c:pt idx="2474">
                  <c:v>0.77872206484102968</c:v>
                </c:pt>
                <c:pt idx="2475">
                  <c:v>0.77903682719545209</c:v>
                </c:pt>
                <c:pt idx="2476">
                  <c:v>0.77935158954987449</c:v>
                </c:pt>
                <c:pt idx="2477">
                  <c:v>0.77966635190429689</c:v>
                </c:pt>
                <c:pt idx="2478">
                  <c:v>0.7799811142587193</c:v>
                </c:pt>
                <c:pt idx="2479">
                  <c:v>0.7802958766131417</c:v>
                </c:pt>
                <c:pt idx="2480">
                  <c:v>0.78061063896756411</c:v>
                </c:pt>
                <c:pt idx="2481">
                  <c:v>0.78092540132198651</c:v>
                </c:pt>
                <c:pt idx="2482">
                  <c:v>0.78124016367640892</c:v>
                </c:pt>
                <c:pt idx="2483">
                  <c:v>0.78155492603083132</c:v>
                </c:pt>
                <c:pt idx="2484">
                  <c:v>0.78186968838525372</c:v>
                </c:pt>
                <c:pt idx="2485">
                  <c:v>0.78218445073967613</c:v>
                </c:pt>
                <c:pt idx="2486">
                  <c:v>0.78249921309409853</c:v>
                </c:pt>
                <c:pt idx="2487">
                  <c:v>0.78281397544852094</c:v>
                </c:pt>
                <c:pt idx="2488">
                  <c:v>0.78312873780294334</c:v>
                </c:pt>
                <c:pt idx="2489">
                  <c:v>0.78344350015736575</c:v>
                </c:pt>
                <c:pt idx="2490">
                  <c:v>0.78375826251178815</c:v>
                </c:pt>
                <c:pt idx="2491">
                  <c:v>0.78407302486621056</c:v>
                </c:pt>
                <c:pt idx="2492">
                  <c:v>0.78438778722063296</c:v>
                </c:pt>
                <c:pt idx="2493">
                  <c:v>0.78470254957505536</c:v>
                </c:pt>
                <c:pt idx="2494">
                  <c:v>0.78501731192947777</c:v>
                </c:pt>
                <c:pt idx="2495">
                  <c:v>0.78533207428390017</c:v>
                </c:pt>
                <c:pt idx="2496">
                  <c:v>0.78564683663832258</c:v>
                </c:pt>
                <c:pt idx="2497">
                  <c:v>0.78596159899274498</c:v>
                </c:pt>
                <c:pt idx="2498">
                  <c:v>0.78627636134716739</c:v>
                </c:pt>
                <c:pt idx="2499">
                  <c:v>0.78659112370158979</c:v>
                </c:pt>
                <c:pt idx="2500">
                  <c:v>0.78690588605601219</c:v>
                </c:pt>
                <c:pt idx="2501">
                  <c:v>0.7872206484104346</c:v>
                </c:pt>
                <c:pt idx="2502">
                  <c:v>0.787535410764857</c:v>
                </c:pt>
                <c:pt idx="2503">
                  <c:v>0.78785017311927941</c:v>
                </c:pt>
                <c:pt idx="2504">
                  <c:v>0.78816493547370181</c:v>
                </c:pt>
                <c:pt idx="2505">
                  <c:v>0.78847969782812422</c:v>
                </c:pt>
                <c:pt idx="2506">
                  <c:v>0.78879446018254662</c:v>
                </c:pt>
                <c:pt idx="2507">
                  <c:v>0.78910922253696902</c:v>
                </c:pt>
                <c:pt idx="2508">
                  <c:v>0.78942398489139143</c:v>
                </c:pt>
                <c:pt idx="2509">
                  <c:v>0.78973874724581383</c:v>
                </c:pt>
                <c:pt idx="2510">
                  <c:v>0.79005350960023624</c:v>
                </c:pt>
                <c:pt idx="2511">
                  <c:v>0.79036827195465864</c:v>
                </c:pt>
                <c:pt idx="2512">
                  <c:v>0.79068303430908105</c:v>
                </c:pt>
                <c:pt idx="2513">
                  <c:v>0.79099779666350345</c:v>
                </c:pt>
                <c:pt idx="2514">
                  <c:v>0.79131255901792585</c:v>
                </c:pt>
                <c:pt idx="2515">
                  <c:v>0.79162732137234826</c:v>
                </c:pt>
                <c:pt idx="2516">
                  <c:v>0.79194208372677066</c:v>
                </c:pt>
                <c:pt idx="2517">
                  <c:v>0.79225684608119307</c:v>
                </c:pt>
                <c:pt idx="2518">
                  <c:v>0.79257160843561547</c:v>
                </c:pt>
                <c:pt idx="2519">
                  <c:v>0.79288637079003788</c:v>
                </c:pt>
                <c:pt idx="2520">
                  <c:v>0.79320113314446028</c:v>
                </c:pt>
                <c:pt idx="2521">
                  <c:v>0.79351589549888268</c:v>
                </c:pt>
                <c:pt idx="2522">
                  <c:v>0.79383065785330509</c:v>
                </c:pt>
                <c:pt idx="2523">
                  <c:v>0.79414542020772749</c:v>
                </c:pt>
                <c:pt idx="2524">
                  <c:v>0.7944601825621499</c:v>
                </c:pt>
                <c:pt idx="2525">
                  <c:v>0.7947749449165723</c:v>
                </c:pt>
                <c:pt idx="2526">
                  <c:v>0.79508970727099471</c:v>
                </c:pt>
                <c:pt idx="2527">
                  <c:v>0.79540446962541711</c:v>
                </c:pt>
                <c:pt idx="2528">
                  <c:v>0.79571923197983951</c:v>
                </c:pt>
                <c:pt idx="2529">
                  <c:v>0.79603399433426192</c:v>
                </c:pt>
                <c:pt idx="2530">
                  <c:v>0.79634875668868432</c:v>
                </c:pt>
                <c:pt idx="2531">
                  <c:v>0.79666351904310673</c:v>
                </c:pt>
                <c:pt idx="2532">
                  <c:v>0.79697828139752913</c:v>
                </c:pt>
                <c:pt idx="2533">
                  <c:v>0.79729304375195154</c:v>
                </c:pt>
                <c:pt idx="2534">
                  <c:v>0.79760780610637394</c:v>
                </c:pt>
                <c:pt idx="2535">
                  <c:v>0.79792256846079634</c:v>
                </c:pt>
                <c:pt idx="2536">
                  <c:v>0.79823733081521875</c:v>
                </c:pt>
                <c:pt idx="2537">
                  <c:v>0.79855209316964115</c:v>
                </c:pt>
                <c:pt idx="2538">
                  <c:v>0.79886685552406356</c:v>
                </c:pt>
                <c:pt idx="2539">
                  <c:v>0.79918161787848596</c:v>
                </c:pt>
                <c:pt idx="2540">
                  <c:v>0.79949638023290837</c:v>
                </c:pt>
                <c:pt idx="2541">
                  <c:v>0.79981114258733077</c:v>
                </c:pt>
                <c:pt idx="2542">
                  <c:v>0.80012590494175317</c:v>
                </c:pt>
                <c:pt idx="2543">
                  <c:v>0.80044066729617558</c:v>
                </c:pt>
                <c:pt idx="2544">
                  <c:v>0.80075542965059798</c:v>
                </c:pt>
                <c:pt idx="2545">
                  <c:v>0.80107019200502039</c:v>
                </c:pt>
                <c:pt idx="2546">
                  <c:v>0.80138495435944279</c:v>
                </c:pt>
                <c:pt idx="2547">
                  <c:v>0.8016997167138652</c:v>
                </c:pt>
                <c:pt idx="2548">
                  <c:v>0.8020144790682876</c:v>
                </c:pt>
                <c:pt idx="2549">
                  <c:v>0.80232924142271</c:v>
                </c:pt>
                <c:pt idx="2550">
                  <c:v>0.80264400377713241</c:v>
                </c:pt>
                <c:pt idx="2551">
                  <c:v>0.80295876613155481</c:v>
                </c:pt>
                <c:pt idx="2552">
                  <c:v>0.80327352848597722</c:v>
                </c:pt>
                <c:pt idx="2553">
                  <c:v>0.80358829084039962</c:v>
                </c:pt>
                <c:pt idx="2554">
                  <c:v>0.80390305319482203</c:v>
                </c:pt>
                <c:pt idx="2555">
                  <c:v>0.80421781554924443</c:v>
                </c:pt>
                <c:pt idx="2556">
                  <c:v>0.80453257790366683</c:v>
                </c:pt>
                <c:pt idx="2557">
                  <c:v>0.80484734025808924</c:v>
                </c:pt>
                <c:pt idx="2558">
                  <c:v>0.80516210261251164</c:v>
                </c:pt>
                <c:pt idx="2559">
                  <c:v>0.80547686496693405</c:v>
                </c:pt>
                <c:pt idx="2560">
                  <c:v>0.80579162732135645</c:v>
                </c:pt>
                <c:pt idx="2561">
                  <c:v>0.80610638967577886</c:v>
                </c:pt>
                <c:pt idx="2562">
                  <c:v>0.80642115203020126</c:v>
                </c:pt>
                <c:pt idx="2563">
                  <c:v>0.80673591438462366</c:v>
                </c:pt>
                <c:pt idx="2564">
                  <c:v>0.80705067673904607</c:v>
                </c:pt>
                <c:pt idx="2565">
                  <c:v>0.80736543909346847</c:v>
                </c:pt>
                <c:pt idx="2566">
                  <c:v>0.80768020144789088</c:v>
                </c:pt>
                <c:pt idx="2567">
                  <c:v>0.80799496380231328</c:v>
                </c:pt>
                <c:pt idx="2568">
                  <c:v>0.80830972615673569</c:v>
                </c:pt>
                <c:pt idx="2569">
                  <c:v>0.80862448851115809</c:v>
                </c:pt>
                <c:pt idx="2570">
                  <c:v>0.80893925086558049</c:v>
                </c:pt>
                <c:pt idx="2571">
                  <c:v>0.8092540132200029</c:v>
                </c:pt>
                <c:pt idx="2572">
                  <c:v>0.8095687755744253</c:v>
                </c:pt>
                <c:pt idx="2573">
                  <c:v>0.80988353792884771</c:v>
                </c:pt>
                <c:pt idx="2574">
                  <c:v>0.81019830028327011</c:v>
                </c:pt>
                <c:pt idx="2575">
                  <c:v>0.81051306263769252</c:v>
                </c:pt>
                <c:pt idx="2576">
                  <c:v>0.81082782499211492</c:v>
                </c:pt>
                <c:pt idx="2577">
                  <c:v>0.81114258734653732</c:v>
                </c:pt>
                <c:pt idx="2578">
                  <c:v>0.81145734970095973</c:v>
                </c:pt>
                <c:pt idx="2579">
                  <c:v>0.81177211205538213</c:v>
                </c:pt>
                <c:pt idx="2580">
                  <c:v>0.81208687440980454</c:v>
                </c:pt>
                <c:pt idx="2581">
                  <c:v>0.81240163676422694</c:v>
                </c:pt>
                <c:pt idx="2582">
                  <c:v>0.81271639911864935</c:v>
                </c:pt>
                <c:pt idx="2583">
                  <c:v>0.81303116147307175</c:v>
                </c:pt>
                <c:pt idx="2584">
                  <c:v>0.81334592382749415</c:v>
                </c:pt>
                <c:pt idx="2585">
                  <c:v>0.81366068618191656</c:v>
                </c:pt>
                <c:pt idx="2586">
                  <c:v>0.81397544853633896</c:v>
                </c:pt>
                <c:pt idx="2587">
                  <c:v>0.81429021089076137</c:v>
                </c:pt>
                <c:pt idx="2588">
                  <c:v>0.81460497324518377</c:v>
                </c:pt>
                <c:pt idx="2589">
                  <c:v>0.81491973559960618</c:v>
                </c:pt>
                <c:pt idx="2590">
                  <c:v>0.81523449795402858</c:v>
                </c:pt>
                <c:pt idx="2591">
                  <c:v>0.81554926030845099</c:v>
                </c:pt>
                <c:pt idx="2592">
                  <c:v>0.81586402266287339</c:v>
                </c:pt>
                <c:pt idx="2593">
                  <c:v>0.81617878501729579</c:v>
                </c:pt>
                <c:pt idx="2594">
                  <c:v>0.8164935473717182</c:v>
                </c:pt>
                <c:pt idx="2595">
                  <c:v>0.8168083097261406</c:v>
                </c:pt>
                <c:pt idx="2596">
                  <c:v>0.81712307208056301</c:v>
                </c:pt>
                <c:pt idx="2597">
                  <c:v>0.81743783443498541</c:v>
                </c:pt>
                <c:pt idx="2598">
                  <c:v>0.81775259678940782</c:v>
                </c:pt>
                <c:pt idx="2599">
                  <c:v>0.81806735914383022</c:v>
                </c:pt>
                <c:pt idx="2600">
                  <c:v>0.81838212149825262</c:v>
                </c:pt>
                <c:pt idx="2601">
                  <c:v>0.81869688385267503</c:v>
                </c:pt>
                <c:pt idx="2602">
                  <c:v>0.81901164620709743</c:v>
                </c:pt>
                <c:pt idx="2603">
                  <c:v>0.81932640856151984</c:v>
                </c:pt>
                <c:pt idx="2604">
                  <c:v>0.81964117091594224</c:v>
                </c:pt>
                <c:pt idx="2605">
                  <c:v>0.81995593327036465</c:v>
                </c:pt>
                <c:pt idx="2606">
                  <c:v>0.82027069562478705</c:v>
                </c:pt>
                <c:pt idx="2607">
                  <c:v>0.82058545797920945</c:v>
                </c:pt>
                <c:pt idx="2608">
                  <c:v>0.82090022033363186</c:v>
                </c:pt>
                <c:pt idx="2609">
                  <c:v>0.82121498268805426</c:v>
                </c:pt>
                <c:pt idx="2610">
                  <c:v>0.82152974504247667</c:v>
                </c:pt>
                <c:pt idx="2611">
                  <c:v>0.82184450739689907</c:v>
                </c:pt>
                <c:pt idx="2612">
                  <c:v>0.82215926975132148</c:v>
                </c:pt>
                <c:pt idx="2613">
                  <c:v>0.82247403210574388</c:v>
                </c:pt>
                <c:pt idx="2614">
                  <c:v>0.82278879446016628</c:v>
                </c:pt>
                <c:pt idx="2615">
                  <c:v>0.82310355681458869</c:v>
                </c:pt>
                <c:pt idx="2616">
                  <c:v>0.82341831916901109</c:v>
                </c:pt>
                <c:pt idx="2617">
                  <c:v>0.8237330815234335</c:v>
                </c:pt>
                <c:pt idx="2618">
                  <c:v>0.8240478438778559</c:v>
                </c:pt>
                <c:pt idx="2619">
                  <c:v>0.82436260623227831</c:v>
                </c:pt>
                <c:pt idx="2620">
                  <c:v>0.82467736858670071</c:v>
                </c:pt>
                <c:pt idx="2621">
                  <c:v>0.82499213094112311</c:v>
                </c:pt>
                <c:pt idx="2622">
                  <c:v>0.82530689329554552</c:v>
                </c:pt>
                <c:pt idx="2623">
                  <c:v>0.82562165564996792</c:v>
                </c:pt>
                <c:pt idx="2624">
                  <c:v>0.82593641800439033</c:v>
                </c:pt>
                <c:pt idx="2625">
                  <c:v>0.82625118035881273</c:v>
                </c:pt>
                <c:pt idx="2626">
                  <c:v>0.82656594271323514</c:v>
                </c:pt>
                <c:pt idx="2627">
                  <c:v>0.82688070506765754</c:v>
                </c:pt>
                <c:pt idx="2628">
                  <c:v>0.82719546742207994</c:v>
                </c:pt>
                <c:pt idx="2629">
                  <c:v>0.82751022977650235</c:v>
                </c:pt>
                <c:pt idx="2630">
                  <c:v>0.82782499213092475</c:v>
                </c:pt>
                <c:pt idx="2631">
                  <c:v>0.82813975448534716</c:v>
                </c:pt>
                <c:pt idx="2632">
                  <c:v>0.82845451683976956</c:v>
                </c:pt>
                <c:pt idx="2633">
                  <c:v>0.82876927919419197</c:v>
                </c:pt>
                <c:pt idx="2634">
                  <c:v>0.82908404154861437</c:v>
                </c:pt>
                <c:pt idx="2635">
                  <c:v>0.82939880390303677</c:v>
                </c:pt>
                <c:pt idx="2636">
                  <c:v>0.82971356625745918</c:v>
                </c:pt>
                <c:pt idx="2637">
                  <c:v>0.83002832861188158</c:v>
                </c:pt>
                <c:pt idx="2638">
                  <c:v>0.83034309096630399</c:v>
                </c:pt>
                <c:pt idx="2639">
                  <c:v>0.83065785332072639</c:v>
                </c:pt>
                <c:pt idx="2640">
                  <c:v>0.8309726156751488</c:v>
                </c:pt>
                <c:pt idx="2641">
                  <c:v>0.8312873780295712</c:v>
                </c:pt>
                <c:pt idx="2642">
                  <c:v>0.8316021403839936</c:v>
                </c:pt>
                <c:pt idx="2643">
                  <c:v>0.83191690273841601</c:v>
                </c:pt>
                <c:pt idx="2644">
                  <c:v>0.83223166509283841</c:v>
                </c:pt>
                <c:pt idx="2645">
                  <c:v>0.83254642744726082</c:v>
                </c:pt>
                <c:pt idx="2646">
                  <c:v>0.83286118980168322</c:v>
                </c:pt>
                <c:pt idx="2647">
                  <c:v>0.83317595215610563</c:v>
                </c:pt>
                <c:pt idx="2648">
                  <c:v>0.83349071451052803</c:v>
                </c:pt>
                <c:pt idx="2649">
                  <c:v>0.83380547686495043</c:v>
                </c:pt>
                <c:pt idx="2650">
                  <c:v>0.83412023921937284</c:v>
                </c:pt>
                <c:pt idx="2651">
                  <c:v>0.83443500157379524</c:v>
                </c:pt>
                <c:pt idx="2652">
                  <c:v>0.83474976392821765</c:v>
                </c:pt>
                <c:pt idx="2653">
                  <c:v>0.83506452628264005</c:v>
                </c:pt>
                <c:pt idx="2654">
                  <c:v>0.83537928863706246</c:v>
                </c:pt>
                <c:pt idx="2655">
                  <c:v>0.83569405099148486</c:v>
                </c:pt>
                <c:pt idx="2656">
                  <c:v>0.83600881334590726</c:v>
                </c:pt>
                <c:pt idx="2657">
                  <c:v>0.83632357570032967</c:v>
                </c:pt>
                <c:pt idx="2658">
                  <c:v>0.83663833805475207</c:v>
                </c:pt>
                <c:pt idx="2659">
                  <c:v>0.83695310040917448</c:v>
                </c:pt>
                <c:pt idx="2660">
                  <c:v>0.83726786276359688</c:v>
                </c:pt>
                <c:pt idx="2661">
                  <c:v>0.83758262511801929</c:v>
                </c:pt>
                <c:pt idx="2662">
                  <c:v>0.83789738747244169</c:v>
                </c:pt>
                <c:pt idx="2663">
                  <c:v>0.83821214982686409</c:v>
                </c:pt>
                <c:pt idx="2664">
                  <c:v>0.8385269121812865</c:v>
                </c:pt>
                <c:pt idx="2665">
                  <c:v>0.8388416745357089</c:v>
                </c:pt>
                <c:pt idx="2666">
                  <c:v>0.83915643689013131</c:v>
                </c:pt>
                <c:pt idx="2667">
                  <c:v>0.83947119924455371</c:v>
                </c:pt>
                <c:pt idx="2668">
                  <c:v>0.83978596159897612</c:v>
                </c:pt>
                <c:pt idx="2669">
                  <c:v>0.84010072395339852</c:v>
                </c:pt>
                <c:pt idx="2670">
                  <c:v>0.84041548630782092</c:v>
                </c:pt>
                <c:pt idx="2671">
                  <c:v>0.84073024866224333</c:v>
                </c:pt>
                <c:pt idx="2672">
                  <c:v>0.84104501101666573</c:v>
                </c:pt>
                <c:pt idx="2673">
                  <c:v>0.84135977337108814</c:v>
                </c:pt>
                <c:pt idx="2674">
                  <c:v>0.84167453572551054</c:v>
                </c:pt>
                <c:pt idx="2675">
                  <c:v>0.84198929807993295</c:v>
                </c:pt>
                <c:pt idx="2676">
                  <c:v>0.84230406043435535</c:v>
                </c:pt>
                <c:pt idx="2677">
                  <c:v>0.84261882278877775</c:v>
                </c:pt>
                <c:pt idx="2678">
                  <c:v>0.84293358514320016</c:v>
                </c:pt>
                <c:pt idx="2679">
                  <c:v>0.84324834749762256</c:v>
                </c:pt>
                <c:pt idx="2680">
                  <c:v>0.84356310985204497</c:v>
                </c:pt>
                <c:pt idx="2681">
                  <c:v>0.84387787220646737</c:v>
                </c:pt>
                <c:pt idx="2682">
                  <c:v>0.84419263456088978</c:v>
                </c:pt>
                <c:pt idx="2683">
                  <c:v>0.84450739691531218</c:v>
                </c:pt>
                <c:pt idx="2684">
                  <c:v>0.84482215926973458</c:v>
                </c:pt>
                <c:pt idx="2685">
                  <c:v>0.84513692162415699</c:v>
                </c:pt>
                <c:pt idx="2686">
                  <c:v>0.84545168397857939</c:v>
                </c:pt>
                <c:pt idx="2687">
                  <c:v>0.8457664463330018</c:v>
                </c:pt>
                <c:pt idx="2688">
                  <c:v>0.8460812086874242</c:v>
                </c:pt>
                <c:pt idx="2689">
                  <c:v>0.84639597104184661</c:v>
                </c:pt>
                <c:pt idx="2690">
                  <c:v>0.84671073339626901</c:v>
                </c:pt>
                <c:pt idx="2691">
                  <c:v>0.84702549575069142</c:v>
                </c:pt>
                <c:pt idx="2692">
                  <c:v>0.84734025810511382</c:v>
                </c:pt>
                <c:pt idx="2693">
                  <c:v>0.84765502045953622</c:v>
                </c:pt>
                <c:pt idx="2694">
                  <c:v>0.84796978281395863</c:v>
                </c:pt>
                <c:pt idx="2695">
                  <c:v>0.84828454516838103</c:v>
                </c:pt>
                <c:pt idx="2696">
                  <c:v>0.84859930752280344</c:v>
                </c:pt>
                <c:pt idx="2697">
                  <c:v>0.84891406987722584</c:v>
                </c:pt>
                <c:pt idx="2698">
                  <c:v>0.84922883223164825</c:v>
                </c:pt>
                <c:pt idx="2699">
                  <c:v>0.84954359458607065</c:v>
                </c:pt>
                <c:pt idx="2700">
                  <c:v>0.84985835694049305</c:v>
                </c:pt>
                <c:pt idx="2701">
                  <c:v>0.85017311929491546</c:v>
                </c:pt>
                <c:pt idx="2702">
                  <c:v>0.85048788164933786</c:v>
                </c:pt>
                <c:pt idx="2703">
                  <c:v>0.85080264400376027</c:v>
                </c:pt>
                <c:pt idx="2704">
                  <c:v>0.85111740635818267</c:v>
                </c:pt>
                <c:pt idx="2705">
                  <c:v>0.85143216871260508</c:v>
                </c:pt>
                <c:pt idx="2706">
                  <c:v>0.85174693106702748</c:v>
                </c:pt>
                <c:pt idx="2707">
                  <c:v>0.85206169342144988</c:v>
                </c:pt>
                <c:pt idx="2708">
                  <c:v>0.85237645577587229</c:v>
                </c:pt>
                <c:pt idx="2709">
                  <c:v>0.85269121813029469</c:v>
                </c:pt>
                <c:pt idx="2710">
                  <c:v>0.8530059804847171</c:v>
                </c:pt>
                <c:pt idx="2711">
                  <c:v>0.8533207428391395</c:v>
                </c:pt>
                <c:pt idx="2712">
                  <c:v>0.85363550519356191</c:v>
                </c:pt>
                <c:pt idx="2713">
                  <c:v>0.85395026754798431</c:v>
                </c:pt>
                <c:pt idx="2714">
                  <c:v>0.85426502990240671</c:v>
                </c:pt>
                <c:pt idx="2715">
                  <c:v>0.85457979225682912</c:v>
                </c:pt>
                <c:pt idx="2716">
                  <c:v>0.85489455461125152</c:v>
                </c:pt>
                <c:pt idx="2717">
                  <c:v>0.85520931696567393</c:v>
                </c:pt>
                <c:pt idx="2718">
                  <c:v>0.85552407932009633</c:v>
                </c:pt>
                <c:pt idx="2719">
                  <c:v>0.85583884167451874</c:v>
                </c:pt>
                <c:pt idx="2720">
                  <c:v>0.85615360402894114</c:v>
                </c:pt>
                <c:pt idx="2721">
                  <c:v>0.85646836638336354</c:v>
                </c:pt>
                <c:pt idx="2722">
                  <c:v>0.85678312873778595</c:v>
                </c:pt>
                <c:pt idx="2723">
                  <c:v>0.85709789109220835</c:v>
                </c:pt>
                <c:pt idx="2724">
                  <c:v>0.85741265344663076</c:v>
                </c:pt>
                <c:pt idx="2725">
                  <c:v>0.85772741580105316</c:v>
                </c:pt>
                <c:pt idx="2726">
                  <c:v>0.85804217815547557</c:v>
                </c:pt>
                <c:pt idx="2727">
                  <c:v>0.85835694050989797</c:v>
                </c:pt>
                <c:pt idx="2728">
                  <c:v>0.85867170286432037</c:v>
                </c:pt>
                <c:pt idx="2729">
                  <c:v>0.85898646521874278</c:v>
                </c:pt>
                <c:pt idx="2730">
                  <c:v>0.85930122757316518</c:v>
                </c:pt>
                <c:pt idx="2731">
                  <c:v>0.85961598992758759</c:v>
                </c:pt>
                <c:pt idx="2732">
                  <c:v>0.85993075228200999</c:v>
                </c:pt>
                <c:pt idx="2733">
                  <c:v>0.8602455146364324</c:v>
                </c:pt>
                <c:pt idx="2734">
                  <c:v>0.8605602769908548</c:v>
                </c:pt>
                <c:pt idx="2735">
                  <c:v>0.8608750393452772</c:v>
                </c:pt>
                <c:pt idx="2736">
                  <c:v>0.86118980169969961</c:v>
                </c:pt>
                <c:pt idx="2737">
                  <c:v>0.86150456405412201</c:v>
                </c:pt>
                <c:pt idx="2738">
                  <c:v>0.86181932640854442</c:v>
                </c:pt>
                <c:pt idx="2739">
                  <c:v>0.86213408876296682</c:v>
                </c:pt>
                <c:pt idx="2740">
                  <c:v>0.86244885111738923</c:v>
                </c:pt>
                <c:pt idx="2741">
                  <c:v>0.86276361347181163</c:v>
                </c:pt>
                <c:pt idx="2742">
                  <c:v>0.86307837582623403</c:v>
                </c:pt>
                <c:pt idx="2743">
                  <c:v>0.86339313818065644</c:v>
                </c:pt>
                <c:pt idx="2744">
                  <c:v>0.86370790053507884</c:v>
                </c:pt>
                <c:pt idx="2745">
                  <c:v>0.86402266288950125</c:v>
                </c:pt>
                <c:pt idx="2746">
                  <c:v>0.86433742524392365</c:v>
                </c:pt>
                <c:pt idx="2747">
                  <c:v>0.86465218759834606</c:v>
                </c:pt>
                <c:pt idx="2748">
                  <c:v>0.86496694995276846</c:v>
                </c:pt>
                <c:pt idx="2749">
                  <c:v>0.86528171230719086</c:v>
                </c:pt>
                <c:pt idx="2750">
                  <c:v>0.86559647466161327</c:v>
                </c:pt>
                <c:pt idx="2751">
                  <c:v>0.86591123701603567</c:v>
                </c:pt>
                <c:pt idx="2752">
                  <c:v>0.86622599937045808</c:v>
                </c:pt>
                <c:pt idx="2753">
                  <c:v>0.86654076172488048</c:v>
                </c:pt>
                <c:pt idx="2754">
                  <c:v>0.86685552407930289</c:v>
                </c:pt>
                <c:pt idx="2755">
                  <c:v>0.86717028643372529</c:v>
                </c:pt>
                <c:pt idx="2756">
                  <c:v>0.86748504878814769</c:v>
                </c:pt>
                <c:pt idx="2757">
                  <c:v>0.8677998111425701</c:v>
                </c:pt>
                <c:pt idx="2758">
                  <c:v>0.8681145734969925</c:v>
                </c:pt>
                <c:pt idx="2759">
                  <c:v>0.86842933585141491</c:v>
                </c:pt>
                <c:pt idx="2760">
                  <c:v>0.86874409820583731</c:v>
                </c:pt>
                <c:pt idx="2761">
                  <c:v>0.86905886056025972</c:v>
                </c:pt>
                <c:pt idx="2762">
                  <c:v>0.86937362291468212</c:v>
                </c:pt>
                <c:pt idx="2763">
                  <c:v>0.86968838526910452</c:v>
                </c:pt>
                <c:pt idx="2764">
                  <c:v>0.87000314762352693</c:v>
                </c:pt>
                <c:pt idx="2765">
                  <c:v>0.87031790997794933</c:v>
                </c:pt>
                <c:pt idx="2766">
                  <c:v>0.87063267233237174</c:v>
                </c:pt>
                <c:pt idx="2767">
                  <c:v>0.87094743468679414</c:v>
                </c:pt>
                <c:pt idx="2768">
                  <c:v>0.87126219704121655</c:v>
                </c:pt>
                <c:pt idx="2769">
                  <c:v>0.87157695939563895</c:v>
                </c:pt>
                <c:pt idx="2770">
                  <c:v>0.87189172175006135</c:v>
                </c:pt>
                <c:pt idx="2771">
                  <c:v>0.87220648410448376</c:v>
                </c:pt>
                <c:pt idx="2772">
                  <c:v>0.87252124645890616</c:v>
                </c:pt>
                <c:pt idx="2773">
                  <c:v>0.87283600881332857</c:v>
                </c:pt>
                <c:pt idx="2774">
                  <c:v>0.87315077116775097</c:v>
                </c:pt>
                <c:pt idx="2775">
                  <c:v>0.87346553352217338</c:v>
                </c:pt>
                <c:pt idx="2776">
                  <c:v>0.87378029587659578</c:v>
                </c:pt>
                <c:pt idx="2777">
                  <c:v>0.87409505823101818</c:v>
                </c:pt>
                <c:pt idx="2778">
                  <c:v>0.87440982058544059</c:v>
                </c:pt>
                <c:pt idx="2779">
                  <c:v>0.87472458293986299</c:v>
                </c:pt>
                <c:pt idx="2780">
                  <c:v>0.8750393452942854</c:v>
                </c:pt>
                <c:pt idx="2781">
                  <c:v>0.8753541076487078</c:v>
                </c:pt>
                <c:pt idx="2782">
                  <c:v>0.87566887000313021</c:v>
                </c:pt>
                <c:pt idx="2783">
                  <c:v>0.87598363235755261</c:v>
                </c:pt>
                <c:pt idx="2784">
                  <c:v>0.87629839471197501</c:v>
                </c:pt>
                <c:pt idx="2785">
                  <c:v>0.87661315706639742</c:v>
                </c:pt>
                <c:pt idx="2786">
                  <c:v>0.87692791942081982</c:v>
                </c:pt>
                <c:pt idx="2787">
                  <c:v>0.87724268177524223</c:v>
                </c:pt>
                <c:pt idx="2788">
                  <c:v>0.87755744412966463</c:v>
                </c:pt>
                <c:pt idx="2789">
                  <c:v>0.87787220648408704</c:v>
                </c:pt>
                <c:pt idx="2790">
                  <c:v>0.87818696883850944</c:v>
                </c:pt>
                <c:pt idx="2791">
                  <c:v>0.87850173119293185</c:v>
                </c:pt>
                <c:pt idx="2792">
                  <c:v>0.87881649354735425</c:v>
                </c:pt>
                <c:pt idx="2793">
                  <c:v>0.87913125590177665</c:v>
                </c:pt>
                <c:pt idx="2794">
                  <c:v>0.87944601825619906</c:v>
                </c:pt>
                <c:pt idx="2795">
                  <c:v>0.87976078061062146</c:v>
                </c:pt>
                <c:pt idx="2796">
                  <c:v>0.88007554296504387</c:v>
                </c:pt>
                <c:pt idx="2797">
                  <c:v>0.88039030531946627</c:v>
                </c:pt>
                <c:pt idx="2798">
                  <c:v>0.88070506767388868</c:v>
                </c:pt>
                <c:pt idx="2799">
                  <c:v>0.88101983002831108</c:v>
                </c:pt>
                <c:pt idx="2800">
                  <c:v>0.88133459238273348</c:v>
                </c:pt>
                <c:pt idx="2801">
                  <c:v>0.88164935473715589</c:v>
                </c:pt>
                <c:pt idx="2802">
                  <c:v>0.88196411709157829</c:v>
                </c:pt>
                <c:pt idx="2803">
                  <c:v>0.8822788794460007</c:v>
                </c:pt>
                <c:pt idx="2804">
                  <c:v>0.8825936418004231</c:v>
                </c:pt>
                <c:pt idx="2805">
                  <c:v>0.88290840415484551</c:v>
                </c:pt>
                <c:pt idx="2806">
                  <c:v>0.88322316650926791</c:v>
                </c:pt>
                <c:pt idx="2807">
                  <c:v>0.88353792886369031</c:v>
                </c:pt>
                <c:pt idx="2808">
                  <c:v>0.88385269121811272</c:v>
                </c:pt>
                <c:pt idx="2809">
                  <c:v>0.88416745357253512</c:v>
                </c:pt>
                <c:pt idx="2810">
                  <c:v>0.88448221592695753</c:v>
                </c:pt>
                <c:pt idx="2811">
                  <c:v>0.88479697828137993</c:v>
                </c:pt>
                <c:pt idx="2812">
                  <c:v>0.88511174063580234</c:v>
                </c:pt>
                <c:pt idx="2813">
                  <c:v>0.88542650299022474</c:v>
                </c:pt>
                <c:pt idx="2814">
                  <c:v>0.88574126534464714</c:v>
                </c:pt>
                <c:pt idx="2815">
                  <c:v>0.88605602769906955</c:v>
                </c:pt>
                <c:pt idx="2816">
                  <c:v>0.88637079005349195</c:v>
                </c:pt>
                <c:pt idx="2817">
                  <c:v>0.88668555240791436</c:v>
                </c:pt>
                <c:pt idx="2818">
                  <c:v>0.88700031476233676</c:v>
                </c:pt>
                <c:pt idx="2819">
                  <c:v>0.88731507711675917</c:v>
                </c:pt>
                <c:pt idx="2820">
                  <c:v>0.88762983947118157</c:v>
                </c:pt>
                <c:pt idx="2821">
                  <c:v>0.88794460182560397</c:v>
                </c:pt>
                <c:pt idx="2822">
                  <c:v>0.88825936418002638</c:v>
                </c:pt>
                <c:pt idx="2823">
                  <c:v>0.88857412653444878</c:v>
                </c:pt>
                <c:pt idx="2824">
                  <c:v>0.88888888888887119</c:v>
                </c:pt>
                <c:pt idx="2825">
                  <c:v>0.88920365124329359</c:v>
                </c:pt>
                <c:pt idx="2826">
                  <c:v>0.889518413597716</c:v>
                </c:pt>
                <c:pt idx="2827">
                  <c:v>0.8898331759521384</c:v>
                </c:pt>
                <c:pt idx="2828">
                  <c:v>0.8901479383065608</c:v>
                </c:pt>
                <c:pt idx="2829">
                  <c:v>0.89046270066098321</c:v>
                </c:pt>
                <c:pt idx="2830">
                  <c:v>0.89077746301540561</c:v>
                </c:pt>
                <c:pt idx="2831">
                  <c:v>0.89109222536982802</c:v>
                </c:pt>
                <c:pt idx="2832">
                  <c:v>0.89140698772425042</c:v>
                </c:pt>
                <c:pt idx="2833">
                  <c:v>0.89172175007867283</c:v>
                </c:pt>
                <c:pt idx="2834">
                  <c:v>0.89203651243309523</c:v>
                </c:pt>
                <c:pt idx="2835">
                  <c:v>0.89235127478751763</c:v>
                </c:pt>
                <c:pt idx="2836">
                  <c:v>0.89266603714194004</c:v>
                </c:pt>
                <c:pt idx="2837">
                  <c:v>0.89298079949636244</c:v>
                </c:pt>
                <c:pt idx="2838">
                  <c:v>0.89329556185078485</c:v>
                </c:pt>
                <c:pt idx="2839">
                  <c:v>0.89361032420520725</c:v>
                </c:pt>
                <c:pt idx="2840">
                  <c:v>0.89392508655962966</c:v>
                </c:pt>
                <c:pt idx="2841">
                  <c:v>0.89423984891405206</c:v>
                </c:pt>
                <c:pt idx="2842">
                  <c:v>0.89455461126847446</c:v>
                </c:pt>
                <c:pt idx="2843">
                  <c:v>0.89486937362289687</c:v>
                </c:pt>
                <c:pt idx="2844">
                  <c:v>0.89518413597731927</c:v>
                </c:pt>
                <c:pt idx="2845">
                  <c:v>0.89549889833174168</c:v>
                </c:pt>
                <c:pt idx="2846">
                  <c:v>0.89581366068616408</c:v>
                </c:pt>
                <c:pt idx="2847">
                  <c:v>0.89612842304058649</c:v>
                </c:pt>
                <c:pt idx="2848">
                  <c:v>0.89644318539500889</c:v>
                </c:pt>
                <c:pt idx="2849">
                  <c:v>0.89675794774943129</c:v>
                </c:pt>
                <c:pt idx="2850">
                  <c:v>0.8970727101038537</c:v>
                </c:pt>
                <c:pt idx="2851">
                  <c:v>0.8973874724582761</c:v>
                </c:pt>
                <c:pt idx="2852">
                  <c:v>0.89770223481269851</c:v>
                </c:pt>
                <c:pt idx="2853">
                  <c:v>0.89801699716712091</c:v>
                </c:pt>
                <c:pt idx="2854">
                  <c:v>0.89833175952154332</c:v>
                </c:pt>
                <c:pt idx="2855">
                  <c:v>0.89864652187596572</c:v>
                </c:pt>
                <c:pt idx="2856">
                  <c:v>0.89896128423038812</c:v>
                </c:pt>
                <c:pt idx="2857">
                  <c:v>0.89927604658481053</c:v>
                </c:pt>
                <c:pt idx="2858">
                  <c:v>0.89959080893923293</c:v>
                </c:pt>
                <c:pt idx="2859">
                  <c:v>0.89990557129365534</c:v>
                </c:pt>
                <c:pt idx="2860">
                  <c:v>0.90022033364807774</c:v>
                </c:pt>
                <c:pt idx="2861">
                  <c:v>0.90053509600250015</c:v>
                </c:pt>
                <c:pt idx="2862">
                  <c:v>0.90084985835692255</c:v>
                </c:pt>
                <c:pt idx="2863">
                  <c:v>0.90116462071134495</c:v>
                </c:pt>
                <c:pt idx="2864">
                  <c:v>0.90147938306576736</c:v>
                </c:pt>
                <c:pt idx="2865">
                  <c:v>0.90179414542018976</c:v>
                </c:pt>
                <c:pt idx="2866">
                  <c:v>0.90210890777461217</c:v>
                </c:pt>
                <c:pt idx="2867">
                  <c:v>0.90242367012903457</c:v>
                </c:pt>
                <c:pt idx="2868">
                  <c:v>0.90273843248345698</c:v>
                </c:pt>
                <c:pt idx="2869">
                  <c:v>0.90305319483787938</c:v>
                </c:pt>
                <c:pt idx="2870">
                  <c:v>0.90336795719230178</c:v>
                </c:pt>
                <c:pt idx="2871">
                  <c:v>0.90368271954672419</c:v>
                </c:pt>
                <c:pt idx="2872">
                  <c:v>0.90399748190114659</c:v>
                </c:pt>
                <c:pt idx="2873">
                  <c:v>0.904312244255569</c:v>
                </c:pt>
                <c:pt idx="2874">
                  <c:v>0.9046270066099914</c:v>
                </c:pt>
                <c:pt idx="2875">
                  <c:v>0.90494176896441381</c:v>
                </c:pt>
                <c:pt idx="2876">
                  <c:v>0.90525653131883621</c:v>
                </c:pt>
                <c:pt idx="2877">
                  <c:v>0.90557129367325861</c:v>
                </c:pt>
                <c:pt idx="2878">
                  <c:v>0.90588605602768102</c:v>
                </c:pt>
                <c:pt idx="2879">
                  <c:v>0.90620081838210342</c:v>
                </c:pt>
                <c:pt idx="2880">
                  <c:v>0.90651558073652583</c:v>
                </c:pt>
                <c:pt idx="2881">
                  <c:v>0.90683034309094823</c:v>
                </c:pt>
                <c:pt idx="2882">
                  <c:v>0.90714510544537064</c:v>
                </c:pt>
                <c:pt idx="2883">
                  <c:v>0.90745986779979304</c:v>
                </c:pt>
                <c:pt idx="2884">
                  <c:v>0.90777463015421545</c:v>
                </c:pt>
                <c:pt idx="2885">
                  <c:v>0.90808939250863785</c:v>
                </c:pt>
                <c:pt idx="2886">
                  <c:v>0.90840415486306025</c:v>
                </c:pt>
                <c:pt idx="2887">
                  <c:v>0.90871891721748266</c:v>
                </c:pt>
                <c:pt idx="2888">
                  <c:v>0.90903367957190506</c:v>
                </c:pt>
                <c:pt idx="2889">
                  <c:v>0.90934844192632747</c:v>
                </c:pt>
                <c:pt idx="2890">
                  <c:v>0.90966320428074987</c:v>
                </c:pt>
                <c:pt idx="2891">
                  <c:v>0.90997796663517228</c:v>
                </c:pt>
                <c:pt idx="2892">
                  <c:v>0.91029272898959468</c:v>
                </c:pt>
                <c:pt idx="2893">
                  <c:v>0.91060749134401708</c:v>
                </c:pt>
                <c:pt idx="2894">
                  <c:v>0.91092225369843949</c:v>
                </c:pt>
                <c:pt idx="2895">
                  <c:v>0.91123701605286189</c:v>
                </c:pt>
                <c:pt idx="2896">
                  <c:v>0.9115517784072843</c:v>
                </c:pt>
                <c:pt idx="2897">
                  <c:v>0.9118665407617067</c:v>
                </c:pt>
                <c:pt idx="2898">
                  <c:v>0.91218130311612911</c:v>
                </c:pt>
                <c:pt idx="2899">
                  <c:v>0.91249606547055151</c:v>
                </c:pt>
                <c:pt idx="2900">
                  <c:v>0.91281082782497391</c:v>
                </c:pt>
                <c:pt idx="2901">
                  <c:v>0.91312559017939632</c:v>
                </c:pt>
                <c:pt idx="2902">
                  <c:v>0.91344035253381872</c:v>
                </c:pt>
                <c:pt idx="2903">
                  <c:v>0.91375511488824113</c:v>
                </c:pt>
                <c:pt idx="2904">
                  <c:v>0.91406987724266353</c:v>
                </c:pt>
                <c:pt idx="2905">
                  <c:v>0.91438463959708594</c:v>
                </c:pt>
                <c:pt idx="2906">
                  <c:v>0.91469940195150834</c:v>
                </c:pt>
                <c:pt idx="2907">
                  <c:v>0.91501416430593074</c:v>
                </c:pt>
                <c:pt idx="2908">
                  <c:v>0.91532892666035315</c:v>
                </c:pt>
                <c:pt idx="2909">
                  <c:v>0.91564368901477555</c:v>
                </c:pt>
                <c:pt idx="2910">
                  <c:v>0.91595845136919796</c:v>
                </c:pt>
                <c:pt idx="2911">
                  <c:v>0.91627321372362036</c:v>
                </c:pt>
                <c:pt idx="2912">
                  <c:v>0.91658797607804277</c:v>
                </c:pt>
                <c:pt idx="2913">
                  <c:v>0.91690273843246517</c:v>
                </c:pt>
                <c:pt idx="2914">
                  <c:v>0.91721750078688757</c:v>
                </c:pt>
                <c:pt idx="2915">
                  <c:v>0.91753226314130998</c:v>
                </c:pt>
                <c:pt idx="2916">
                  <c:v>0.91784702549573238</c:v>
                </c:pt>
                <c:pt idx="2917">
                  <c:v>0.91816178785015479</c:v>
                </c:pt>
                <c:pt idx="2918">
                  <c:v>0.91847655020457719</c:v>
                </c:pt>
                <c:pt idx="2919">
                  <c:v>0.9187913125589996</c:v>
                </c:pt>
                <c:pt idx="2920">
                  <c:v>0.919106074913422</c:v>
                </c:pt>
                <c:pt idx="2921">
                  <c:v>0.9194208372678444</c:v>
                </c:pt>
                <c:pt idx="2922">
                  <c:v>0.91973559962226681</c:v>
                </c:pt>
                <c:pt idx="2923">
                  <c:v>0.92005036197668921</c:v>
                </c:pt>
                <c:pt idx="2924">
                  <c:v>0.92036512433111162</c:v>
                </c:pt>
                <c:pt idx="2925">
                  <c:v>0.92067988668553402</c:v>
                </c:pt>
                <c:pt idx="2926">
                  <c:v>0.92099464903995643</c:v>
                </c:pt>
                <c:pt idx="2927">
                  <c:v>0.92130941139437883</c:v>
                </c:pt>
                <c:pt idx="2928">
                  <c:v>0.92162417374880123</c:v>
                </c:pt>
                <c:pt idx="2929">
                  <c:v>0.92193893610322364</c:v>
                </c:pt>
                <c:pt idx="2930">
                  <c:v>0.92225369845764604</c:v>
                </c:pt>
                <c:pt idx="2931">
                  <c:v>0.92256846081206845</c:v>
                </c:pt>
                <c:pt idx="2932">
                  <c:v>0.92288322316649085</c:v>
                </c:pt>
                <c:pt idx="2933">
                  <c:v>0.92319798552091326</c:v>
                </c:pt>
                <c:pt idx="2934">
                  <c:v>0.92351274787533566</c:v>
                </c:pt>
                <c:pt idx="2935">
                  <c:v>0.92382751022975806</c:v>
                </c:pt>
                <c:pt idx="2936">
                  <c:v>0.92414227258418047</c:v>
                </c:pt>
                <c:pt idx="2937">
                  <c:v>0.92445703493860287</c:v>
                </c:pt>
                <c:pt idx="2938">
                  <c:v>0.92477179729302528</c:v>
                </c:pt>
                <c:pt idx="2939">
                  <c:v>0.92508655964744768</c:v>
                </c:pt>
                <c:pt idx="2940">
                  <c:v>0.92540132200187009</c:v>
                </c:pt>
                <c:pt idx="2941">
                  <c:v>0.92571608435629249</c:v>
                </c:pt>
                <c:pt idx="2942">
                  <c:v>0.92603084671071489</c:v>
                </c:pt>
                <c:pt idx="2943">
                  <c:v>0.9263456090651373</c:v>
                </c:pt>
                <c:pt idx="2944">
                  <c:v>0.9266603714195597</c:v>
                </c:pt>
                <c:pt idx="2945">
                  <c:v>0.92697513377398211</c:v>
                </c:pt>
                <c:pt idx="2946">
                  <c:v>0.92728989612840451</c:v>
                </c:pt>
                <c:pt idx="2947">
                  <c:v>0.92760465848282692</c:v>
                </c:pt>
                <c:pt idx="2948">
                  <c:v>0.92791942083724932</c:v>
                </c:pt>
                <c:pt idx="2949">
                  <c:v>0.92823418319167172</c:v>
                </c:pt>
                <c:pt idx="2950">
                  <c:v>0.92854894554609413</c:v>
                </c:pt>
                <c:pt idx="2951">
                  <c:v>0.92886370790051653</c:v>
                </c:pt>
                <c:pt idx="2952">
                  <c:v>0.92917847025493894</c:v>
                </c:pt>
                <c:pt idx="2953">
                  <c:v>0.92949323260936134</c:v>
                </c:pt>
                <c:pt idx="2954">
                  <c:v>0.92980799496378375</c:v>
                </c:pt>
                <c:pt idx="2955">
                  <c:v>0.93012275731820615</c:v>
                </c:pt>
                <c:pt idx="2956">
                  <c:v>0.93043751967262855</c:v>
                </c:pt>
                <c:pt idx="2957">
                  <c:v>0.93075228202705096</c:v>
                </c:pt>
                <c:pt idx="2958">
                  <c:v>0.93106704438147336</c:v>
                </c:pt>
                <c:pt idx="2959">
                  <c:v>0.93138180673589577</c:v>
                </c:pt>
                <c:pt idx="2960">
                  <c:v>0.93169656909031817</c:v>
                </c:pt>
                <c:pt idx="2961">
                  <c:v>0.93201133144474058</c:v>
                </c:pt>
                <c:pt idx="2962">
                  <c:v>0.93232609379916298</c:v>
                </c:pt>
                <c:pt idx="2963">
                  <c:v>0.93264085615358538</c:v>
                </c:pt>
                <c:pt idx="2964">
                  <c:v>0.93295561850800779</c:v>
                </c:pt>
                <c:pt idx="2965">
                  <c:v>0.93327038086243019</c:v>
                </c:pt>
                <c:pt idx="2966">
                  <c:v>0.9335851432168526</c:v>
                </c:pt>
                <c:pt idx="2967">
                  <c:v>0.933899905571275</c:v>
                </c:pt>
                <c:pt idx="2968">
                  <c:v>0.93421466792569741</c:v>
                </c:pt>
                <c:pt idx="2969">
                  <c:v>0.93452943028011981</c:v>
                </c:pt>
                <c:pt idx="2970">
                  <c:v>0.93484419263454221</c:v>
                </c:pt>
                <c:pt idx="2971">
                  <c:v>0.93515895498896462</c:v>
                </c:pt>
                <c:pt idx="2972">
                  <c:v>0.93547371734338702</c:v>
                </c:pt>
                <c:pt idx="2973">
                  <c:v>0.93578847969780943</c:v>
                </c:pt>
                <c:pt idx="2974">
                  <c:v>0.93610324205223183</c:v>
                </c:pt>
                <c:pt idx="2975">
                  <c:v>0.93641800440665424</c:v>
                </c:pt>
                <c:pt idx="2976">
                  <c:v>0.93673276676107664</c:v>
                </c:pt>
                <c:pt idx="2977">
                  <c:v>0.93704752911549904</c:v>
                </c:pt>
                <c:pt idx="2978">
                  <c:v>0.93736229146992145</c:v>
                </c:pt>
                <c:pt idx="2979">
                  <c:v>0.93767705382434385</c:v>
                </c:pt>
                <c:pt idx="2980">
                  <c:v>0.93799181617876626</c:v>
                </c:pt>
                <c:pt idx="2981">
                  <c:v>0.93830657853318866</c:v>
                </c:pt>
                <c:pt idx="2982">
                  <c:v>0.93862134088761107</c:v>
                </c:pt>
                <c:pt idx="2983">
                  <c:v>0.93893610324203347</c:v>
                </c:pt>
                <c:pt idx="2984">
                  <c:v>0.93925086559645588</c:v>
                </c:pt>
                <c:pt idx="2985">
                  <c:v>0.93956562795087828</c:v>
                </c:pt>
                <c:pt idx="2986">
                  <c:v>0.93988039030530068</c:v>
                </c:pt>
                <c:pt idx="2987">
                  <c:v>0.94019515265972309</c:v>
                </c:pt>
                <c:pt idx="2988">
                  <c:v>0.94050991501414549</c:v>
                </c:pt>
                <c:pt idx="2989">
                  <c:v>0.9408246773685679</c:v>
                </c:pt>
                <c:pt idx="2990">
                  <c:v>0.9411394397229903</c:v>
                </c:pt>
                <c:pt idx="2991">
                  <c:v>0.94145420207741271</c:v>
                </c:pt>
                <c:pt idx="2992">
                  <c:v>0.94176896443183511</c:v>
                </c:pt>
                <c:pt idx="2993">
                  <c:v>0.94208372678625751</c:v>
                </c:pt>
                <c:pt idx="2994">
                  <c:v>0.94239848914067992</c:v>
                </c:pt>
                <c:pt idx="2995">
                  <c:v>0.94271325149510232</c:v>
                </c:pt>
                <c:pt idx="2996">
                  <c:v>0.94302801384952473</c:v>
                </c:pt>
                <c:pt idx="2997">
                  <c:v>0.94334277620394713</c:v>
                </c:pt>
                <c:pt idx="2998">
                  <c:v>0.94365753855836954</c:v>
                </c:pt>
                <c:pt idx="2999">
                  <c:v>0.94397230091279194</c:v>
                </c:pt>
                <c:pt idx="3000">
                  <c:v>0.94428706326721434</c:v>
                </c:pt>
                <c:pt idx="3001">
                  <c:v>0.94460182562163675</c:v>
                </c:pt>
                <c:pt idx="3002">
                  <c:v>0.94491658797605915</c:v>
                </c:pt>
                <c:pt idx="3003">
                  <c:v>0.94523135033048156</c:v>
                </c:pt>
                <c:pt idx="3004">
                  <c:v>0.94554611268490396</c:v>
                </c:pt>
                <c:pt idx="3005">
                  <c:v>0.94586087503932637</c:v>
                </c:pt>
                <c:pt idx="3006">
                  <c:v>0.94617563739374877</c:v>
                </c:pt>
                <c:pt idx="3007">
                  <c:v>0.94649039974817117</c:v>
                </c:pt>
                <c:pt idx="3008">
                  <c:v>0.94680516210259358</c:v>
                </c:pt>
                <c:pt idx="3009">
                  <c:v>0.94711992445701598</c:v>
                </c:pt>
                <c:pt idx="3010">
                  <c:v>0.94743468681143839</c:v>
                </c:pt>
                <c:pt idx="3011">
                  <c:v>0.94774944916586079</c:v>
                </c:pt>
                <c:pt idx="3012">
                  <c:v>0.9480642115202832</c:v>
                </c:pt>
                <c:pt idx="3013">
                  <c:v>0.9483789738747056</c:v>
                </c:pt>
                <c:pt idx="3014">
                  <c:v>0.948693736229128</c:v>
                </c:pt>
                <c:pt idx="3015">
                  <c:v>0.94900849858355041</c:v>
                </c:pt>
                <c:pt idx="3016">
                  <c:v>0.94932326093797281</c:v>
                </c:pt>
                <c:pt idx="3017">
                  <c:v>0.94963802329239522</c:v>
                </c:pt>
                <c:pt idx="3018">
                  <c:v>0.94995278564681762</c:v>
                </c:pt>
                <c:pt idx="3019">
                  <c:v>0.95026754800124003</c:v>
                </c:pt>
                <c:pt idx="3020">
                  <c:v>0.95058231035566243</c:v>
                </c:pt>
                <c:pt idx="3021">
                  <c:v>0.95089707271008483</c:v>
                </c:pt>
                <c:pt idx="3022">
                  <c:v>0.95121183506450724</c:v>
                </c:pt>
                <c:pt idx="3023">
                  <c:v>0.95152659741892964</c:v>
                </c:pt>
                <c:pt idx="3024">
                  <c:v>0.95184135977335205</c:v>
                </c:pt>
                <c:pt idx="3025">
                  <c:v>0.95215612212777445</c:v>
                </c:pt>
                <c:pt idx="3026">
                  <c:v>0.95247088448219686</c:v>
                </c:pt>
                <c:pt idx="3027">
                  <c:v>0.95278564683661926</c:v>
                </c:pt>
                <c:pt idx="3028">
                  <c:v>0.95310040919104166</c:v>
                </c:pt>
                <c:pt idx="3029">
                  <c:v>0.95341517154546407</c:v>
                </c:pt>
                <c:pt idx="3030">
                  <c:v>0.95372993389988647</c:v>
                </c:pt>
                <c:pt idx="3031">
                  <c:v>0.95404469625430888</c:v>
                </c:pt>
                <c:pt idx="3032">
                  <c:v>0.95435945860873128</c:v>
                </c:pt>
                <c:pt idx="3033">
                  <c:v>0.95467422096315369</c:v>
                </c:pt>
                <c:pt idx="3034">
                  <c:v>0.95498898331757609</c:v>
                </c:pt>
                <c:pt idx="3035">
                  <c:v>0.95530374567199849</c:v>
                </c:pt>
                <c:pt idx="3036">
                  <c:v>0.9556185080264209</c:v>
                </c:pt>
                <c:pt idx="3037">
                  <c:v>0.9559332703808433</c:v>
                </c:pt>
                <c:pt idx="3038">
                  <c:v>0.95624803273526571</c:v>
                </c:pt>
                <c:pt idx="3039">
                  <c:v>0.95656279508968811</c:v>
                </c:pt>
                <c:pt idx="3040">
                  <c:v>0.95687755744411052</c:v>
                </c:pt>
                <c:pt idx="3041">
                  <c:v>0.95719231979853292</c:v>
                </c:pt>
                <c:pt idx="3042">
                  <c:v>0.95750708215295532</c:v>
                </c:pt>
                <c:pt idx="3043">
                  <c:v>0.95782184450737773</c:v>
                </c:pt>
                <c:pt idx="3044">
                  <c:v>0.95813660686180013</c:v>
                </c:pt>
                <c:pt idx="3045">
                  <c:v>0.95845136921622254</c:v>
                </c:pt>
                <c:pt idx="3046">
                  <c:v>0.95876613157064494</c:v>
                </c:pt>
                <c:pt idx="3047">
                  <c:v>0.95908089392506735</c:v>
                </c:pt>
                <c:pt idx="3048">
                  <c:v>0.95939565627948975</c:v>
                </c:pt>
                <c:pt idx="3049">
                  <c:v>0.95971041863391215</c:v>
                </c:pt>
                <c:pt idx="3050">
                  <c:v>0.96002518098833456</c:v>
                </c:pt>
                <c:pt idx="3051">
                  <c:v>0.96033994334275696</c:v>
                </c:pt>
                <c:pt idx="3052">
                  <c:v>0.96065470569717937</c:v>
                </c:pt>
                <c:pt idx="3053">
                  <c:v>0.96096946805160177</c:v>
                </c:pt>
                <c:pt idx="3054">
                  <c:v>0.96128423040602418</c:v>
                </c:pt>
                <c:pt idx="3055">
                  <c:v>0.96159899276044658</c:v>
                </c:pt>
                <c:pt idx="3056">
                  <c:v>0.96191375511486898</c:v>
                </c:pt>
                <c:pt idx="3057">
                  <c:v>0.96222851746929139</c:v>
                </c:pt>
                <c:pt idx="3058">
                  <c:v>0.96254327982371379</c:v>
                </c:pt>
                <c:pt idx="3059">
                  <c:v>0.9628580421781362</c:v>
                </c:pt>
                <c:pt idx="3060">
                  <c:v>0.9631728045325586</c:v>
                </c:pt>
                <c:pt idx="3061">
                  <c:v>0.96348756688698101</c:v>
                </c:pt>
                <c:pt idx="3062">
                  <c:v>0.96380232924140341</c:v>
                </c:pt>
                <c:pt idx="3063">
                  <c:v>0.96411709159582581</c:v>
                </c:pt>
                <c:pt idx="3064">
                  <c:v>0.96443185395024822</c:v>
                </c:pt>
                <c:pt idx="3065">
                  <c:v>0.96474661630467062</c:v>
                </c:pt>
                <c:pt idx="3066">
                  <c:v>0.96506137865909303</c:v>
                </c:pt>
                <c:pt idx="3067">
                  <c:v>0.96537614101351543</c:v>
                </c:pt>
                <c:pt idx="3068">
                  <c:v>0.96569090336793784</c:v>
                </c:pt>
                <c:pt idx="3069">
                  <c:v>0.96600566572236024</c:v>
                </c:pt>
                <c:pt idx="3070">
                  <c:v>0.96632042807678264</c:v>
                </c:pt>
                <c:pt idx="3071">
                  <c:v>0.96663519043120505</c:v>
                </c:pt>
                <c:pt idx="3072">
                  <c:v>0.96694995278562745</c:v>
                </c:pt>
                <c:pt idx="3073">
                  <c:v>0.96726471514004986</c:v>
                </c:pt>
                <c:pt idx="3074">
                  <c:v>0.96757947749447226</c:v>
                </c:pt>
                <c:pt idx="3075">
                  <c:v>0.96789423984889467</c:v>
                </c:pt>
                <c:pt idx="3076">
                  <c:v>0.96820900220331707</c:v>
                </c:pt>
                <c:pt idx="3077">
                  <c:v>0.96852376455773947</c:v>
                </c:pt>
                <c:pt idx="3078">
                  <c:v>0.96883852691216188</c:v>
                </c:pt>
                <c:pt idx="3079">
                  <c:v>0.96915328926658428</c:v>
                </c:pt>
                <c:pt idx="3080">
                  <c:v>0.96946805162100669</c:v>
                </c:pt>
                <c:pt idx="3081">
                  <c:v>0.96978281397542909</c:v>
                </c:pt>
                <c:pt idx="3082">
                  <c:v>0.9700975763298515</c:v>
                </c:pt>
                <c:pt idx="3083">
                  <c:v>0.9704123386842739</c:v>
                </c:pt>
                <c:pt idx="3084">
                  <c:v>0.97072710103869631</c:v>
                </c:pt>
                <c:pt idx="3085">
                  <c:v>0.97104186339311871</c:v>
                </c:pt>
                <c:pt idx="3086">
                  <c:v>0.97135662574754111</c:v>
                </c:pt>
                <c:pt idx="3087">
                  <c:v>0.97167138810196352</c:v>
                </c:pt>
                <c:pt idx="3088">
                  <c:v>0.97198615045638592</c:v>
                </c:pt>
                <c:pt idx="3089">
                  <c:v>0.97230091281080833</c:v>
                </c:pt>
                <c:pt idx="3090">
                  <c:v>0.97261567516523073</c:v>
                </c:pt>
                <c:pt idx="3091">
                  <c:v>0.97293043751965314</c:v>
                </c:pt>
                <c:pt idx="3092">
                  <c:v>0.97324519987407554</c:v>
                </c:pt>
                <c:pt idx="3093">
                  <c:v>0.97355996222849794</c:v>
                </c:pt>
                <c:pt idx="3094">
                  <c:v>0.97387472458292035</c:v>
                </c:pt>
                <c:pt idx="3095">
                  <c:v>0.97418948693734275</c:v>
                </c:pt>
                <c:pt idx="3096">
                  <c:v>0.97450424929176516</c:v>
                </c:pt>
                <c:pt idx="3097">
                  <c:v>0.97481901164618756</c:v>
                </c:pt>
                <c:pt idx="3098">
                  <c:v>0.97513377400060997</c:v>
                </c:pt>
                <c:pt idx="3099">
                  <c:v>0.97544853635503237</c:v>
                </c:pt>
                <c:pt idx="3100">
                  <c:v>0.97576329870945477</c:v>
                </c:pt>
                <c:pt idx="3101">
                  <c:v>0.97607806106387718</c:v>
                </c:pt>
                <c:pt idx="3102">
                  <c:v>0.97639282341829958</c:v>
                </c:pt>
                <c:pt idx="3103">
                  <c:v>0.97670758577272199</c:v>
                </c:pt>
                <c:pt idx="3104">
                  <c:v>0.97702234812714439</c:v>
                </c:pt>
                <c:pt idx="3105">
                  <c:v>0.9773371104815668</c:v>
                </c:pt>
                <c:pt idx="3106">
                  <c:v>0.9776518728359892</c:v>
                </c:pt>
                <c:pt idx="3107">
                  <c:v>0.9779666351904116</c:v>
                </c:pt>
                <c:pt idx="3108">
                  <c:v>0.97828139754483401</c:v>
                </c:pt>
                <c:pt idx="3109">
                  <c:v>0.97859615989925641</c:v>
                </c:pt>
                <c:pt idx="3110">
                  <c:v>0.97891092225367882</c:v>
                </c:pt>
                <c:pt idx="3111">
                  <c:v>0.97922568460810122</c:v>
                </c:pt>
                <c:pt idx="3112">
                  <c:v>0.97954044696252363</c:v>
                </c:pt>
                <c:pt idx="3113">
                  <c:v>0.97985520931694603</c:v>
                </c:pt>
                <c:pt idx="3114">
                  <c:v>0.98016997167136843</c:v>
                </c:pt>
                <c:pt idx="3115">
                  <c:v>0.98048473402579084</c:v>
                </c:pt>
                <c:pt idx="3116">
                  <c:v>0.98079949638021324</c:v>
                </c:pt>
                <c:pt idx="3117">
                  <c:v>0.98111425873463565</c:v>
                </c:pt>
                <c:pt idx="3118">
                  <c:v>0.98142902108905805</c:v>
                </c:pt>
                <c:pt idx="3119">
                  <c:v>0.98174378344348046</c:v>
                </c:pt>
                <c:pt idx="3120">
                  <c:v>0.98205854579790286</c:v>
                </c:pt>
                <c:pt idx="3121">
                  <c:v>0.98237330815232526</c:v>
                </c:pt>
                <c:pt idx="3122">
                  <c:v>0.98268807050674767</c:v>
                </c:pt>
                <c:pt idx="3123">
                  <c:v>0.98300283286117007</c:v>
                </c:pt>
                <c:pt idx="3124">
                  <c:v>0.98331759521559248</c:v>
                </c:pt>
                <c:pt idx="3125">
                  <c:v>0.98363235757001488</c:v>
                </c:pt>
                <c:pt idx="3126">
                  <c:v>0.98394711992443729</c:v>
                </c:pt>
                <c:pt idx="3127">
                  <c:v>0.98426188227885969</c:v>
                </c:pt>
                <c:pt idx="3128">
                  <c:v>0.98457664463328209</c:v>
                </c:pt>
                <c:pt idx="3129">
                  <c:v>0.9848914069877045</c:v>
                </c:pt>
                <c:pt idx="3130">
                  <c:v>0.9852061693421269</c:v>
                </c:pt>
                <c:pt idx="3131">
                  <c:v>0.98552093169654931</c:v>
                </c:pt>
                <c:pt idx="3132">
                  <c:v>0.98583569405097171</c:v>
                </c:pt>
                <c:pt idx="3133">
                  <c:v>0.98615045640539412</c:v>
                </c:pt>
                <c:pt idx="3134">
                  <c:v>0.98646521875981652</c:v>
                </c:pt>
                <c:pt idx="3135">
                  <c:v>0.98677998111423892</c:v>
                </c:pt>
                <c:pt idx="3136">
                  <c:v>0.98709474346866133</c:v>
                </c:pt>
                <c:pt idx="3137">
                  <c:v>0.98740950582308373</c:v>
                </c:pt>
                <c:pt idx="3138">
                  <c:v>0.98772426817750614</c:v>
                </c:pt>
                <c:pt idx="3139">
                  <c:v>0.98803903053192854</c:v>
                </c:pt>
                <c:pt idx="3140">
                  <c:v>0.98835379288635095</c:v>
                </c:pt>
                <c:pt idx="3141">
                  <c:v>0.98866855524077335</c:v>
                </c:pt>
                <c:pt idx="3142">
                  <c:v>0.98898331759519575</c:v>
                </c:pt>
                <c:pt idx="3143">
                  <c:v>0.98929807994961816</c:v>
                </c:pt>
                <c:pt idx="3144">
                  <c:v>0.98961284230404056</c:v>
                </c:pt>
                <c:pt idx="3145">
                  <c:v>0.98992760465846297</c:v>
                </c:pt>
                <c:pt idx="3146">
                  <c:v>0.99024236701288537</c:v>
                </c:pt>
                <c:pt idx="3147">
                  <c:v>0.99055712936730778</c:v>
                </c:pt>
                <c:pt idx="3148">
                  <c:v>0.99087189172173018</c:v>
                </c:pt>
                <c:pt idx="3149">
                  <c:v>0.99118665407615258</c:v>
                </c:pt>
                <c:pt idx="3150">
                  <c:v>0.99150141643057499</c:v>
                </c:pt>
                <c:pt idx="3151">
                  <c:v>0.99181617878499739</c:v>
                </c:pt>
                <c:pt idx="3152">
                  <c:v>0.9921309411394198</c:v>
                </c:pt>
                <c:pt idx="3153">
                  <c:v>0.9924457034938422</c:v>
                </c:pt>
                <c:pt idx="3154">
                  <c:v>0.99276046584826461</c:v>
                </c:pt>
                <c:pt idx="3155">
                  <c:v>0.99307522820268701</c:v>
                </c:pt>
                <c:pt idx="3156">
                  <c:v>0.99338999055710941</c:v>
                </c:pt>
                <c:pt idx="3157">
                  <c:v>0.99370475291153182</c:v>
                </c:pt>
                <c:pt idx="3158">
                  <c:v>0.99401951526595422</c:v>
                </c:pt>
                <c:pt idx="3159">
                  <c:v>0.99433427762037663</c:v>
                </c:pt>
                <c:pt idx="3160">
                  <c:v>0.99464903997479903</c:v>
                </c:pt>
                <c:pt idx="3161">
                  <c:v>0.99496380232922144</c:v>
                </c:pt>
                <c:pt idx="3162">
                  <c:v>0.99527856468364384</c:v>
                </c:pt>
                <c:pt idx="3163">
                  <c:v>0.99559332703806624</c:v>
                </c:pt>
                <c:pt idx="3164">
                  <c:v>0.99590808939248865</c:v>
                </c:pt>
                <c:pt idx="3165">
                  <c:v>0.99622285174691105</c:v>
                </c:pt>
                <c:pt idx="3166">
                  <c:v>0.99653761410133346</c:v>
                </c:pt>
                <c:pt idx="3167">
                  <c:v>0.99685237645575586</c:v>
                </c:pt>
                <c:pt idx="3168">
                  <c:v>0.99716713881017827</c:v>
                </c:pt>
                <c:pt idx="3169">
                  <c:v>0.99748190116460067</c:v>
                </c:pt>
                <c:pt idx="3170">
                  <c:v>0.99779666351902307</c:v>
                </c:pt>
                <c:pt idx="3171">
                  <c:v>0.99811142587344548</c:v>
                </c:pt>
                <c:pt idx="3172">
                  <c:v>0.99842618822786788</c:v>
                </c:pt>
                <c:pt idx="3173">
                  <c:v>0.99874095058229029</c:v>
                </c:pt>
                <c:pt idx="3174">
                  <c:v>0.99905571293671269</c:v>
                </c:pt>
                <c:pt idx="3175">
                  <c:v>0.9993704752911351</c:v>
                </c:pt>
                <c:pt idx="3176">
                  <c:v>0.9996852376455575</c:v>
                </c:pt>
                <c:pt idx="3177">
                  <c:v>0.9999999999999799</c:v>
                </c:pt>
              </c:numCache>
            </c:numRef>
          </c:xVal>
          <c:yVal>
            <c:numRef>
              <c:f>'E5.1'!$F$8:$F$3185</c:f>
              <c:numCache>
                <c:formatCode>0.0000%</c:formatCode>
                <c:ptCount val="3178"/>
                <c:pt idx="0">
                  <c:v>0</c:v>
                </c:pt>
                <c:pt idx="1">
                  <c:v>1.3627545756581422E-6</c:v>
                </c:pt>
                <c:pt idx="2">
                  <c:v>2.7255091513162845E-6</c:v>
                </c:pt>
                <c:pt idx="3">
                  <c:v>4.2979182770756791E-6</c:v>
                </c:pt>
                <c:pt idx="4">
                  <c:v>5.9751546778857006E-6</c:v>
                </c:pt>
                <c:pt idx="5">
                  <c:v>7.8620456287969752E-6</c:v>
                </c:pt>
                <c:pt idx="6">
                  <c:v>1.0063418404860128E-5</c:v>
                </c:pt>
                <c:pt idx="7">
                  <c:v>1.226479118092328E-5</c:v>
                </c:pt>
                <c:pt idx="8">
                  <c:v>1.457099123203706E-5</c:v>
                </c:pt>
                <c:pt idx="9">
                  <c:v>1.7086845833252091E-5</c:v>
                </c:pt>
                <c:pt idx="10">
                  <c:v>1.9602700434467123E-5</c:v>
                </c:pt>
                <c:pt idx="11">
                  <c:v>2.2223382310732782E-5</c:v>
                </c:pt>
                <c:pt idx="12">
                  <c:v>2.5053718737099692E-5</c:v>
                </c:pt>
                <c:pt idx="13">
                  <c:v>2.798888243851723E-5</c:v>
                </c:pt>
                <c:pt idx="14">
                  <c:v>3.0924046139934766E-5</c:v>
                </c:pt>
                <c:pt idx="15">
                  <c:v>3.396403711640293E-5</c:v>
                </c:pt>
                <c:pt idx="16">
                  <c:v>3.7004028092871095E-5</c:v>
                </c:pt>
                <c:pt idx="17">
                  <c:v>4.0148846344389885E-5</c:v>
                </c:pt>
                <c:pt idx="18">
                  <c:v>4.33984918709593E-5</c:v>
                </c:pt>
                <c:pt idx="19">
                  <c:v>4.6857791947629967E-5</c:v>
                </c:pt>
                <c:pt idx="20">
                  <c:v>5.0317092024300634E-5</c:v>
                </c:pt>
                <c:pt idx="21">
                  <c:v>5.3881219376021927E-5</c:v>
                </c:pt>
                <c:pt idx="22">
                  <c:v>5.7655001277844478E-5</c:v>
                </c:pt>
                <c:pt idx="23">
                  <c:v>6.163843772976828E-5</c:v>
                </c:pt>
                <c:pt idx="24">
                  <c:v>6.5621874181692082E-5</c:v>
                </c:pt>
                <c:pt idx="25">
                  <c:v>6.9814965183717136E-5</c:v>
                </c:pt>
                <c:pt idx="26">
                  <c:v>7.4008056185742189E-5</c:v>
                </c:pt>
                <c:pt idx="27">
                  <c:v>7.851562901291912E-5</c:v>
                </c:pt>
                <c:pt idx="28">
                  <c:v>8.302320184009605E-5</c:v>
                </c:pt>
                <c:pt idx="29">
                  <c:v>8.753077466727298E-5</c:v>
                </c:pt>
                <c:pt idx="30">
                  <c:v>9.2143174769500536E-5</c:v>
                </c:pt>
                <c:pt idx="31">
                  <c:v>9.6755574871728092E-5</c:v>
                </c:pt>
                <c:pt idx="32">
                  <c:v>1.0136797497395565E-4</c:v>
                </c:pt>
                <c:pt idx="33">
                  <c:v>1.0629485690133508E-4</c:v>
                </c:pt>
                <c:pt idx="34">
                  <c:v>1.1132656610376514E-4</c:v>
                </c:pt>
                <c:pt idx="35">
                  <c:v>1.163582753061952E-4</c:v>
                </c:pt>
                <c:pt idx="36">
                  <c:v>1.2149481178367588E-4</c:v>
                </c:pt>
                <c:pt idx="37">
                  <c:v>1.2663134826115658E-4</c:v>
                </c:pt>
                <c:pt idx="38">
                  <c:v>1.3187271201368789E-4</c:v>
                </c:pt>
                <c:pt idx="39">
                  <c:v>1.371140757662192E-4</c:v>
                </c:pt>
                <c:pt idx="40">
                  <c:v>1.4235543951875051E-4</c:v>
                </c:pt>
                <c:pt idx="41">
                  <c:v>1.4770163054633246E-4</c:v>
                </c:pt>
                <c:pt idx="42">
                  <c:v>1.5304782157391441E-4</c:v>
                </c:pt>
                <c:pt idx="43">
                  <c:v>1.5849883987654697E-4</c:v>
                </c:pt>
                <c:pt idx="44">
                  <c:v>1.6394985817917953E-4</c:v>
                </c:pt>
                <c:pt idx="45">
                  <c:v>1.6940087648181209E-4</c:v>
                </c:pt>
                <c:pt idx="46">
                  <c:v>1.7495672205949529E-4</c:v>
                </c:pt>
                <c:pt idx="47">
                  <c:v>1.8051256763717849E-4</c:v>
                </c:pt>
                <c:pt idx="48">
                  <c:v>1.860684132148617E-4</c:v>
                </c:pt>
                <c:pt idx="49">
                  <c:v>1.9172908606759551E-4</c:v>
                </c:pt>
                <c:pt idx="50">
                  <c:v>1.9738975892032932E-4</c:v>
                </c:pt>
                <c:pt idx="51">
                  <c:v>2.0305043177306313E-4</c:v>
                </c:pt>
                <c:pt idx="52">
                  <c:v>2.0881593190084759E-4</c:v>
                </c:pt>
                <c:pt idx="53">
                  <c:v>2.1458143202863204E-4</c:v>
                </c:pt>
                <c:pt idx="54">
                  <c:v>2.2055658670651774E-4</c:v>
                </c:pt>
                <c:pt idx="55">
                  <c:v>2.2663656865945406E-4</c:v>
                </c:pt>
                <c:pt idx="56">
                  <c:v>2.3282137788744101E-4</c:v>
                </c:pt>
                <c:pt idx="57">
                  <c:v>2.3900618711542796E-4</c:v>
                </c:pt>
                <c:pt idx="58">
                  <c:v>2.4529582361846556E-4</c:v>
                </c:pt>
                <c:pt idx="59">
                  <c:v>2.5158546012150315E-4</c:v>
                </c:pt>
                <c:pt idx="60">
                  <c:v>2.5787509662454075E-4</c:v>
                </c:pt>
                <c:pt idx="61">
                  <c:v>2.6426956040262895E-4</c:v>
                </c:pt>
                <c:pt idx="62">
                  <c:v>2.7066402418071716E-4</c:v>
                </c:pt>
                <c:pt idx="63">
                  <c:v>2.7716331523385598E-4</c:v>
                </c:pt>
                <c:pt idx="64">
                  <c:v>2.8366260628699479E-4</c:v>
                </c:pt>
                <c:pt idx="65">
                  <c:v>2.9016189734013361E-4</c:v>
                </c:pt>
                <c:pt idx="66">
                  <c:v>2.9666118839327243E-4</c:v>
                </c:pt>
                <c:pt idx="67">
                  <c:v>3.0316047944641125E-4</c:v>
                </c:pt>
                <c:pt idx="68">
                  <c:v>3.0965977049955006E-4</c:v>
                </c:pt>
                <c:pt idx="69">
                  <c:v>3.1626388882773955E-4</c:v>
                </c:pt>
                <c:pt idx="70">
                  <c:v>3.2297283443097965E-4</c:v>
                </c:pt>
                <c:pt idx="71">
                  <c:v>3.2978660730927035E-4</c:v>
                </c:pt>
                <c:pt idx="72">
                  <c:v>3.3660038018756106E-4</c:v>
                </c:pt>
                <c:pt idx="73">
                  <c:v>3.4351898034090238E-4</c:v>
                </c:pt>
                <c:pt idx="74">
                  <c:v>3.504375804942437E-4</c:v>
                </c:pt>
                <c:pt idx="75">
                  <c:v>3.5735618064758502E-4</c:v>
                </c:pt>
                <c:pt idx="76">
                  <c:v>3.6437960807597701E-4</c:v>
                </c:pt>
                <c:pt idx="77">
                  <c:v>3.71403035504369E-4</c:v>
                </c:pt>
                <c:pt idx="78">
                  <c:v>3.7863611748286221E-4</c:v>
                </c:pt>
                <c:pt idx="79">
                  <c:v>3.8586919946135542E-4</c:v>
                </c:pt>
                <c:pt idx="80">
                  <c:v>3.9310228143984863E-4</c:v>
                </c:pt>
                <c:pt idx="81">
                  <c:v>4.0033536341834184E-4</c:v>
                </c:pt>
                <c:pt idx="82">
                  <c:v>4.0767327267188567E-4</c:v>
                </c:pt>
                <c:pt idx="83">
                  <c:v>4.1501118192542949E-4</c:v>
                </c:pt>
                <c:pt idx="84">
                  <c:v>4.2245391845402398E-4</c:v>
                </c:pt>
                <c:pt idx="85">
                  <c:v>4.2989665498261847E-4</c:v>
                </c:pt>
                <c:pt idx="86">
                  <c:v>4.3733939151121296E-4</c:v>
                </c:pt>
                <c:pt idx="87">
                  <c:v>4.4478212803980745E-4</c:v>
                </c:pt>
                <c:pt idx="88">
                  <c:v>4.5232969184345255E-4</c:v>
                </c:pt>
                <c:pt idx="89">
                  <c:v>4.5998208292214826E-4</c:v>
                </c:pt>
                <c:pt idx="90">
                  <c:v>4.6763447400084398E-4</c:v>
                </c:pt>
                <c:pt idx="91">
                  <c:v>4.753916923545903E-4</c:v>
                </c:pt>
                <c:pt idx="92">
                  <c:v>4.8314891070833663E-4</c:v>
                </c:pt>
                <c:pt idx="93">
                  <c:v>4.9090612906208301E-4</c:v>
                </c:pt>
                <c:pt idx="94">
                  <c:v>4.9876817469087995E-4</c:v>
                </c:pt>
                <c:pt idx="95">
                  <c:v>5.0663022031967688E-4</c:v>
                </c:pt>
                <c:pt idx="96">
                  <c:v>5.1459709322352449E-4</c:v>
                </c:pt>
                <c:pt idx="97">
                  <c:v>5.2256396612737209E-4</c:v>
                </c:pt>
                <c:pt idx="98">
                  <c:v>5.305308390312197E-4</c:v>
                </c:pt>
                <c:pt idx="99">
                  <c:v>5.384977119350673E-4</c:v>
                </c:pt>
                <c:pt idx="100">
                  <c:v>5.4656941211396557E-4</c:v>
                </c:pt>
                <c:pt idx="101">
                  <c:v>5.5464111229286384E-4</c:v>
                </c:pt>
                <c:pt idx="102">
                  <c:v>5.6271281247176211E-4</c:v>
                </c:pt>
                <c:pt idx="103">
                  <c:v>5.7078451265066038E-4</c:v>
                </c:pt>
                <c:pt idx="104">
                  <c:v>5.7885621282955865E-4</c:v>
                </c:pt>
                <c:pt idx="105">
                  <c:v>5.8692791300845692E-4</c:v>
                </c:pt>
                <c:pt idx="106">
                  <c:v>5.9499961318735519E-4</c:v>
                </c:pt>
                <c:pt idx="107">
                  <c:v>6.0317614064130402E-4</c:v>
                </c:pt>
                <c:pt idx="108">
                  <c:v>6.1145749537030352E-4</c:v>
                </c:pt>
                <c:pt idx="109">
                  <c:v>6.1984367737435357E-4</c:v>
                </c:pt>
                <c:pt idx="110">
                  <c:v>6.2822985937840362E-4</c:v>
                </c:pt>
                <c:pt idx="111">
                  <c:v>6.3672086865750434E-4</c:v>
                </c:pt>
                <c:pt idx="112">
                  <c:v>6.4531670521165573E-4</c:v>
                </c:pt>
                <c:pt idx="113">
                  <c:v>6.5391254176580711E-4</c:v>
                </c:pt>
                <c:pt idx="114">
                  <c:v>6.625083783199585E-4</c:v>
                </c:pt>
                <c:pt idx="115">
                  <c:v>6.7110421487410988E-4</c:v>
                </c:pt>
                <c:pt idx="116">
                  <c:v>6.7980487870331183E-4</c:v>
                </c:pt>
                <c:pt idx="117">
                  <c:v>6.8850554253251377E-4</c:v>
                </c:pt>
                <c:pt idx="118">
                  <c:v>6.9720620636171571E-4</c:v>
                </c:pt>
                <c:pt idx="119">
                  <c:v>7.0590687019091766E-4</c:v>
                </c:pt>
                <c:pt idx="120">
                  <c:v>7.146075340201196E-4</c:v>
                </c:pt>
                <c:pt idx="121">
                  <c:v>7.2330819784932154E-4</c:v>
                </c:pt>
                <c:pt idx="122">
                  <c:v>7.3211368895357415E-4</c:v>
                </c:pt>
                <c:pt idx="123">
                  <c:v>7.4102400733287743E-4</c:v>
                </c:pt>
                <c:pt idx="124">
                  <c:v>7.499343257121807E-4</c:v>
                </c:pt>
                <c:pt idx="125">
                  <c:v>7.5884464409148398E-4</c:v>
                </c:pt>
                <c:pt idx="126">
                  <c:v>7.6785978974583781E-4</c:v>
                </c:pt>
                <c:pt idx="127">
                  <c:v>7.7687493540019165E-4</c:v>
                </c:pt>
                <c:pt idx="128">
                  <c:v>7.8589008105454548E-4</c:v>
                </c:pt>
                <c:pt idx="129">
                  <c:v>7.9490522670889931E-4</c:v>
                </c:pt>
                <c:pt idx="130">
                  <c:v>8.0402519963830381E-4</c:v>
                </c:pt>
                <c:pt idx="131">
                  <c:v>8.1314517256770831E-4</c:v>
                </c:pt>
                <c:pt idx="132">
                  <c:v>8.2226514549711281E-4</c:v>
                </c:pt>
                <c:pt idx="133">
                  <c:v>8.3138511842651731E-4</c:v>
                </c:pt>
                <c:pt idx="134">
                  <c:v>8.4060991863097248E-4</c:v>
                </c:pt>
                <c:pt idx="135">
                  <c:v>8.4983471883542765E-4</c:v>
                </c:pt>
                <c:pt idx="136">
                  <c:v>8.5916434631493337E-4</c:v>
                </c:pt>
                <c:pt idx="137">
                  <c:v>8.684939737944391E-4</c:v>
                </c:pt>
                <c:pt idx="138">
                  <c:v>8.7782360127394482E-4</c:v>
                </c:pt>
                <c:pt idx="139">
                  <c:v>8.8715322875345054E-4</c:v>
                </c:pt>
                <c:pt idx="140">
                  <c:v>8.9658768350800693E-4</c:v>
                </c:pt>
                <c:pt idx="141">
                  <c:v>9.0602213826256332E-4</c:v>
                </c:pt>
                <c:pt idx="142">
                  <c:v>9.1545659301711972E-4</c:v>
                </c:pt>
                <c:pt idx="143">
                  <c:v>9.2499587504672666E-4</c:v>
                </c:pt>
                <c:pt idx="144">
                  <c:v>9.3453515707633361E-4</c:v>
                </c:pt>
                <c:pt idx="145">
                  <c:v>9.4407443910594056E-4</c:v>
                </c:pt>
                <c:pt idx="146">
                  <c:v>9.5371854841059818E-4</c:v>
                </c:pt>
                <c:pt idx="147">
                  <c:v>9.6336265771525579E-4</c:v>
                </c:pt>
                <c:pt idx="148">
                  <c:v>9.730067670199134E-4</c:v>
                </c:pt>
                <c:pt idx="149">
                  <c:v>9.8265087632457113E-4</c:v>
                </c:pt>
                <c:pt idx="150">
                  <c:v>9.9260946745438053E-4</c:v>
                </c:pt>
                <c:pt idx="151">
                  <c:v>1.0025680585841899E-3</c:v>
                </c:pt>
                <c:pt idx="152">
                  <c:v>1.0125266497139993E-3</c:v>
                </c:pt>
                <c:pt idx="153">
                  <c:v>1.0224852408438087E-3</c:v>
                </c:pt>
                <c:pt idx="154">
                  <c:v>1.0325486592486688E-3</c:v>
                </c:pt>
                <c:pt idx="155">
                  <c:v>1.0426120776535288E-3</c:v>
                </c:pt>
                <c:pt idx="156">
                  <c:v>1.0526754960583889E-3</c:v>
                </c:pt>
                <c:pt idx="157">
                  <c:v>1.062738914463249E-3</c:v>
                </c:pt>
                <c:pt idx="158">
                  <c:v>1.0729071601431597E-3</c:v>
                </c:pt>
                <c:pt idx="159">
                  <c:v>1.0830754058230704E-3</c:v>
                </c:pt>
                <c:pt idx="160">
                  <c:v>1.0932436515029812E-3</c:v>
                </c:pt>
                <c:pt idx="161">
                  <c:v>1.1034118971828919E-3</c:v>
                </c:pt>
                <c:pt idx="162">
                  <c:v>1.1135801428628026E-3</c:v>
                </c:pt>
                <c:pt idx="163">
                  <c:v>1.123853215817764E-3</c:v>
                </c:pt>
                <c:pt idx="164">
                  <c:v>1.1341262887727254E-3</c:v>
                </c:pt>
                <c:pt idx="165">
                  <c:v>1.1443993617276868E-3</c:v>
                </c:pt>
                <c:pt idx="166">
                  <c:v>1.1546724346826482E-3</c:v>
                </c:pt>
                <c:pt idx="167">
                  <c:v>1.1650503349126603E-3</c:v>
                </c:pt>
                <c:pt idx="168">
                  <c:v>1.1754282351426723E-3</c:v>
                </c:pt>
                <c:pt idx="169">
                  <c:v>1.1859109626477351E-3</c:v>
                </c:pt>
                <c:pt idx="170">
                  <c:v>1.1963936901527978E-3</c:v>
                </c:pt>
                <c:pt idx="171">
                  <c:v>1.206981244932911E-3</c:v>
                </c:pt>
                <c:pt idx="172">
                  <c:v>1.2175687997130241E-3</c:v>
                </c:pt>
                <c:pt idx="173">
                  <c:v>1.2281563544931373E-3</c:v>
                </c:pt>
                <c:pt idx="174">
                  <c:v>1.2388487365483012E-3</c:v>
                </c:pt>
                <c:pt idx="175">
                  <c:v>1.249541118603465E-3</c:v>
                </c:pt>
                <c:pt idx="176">
                  <c:v>1.2603383279336795E-3</c:v>
                </c:pt>
                <c:pt idx="177">
                  <c:v>1.271135537263894E-3</c:v>
                </c:pt>
                <c:pt idx="178">
                  <c:v>1.2819327465941085E-3</c:v>
                </c:pt>
                <c:pt idx="179">
                  <c:v>1.2928347831993737E-3</c:v>
                </c:pt>
                <c:pt idx="180">
                  <c:v>1.3038416470796896E-3</c:v>
                </c:pt>
                <c:pt idx="181">
                  <c:v>1.3148485109600054E-3</c:v>
                </c:pt>
                <c:pt idx="182">
                  <c:v>1.3258553748403212E-3</c:v>
                </c:pt>
                <c:pt idx="183">
                  <c:v>1.3369670659956875E-3</c:v>
                </c:pt>
                <c:pt idx="184">
                  <c:v>1.3481835844261045E-3</c:v>
                </c:pt>
                <c:pt idx="185">
                  <c:v>1.3594001028565215E-3</c:v>
                </c:pt>
                <c:pt idx="186">
                  <c:v>1.3707214485619891E-3</c:v>
                </c:pt>
                <c:pt idx="187">
                  <c:v>1.3820427942674567E-3</c:v>
                </c:pt>
                <c:pt idx="188">
                  <c:v>1.3933641399729243E-3</c:v>
                </c:pt>
                <c:pt idx="189">
                  <c:v>1.4047903129534426E-3</c:v>
                </c:pt>
                <c:pt idx="190">
                  <c:v>1.4163213132090116E-3</c:v>
                </c:pt>
                <c:pt idx="191">
                  <c:v>1.4278523134645805E-3</c:v>
                </c:pt>
                <c:pt idx="192">
                  <c:v>1.4394881409952002E-3</c:v>
                </c:pt>
                <c:pt idx="193">
                  <c:v>1.4511239685258198E-3</c:v>
                </c:pt>
                <c:pt idx="194">
                  <c:v>1.4627597960564394E-3</c:v>
                </c:pt>
                <c:pt idx="195">
                  <c:v>1.4745004508621095E-3</c:v>
                </c:pt>
                <c:pt idx="196">
                  <c:v>1.4863459329428302E-3</c:v>
                </c:pt>
                <c:pt idx="197">
                  <c:v>1.498191415023551E-3</c:v>
                </c:pt>
                <c:pt idx="198">
                  <c:v>1.5100368971042717E-3</c:v>
                </c:pt>
                <c:pt idx="199">
                  <c:v>1.5219872064600431E-3</c:v>
                </c:pt>
                <c:pt idx="200">
                  <c:v>1.5339375158158145E-3</c:v>
                </c:pt>
                <c:pt idx="201">
                  <c:v>1.5458878251715859E-3</c:v>
                </c:pt>
                <c:pt idx="202">
                  <c:v>1.5578381345273573E-3</c:v>
                </c:pt>
                <c:pt idx="203">
                  <c:v>1.5697884438831287E-3</c:v>
                </c:pt>
                <c:pt idx="204">
                  <c:v>1.5818435805139508E-3</c:v>
                </c:pt>
                <c:pt idx="205">
                  <c:v>1.5938987171447729E-3</c:v>
                </c:pt>
                <c:pt idx="206">
                  <c:v>1.6060586810506456E-3</c:v>
                </c:pt>
                <c:pt idx="207">
                  <c:v>1.6183234722315688E-3</c:v>
                </c:pt>
                <c:pt idx="208">
                  <c:v>1.630588263412492E-3</c:v>
                </c:pt>
                <c:pt idx="209">
                  <c:v>1.6429578818684658E-3</c:v>
                </c:pt>
                <c:pt idx="210">
                  <c:v>1.6553275003244397E-3</c:v>
                </c:pt>
                <c:pt idx="211">
                  <c:v>1.6676971187804136E-3</c:v>
                </c:pt>
                <c:pt idx="212">
                  <c:v>1.6800667372363874E-3</c:v>
                </c:pt>
                <c:pt idx="213">
                  <c:v>1.6925411829674119E-3</c:v>
                </c:pt>
                <c:pt idx="214">
                  <c:v>1.7050156286984365E-3</c:v>
                </c:pt>
                <c:pt idx="215">
                  <c:v>1.7175949017045116E-3</c:v>
                </c:pt>
                <c:pt idx="216">
                  <c:v>1.7301741747105868E-3</c:v>
                </c:pt>
                <c:pt idx="217">
                  <c:v>1.742753447716662E-3</c:v>
                </c:pt>
                <c:pt idx="218">
                  <c:v>1.7554375479977879E-3</c:v>
                </c:pt>
                <c:pt idx="219">
                  <c:v>1.7682264755539644E-3</c:v>
                </c:pt>
                <c:pt idx="220">
                  <c:v>1.7810154031101409E-3</c:v>
                </c:pt>
                <c:pt idx="221">
                  <c:v>1.7939091579413679E-3</c:v>
                </c:pt>
                <c:pt idx="222">
                  <c:v>1.8068029127725949E-3</c:v>
                </c:pt>
                <c:pt idx="223">
                  <c:v>1.8196966676038218E-3</c:v>
                </c:pt>
                <c:pt idx="224">
                  <c:v>1.8325904224350488E-3</c:v>
                </c:pt>
                <c:pt idx="225">
                  <c:v>1.8454841772662758E-3</c:v>
                </c:pt>
                <c:pt idx="226">
                  <c:v>1.8584827593725534E-3</c:v>
                </c:pt>
                <c:pt idx="227">
                  <c:v>1.871481341478831E-3</c:v>
                </c:pt>
                <c:pt idx="228">
                  <c:v>1.8844799235851087E-3</c:v>
                </c:pt>
                <c:pt idx="229">
                  <c:v>1.8974785056913863E-3</c:v>
                </c:pt>
                <c:pt idx="230">
                  <c:v>1.9104770877976639E-3</c:v>
                </c:pt>
                <c:pt idx="231">
                  <c:v>1.9234756699039416E-3</c:v>
                </c:pt>
                <c:pt idx="232">
                  <c:v>1.9365790792852699E-3</c:v>
                </c:pt>
                <c:pt idx="233">
                  <c:v>1.9497873159416488E-3</c:v>
                </c:pt>
                <c:pt idx="234">
                  <c:v>1.9631003798730785E-3</c:v>
                </c:pt>
                <c:pt idx="235">
                  <c:v>1.9764134438045081E-3</c:v>
                </c:pt>
                <c:pt idx="236">
                  <c:v>1.9898313350109882E-3</c:v>
                </c:pt>
                <c:pt idx="237">
                  <c:v>2.0032492262174683E-3</c:v>
                </c:pt>
                <c:pt idx="238">
                  <c:v>2.0168767719740497E-3</c:v>
                </c:pt>
                <c:pt idx="239">
                  <c:v>2.0305043177306311E-3</c:v>
                </c:pt>
                <c:pt idx="240">
                  <c:v>2.044236690762263E-3</c:v>
                </c:pt>
                <c:pt idx="241">
                  <c:v>2.0579690637938949E-3</c:v>
                </c:pt>
                <c:pt idx="242">
                  <c:v>2.0718062641005776E-3</c:v>
                </c:pt>
                <c:pt idx="243">
                  <c:v>2.0856434644072603E-3</c:v>
                </c:pt>
                <c:pt idx="244">
                  <c:v>2.0994806647139431E-3</c:v>
                </c:pt>
                <c:pt idx="245">
                  <c:v>2.1134226922956763E-3</c:v>
                </c:pt>
                <c:pt idx="246">
                  <c:v>2.1273647198774095E-3</c:v>
                </c:pt>
                <c:pt idx="247">
                  <c:v>2.1413067474591427E-3</c:v>
                </c:pt>
                <c:pt idx="248">
                  <c:v>2.1553536023159268E-3</c:v>
                </c:pt>
                <c:pt idx="249">
                  <c:v>2.1694004571727109E-3</c:v>
                </c:pt>
                <c:pt idx="250">
                  <c:v>2.1834473120294949E-3</c:v>
                </c:pt>
                <c:pt idx="251">
                  <c:v>2.197494166886279E-3</c:v>
                </c:pt>
                <c:pt idx="252">
                  <c:v>2.2116458490181136E-3</c:v>
                </c:pt>
                <c:pt idx="253">
                  <c:v>2.2257975311499481E-3</c:v>
                </c:pt>
                <c:pt idx="254">
                  <c:v>2.2400540405568331E-3</c:v>
                </c:pt>
                <c:pt idx="255">
                  <c:v>2.2543105499637181E-3</c:v>
                </c:pt>
                <c:pt idx="256">
                  <c:v>2.268567059370603E-3</c:v>
                </c:pt>
                <c:pt idx="257">
                  <c:v>2.2830332233275893E-3</c:v>
                </c:pt>
                <c:pt idx="258">
                  <c:v>2.2974993872845757E-3</c:v>
                </c:pt>
                <c:pt idx="259">
                  <c:v>2.311965551241562E-3</c:v>
                </c:pt>
                <c:pt idx="260">
                  <c:v>2.3264317151985483E-3</c:v>
                </c:pt>
                <c:pt idx="261">
                  <c:v>2.3410027064305855E-3</c:v>
                </c:pt>
                <c:pt idx="262">
                  <c:v>2.3555736976626227E-3</c:v>
                </c:pt>
                <c:pt idx="263">
                  <c:v>2.3701446888946599E-3</c:v>
                </c:pt>
                <c:pt idx="264">
                  <c:v>2.3847156801266971E-3</c:v>
                </c:pt>
                <c:pt idx="265">
                  <c:v>2.3993914986337847E-3</c:v>
                </c:pt>
                <c:pt idx="266">
                  <c:v>2.4140673171408724E-3</c:v>
                </c:pt>
                <c:pt idx="267">
                  <c:v>2.4290576174731118E-3</c:v>
                </c:pt>
                <c:pt idx="268">
                  <c:v>2.4440479178053512E-3</c:v>
                </c:pt>
                <c:pt idx="269">
                  <c:v>2.4591430454126415E-3</c:v>
                </c:pt>
                <c:pt idx="270">
                  <c:v>2.4742381730199318E-3</c:v>
                </c:pt>
                <c:pt idx="271">
                  <c:v>2.4893333006272222E-3</c:v>
                </c:pt>
                <c:pt idx="272">
                  <c:v>2.5045332555095629E-3</c:v>
                </c:pt>
                <c:pt idx="273">
                  <c:v>2.5197332103919037E-3</c:v>
                </c:pt>
                <c:pt idx="274">
                  <c:v>2.5349331652742444E-3</c:v>
                </c:pt>
                <c:pt idx="275">
                  <c:v>2.5501331201565852E-3</c:v>
                </c:pt>
                <c:pt idx="276">
                  <c:v>2.565333075038926E-3</c:v>
                </c:pt>
                <c:pt idx="277">
                  <c:v>2.5806378571963176E-3</c:v>
                </c:pt>
                <c:pt idx="278">
                  <c:v>2.5959426393537093E-3</c:v>
                </c:pt>
                <c:pt idx="279">
                  <c:v>2.6112474215111009E-3</c:v>
                </c:pt>
                <c:pt idx="280">
                  <c:v>2.626657030943543E-3</c:v>
                </c:pt>
                <c:pt idx="281">
                  <c:v>2.6421714676510355E-3</c:v>
                </c:pt>
                <c:pt idx="282">
                  <c:v>2.657790731633579E-3</c:v>
                </c:pt>
                <c:pt idx="283">
                  <c:v>2.6734099956161224E-3</c:v>
                </c:pt>
                <c:pt idx="284">
                  <c:v>2.6890292595986658E-3</c:v>
                </c:pt>
                <c:pt idx="285">
                  <c:v>2.7046485235812092E-3</c:v>
                </c:pt>
                <c:pt idx="286">
                  <c:v>2.7202677875637527E-3</c:v>
                </c:pt>
                <c:pt idx="287">
                  <c:v>2.7358870515462961E-3</c:v>
                </c:pt>
                <c:pt idx="288">
                  <c:v>2.75161114280389E-3</c:v>
                </c:pt>
                <c:pt idx="289">
                  <c:v>2.7674400613365347E-3</c:v>
                </c:pt>
                <c:pt idx="290">
                  <c:v>2.7832689798691795E-3</c:v>
                </c:pt>
                <c:pt idx="291">
                  <c:v>2.7990978984018242E-3</c:v>
                </c:pt>
                <c:pt idx="292">
                  <c:v>2.814926816934469E-3</c:v>
                </c:pt>
                <c:pt idx="293">
                  <c:v>2.8308605627421642E-3</c:v>
                </c:pt>
                <c:pt idx="294">
                  <c:v>2.8467943085498594E-3</c:v>
                </c:pt>
                <c:pt idx="295">
                  <c:v>2.8627280543575546E-3</c:v>
                </c:pt>
                <c:pt idx="296">
                  <c:v>2.8786618001652498E-3</c:v>
                </c:pt>
                <c:pt idx="297">
                  <c:v>2.894595545972945E-3</c:v>
                </c:pt>
                <c:pt idx="298">
                  <c:v>2.9105292917806403E-3</c:v>
                </c:pt>
                <c:pt idx="299">
                  <c:v>2.9265678648633859E-3</c:v>
                </c:pt>
                <c:pt idx="300">
                  <c:v>2.9426064379461316E-3</c:v>
                </c:pt>
                <c:pt idx="301">
                  <c:v>2.9587498383039281E-3</c:v>
                </c:pt>
                <c:pt idx="302">
                  <c:v>2.9748932386617247E-3</c:v>
                </c:pt>
                <c:pt idx="303">
                  <c:v>2.9910366390195212E-3</c:v>
                </c:pt>
                <c:pt idx="304">
                  <c:v>3.0071800393773177E-3</c:v>
                </c:pt>
                <c:pt idx="305">
                  <c:v>3.0233234397351143E-3</c:v>
                </c:pt>
                <c:pt idx="306">
                  <c:v>3.0394668400929108E-3</c:v>
                </c:pt>
                <c:pt idx="307">
                  <c:v>3.0557150677257578E-3</c:v>
                </c:pt>
                <c:pt idx="308">
                  <c:v>3.0719632953586048E-3</c:v>
                </c:pt>
                <c:pt idx="309">
                  <c:v>3.0884211775415531E-3</c:v>
                </c:pt>
                <c:pt idx="310">
                  <c:v>3.1049838869995519E-3</c:v>
                </c:pt>
                <c:pt idx="311">
                  <c:v>3.1215465964575507E-3</c:v>
                </c:pt>
                <c:pt idx="312">
                  <c:v>3.1381093059155494E-3</c:v>
                </c:pt>
                <c:pt idx="313">
                  <c:v>3.1546720153735482E-3</c:v>
                </c:pt>
                <c:pt idx="314">
                  <c:v>3.171234724831547E-3</c:v>
                </c:pt>
                <c:pt idx="315">
                  <c:v>3.1879022615645966E-3</c:v>
                </c:pt>
                <c:pt idx="316">
                  <c:v>3.2045697982976463E-3</c:v>
                </c:pt>
                <c:pt idx="317">
                  <c:v>3.221237335030696E-3</c:v>
                </c:pt>
                <c:pt idx="318">
                  <c:v>3.2379048717637456E-3</c:v>
                </c:pt>
                <c:pt idx="319">
                  <c:v>3.2545724084967953E-3</c:v>
                </c:pt>
                <c:pt idx="320">
                  <c:v>3.2713447725048954E-3</c:v>
                </c:pt>
                <c:pt idx="321">
                  <c:v>3.2881171365129955E-3</c:v>
                </c:pt>
                <c:pt idx="322">
                  <c:v>3.3048895005210956E-3</c:v>
                </c:pt>
                <c:pt idx="323">
                  <c:v>3.3216618645291957E-3</c:v>
                </c:pt>
                <c:pt idx="324">
                  <c:v>3.3385390558123467E-3</c:v>
                </c:pt>
                <c:pt idx="325">
                  <c:v>3.3554162470954977E-3</c:v>
                </c:pt>
                <c:pt idx="326">
                  <c:v>3.3722934383786487E-3</c:v>
                </c:pt>
                <c:pt idx="327">
                  <c:v>3.3892754569368501E-3</c:v>
                </c:pt>
                <c:pt idx="328">
                  <c:v>3.406362302770102E-3</c:v>
                </c:pt>
                <c:pt idx="329">
                  <c:v>3.4234491486033539E-3</c:v>
                </c:pt>
                <c:pt idx="330">
                  <c:v>3.4405359944366058E-3</c:v>
                </c:pt>
                <c:pt idx="331">
                  <c:v>3.4577276675449085E-3</c:v>
                </c:pt>
                <c:pt idx="332">
                  <c:v>3.4749193406532113E-3</c:v>
                </c:pt>
                <c:pt idx="333">
                  <c:v>3.4923206683116154E-3</c:v>
                </c:pt>
                <c:pt idx="334">
                  <c:v>3.5097219959700195E-3</c:v>
                </c:pt>
                <c:pt idx="335">
                  <c:v>3.5272281509034741E-3</c:v>
                </c:pt>
                <c:pt idx="336">
                  <c:v>3.5447343058369286E-3</c:v>
                </c:pt>
                <c:pt idx="337">
                  <c:v>3.562345288045434E-3</c:v>
                </c:pt>
                <c:pt idx="338">
                  <c:v>3.5799562702539395E-3</c:v>
                </c:pt>
                <c:pt idx="339">
                  <c:v>3.5975672524624449E-3</c:v>
                </c:pt>
                <c:pt idx="340">
                  <c:v>3.6152830619460008E-3</c:v>
                </c:pt>
                <c:pt idx="341">
                  <c:v>3.6329988714295567E-3</c:v>
                </c:pt>
                <c:pt idx="342">
                  <c:v>3.6507146809131126E-3</c:v>
                </c:pt>
                <c:pt idx="343">
                  <c:v>3.6686401449467698E-3</c:v>
                </c:pt>
                <c:pt idx="344">
                  <c:v>3.686565608980427E-3</c:v>
                </c:pt>
                <c:pt idx="345">
                  <c:v>3.7044910730140842E-3</c:v>
                </c:pt>
                <c:pt idx="346">
                  <c:v>3.7224165370477414E-3</c:v>
                </c:pt>
                <c:pt idx="347">
                  <c:v>3.7403420010813987E-3</c:v>
                </c:pt>
                <c:pt idx="348">
                  <c:v>3.7582674651150559E-3</c:v>
                </c:pt>
                <c:pt idx="349">
                  <c:v>3.7761929291487131E-3</c:v>
                </c:pt>
                <c:pt idx="350">
                  <c:v>3.7941183931823703E-3</c:v>
                </c:pt>
                <c:pt idx="351">
                  <c:v>3.812148684491078E-3</c:v>
                </c:pt>
                <c:pt idx="352">
                  <c:v>3.8301789757997856E-3</c:v>
                </c:pt>
                <c:pt idx="353">
                  <c:v>3.8482092671084933E-3</c:v>
                </c:pt>
                <c:pt idx="354">
                  <c:v>3.8664492129673023E-3</c:v>
                </c:pt>
                <c:pt idx="355">
                  <c:v>3.8846891588261113E-3</c:v>
                </c:pt>
                <c:pt idx="356">
                  <c:v>3.9029291046849203E-3</c:v>
                </c:pt>
                <c:pt idx="357">
                  <c:v>3.9212738778187798E-3</c:v>
                </c:pt>
                <c:pt idx="358">
                  <c:v>3.9396186509526396E-3</c:v>
                </c:pt>
                <c:pt idx="359">
                  <c:v>3.95806825136155E-3</c:v>
                </c:pt>
                <c:pt idx="360">
                  <c:v>3.9767275063205612E-3</c:v>
                </c:pt>
                <c:pt idx="361">
                  <c:v>3.9953867612795724E-3</c:v>
                </c:pt>
                <c:pt idx="362">
                  <c:v>4.0140460162385837E-3</c:v>
                </c:pt>
                <c:pt idx="363">
                  <c:v>4.0327052711975949E-3</c:v>
                </c:pt>
                <c:pt idx="364">
                  <c:v>4.0513645261566061E-3</c:v>
                </c:pt>
                <c:pt idx="365">
                  <c:v>4.0701286083906687E-3</c:v>
                </c:pt>
                <c:pt idx="366">
                  <c:v>4.0888926906247312E-3</c:v>
                </c:pt>
                <c:pt idx="367">
                  <c:v>4.1076567728587938E-3</c:v>
                </c:pt>
                <c:pt idx="368">
                  <c:v>4.1265256823679068E-3</c:v>
                </c:pt>
                <c:pt idx="369">
                  <c:v>4.1453945918770198E-3</c:v>
                </c:pt>
                <c:pt idx="370">
                  <c:v>4.1642635013861328E-3</c:v>
                </c:pt>
                <c:pt idx="371">
                  <c:v>4.1832372381702962E-3</c:v>
                </c:pt>
                <c:pt idx="372">
                  <c:v>4.2022109749544597E-3</c:v>
                </c:pt>
                <c:pt idx="373">
                  <c:v>4.2211847117386231E-3</c:v>
                </c:pt>
                <c:pt idx="374">
                  <c:v>4.2401584485227866E-3</c:v>
                </c:pt>
                <c:pt idx="375">
                  <c:v>4.25913218530695E-3</c:v>
                </c:pt>
                <c:pt idx="376">
                  <c:v>4.2781059220911135E-3</c:v>
                </c:pt>
                <c:pt idx="377">
                  <c:v>4.2970796588752769E-3</c:v>
                </c:pt>
                <c:pt idx="378">
                  <c:v>4.3160533956594404E-3</c:v>
                </c:pt>
                <c:pt idx="379">
                  <c:v>4.3351319597186543E-3</c:v>
                </c:pt>
                <c:pt idx="380">
                  <c:v>4.3542105237778682E-3</c:v>
                </c:pt>
                <c:pt idx="381">
                  <c:v>4.3733939151121325E-3</c:v>
                </c:pt>
                <c:pt idx="382">
                  <c:v>4.3925773064463968E-3</c:v>
                </c:pt>
                <c:pt idx="383">
                  <c:v>4.4118655250557125E-3</c:v>
                </c:pt>
                <c:pt idx="384">
                  <c:v>4.4311537436650282E-3</c:v>
                </c:pt>
                <c:pt idx="385">
                  <c:v>4.4504419622743438E-3</c:v>
                </c:pt>
                <c:pt idx="386">
                  <c:v>4.4697301808836595E-3</c:v>
                </c:pt>
                <c:pt idx="387">
                  <c:v>4.4891232267680256E-3</c:v>
                </c:pt>
                <c:pt idx="388">
                  <c:v>4.5085162726523917E-3</c:v>
                </c:pt>
                <c:pt idx="389">
                  <c:v>4.5279093185367578E-3</c:v>
                </c:pt>
                <c:pt idx="390">
                  <c:v>4.5473023644211239E-3</c:v>
                </c:pt>
                <c:pt idx="391">
                  <c:v>4.5668002375805405E-3</c:v>
                </c:pt>
                <c:pt idx="392">
                  <c:v>4.5864029380150075E-3</c:v>
                </c:pt>
                <c:pt idx="393">
                  <c:v>4.6060056384494745E-3</c:v>
                </c:pt>
                <c:pt idx="394">
                  <c:v>4.6256083388839415E-3</c:v>
                </c:pt>
                <c:pt idx="395">
                  <c:v>4.645315866593459E-3</c:v>
                </c:pt>
                <c:pt idx="396">
                  <c:v>4.6650233943029765E-3</c:v>
                </c:pt>
                <c:pt idx="397">
                  <c:v>4.6847309220124939E-3</c:v>
                </c:pt>
                <c:pt idx="398">
                  <c:v>4.7044384497220114E-3</c:v>
                </c:pt>
                <c:pt idx="399">
                  <c:v>4.7242508047065802E-3</c:v>
                </c:pt>
                <c:pt idx="400">
                  <c:v>4.7440631596911489E-3</c:v>
                </c:pt>
                <c:pt idx="401">
                  <c:v>4.7639803419507682E-3</c:v>
                </c:pt>
                <c:pt idx="402">
                  <c:v>4.7838975242103874E-3</c:v>
                </c:pt>
                <c:pt idx="403">
                  <c:v>4.8038147064700066E-3</c:v>
                </c:pt>
                <c:pt idx="404">
                  <c:v>4.8237318887296259E-3</c:v>
                </c:pt>
                <c:pt idx="405">
                  <c:v>4.8437538982642955E-3</c:v>
                </c:pt>
                <c:pt idx="406">
                  <c:v>4.8637759077989652E-3</c:v>
                </c:pt>
                <c:pt idx="407">
                  <c:v>4.8839027446086853E-3</c:v>
                </c:pt>
                <c:pt idx="408">
                  <c:v>4.9040295814184055E-3</c:v>
                </c:pt>
                <c:pt idx="409">
                  <c:v>4.9241564182281256E-3</c:v>
                </c:pt>
                <c:pt idx="410">
                  <c:v>4.9443880823128962E-3</c:v>
                </c:pt>
                <c:pt idx="411">
                  <c:v>4.9646197463976667E-3</c:v>
                </c:pt>
                <c:pt idx="412">
                  <c:v>4.9848514104824373E-3</c:v>
                </c:pt>
                <c:pt idx="413">
                  <c:v>5.0051879018422592E-3</c:v>
                </c:pt>
                <c:pt idx="414">
                  <c:v>5.0256292204771316E-3</c:v>
                </c:pt>
                <c:pt idx="415">
                  <c:v>5.0460705391120039E-3</c:v>
                </c:pt>
                <c:pt idx="416">
                  <c:v>5.0665118577468762E-3</c:v>
                </c:pt>
                <c:pt idx="417">
                  <c:v>5.0869531763817486E-3</c:v>
                </c:pt>
                <c:pt idx="418">
                  <c:v>5.1074993222916714E-3</c:v>
                </c:pt>
                <c:pt idx="419">
                  <c:v>5.1280454682015942E-3</c:v>
                </c:pt>
                <c:pt idx="420">
                  <c:v>5.148591614111517E-3</c:v>
                </c:pt>
                <c:pt idx="421">
                  <c:v>5.1691377600214397E-3</c:v>
                </c:pt>
                <c:pt idx="422">
                  <c:v>5.189788733206413E-3</c:v>
                </c:pt>
                <c:pt idx="423">
                  <c:v>5.2104397063913862E-3</c:v>
                </c:pt>
                <c:pt idx="424">
                  <c:v>5.2310906795763595E-3</c:v>
                </c:pt>
                <c:pt idx="425">
                  <c:v>5.2517416527613327E-3</c:v>
                </c:pt>
                <c:pt idx="426">
                  <c:v>5.2724974532213564E-3</c:v>
                </c:pt>
                <c:pt idx="427">
                  <c:v>5.2932532536813801E-3</c:v>
                </c:pt>
                <c:pt idx="428">
                  <c:v>5.3140090541414038E-3</c:v>
                </c:pt>
                <c:pt idx="429">
                  <c:v>5.3347648546014275E-3</c:v>
                </c:pt>
                <c:pt idx="430">
                  <c:v>5.3555206550614512E-3</c:v>
                </c:pt>
                <c:pt idx="431">
                  <c:v>5.3762764555214749E-3</c:v>
                </c:pt>
                <c:pt idx="432">
                  <c:v>5.3970322559814985E-3</c:v>
                </c:pt>
                <c:pt idx="433">
                  <c:v>5.4178928837165736E-3</c:v>
                </c:pt>
                <c:pt idx="434">
                  <c:v>5.438858338726699E-3</c:v>
                </c:pt>
                <c:pt idx="435">
                  <c:v>5.4599286210118749E-3</c:v>
                </c:pt>
                <c:pt idx="436">
                  <c:v>5.4809989032970508E-3</c:v>
                </c:pt>
                <c:pt idx="437">
                  <c:v>5.5020691855822267E-3</c:v>
                </c:pt>
                <c:pt idx="438">
                  <c:v>5.5231394678674026E-3</c:v>
                </c:pt>
                <c:pt idx="439">
                  <c:v>5.544314577427629E-3</c:v>
                </c:pt>
                <c:pt idx="440">
                  <c:v>5.5654896869878553E-3</c:v>
                </c:pt>
                <c:pt idx="441">
                  <c:v>5.5866647965480817E-3</c:v>
                </c:pt>
                <c:pt idx="442">
                  <c:v>5.6078399061083081E-3</c:v>
                </c:pt>
                <c:pt idx="443">
                  <c:v>5.6290150156685344E-3</c:v>
                </c:pt>
                <c:pt idx="444">
                  <c:v>5.6502949525038112E-3</c:v>
                </c:pt>
                <c:pt idx="445">
                  <c:v>5.671574889339088E-3</c:v>
                </c:pt>
                <c:pt idx="446">
                  <c:v>5.6929596534494161E-3</c:v>
                </c:pt>
                <c:pt idx="447">
                  <c:v>5.7143444175597443E-3</c:v>
                </c:pt>
                <c:pt idx="448">
                  <c:v>5.7358340089451228E-3</c:v>
                </c:pt>
                <c:pt idx="449">
                  <c:v>5.7573236003305014E-3</c:v>
                </c:pt>
                <c:pt idx="450">
                  <c:v>5.77881319171588E-3</c:v>
                </c:pt>
                <c:pt idx="451">
                  <c:v>5.800407610376309E-3</c:v>
                </c:pt>
                <c:pt idx="452">
                  <c:v>5.822002029036738E-3</c:v>
                </c:pt>
                <c:pt idx="453">
                  <c:v>5.8437012749722175E-3</c:v>
                </c:pt>
                <c:pt idx="454">
                  <c:v>5.865400520907697E-3</c:v>
                </c:pt>
                <c:pt idx="455">
                  <c:v>5.8870997668431764E-3</c:v>
                </c:pt>
                <c:pt idx="456">
                  <c:v>5.9087990127786559E-3</c:v>
                </c:pt>
                <c:pt idx="457">
                  <c:v>5.9304982587141354E-3</c:v>
                </c:pt>
                <c:pt idx="458">
                  <c:v>5.9523023319246653E-3</c:v>
                </c:pt>
                <c:pt idx="459">
                  <c:v>5.9741064051351952E-3</c:v>
                </c:pt>
                <c:pt idx="460">
                  <c:v>5.9961201328958269E-3</c:v>
                </c:pt>
                <c:pt idx="461">
                  <c:v>6.0181338606564586E-3</c:v>
                </c:pt>
                <c:pt idx="462">
                  <c:v>6.0401475884170903E-3</c:v>
                </c:pt>
                <c:pt idx="463">
                  <c:v>6.0622661434527724E-3</c:v>
                </c:pt>
                <c:pt idx="464">
                  <c:v>6.0843846984884545E-3</c:v>
                </c:pt>
                <c:pt idx="465">
                  <c:v>6.1066080807991871E-3</c:v>
                </c:pt>
                <c:pt idx="466">
                  <c:v>6.1288314631099197E-3</c:v>
                </c:pt>
                <c:pt idx="467">
                  <c:v>6.1511596726957028E-3</c:v>
                </c:pt>
                <c:pt idx="468">
                  <c:v>6.1734878822814858E-3</c:v>
                </c:pt>
                <c:pt idx="469">
                  <c:v>6.1958160918672688E-3</c:v>
                </c:pt>
                <c:pt idx="470">
                  <c:v>6.2181443014530519E-3</c:v>
                </c:pt>
                <c:pt idx="471">
                  <c:v>6.2404725110388349E-3</c:v>
                </c:pt>
                <c:pt idx="472">
                  <c:v>6.2629055478996692E-3</c:v>
                </c:pt>
                <c:pt idx="473">
                  <c:v>6.2853385847605036E-3</c:v>
                </c:pt>
                <c:pt idx="474">
                  <c:v>6.3077716216213379E-3</c:v>
                </c:pt>
                <c:pt idx="475">
                  <c:v>6.3302046584821723E-3</c:v>
                </c:pt>
                <c:pt idx="476">
                  <c:v>6.3526376953430067E-3</c:v>
                </c:pt>
                <c:pt idx="477">
                  <c:v>6.3751755594788915E-3</c:v>
                </c:pt>
                <c:pt idx="478">
                  <c:v>6.3977134236147763E-3</c:v>
                </c:pt>
                <c:pt idx="479">
                  <c:v>6.4202512877506611E-3</c:v>
                </c:pt>
                <c:pt idx="480">
                  <c:v>6.4428939791615963E-3</c:v>
                </c:pt>
                <c:pt idx="481">
                  <c:v>6.465641497847582E-3</c:v>
                </c:pt>
                <c:pt idx="482">
                  <c:v>6.4883890165335677E-3</c:v>
                </c:pt>
                <c:pt idx="483">
                  <c:v>6.5112413624946039E-3</c:v>
                </c:pt>
                <c:pt idx="484">
                  <c:v>6.5341985357306913E-3</c:v>
                </c:pt>
                <c:pt idx="485">
                  <c:v>6.5571557089667788E-3</c:v>
                </c:pt>
                <c:pt idx="486">
                  <c:v>6.5801128822028663E-3</c:v>
                </c:pt>
                <c:pt idx="487">
                  <c:v>6.6030700554389537E-3</c:v>
                </c:pt>
                <c:pt idx="488">
                  <c:v>6.6260272286750412E-3</c:v>
                </c:pt>
                <c:pt idx="489">
                  <c:v>6.6490892291861791E-3</c:v>
                </c:pt>
                <c:pt idx="490">
                  <c:v>6.6722560569723675E-3</c:v>
                </c:pt>
                <c:pt idx="491">
                  <c:v>6.6955277120336063E-3</c:v>
                </c:pt>
                <c:pt idx="492">
                  <c:v>6.7187993670948451E-3</c:v>
                </c:pt>
                <c:pt idx="493">
                  <c:v>6.7420710221560839E-3</c:v>
                </c:pt>
                <c:pt idx="494">
                  <c:v>6.7653426772173227E-3</c:v>
                </c:pt>
                <c:pt idx="495">
                  <c:v>6.788719159553612E-3</c:v>
                </c:pt>
                <c:pt idx="496">
                  <c:v>6.8120956418899013E-3</c:v>
                </c:pt>
                <c:pt idx="497">
                  <c:v>6.8354721242261905E-3</c:v>
                </c:pt>
                <c:pt idx="498">
                  <c:v>6.8589534338375311E-3</c:v>
                </c:pt>
                <c:pt idx="499">
                  <c:v>6.8824347434488717E-3</c:v>
                </c:pt>
                <c:pt idx="500">
                  <c:v>6.9060208803352627E-3</c:v>
                </c:pt>
                <c:pt idx="501">
                  <c:v>6.9297118444967042E-3</c:v>
                </c:pt>
                <c:pt idx="502">
                  <c:v>6.9534028086581457E-3</c:v>
                </c:pt>
                <c:pt idx="503">
                  <c:v>6.9771986000946376E-3</c:v>
                </c:pt>
                <c:pt idx="504">
                  <c:v>7.0009943915311295E-3</c:v>
                </c:pt>
                <c:pt idx="505">
                  <c:v>7.0247901829676215E-3</c:v>
                </c:pt>
                <c:pt idx="506">
                  <c:v>7.0485859744041134E-3</c:v>
                </c:pt>
                <c:pt idx="507">
                  <c:v>7.0723817658406053E-3</c:v>
                </c:pt>
                <c:pt idx="508">
                  <c:v>7.0962823845521477E-3</c:v>
                </c:pt>
                <c:pt idx="509">
                  <c:v>7.1201830032636901E-3</c:v>
                </c:pt>
                <c:pt idx="510">
                  <c:v>7.1441884492502838E-3</c:v>
                </c:pt>
                <c:pt idx="511">
                  <c:v>7.1681938952368775E-3</c:v>
                </c:pt>
                <c:pt idx="512">
                  <c:v>7.1921993412234712E-3</c:v>
                </c:pt>
                <c:pt idx="513">
                  <c:v>7.2163096144851153E-3</c:v>
                </c:pt>
                <c:pt idx="514">
                  <c:v>7.2404198877467595E-3</c:v>
                </c:pt>
                <c:pt idx="515">
                  <c:v>7.2646349882834541E-3</c:v>
                </c:pt>
                <c:pt idx="516">
                  <c:v>7.2889549160951991E-3</c:v>
                </c:pt>
                <c:pt idx="517">
                  <c:v>7.3132748439069441E-3</c:v>
                </c:pt>
                <c:pt idx="518">
                  <c:v>7.3375947717186892E-3</c:v>
                </c:pt>
                <c:pt idx="519">
                  <c:v>7.3619146995304342E-3</c:v>
                </c:pt>
                <c:pt idx="520">
                  <c:v>7.3862346273421793E-3</c:v>
                </c:pt>
                <c:pt idx="521">
                  <c:v>7.4105545551539243E-3</c:v>
                </c:pt>
                <c:pt idx="522">
                  <c:v>7.4349793102407207E-3</c:v>
                </c:pt>
                <c:pt idx="523">
                  <c:v>7.459404065327517E-3</c:v>
                </c:pt>
                <c:pt idx="524">
                  <c:v>7.4838288204143134E-3</c:v>
                </c:pt>
                <c:pt idx="525">
                  <c:v>7.5082535755011098E-3</c:v>
                </c:pt>
                <c:pt idx="526">
                  <c:v>7.5326783305879061E-3</c:v>
                </c:pt>
                <c:pt idx="527">
                  <c:v>7.5571030856747025E-3</c:v>
                </c:pt>
                <c:pt idx="528">
                  <c:v>7.5816326680365493E-3</c:v>
                </c:pt>
                <c:pt idx="529">
                  <c:v>7.6061622503983961E-3</c:v>
                </c:pt>
                <c:pt idx="530">
                  <c:v>7.6306918327602429E-3</c:v>
                </c:pt>
                <c:pt idx="531">
                  <c:v>7.6553262423971402E-3</c:v>
                </c:pt>
                <c:pt idx="532">
                  <c:v>7.6800654793090879E-3</c:v>
                </c:pt>
                <c:pt idx="533">
                  <c:v>7.7048047162210356E-3</c:v>
                </c:pt>
                <c:pt idx="534">
                  <c:v>7.7296487804080338E-3</c:v>
                </c:pt>
                <c:pt idx="535">
                  <c:v>7.7544928445950319E-3</c:v>
                </c:pt>
                <c:pt idx="536">
                  <c:v>7.7794417360570814E-3</c:v>
                </c:pt>
                <c:pt idx="537">
                  <c:v>7.8043906275191309E-3</c:v>
                </c:pt>
                <c:pt idx="538">
                  <c:v>7.8293395189811803E-3</c:v>
                </c:pt>
                <c:pt idx="539">
                  <c:v>7.854288410443229E-3</c:v>
                </c:pt>
                <c:pt idx="540">
                  <c:v>7.8792373019052776E-3</c:v>
                </c:pt>
                <c:pt idx="541">
                  <c:v>7.9042910206423775E-3</c:v>
                </c:pt>
                <c:pt idx="542">
                  <c:v>7.929449566654527E-3</c:v>
                </c:pt>
                <c:pt idx="543">
                  <c:v>7.9546081126666765E-3</c:v>
                </c:pt>
                <c:pt idx="544">
                  <c:v>7.9798714859538773E-3</c:v>
                </c:pt>
                <c:pt idx="545">
                  <c:v>8.0051348592410781E-3</c:v>
                </c:pt>
                <c:pt idx="546">
                  <c:v>8.030398232528279E-3</c:v>
                </c:pt>
                <c:pt idx="547">
                  <c:v>8.0557664330905311E-3</c:v>
                </c:pt>
                <c:pt idx="548">
                  <c:v>8.0811346336527833E-3</c:v>
                </c:pt>
                <c:pt idx="549">
                  <c:v>8.106607661490085E-3</c:v>
                </c:pt>
                <c:pt idx="550">
                  <c:v>8.1320806893273867E-3</c:v>
                </c:pt>
                <c:pt idx="551">
                  <c:v>8.1575537171646884E-3</c:v>
                </c:pt>
                <c:pt idx="552">
                  <c:v>8.1831315722770415E-3</c:v>
                </c:pt>
                <c:pt idx="553">
                  <c:v>8.2089190819394954E-3</c:v>
                </c:pt>
                <c:pt idx="554">
                  <c:v>8.2348114188770007E-3</c:v>
                </c:pt>
                <c:pt idx="555">
                  <c:v>8.2607037558145059E-3</c:v>
                </c:pt>
                <c:pt idx="556">
                  <c:v>8.2865960927520112E-3</c:v>
                </c:pt>
                <c:pt idx="557">
                  <c:v>8.312593256964566E-3</c:v>
                </c:pt>
                <c:pt idx="558">
                  <c:v>8.3385904211771208E-3</c:v>
                </c:pt>
                <c:pt idx="559">
                  <c:v>8.3645875853896757E-3</c:v>
                </c:pt>
                <c:pt idx="560">
                  <c:v>8.3905847496022305E-3</c:v>
                </c:pt>
                <c:pt idx="561">
                  <c:v>8.4165819138147854E-3</c:v>
                </c:pt>
                <c:pt idx="562">
                  <c:v>8.4426839053023915E-3</c:v>
                </c:pt>
                <c:pt idx="563">
                  <c:v>8.4687858967899977E-3</c:v>
                </c:pt>
                <c:pt idx="564">
                  <c:v>8.4948878882776038E-3</c:v>
                </c:pt>
                <c:pt idx="565">
                  <c:v>8.52098987976521E-3</c:v>
                </c:pt>
                <c:pt idx="566">
                  <c:v>8.5470918712528161E-3</c:v>
                </c:pt>
                <c:pt idx="567">
                  <c:v>8.5732986900154719E-3</c:v>
                </c:pt>
                <c:pt idx="568">
                  <c:v>8.5995055087781276E-3</c:v>
                </c:pt>
                <c:pt idx="569">
                  <c:v>8.6257123275407833E-3</c:v>
                </c:pt>
                <c:pt idx="570">
                  <c:v>8.6519191463034391E-3</c:v>
                </c:pt>
                <c:pt idx="571">
                  <c:v>8.6782307923411461E-3</c:v>
                </c:pt>
                <c:pt idx="572">
                  <c:v>8.7045424383788532E-3</c:v>
                </c:pt>
                <c:pt idx="573">
                  <c:v>8.7308540844165602E-3</c:v>
                </c:pt>
                <c:pt idx="574">
                  <c:v>8.7572705577293186E-3</c:v>
                </c:pt>
                <c:pt idx="575">
                  <c:v>8.783687031042077E-3</c:v>
                </c:pt>
                <c:pt idx="576">
                  <c:v>8.8101035043548354E-3</c:v>
                </c:pt>
                <c:pt idx="577">
                  <c:v>8.8366248049426433E-3</c:v>
                </c:pt>
                <c:pt idx="578">
                  <c:v>8.8632509328055026E-3</c:v>
                </c:pt>
                <c:pt idx="579">
                  <c:v>8.8898770606683618E-3</c:v>
                </c:pt>
                <c:pt idx="580">
                  <c:v>8.9165031885312211E-3</c:v>
                </c:pt>
                <c:pt idx="581">
                  <c:v>8.94323414366913E-3</c:v>
                </c:pt>
                <c:pt idx="582">
                  <c:v>8.9699650988070388E-3</c:v>
                </c:pt>
                <c:pt idx="583">
                  <c:v>8.9966960539449477E-3</c:v>
                </c:pt>
                <c:pt idx="584">
                  <c:v>9.0235318363579078E-3</c:v>
                </c:pt>
                <c:pt idx="585">
                  <c:v>9.050367618770868E-3</c:v>
                </c:pt>
                <c:pt idx="586">
                  <c:v>9.0772034011838282E-3</c:v>
                </c:pt>
                <c:pt idx="587">
                  <c:v>9.1040391835967883E-3</c:v>
                </c:pt>
                <c:pt idx="588">
                  <c:v>9.1308749660097485E-3</c:v>
                </c:pt>
                <c:pt idx="589">
                  <c:v>9.1577107484227087E-3</c:v>
                </c:pt>
                <c:pt idx="590">
                  <c:v>9.1846513581107202E-3</c:v>
                </c:pt>
                <c:pt idx="591">
                  <c:v>9.2115919677987317E-3</c:v>
                </c:pt>
                <c:pt idx="592">
                  <c:v>9.2385325774867431E-3</c:v>
                </c:pt>
                <c:pt idx="593">
                  <c:v>9.2654731871747546E-3</c:v>
                </c:pt>
                <c:pt idx="594">
                  <c:v>9.2924137968627661E-3</c:v>
                </c:pt>
                <c:pt idx="595">
                  <c:v>9.3194592338258272E-3</c:v>
                </c:pt>
                <c:pt idx="596">
                  <c:v>9.3465046707888882E-3</c:v>
                </c:pt>
                <c:pt idx="597">
                  <c:v>9.3735501077519493E-3</c:v>
                </c:pt>
                <c:pt idx="598">
                  <c:v>9.4007003719900617E-3</c:v>
                </c:pt>
                <c:pt idx="599">
                  <c:v>9.4278506362281741E-3</c:v>
                </c:pt>
                <c:pt idx="600">
                  <c:v>9.4550009004662865E-3</c:v>
                </c:pt>
                <c:pt idx="601">
                  <c:v>9.4821511647043989E-3</c:v>
                </c:pt>
                <c:pt idx="602">
                  <c:v>9.5093014289425112E-3</c:v>
                </c:pt>
                <c:pt idx="603">
                  <c:v>9.5365565204556749E-3</c:v>
                </c:pt>
                <c:pt idx="604">
                  <c:v>9.5638116119688386E-3</c:v>
                </c:pt>
                <c:pt idx="605">
                  <c:v>9.5910667034820023E-3</c:v>
                </c:pt>
                <c:pt idx="606">
                  <c:v>9.6184266222702156E-3</c:v>
                </c:pt>
                <c:pt idx="607">
                  <c:v>9.6457865410584289E-3</c:v>
                </c:pt>
                <c:pt idx="608">
                  <c:v>9.6732512871216935E-3</c:v>
                </c:pt>
                <c:pt idx="609">
                  <c:v>9.7007160331849581E-3</c:v>
                </c:pt>
                <c:pt idx="610">
                  <c:v>9.7281807792482227E-3</c:v>
                </c:pt>
                <c:pt idx="611">
                  <c:v>9.7556455253114873E-3</c:v>
                </c:pt>
                <c:pt idx="612">
                  <c:v>9.7831102713747519E-3</c:v>
                </c:pt>
                <c:pt idx="613">
                  <c:v>9.8106798447130661E-3</c:v>
                </c:pt>
                <c:pt idx="614">
                  <c:v>9.8382494180513803E-3</c:v>
                </c:pt>
                <c:pt idx="615">
                  <c:v>9.8659238186647458E-3</c:v>
                </c:pt>
                <c:pt idx="616">
                  <c:v>9.8935982192781113E-3</c:v>
                </c:pt>
                <c:pt idx="617">
                  <c:v>9.9212726198914768E-3</c:v>
                </c:pt>
                <c:pt idx="618">
                  <c:v>9.9490518477798936E-3</c:v>
                </c:pt>
                <c:pt idx="619">
                  <c:v>9.9768310756683104E-3</c:v>
                </c:pt>
                <c:pt idx="620">
                  <c:v>1.0004715130831777E-2</c:v>
                </c:pt>
                <c:pt idx="621">
                  <c:v>1.0032599185995243E-2</c:v>
                </c:pt>
                <c:pt idx="622">
                  <c:v>1.006048324115871E-2</c:v>
                </c:pt>
                <c:pt idx="623">
                  <c:v>1.0088472123597227E-2</c:v>
                </c:pt>
                <c:pt idx="624">
                  <c:v>1.0116461006035745E-2</c:v>
                </c:pt>
                <c:pt idx="625">
                  <c:v>1.0144449888474263E-2</c:v>
                </c:pt>
                <c:pt idx="626">
                  <c:v>1.017254359818783E-2</c:v>
                </c:pt>
                <c:pt idx="627">
                  <c:v>1.0200637307901397E-2</c:v>
                </c:pt>
                <c:pt idx="628">
                  <c:v>1.0228731017614965E-2</c:v>
                </c:pt>
                <c:pt idx="629">
                  <c:v>1.0256929554603583E-2</c:v>
                </c:pt>
                <c:pt idx="630">
                  <c:v>1.0285128091592202E-2</c:v>
                </c:pt>
                <c:pt idx="631">
                  <c:v>1.0313431455855872E-2</c:v>
                </c:pt>
                <c:pt idx="632">
                  <c:v>1.0341734820119542E-2</c:v>
                </c:pt>
                <c:pt idx="633">
                  <c:v>1.0370038184383212E-2</c:v>
                </c:pt>
                <c:pt idx="634">
                  <c:v>1.0398446375921931E-2</c:v>
                </c:pt>
                <c:pt idx="635">
                  <c:v>1.0426854567460651E-2</c:v>
                </c:pt>
                <c:pt idx="636">
                  <c:v>1.045526275899937E-2</c:v>
                </c:pt>
                <c:pt idx="637">
                  <c:v>1.0483775777813141E-2</c:v>
                </c:pt>
                <c:pt idx="638">
                  <c:v>1.0512393623901961E-2</c:v>
                </c:pt>
                <c:pt idx="639">
                  <c:v>1.0541011469990782E-2</c:v>
                </c:pt>
                <c:pt idx="640">
                  <c:v>1.0569629316079602E-2</c:v>
                </c:pt>
                <c:pt idx="641">
                  <c:v>1.0598351989443474E-2</c:v>
                </c:pt>
                <c:pt idx="642">
                  <c:v>1.0627074662807346E-2</c:v>
                </c:pt>
                <c:pt idx="643">
                  <c:v>1.0655797336171217E-2</c:v>
                </c:pt>
                <c:pt idx="644">
                  <c:v>1.0684520009535089E-2</c:v>
                </c:pt>
                <c:pt idx="645">
                  <c:v>1.0713347510174012E-2</c:v>
                </c:pt>
                <c:pt idx="646">
                  <c:v>1.0742279838087985E-2</c:v>
                </c:pt>
                <c:pt idx="647">
                  <c:v>1.0771316993277009E-2</c:v>
                </c:pt>
                <c:pt idx="648">
                  <c:v>1.0800354148466033E-2</c:v>
                </c:pt>
                <c:pt idx="649">
                  <c:v>1.0829391303655057E-2</c:v>
                </c:pt>
                <c:pt idx="650">
                  <c:v>1.085853328611913E-2</c:v>
                </c:pt>
                <c:pt idx="651">
                  <c:v>1.0887780095858255E-2</c:v>
                </c:pt>
                <c:pt idx="652">
                  <c:v>1.091702690559738E-2</c:v>
                </c:pt>
                <c:pt idx="653">
                  <c:v>1.0946378542611556E-2</c:v>
                </c:pt>
                <c:pt idx="654">
                  <c:v>1.0975730179625732E-2</c:v>
                </c:pt>
                <c:pt idx="655">
                  <c:v>1.1005081816639908E-2</c:v>
                </c:pt>
                <c:pt idx="656">
                  <c:v>1.1034433453654085E-2</c:v>
                </c:pt>
                <c:pt idx="657">
                  <c:v>1.1063785090668261E-2</c:v>
                </c:pt>
                <c:pt idx="658">
                  <c:v>1.1093136727682437E-2</c:v>
                </c:pt>
                <c:pt idx="659">
                  <c:v>1.1122593191971663E-2</c:v>
                </c:pt>
                <c:pt idx="660">
                  <c:v>1.115215448353594E-2</c:v>
                </c:pt>
                <c:pt idx="661">
                  <c:v>1.1181715775100217E-2</c:v>
                </c:pt>
                <c:pt idx="662">
                  <c:v>1.1211277066664494E-2</c:v>
                </c:pt>
                <c:pt idx="663">
                  <c:v>1.1240838358228771E-2</c:v>
                </c:pt>
                <c:pt idx="664">
                  <c:v>1.1270504477068097E-2</c:v>
                </c:pt>
                <c:pt idx="665">
                  <c:v>1.1300170595907424E-2</c:v>
                </c:pt>
                <c:pt idx="666">
                  <c:v>1.1329836714746751E-2</c:v>
                </c:pt>
                <c:pt idx="667">
                  <c:v>1.1359502833586077E-2</c:v>
                </c:pt>
                <c:pt idx="668">
                  <c:v>1.1389273779700455E-2</c:v>
                </c:pt>
                <c:pt idx="669">
                  <c:v>1.1419044725814833E-2</c:v>
                </c:pt>
                <c:pt idx="670">
                  <c:v>1.1448815671929211E-2</c:v>
                </c:pt>
                <c:pt idx="671">
                  <c:v>1.1478586618043589E-2</c:v>
                </c:pt>
                <c:pt idx="672">
                  <c:v>1.1508462391433018E-2</c:v>
                </c:pt>
                <c:pt idx="673">
                  <c:v>1.1538338164822448E-2</c:v>
                </c:pt>
                <c:pt idx="674">
                  <c:v>1.1568318765486927E-2</c:v>
                </c:pt>
                <c:pt idx="675">
                  <c:v>1.1598299366151405E-2</c:v>
                </c:pt>
                <c:pt idx="676">
                  <c:v>1.1628279966815884E-2</c:v>
                </c:pt>
                <c:pt idx="677">
                  <c:v>1.1658365394755415E-2</c:v>
                </c:pt>
                <c:pt idx="678">
                  <c:v>1.1688450822694945E-2</c:v>
                </c:pt>
                <c:pt idx="679">
                  <c:v>1.1718641077909524E-2</c:v>
                </c:pt>
                <c:pt idx="680">
                  <c:v>1.1748831333124104E-2</c:v>
                </c:pt>
                <c:pt idx="681">
                  <c:v>1.1779021588338684E-2</c:v>
                </c:pt>
                <c:pt idx="682">
                  <c:v>1.1809316670828315E-2</c:v>
                </c:pt>
                <c:pt idx="683">
                  <c:v>1.1839611753317946E-2</c:v>
                </c:pt>
                <c:pt idx="684">
                  <c:v>1.1870011663082628E-2</c:v>
                </c:pt>
                <c:pt idx="685">
                  <c:v>1.1900411572847311E-2</c:v>
                </c:pt>
                <c:pt idx="686">
                  <c:v>1.1930811482611993E-2</c:v>
                </c:pt>
                <c:pt idx="687">
                  <c:v>1.1961316219651725E-2</c:v>
                </c:pt>
                <c:pt idx="688">
                  <c:v>1.1991820956691457E-2</c:v>
                </c:pt>
                <c:pt idx="689">
                  <c:v>1.2022430521006241E-2</c:v>
                </c:pt>
                <c:pt idx="690">
                  <c:v>1.2053040085321024E-2</c:v>
                </c:pt>
                <c:pt idx="691">
                  <c:v>1.2083649649635807E-2</c:v>
                </c:pt>
                <c:pt idx="692">
                  <c:v>1.211436404122564E-2</c:v>
                </c:pt>
                <c:pt idx="693">
                  <c:v>1.2145078432815473E-2</c:v>
                </c:pt>
                <c:pt idx="694">
                  <c:v>1.2175792824405306E-2</c:v>
                </c:pt>
                <c:pt idx="695">
                  <c:v>1.2206507215995139E-2</c:v>
                </c:pt>
                <c:pt idx="696">
                  <c:v>1.2237221607584971E-2</c:v>
                </c:pt>
                <c:pt idx="697">
                  <c:v>1.2268040826449856E-2</c:v>
                </c:pt>
                <c:pt idx="698">
                  <c:v>1.229886004531474E-2</c:v>
                </c:pt>
                <c:pt idx="699">
                  <c:v>1.2329679264179624E-2</c:v>
                </c:pt>
                <c:pt idx="700">
                  <c:v>1.2360498483044508E-2</c:v>
                </c:pt>
                <c:pt idx="701">
                  <c:v>1.2391317701909392E-2</c:v>
                </c:pt>
                <c:pt idx="702">
                  <c:v>1.2422241748049328E-2</c:v>
                </c:pt>
                <c:pt idx="703">
                  <c:v>1.2453270621464313E-2</c:v>
                </c:pt>
                <c:pt idx="704">
                  <c:v>1.2484299494879298E-2</c:v>
                </c:pt>
                <c:pt idx="705">
                  <c:v>1.2515328368294283E-2</c:v>
                </c:pt>
                <c:pt idx="706">
                  <c:v>1.2546357241709268E-2</c:v>
                </c:pt>
                <c:pt idx="707">
                  <c:v>1.2577386115124253E-2</c:v>
                </c:pt>
                <c:pt idx="708">
                  <c:v>1.260851981581429E-2</c:v>
                </c:pt>
                <c:pt idx="709">
                  <c:v>1.2639653516504326E-2</c:v>
                </c:pt>
                <c:pt idx="710">
                  <c:v>1.2670787217194363E-2</c:v>
                </c:pt>
                <c:pt idx="711">
                  <c:v>1.2702025745159449E-2</c:v>
                </c:pt>
                <c:pt idx="712">
                  <c:v>1.2733264273124534E-2</c:v>
                </c:pt>
                <c:pt idx="713">
                  <c:v>1.276450280108962E-2</c:v>
                </c:pt>
                <c:pt idx="714">
                  <c:v>1.2795741329054706E-2</c:v>
                </c:pt>
                <c:pt idx="715">
                  <c:v>1.2826979857019792E-2</c:v>
                </c:pt>
                <c:pt idx="716">
                  <c:v>1.285832321225993E-2</c:v>
                </c:pt>
                <c:pt idx="717">
                  <c:v>1.2889771394775118E-2</c:v>
                </c:pt>
                <c:pt idx="718">
                  <c:v>1.2921219577290307E-2</c:v>
                </c:pt>
                <c:pt idx="719">
                  <c:v>1.2952667759805496E-2</c:v>
                </c:pt>
                <c:pt idx="720">
                  <c:v>1.2984115942320684E-2</c:v>
                </c:pt>
                <c:pt idx="721">
                  <c:v>1.3015668952110922E-2</c:v>
                </c:pt>
                <c:pt idx="722">
                  <c:v>1.3047326789176212E-2</c:v>
                </c:pt>
                <c:pt idx="723">
                  <c:v>1.3078984626241501E-2</c:v>
                </c:pt>
                <c:pt idx="724">
                  <c:v>1.3110642463306791E-2</c:v>
                </c:pt>
                <c:pt idx="725">
                  <c:v>1.314230030037208E-2</c:v>
                </c:pt>
                <c:pt idx="726">
                  <c:v>1.317406296471242E-2</c:v>
                </c:pt>
                <c:pt idx="727">
                  <c:v>1.320593045632781E-2</c:v>
                </c:pt>
                <c:pt idx="728">
                  <c:v>1.32377979479432E-2</c:v>
                </c:pt>
                <c:pt idx="729">
                  <c:v>1.3269665439558591E-2</c:v>
                </c:pt>
                <c:pt idx="730">
                  <c:v>1.3301532931173981E-2</c:v>
                </c:pt>
                <c:pt idx="731">
                  <c:v>1.3333400422789372E-2</c:v>
                </c:pt>
                <c:pt idx="732">
                  <c:v>1.3365267914404762E-2</c:v>
                </c:pt>
                <c:pt idx="733">
                  <c:v>1.3397240233295204E-2</c:v>
                </c:pt>
                <c:pt idx="734">
                  <c:v>1.3429212552185646E-2</c:v>
                </c:pt>
                <c:pt idx="735">
                  <c:v>1.3461184871076087E-2</c:v>
                </c:pt>
                <c:pt idx="736">
                  <c:v>1.3493157189966529E-2</c:v>
                </c:pt>
                <c:pt idx="737">
                  <c:v>1.3525129508856971E-2</c:v>
                </c:pt>
                <c:pt idx="738">
                  <c:v>1.3557206655022462E-2</c:v>
                </c:pt>
                <c:pt idx="739">
                  <c:v>1.3589283801187953E-2</c:v>
                </c:pt>
                <c:pt idx="740">
                  <c:v>1.3621360947353445E-2</c:v>
                </c:pt>
                <c:pt idx="741">
                  <c:v>1.3653542920793987E-2</c:v>
                </c:pt>
                <c:pt idx="742">
                  <c:v>1.368572489423453E-2</c:v>
                </c:pt>
                <c:pt idx="743">
                  <c:v>1.3718011694950122E-2</c:v>
                </c:pt>
                <c:pt idx="744">
                  <c:v>1.3750298495665714E-2</c:v>
                </c:pt>
                <c:pt idx="745">
                  <c:v>1.3782690123656358E-2</c:v>
                </c:pt>
                <c:pt idx="746">
                  <c:v>1.3815081751647001E-2</c:v>
                </c:pt>
                <c:pt idx="747">
                  <c:v>1.3847473379637645E-2</c:v>
                </c:pt>
                <c:pt idx="748">
                  <c:v>1.3879865007628289E-2</c:v>
                </c:pt>
                <c:pt idx="749">
                  <c:v>1.3912361462893983E-2</c:v>
                </c:pt>
                <c:pt idx="750">
                  <c:v>1.3944857918159678E-2</c:v>
                </c:pt>
                <c:pt idx="751">
                  <c:v>1.3977354373425373E-2</c:v>
                </c:pt>
                <c:pt idx="752">
                  <c:v>1.4009850828691068E-2</c:v>
                </c:pt>
                <c:pt idx="753">
                  <c:v>1.4042347283956763E-2</c:v>
                </c:pt>
                <c:pt idx="754">
                  <c:v>1.4074948566497507E-2</c:v>
                </c:pt>
                <c:pt idx="755">
                  <c:v>1.4107549849038252E-2</c:v>
                </c:pt>
                <c:pt idx="756">
                  <c:v>1.4140151131578996E-2</c:v>
                </c:pt>
                <c:pt idx="757">
                  <c:v>1.4172752414119741E-2</c:v>
                </c:pt>
                <c:pt idx="758">
                  <c:v>1.4205458523935536E-2</c:v>
                </c:pt>
                <c:pt idx="759">
                  <c:v>1.4238164633751332E-2</c:v>
                </c:pt>
                <c:pt idx="760">
                  <c:v>1.4270975570842177E-2</c:v>
                </c:pt>
                <c:pt idx="761">
                  <c:v>1.4303786507933023E-2</c:v>
                </c:pt>
                <c:pt idx="762">
                  <c:v>1.4336702272298919E-2</c:v>
                </c:pt>
                <c:pt idx="763">
                  <c:v>1.4369618036664816E-2</c:v>
                </c:pt>
                <c:pt idx="764">
                  <c:v>1.4402533801030713E-2</c:v>
                </c:pt>
                <c:pt idx="765">
                  <c:v>1.4435449565396609E-2</c:v>
                </c:pt>
                <c:pt idx="766">
                  <c:v>1.4468365329762506E-2</c:v>
                </c:pt>
                <c:pt idx="767">
                  <c:v>1.4501385921403454E-2</c:v>
                </c:pt>
                <c:pt idx="768">
                  <c:v>1.4534511340319451E-2</c:v>
                </c:pt>
                <c:pt idx="769">
                  <c:v>1.4567636759235449E-2</c:v>
                </c:pt>
                <c:pt idx="770">
                  <c:v>1.4600762178151446E-2</c:v>
                </c:pt>
                <c:pt idx="771">
                  <c:v>1.4633887597067444E-2</c:v>
                </c:pt>
                <c:pt idx="772">
                  <c:v>1.4667013015983442E-2</c:v>
                </c:pt>
                <c:pt idx="773">
                  <c:v>1.470024326217449E-2</c:v>
                </c:pt>
                <c:pt idx="774">
                  <c:v>1.4733578335640589E-2</c:v>
                </c:pt>
                <c:pt idx="775">
                  <c:v>1.4766913409106687E-2</c:v>
                </c:pt>
                <c:pt idx="776">
                  <c:v>1.4800248482572786E-2</c:v>
                </c:pt>
                <c:pt idx="777">
                  <c:v>1.4833583556038884E-2</c:v>
                </c:pt>
                <c:pt idx="778">
                  <c:v>1.4866918629504983E-2</c:v>
                </c:pt>
                <c:pt idx="779">
                  <c:v>1.4900358530246132E-2</c:v>
                </c:pt>
                <c:pt idx="780">
                  <c:v>1.4933903258262334E-2</c:v>
                </c:pt>
                <c:pt idx="781">
                  <c:v>1.4967447986278535E-2</c:v>
                </c:pt>
                <c:pt idx="782">
                  <c:v>1.5000992714294736E-2</c:v>
                </c:pt>
                <c:pt idx="783">
                  <c:v>1.5034537442310937E-2</c:v>
                </c:pt>
                <c:pt idx="784">
                  <c:v>1.5068082170327138E-2</c:v>
                </c:pt>
                <c:pt idx="785">
                  <c:v>1.5101626898343339E-2</c:v>
                </c:pt>
                <c:pt idx="786">
                  <c:v>1.513527645363459E-2</c:v>
                </c:pt>
                <c:pt idx="787">
                  <c:v>1.516892600892584E-2</c:v>
                </c:pt>
                <c:pt idx="788">
                  <c:v>1.5202680391492142E-2</c:v>
                </c:pt>
                <c:pt idx="789">
                  <c:v>1.5236434774058444E-2</c:v>
                </c:pt>
                <c:pt idx="790">
                  <c:v>1.5270189156624746E-2</c:v>
                </c:pt>
                <c:pt idx="791">
                  <c:v>1.5303943539191048E-2</c:v>
                </c:pt>
                <c:pt idx="792">
                  <c:v>1.53378027490324E-2</c:v>
                </c:pt>
                <c:pt idx="793">
                  <c:v>1.5371661958873751E-2</c:v>
                </c:pt>
                <c:pt idx="794">
                  <c:v>1.5405521168715103E-2</c:v>
                </c:pt>
                <c:pt idx="795">
                  <c:v>1.5439380378556454E-2</c:v>
                </c:pt>
                <c:pt idx="796">
                  <c:v>1.5473344415672857E-2</c:v>
                </c:pt>
                <c:pt idx="797">
                  <c:v>1.550730845278926E-2</c:v>
                </c:pt>
                <c:pt idx="798">
                  <c:v>1.5541272489905663E-2</c:v>
                </c:pt>
                <c:pt idx="799">
                  <c:v>1.5575341354297117E-2</c:v>
                </c:pt>
                <c:pt idx="800">
                  <c:v>1.5609515045963621E-2</c:v>
                </c:pt>
                <c:pt idx="801">
                  <c:v>1.5643688737630126E-2</c:v>
                </c:pt>
                <c:pt idx="802">
                  <c:v>1.5677967256571682E-2</c:v>
                </c:pt>
                <c:pt idx="803">
                  <c:v>1.5712245775513237E-2</c:v>
                </c:pt>
                <c:pt idx="804">
                  <c:v>1.5746629121729843E-2</c:v>
                </c:pt>
                <c:pt idx="805">
                  <c:v>1.5781012467946449E-2</c:v>
                </c:pt>
                <c:pt idx="806">
                  <c:v>1.5815500641438107E-2</c:v>
                </c:pt>
                <c:pt idx="807">
                  <c:v>1.5849988814929765E-2</c:v>
                </c:pt>
                <c:pt idx="808">
                  <c:v>1.588458181569647E-2</c:v>
                </c:pt>
                <c:pt idx="809">
                  <c:v>1.5919174816463176E-2</c:v>
                </c:pt>
                <c:pt idx="810">
                  <c:v>1.5953767817229882E-2</c:v>
                </c:pt>
                <c:pt idx="811">
                  <c:v>1.5988360817996587E-2</c:v>
                </c:pt>
                <c:pt idx="812">
                  <c:v>1.6022953818763293E-2</c:v>
                </c:pt>
                <c:pt idx="813">
                  <c:v>1.605765164680505E-2</c:v>
                </c:pt>
                <c:pt idx="814">
                  <c:v>1.6092349474846807E-2</c:v>
                </c:pt>
                <c:pt idx="815">
                  <c:v>1.6127047302888563E-2</c:v>
                </c:pt>
                <c:pt idx="816">
                  <c:v>1.616174513093032E-2</c:v>
                </c:pt>
                <c:pt idx="817">
                  <c:v>1.6196547786247129E-2</c:v>
                </c:pt>
                <c:pt idx="818">
                  <c:v>1.6231350441563937E-2</c:v>
                </c:pt>
                <c:pt idx="819">
                  <c:v>1.6266153096880745E-2</c:v>
                </c:pt>
                <c:pt idx="820">
                  <c:v>1.6300955752197553E-2</c:v>
                </c:pt>
                <c:pt idx="821">
                  <c:v>1.6335863234789413E-2</c:v>
                </c:pt>
                <c:pt idx="822">
                  <c:v>1.6370770717381272E-2</c:v>
                </c:pt>
                <c:pt idx="823">
                  <c:v>1.6405678199973132E-2</c:v>
                </c:pt>
                <c:pt idx="824">
                  <c:v>1.6440585682564991E-2</c:v>
                </c:pt>
                <c:pt idx="825">
                  <c:v>1.6475493165156851E-2</c:v>
                </c:pt>
                <c:pt idx="826">
                  <c:v>1.651040064774871E-2</c:v>
                </c:pt>
                <c:pt idx="827">
                  <c:v>1.6545412957615621E-2</c:v>
                </c:pt>
                <c:pt idx="828">
                  <c:v>1.6580425267482532E-2</c:v>
                </c:pt>
                <c:pt idx="829">
                  <c:v>1.6615437577349443E-2</c:v>
                </c:pt>
                <c:pt idx="830">
                  <c:v>1.6650554714491402E-2</c:v>
                </c:pt>
                <c:pt idx="831">
                  <c:v>1.668567185163336E-2</c:v>
                </c:pt>
                <c:pt idx="832">
                  <c:v>1.6720788988775319E-2</c:v>
                </c:pt>
                <c:pt idx="833">
                  <c:v>1.6755906125917278E-2</c:v>
                </c:pt>
                <c:pt idx="834">
                  <c:v>1.6791232917609339E-2</c:v>
                </c:pt>
                <c:pt idx="835">
                  <c:v>1.68265597093014E-2</c:v>
                </c:pt>
                <c:pt idx="836">
                  <c:v>1.6861886500993462E-2</c:v>
                </c:pt>
                <c:pt idx="837">
                  <c:v>1.6897318119960574E-2</c:v>
                </c:pt>
                <c:pt idx="838">
                  <c:v>1.6932854566202738E-2</c:v>
                </c:pt>
                <c:pt idx="839">
                  <c:v>1.6968391012444902E-2</c:v>
                </c:pt>
                <c:pt idx="840">
                  <c:v>1.7003927458687066E-2</c:v>
                </c:pt>
                <c:pt idx="841">
                  <c:v>1.7039568732204278E-2</c:v>
                </c:pt>
                <c:pt idx="842">
                  <c:v>1.707521000572149E-2</c:v>
                </c:pt>
                <c:pt idx="843">
                  <c:v>1.7110851279238701E-2</c:v>
                </c:pt>
                <c:pt idx="844">
                  <c:v>1.7146492552755913E-2</c:v>
                </c:pt>
                <c:pt idx="845">
                  <c:v>1.7182133826273125E-2</c:v>
                </c:pt>
                <c:pt idx="846">
                  <c:v>1.7217879927065388E-2</c:v>
                </c:pt>
                <c:pt idx="847">
                  <c:v>1.7253626027857651E-2</c:v>
                </c:pt>
                <c:pt idx="848">
                  <c:v>1.7289372128649914E-2</c:v>
                </c:pt>
                <c:pt idx="849">
                  <c:v>1.7325118229442178E-2</c:v>
                </c:pt>
                <c:pt idx="850">
                  <c:v>1.7360969157509492E-2</c:v>
                </c:pt>
                <c:pt idx="851">
                  <c:v>1.7396924912851858E-2</c:v>
                </c:pt>
                <c:pt idx="852">
                  <c:v>1.7432985495469275E-2</c:v>
                </c:pt>
                <c:pt idx="853">
                  <c:v>1.7469046078086692E-2</c:v>
                </c:pt>
                <c:pt idx="854">
                  <c:v>1.7505211487979157E-2</c:v>
                </c:pt>
                <c:pt idx="855">
                  <c:v>1.7541376897871622E-2</c:v>
                </c:pt>
                <c:pt idx="856">
                  <c:v>1.7577542307764087E-2</c:v>
                </c:pt>
                <c:pt idx="857">
                  <c:v>1.7613707717656552E-2</c:v>
                </c:pt>
                <c:pt idx="858">
                  <c:v>1.7649873127549016E-2</c:v>
                </c:pt>
                <c:pt idx="859">
                  <c:v>1.7686143364716533E-2</c:v>
                </c:pt>
                <c:pt idx="860">
                  <c:v>1.7722413601884049E-2</c:v>
                </c:pt>
                <c:pt idx="861">
                  <c:v>1.7758683839051565E-2</c:v>
                </c:pt>
                <c:pt idx="862">
                  <c:v>1.7795163730769184E-2</c:v>
                </c:pt>
                <c:pt idx="863">
                  <c:v>1.7831643622486803E-2</c:v>
                </c:pt>
                <c:pt idx="864">
                  <c:v>1.7868228341479473E-2</c:v>
                </c:pt>
                <c:pt idx="865">
                  <c:v>1.7904813060472143E-2</c:v>
                </c:pt>
                <c:pt idx="866">
                  <c:v>1.7941397779464813E-2</c:v>
                </c:pt>
                <c:pt idx="867">
                  <c:v>1.7977982498457484E-2</c:v>
                </c:pt>
                <c:pt idx="868">
                  <c:v>1.8014567217450154E-2</c:v>
                </c:pt>
                <c:pt idx="869">
                  <c:v>1.8051151936442824E-2</c:v>
                </c:pt>
                <c:pt idx="870">
                  <c:v>1.8087946309985593E-2</c:v>
                </c:pt>
                <c:pt idx="871">
                  <c:v>1.8124740683528363E-2</c:v>
                </c:pt>
                <c:pt idx="872">
                  <c:v>1.8161535057071132E-2</c:v>
                </c:pt>
                <c:pt idx="873">
                  <c:v>1.8198434257888953E-2</c:v>
                </c:pt>
                <c:pt idx="874">
                  <c:v>1.8235333458706773E-2</c:v>
                </c:pt>
                <c:pt idx="875">
                  <c:v>1.8272232659524594E-2</c:v>
                </c:pt>
                <c:pt idx="876">
                  <c:v>1.8309131860342415E-2</c:v>
                </c:pt>
                <c:pt idx="877">
                  <c:v>1.8346135888435287E-2</c:v>
                </c:pt>
                <c:pt idx="878">
                  <c:v>1.838324474380321E-2</c:v>
                </c:pt>
                <c:pt idx="879">
                  <c:v>1.8420353599171133E-2</c:v>
                </c:pt>
                <c:pt idx="880">
                  <c:v>1.8457567281814104E-2</c:v>
                </c:pt>
                <c:pt idx="881">
                  <c:v>1.8494885791732127E-2</c:v>
                </c:pt>
                <c:pt idx="882">
                  <c:v>1.8532204301650149E-2</c:v>
                </c:pt>
                <c:pt idx="883">
                  <c:v>1.8569522811568172E-2</c:v>
                </c:pt>
                <c:pt idx="884">
                  <c:v>1.8606946148761246E-2</c:v>
                </c:pt>
                <c:pt idx="885">
                  <c:v>1.8644474313229371E-2</c:v>
                </c:pt>
                <c:pt idx="886">
                  <c:v>1.8682107304972547E-2</c:v>
                </c:pt>
                <c:pt idx="887">
                  <c:v>1.8719740296715724E-2</c:v>
                </c:pt>
                <c:pt idx="888">
                  <c:v>1.8757478115733948E-2</c:v>
                </c:pt>
                <c:pt idx="889">
                  <c:v>1.8795215934752172E-2</c:v>
                </c:pt>
                <c:pt idx="890">
                  <c:v>1.8832953753770396E-2</c:v>
                </c:pt>
                <c:pt idx="891">
                  <c:v>1.8870796400063672E-2</c:v>
                </c:pt>
                <c:pt idx="892">
                  <c:v>1.8908743873631999E-2</c:v>
                </c:pt>
                <c:pt idx="893">
                  <c:v>1.8946796174475377E-2</c:v>
                </c:pt>
                <c:pt idx="894">
                  <c:v>1.8984848475318755E-2</c:v>
                </c:pt>
                <c:pt idx="895">
                  <c:v>1.9022900776162133E-2</c:v>
                </c:pt>
                <c:pt idx="896">
                  <c:v>1.9061057904280563E-2</c:v>
                </c:pt>
                <c:pt idx="897">
                  <c:v>1.9099215032398992E-2</c:v>
                </c:pt>
                <c:pt idx="898">
                  <c:v>1.9137372160517422E-2</c:v>
                </c:pt>
                <c:pt idx="899">
                  <c:v>1.9175634115910899E-2</c:v>
                </c:pt>
                <c:pt idx="900">
                  <c:v>1.9213896071304377E-2</c:v>
                </c:pt>
                <c:pt idx="901">
                  <c:v>1.9252158026697854E-2</c:v>
                </c:pt>
                <c:pt idx="902">
                  <c:v>1.9290419982091331E-2</c:v>
                </c:pt>
                <c:pt idx="903">
                  <c:v>1.9328681937484809E-2</c:v>
                </c:pt>
                <c:pt idx="904">
                  <c:v>1.9367048720153338E-2</c:v>
                </c:pt>
                <c:pt idx="905">
                  <c:v>1.9405415502821866E-2</c:v>
                </c:pt>
                <c:pt idx="906">
                  <c:v>1.9443782285490395E-2</c:v>
                </c:pt>
                <c:pt idx="907">
                  <c:v>1.9482253895433975E-2</c:v>
                </c:pt>
                <c:pt idx="908">
                  <c:v>1.9520830332652606E-2</c:v>
                </c:pt>
                <c:pt idx="909">
                  <c:v>1.9559406769871238E-2</c:v>
                </c:pt>
                <c:pt idx="910">
                  <c:v>1.959808803436492E-2</c:v>
                </c:pt>
                <c:pt idx="911">
                  <c:v>1.9636874126133651E-2</c:v>
                </c:pt>
                <c:pt idx="912">
                  <c:v>1.9675660217902381E-2</c:v>
                </c:pt>
                <c:pt idx="913">
                  <c:v>1.9714446309671112E-2</c:v>
                </c:pt>
                <c:pt idx="914">
                  <c:v>1.9753232401439842E-2</c:v>
                </c:pt>
                <c:pt idx="915">
                  <c:v>1.9792123320483624E-2</c:v>
                </c:pt>
                <c:pt idx="916">
                  <c:v>1.9831014239527406E-2</c:v>
                </c:pt>
                <c:pt idx="917">
                  <c:v>1.9869905158571188E-2</c:v>
                </c:pt>
                <c:pt idx="918">
                  <c:v>1.9908796077614969E-2</c:v>
                </c:pt>
                <c:pt idx="919">
                  <c:v>1.9947686996658751E-2</c:v>
                </c:pt>
                <c:pt idx="920">
                  <c:v>1.9986682742977584E-2</c:v>
                </c:pt>
                <c:pt idx="921">
                  <c:v>2.0025678489296418E-2</c:v>
                </c:pt>
                <c:pt idx="922">
                  <c:v>2.0064674235615251E-2</c:v>
                </c:pt>
                <c:pt idx="923">
                  <c:v>2.0103669981934084E-2</c:v>
                </c:pt>
                <c:pt idx="924">
                  <c:v>2.0142770555527968E-2</c:v>
                </c:pt>
                <c:pt idx="925">
                  <c:v>2.0181871129121853E-2</c:v>
                </c:pt>
                <c:pt idx="926">
                  <c:v>2.0220971702715737E-2</c:v>
                </c:pt>
                <c:pt idx="927">
                  <c:v>2.0260072276309622E-2</c:v>
                </c:pt>
                <c:pt idx="928">
                  <c:v>2.0299172849903506E-2</c:v>
                </c:pt>
                <c:pt idx="929">
                  <c:v>2.0338378250772442E-2</c:v>
                </c:pt>
                <c:pt idx="930">
                  <c:v>2.0377583651641377E-2</c:v>
                </c:pt>
                <c:pt idx="931">
                  <c:v>2.0416893879785361E-2</c:v>
                </c:pt>
                <c:pt idx="932">
                  <c:v>2.0456204107929345E-2</c:v>
                </c:pt>
                <c:pt idx="933">
                  <c:v>2.0495723990623431E-2</c:v>
                </c:pt>
                <c:pt idx="934">
                  <c:v>2.0535348700592568E-2</c:v>
                </c:pt>
                <c:pt idx="935">
                  <c:v>2.0574973410561706E-2</c:v>
                </c:pt>
                <c:pt idx="936">
                  <c:v>2.0614598120530844E-2</c:v>
                </c:pt>
                <c:pt idx="937">
                  <c:v>2.0654327657775032E-2</c:v>
                </c:pt>
                <c:pt idx="938">
                  <c:v>2.0694057195019221E-2</c:v>
                </c:pt>
                <c:pt idx="939">
                  <c:v>2.073378673226341E-2</c:v>
                </c:pt>
                <c:pt idx="940">
                  <c:v>2.0773516269507599E-2</c:v>
                </c:pt>
                <c:pt idx="941">
                  <c:v>2.0813350634026836E-2</c:v>
                </c:pt>
                <c:pt idx="942">
                  <c:v>2.0853184998546073E-2</c:v>
                </c:pt>
                <c:pt idx="943">
                  <c:v>2.0893124190340361E-2</c:v>
                </c:pt>
                <c:pt idx="944">
                  <c:v>2.09331682094097E-2</c:v>
                </c:pt>
                <c:pt idx="945">
                  <c:v>2.0973317055754091E-2</c:v>
                </c:pt>
                <c:pt idx="946">
                  <c:v>2.1013465902098481E-2</c:v>
                </c:pt>
                <c:pt idx="947">
                  <c:v>2.1053614748442872E-2</c:v>
                </c:pt>
                <c:pt idx="948">
                  <c:v>2.1093868422062314E-2</c:v>
                </c:pt>
                <c:pt idx="949">
                  <c:v>2.1134226922956804E-2</c:v>
                </c:pt>
                <c:pt idx="950">
                  <c:v>2.1174899905676448E-2</c:v>
                </c:pt>
                <c:pt idx="951">
                  <c:v>2.1215572888396091E-2</c:v>
                </c:pt>
                <c:pt idx="952">
                  <c:v>2.1256245871115735E-2</c:v>
                </c:pt>
                <c:pt idx="953">
                  <c:v>2.1296918853835379E-2</c:v>
                </c:pt>
                <c:pt idx="954">
                  <c:v>2.1337801491105122E-2</c:v>
                </c:pt>
                <c:pt idx="955">
                  <c:v>2.1378893782924967E-2</c:v>
                </c:pt>
                <c:pt idx="956">
                  <c:v>2.1419986074744813E-2</c:v>
                </c:pt>
                <c:pt idx="957">
                  <c:v>2.1461078366564659E-2</c:v>
                </c:pt>
                <c:pt idx="958">
                  <c:v>2.1502275485659555E-2</c:v>
                </c:pt>
                <c:pt idx="959">
                  <c:v>2.1543472604754452E-2</c:v>
                </c:pt>
                <c:pt idx="960">
                  <c:v>2.1584669723849349E-2</c:v>
                </c:pt>
                <c:pt idx="961">
                  <c:v>2.1625866842944246E-2</c:v>
                </c:pt>
                <c:pt idx="962">
                  <c:v>2.1667168789314194E-2</c:v>
                </c:pt>
                <c:pt idx="963">
                  <c:v>2.1708470735684143E-2</c:v>
                </c:pt>
                <c:pt idx="964">
                  <c:v>2.1749877509329139E-2</c:v>
                </c:pt>
                <c:pt idx="965">
                  <c:v>2.1791284282974135E-2</c:v>
                </c:pt>
                <c:pt idx="966">
                  <c:v>2.1832691056619131E-2</c:v>
                </c:pt>
                <c:pt idx="967">
                  <c:v>2.1874202657539178E-2</c:v>
                </c:pt>
                <c:pt idx="968">
                  <c:v>2.1915714258459226E-2</c:v>
                </c:pt>
                <c:pt idx="969">
                  <c:v>2.1957330686654324E-2</c:v>
                </c:pt>
                <c:pt idx="970">
                  <c:v>2.1998947114849423E-2</c:v>
                </c:pt>
                <c:pt idx="971">
                  <c:v>2.2040563543044522E-2</c:v>
                </c:pt>
                <c:pt idx="972">
                  <c:v>2.2082284798514672E-2</c:v>
                </c:pt>
                <c:pt idx="973">
                  <c:v>2.2124006053984822E-2</c:v>
                </c:pt>
                <c:pt idx="974">
                  <c:v>2.2165832136730023E-2</c:v>
                </c:pt>
                <c:pt idx="975">
                  <c:v>2.2207763046750272E-2</c:v>
                </c:pt>
                <c:pt idx="976">
                  <c:v>2.2249798784045573E-2</c:v>
                </c:pt>
                <c:pt idx="977">
                  <c:v>2.2291939348615925E-2</c:v>
                </c:pt>
                <c:pt idx="978">
                  <c:v>2.2334079913186276E-2</c:v>
                </c:pt>
                <c:pt idx="979">
                  <c:v>2.2376220477756628E-2</c:v>
                </c:pt>
                <c:pt idx="980">
                  <c:v>2.2418465869602031E-2</c:v>
                </c:pt>
                <c:pt idx="981">
                  <c:v>2.2460711261447434E-2</c:v>
                </c:pt>
                <c:pt idx="982">
                  <c:v>2.2503061480567889E-2</c:v>
                </c:pt>
                <c:pt idx="983">
                  <c:v>2.2545411699688343E-2</c:v>
                </c:pt>
                <c:pt idx="984">
                  <c:v>2.2587866746083846E-2</c:v>
                </c:pt>
                <c:pt idx="985">
                  <c:v>2.2630321792479348E-2</c:v>
                </c:pt>
                <c:pt idx="986">
                  <c:v>2.2672881666149901E-2</c:v>
                </c:pt>
                <c:pt idx="987">
                  <c:v>2.2715546367095506E-2</c:v>
                </c:pt>
                <c:pt idx="988">
                  <c:v>2.2758211068041111E-2</c:v>
                </c:pt>
                <c:pt idx="989">
                  <c:v>2.2800980596261768E-2</c:v>
                </c:pt>
                <c:pt idx="990">
                  <c:v>2.2843750124482424E-2</c:v>
                </c:pt>
                <c:pt idx="991">
                  <c:v>2.288651965270308E-2</c:v>
                </c:pt>
                <c:pt idx="992">
                  <c:v>2.2929289180923736E-2</c:v>
                </c:pt>
                <c:pt idx="993">
                  <c:v>2.2972163536419444E-2</c:v>
                </c:pt>
                <c:pt idx="994">
                  <c:v>2.3015142719190199E-2</c:v>
                </c:pt>
                <c:pt idx="995">
                  <c:v>2.3058121901960955E-2</c:v>
                </c:pt>
                <c:pt idx="996">
                  <c:v>2.310110108473171E-2</c:v>
                </c:pt>
                <c:pt idx="997">
                  <c:v>2.3144080267502466E-2</c:v>
                </c:pt>
                <c:pt idx="998">
                  <c:v>2.3187059450273221E-2</c:v>
                </c:pt>
                <c:pt idx="999">
                  <c:v>2.3230143460319028E-2</c:v>
                </c:pt>
                <c:pt idx="1000">
                  <c:v>2.3273332297639886E-2</c:v>
                </c:pt>
                <c:pt idx="1001">
                  <c:v>2.3316625962235795E-2</c:v>
                </c:pt>
                <c:pt idx="1002">
                  <c:v>2.3360129281381804E-2</c:v>
                </c:pt>
                <c:pt idx="1003">
                  <c:v>2.3403632600527812E-2</c:v>
                </c:pt>
                <c:pt idx="1004">
                  <c:v>2.3447240746948872E-2</c:v>
                </c:pt>
                <c:pt idx="1005">
                  <c:v>2.3490848893369932E-2</c:v>
                </c:pt>
                <c:pt idx="1006">
                  <c:v>2.3534457039790992E-2</c:v>
                </c:pt>
                <c:pt idx="1007">
                  <c:v>2.3578170013487103E-2</c:v>
                </c:pt>
                <c:pt idx="1008">
                  <c:v>2.3621882987183214E-2</c:v>
                </c:pt>
                <c:pt idx="1009">
                  <c:v>2.3665595960879325E-2</c:v>
                </c:pt>
                <c:pt idx="1010">
                  <c:v>2.3709518589125539E-2</c:v>
                </c:pt>
                <c:pt idx="1011">
                  <c:v>2.3753546044646801E-2</c:v>
                </c:pt>
                <c:pt idx="1012">
                  <c:v>2.3797887981993216E-2</c:v>
                </c:pt>
                <c:pt idx="1013">
                  <c:v>2.3842229919339632E-2</c:v>
                </c:pt>
                <c:pt idx="1014">
                  <c:v>2.3886676683961099E-2</c:v>
                </c:pt>
                <c:pt idx="1015">
                  <c:v>2.3931228275857613E-2</c:v>
                </c:pt>
                <c:pt idx="1016">
                  <c:v>2.3975779867754128E-2</c:v>
                </c:pt>
                <c:pt idx="1017">
                  <c:v>2.4020436286925694E-2</c:v>
                </c:pt>
                <c:pt idx="1018">
                  <c:v>2.406509270609726E-2</c:v>
                </c:pt>
                <c:pt idx="1019">
                  <c:v>2.4109749125268826E-2</c:v>
                </c:pt>
                <c:pt idx="1020">
                  <c:v>2.4154510371715444E-2</c:v>
                </c:pt>
                <c:pt idx="1021">
                  <c:v>2.4199376445437112E-2</c:v>
                </c:pt>
                <c:pt idx="1022">
                  <c:v>2.4244242519158781E-2</c:v>
                </c:pt>
                <c:pt idx="1023">
                  <c:v>2.428910859288045E-2</c:v>
                </c:pt>
                <c:pt idx="1024">
                  <c:v>2.4333974666602119E-2</c:v>
                </c:pt>
                <c:pt idx="1025">
                  <c:v>2.4378945567598839E-2</c:v>
                </c:pt>
                <c:pt idx="1026">
                  <c:v>2.4424126123145658E-2</c:v>
                </c:pt>
                <c:pt idx="1027">
                  <c:v>2.4469306678692477E-2</c:v>
                </c:pt>
                <c:pt idx="1028">
                  <c:v>2.4514592061514347E-2</c:v>
                </c:pt>
                <c:pt idx="1029">
                  <c:v>2.4559982271611269E-2</c:v>
                </c:pt>
                <c:pt idx="1030">
                  <c:v>2.4605372481708191E-2</c:v>
                </c:pt>
                <c:pt idx="1031">
                  <c:v>2.4650867519080164E-2</c:v>
                </c:pt>
                <c:pt idx="1032">
                  <c:v>2.4696362556452137E-2</c:v>
                </c:pt>
                <c:pt idx="1033">
                  <c:v>2.474185759382411E-2</c:v>
                </c:pt>
                <c:pt idx="1034">
                  <c:v>2.4787457458471131E-2</c:v>
                </c:pt>
                <c:pt idx="1035">
                  <c:v>2.4833057323118152E-2</c:v>
                </c:pt>
                <c:pt idx="1036">
                  <c:v>2.4878866842315276E-2</c:v>
                </c:pt>
                <c:pt idx="1037">
                  <c:v>2.49246763615124E-2</c:v>
                </c:pt>
                <c:pt idx="1038">
                  <c:v>2.4970485880709523E-2</c:v>
                </c:pt>
                <c:pt idx="1039">
                  <c:v>2.5016295399906647E-2</c:v>
                </c:pt>
                <c:pt idx="1040">
                  <c:v>2.5062209746378822E-2</c:v>
                </c:pt>
                <c:pt idx="1041">
                  <c:v>2.5108124092850997E-2</c:v>
                </c:pt>
                <c:pt idx="1042">
                  <c:v>2.5154038439323172E-2</c:v>
                </c:pt>
                <c:pt idx="1043">
                  <c:v>2.5199952785795347E-2</c:v>
                </c:pt>
                <c:pt idx="1044">
                  <c:v>2.5245971959542573E-2</c:v>
                </c:pt>
                <c:pt idx="1045">
                  <c:v>2.5292095960564847E-2</c:v>
                </c:pt>
                <c:pt idx="1046">
                  <c:v>2.5338219961587121E-2</c:v>
                </c:pt>
                <c:pt idx="1047">
                  <c:v>2.5384448789884446E-2</c:v>
                </c:pt>
                <c:pt idx="1048">
                  <c:v>2.5430677618181772E-2</c:v>
                </c:pt>
                <c:pt idx="1049">
                  <c:v>2.5477011273754149E-2</c:v>
                </c:pt>
                <c:pt idx="1050">
                  <c:v>2.5523344929326525E-2</c:v>
                </c:pt>
                <c:pt idx="1051">
                  <c:v>2.5569678584898902E-2</c:v>
                </c:pt>
                <c:pt idx="1052">
                  <c:v>2.561611706774633E-2</c:v>
                </c:pt>
                <c:pt idx="1053">
                  <c:v>2.5662555550593758E-2</c:v>
                </c:pt>
                <c:pt idx="1054">
                  <c:v>2.5708994033441186E-2</c:v>
                </c:pt>
                <c:pt idx="1055">
                  <c:v>2.5755537343563666E-2</c:v>
                </c:pt>
                <c:pt idx="1056">
                  <c:v>2.5802080653686145E-2</c:v>
                </c:pt>
                <c:pt idx="1057">
                  <c:v>2.5848623963808624E-2</c:v>
                </c:pt>
                <c:pt idx="1058">
                  <c:v>2.5895272101206152E-2</c:v>
                </c:pt>
                <c:pt idx="1059">
                  <c:v>2.5941920238603679E-2</c:v>
                </c:pt>
                <c:pt idx="1060">
                  <c:v>2.5988673203276257E-2</c:v>
                </c:pt>
                <c:pt idx="1061">
                  <c:v>2.6035426167948836E-2</c:v>
                </c:pt>
                <c:pt idx="1062">
                  <c:v>2.6082283959896466E-2</c:v>
                </c:pt>
                <c:pt idx="1063">
                  <c:v>2.6129246579119147E-2</c:v>
                </c:pt>
                <c:pt idx="1064">
                  <c:v>2.6176209198341828E-2</c:v>
                </c:pt>
                <c:pt idx="1065">
                  <c:v>2.6223171817564509E-2</c:v>
                </c:pt>
                <c:pt idx="1066">
                  <c:v>2.6270239264062242E-2</c:v>
                </c:pt>
                <c:pt idx="1067">
                  <c:v>2.6317306710559974E-2</c:v>
                </c:pt>
                <c:pt idx="1068">
                  <c:v>2.6364478984332754E-2</c:v>
                </c:pt>
                <c:pt idx="1069">
                  <c:v>2.6411651258105535E-2</c:v>
                </c:pt>
                <c:pt idx="1070">
                  <c:v>2.6458928359153366E-2</c:v>
                </c:pt>
                <c:pt idx="1071">
                  <c:v>2.6506205460201198E-2</c:v>
                </c:pt>
                <c:pt idx="1072">
                  <c:v>2.6553587388524081E-2</c:v>
                </c:pt>
                <c:pt idx="1073">
                  <c:v>2.6600969316846964E-2</c:v>
                </c:pt>
                <c:pt idx="1074">
                  <c:v>2.6648351245169847E-2</c:v>
                </c:pt>
                <c:pt idx="1075">
                  <c:v>2.669573317349273E-2</c:v>
                </c:pt>
                <c:pt idx="1076">
                  <c:v>2.6743219929090664E-2</c:v>
                </c:pt>
                <c:pt idx="1077">
                  <c:v>2.6790706684688598E-2</c:v>
                </c:pt>
                <c:pt idx="1078">
                  <c:v>2.6838298267561584E-2</c:v>
                </c:pt>
                <c:pt idx="1079">
                  <c:v>2.688588985043457E-2</c:v>
                </c:pt>
                <c:pt idx="1080">
                  <c:v>2.6933586260582603E-2</c:v>
                </c:pt>
                <c:pt idx="1081">
                  <c:v>2.6981282670730636E-2</c:v>
                </c:pt>
                <c:pt idx="1082">
                  <c:v>2.702897908087867E-2</c:v>
                </c:pt>
                <c:pt idx="1083">
                  <c:v>2.7076780318301755E-2</c:v>
                </c:pt>
                <c:pt idx="1084">
                  <c:v>2.7124686382999891E-2</c:v>
                </c:pt>
                <c:pt idx="1085">
                  <c:v>2.7172592447698027E-2</c:v>
                </c:pt>
                <c:pt idx="1086">
                  <c:v>2.7220498512396163E-2</c:v>
                </c:pt>
                <c:pt idx="1087">
                  <c:v>2.7268404577094299E-2</c:v>
                </c:pt>
                <c:pt idx="1088">
                  <c:v>2.7316310641792435E-2</c:v>
                </c:pt>
                <c:pt idx="1089">
                  <c:v>2.7364321533765622E-2</c:v>
                </c:pt>
                <c:pt idx="1090">
                  <c:v>2.741233242573881E-2</c:v>
                </c:pt>
                <c:pt idx="1091">
                  <c:v>2.7460343317711997E-2</c:v>
                </c:pt>
                <c:pt idx="1092">
                  <c:v>2.7508563864235284E-2</c:v>
                </c:pt>
                <c:pt idx="1093">
                  <c:v>2.755678441075857E-2</c:v>
                </c:pt>
                <c:pt idx="1094">
                  <c:v>2.7605109784556908E-2</c:v>
                </c:pt>
                <c:pt idx="1095">
                  <c:v>2.7653435158355246E-2</c:v>
                </c:pt>
                <c:pt idx="1096">
                  <c:v>2.7701865359428635E-2</c:v>
                </c:pt>
                <c:pt idx="1097">
                  <c:v>2.7750400387777076E-2</c:v>
                </c:pt>
                <c:pt idx="1098">
                  <c:v>2.7798935416125516E-2</c:v>
                </c:pt>
                <c:pt idx="1099">
                  <c:v>2.7847575271749008E-2</c:v>
                </c:pt>
                <c:pt idx="1100">
                  <c:v>2.78962151273725E-2</c:v>
                </c:pt>
                <c:pt idx="1101">
                  <c:v>2.7944854982995992E-2</c:v>
                </c:pt>
                <c:pt idx="1102">
                  <c:v>2.7993494838619484E-2</c:v>
                </c:pt>
                <c:pt idx="1103">
                  <c:v>2.8042344348793075E-2</c:v>
                </c:pt>
                <c:pt idx="1104">
                  <c:v>2.8091193858966666E-2</c:v>
                </c:pt>
                <c:pt idx="1105">
                  <c:v>2.8140148196415308E-2</c:v>
                </c:pt>
                <c:pt idx="1106">
                  <c:v>2.8189312188414053E-2</c:v>
                </c:pt>
                <c:pt idx="1107">
                  <c:v>2.8238476180412798E-2</c:v>
                </c:pt>
                <c:pt idx="1108">
                  <c:v>2.8287640172411543E-2</c:v>
                </c:pt>
                <c:pt idx="1109">
                  <c:v>2.8336908991685335E-2</c:v>
                </c:pt>
                <c:pt idx="1110">
                  <c:v>2.8386177810959128E-2</c:v>
                </c:pt>
                <c:pt idx="1111">
                  <c:v>2.8435446630232921E-2</c:v>
                </c:pt>
                <c:pt idx="1112">
                  <c:v>2.8484715449506714E-2</c:v>
                </c:pt>
                <c:pt idx="1113">
                  <c:v>2.8534089096055558E-2</c:v>
                </c:pt>
                <c:pt idx="1114">
                  <c:v>2.8583462742604402E-2</c:v>
                </c:pt>
                <c:pt idx="1115">
                  <c:v>2.8632941216428297E-2</c:v>
                </c:pt>
                <c:pt idx="1116">
                  <c:v>2.8682419690252193E-2</c:v>
                </c:pt>
                <c:pt idx="1117">
                  <c:v>2.873200299135114E-2</c:v>
                </c:pt>
                <c:pt idx="1118">
                  <c:v>2.8781795947000186E-2</c:v>
                </c:pt>
                <c:pt idx="1119">
                  <c:v>2.8831693729924283E-2</c:v>
                </c:pt>
                <c:pt idx="1120">
                  <c:v>2.888159151284838E-2</c:v>
                </c:pt>
                <c:pt idx="1121">
                  <c:v>2.8931594123047528E-2</c:v>
                </c:pt>
                <c:pt idx="1122">
                  <c:v>2.8981701560521728E-2</c:v>
                </c:pt>
                <c:pt idx="1123">
                  <c:v>2.9031808997995928E-2</c:v>
                </c:pt>
                <c:pt idx="1124">
                  <c:v>2.9082021262745179E-2</c:v>
                </c:pt>
                <c:pt idx="1125">
                  <c:v>2.9132233527494431E-2</c:v>
                </c:pt>
                <c:pt idx="1126">
                  <c:v>2.9182445792243682E-2</c:v>
                </c:pt>
                <c:pt idx="1127">
                  <c:v>2.9232658056992933E-2</c:v>
                </c:pt>
                <c:pt idx="1128">
                  <c:v>2.9282870321742184E-2</c:v>
                </c:pt>
                <c:pt idx="1129">
                  <c:v>2.9333292241041534E-2</c:v>
                </c:pt>
                <c:pt idx="1130">
                  <c:v>2.9383714160340885E-2</c:v>
                </c:pt>
                <c:pt idx="1131">
                  <c:v>2.9434136079640235E-2</c:v>
                </c:pt>
                <c:pt idx="1132">
                  <c:v>2.9484662826214637E-2</c:v>
                </c:pt>
                <c:pt idx="1133">
                  <c:v>2.9535189572789038E-2</c:v>
                </c:pt>
                <c:pt idx="1134">
                  <c:v>2.9585821146638491E-2</c:v>
                </c:pt>
                <c:pt idx="1135">
                  <c:v>2.9636452720487944E-2</c:v>
                </c:pt>
                <c:pt idx="1136">
                  <c:v>2.9687189121612449E-2</c:v>
                </c:pt>
                <c:pt idx="1137">
                  <c:v>2.9737925522736953E-2</c:v>
                </c:pt>
                <c:pt idx="1138">
                  <c:v>2.9788661923861457E-2</c:v>
                </c:pt>
                <c:pt idx="1139">
                  <c:v>2.9839503152261009E-2</c:v>
                </c:pt>
                <c:pt idx="1140">
                  <c:v>2.9890344380660561E-2</c:v>
                </c:pt>
                <c:pt idx="1141">
                  <c:v>2.9941185609060113E-2</c:v>
                </c:pt>
                <c:pt idx="1142">
                  <c:v>2.9992131664734717E-2</c:v>
                </c:pt>
                <c:pt idx="1143">
                  <c:v>3.004307772040932E-2</c:v>
                </c:pt>
                <c:pt idx="1144">
                  <c:v>3.0094128603358975E-2</c:v>
                </c:pt>
                <c:pt idx="1145">
                  <c:v>3.014517948630863E-2</c:v>
                </c:pt>
                <c:pt idx="1146">
                  <c:v>3.0196230369258285E-2</c:v>
                </c:pt>
                <c:pt idx="1147">
                  <c:v>3.0247281252207939E-2</c:v>
                </c:pt>
                <c:pt idx="1148">
                  <c:v>3.0298541789707697E-2</c:v>
                </c:pt>
                <c:pt idx="1149">
                  <c:v>3.0349802327207454E-2</c:v>
                </c:pt>
                <c:pt idx="1150">
                  <c:v>3.0401167691982259E-2</c:v>
                </c:pt>
                <c:pt idx="1151">
                  <c:v>3.0452637884032116E-2</c:v>
                </c:pt>
                <c:pt idx="1152">
                  <c:v>3.0504212903357024E-2</c:v>
                </c:pt>
                <c:pt idx="1153">
                  <c:v>3.0555787922681932E-2</c:v>
                </c:pt>
                <c:pt idx="1154">
                  <c:v>3.0607467769281891E-2</c:v>
                </c:pt>
                <c:pt idx="1155">
                  <c:v>3.0659252443156901E-2</c:v>
                </c:pt>
                <c:pt idx="1156">
                  <c:v>3.071114194430696E-2</c:v>
                </c:pt>
                <c:pt idx="1157">
                  <c:v>3.0763031445457018E-2</c:v>
                </c:pt>
                <c:pt idx="1158">
                  <c:v>3.0815025773882128E-2</c:v>
                </c:pt>
                <c:pt idx="1159">
                  <c:v>3.0867020102307238E-2</c:v>
                </c:pt>
                <c:pt idx="1160">
                  <c:v>3.0919014430732347E-2</c:v>
                </c:pt>
                <c:pt idx="1161">
                  <c:v>3.0971008759157457E-2</c:v>
                </c:pt>
                <c:pt idx="1162">
                  <c:v>3.1023003087582567E-2</c:v>
                </c:pt>
                <c:pt idx="1163">
                  <c:v>3.1074997416007676E-2</c:v>
                </c:pt>
                <c:pt idx="1164">
                  <c:v>3.1127096571707837E-2</c:v>
                </c:pt>
                <c:pt idx="1165">
                  <c:v>3.1179195727407998E-2</c:v>
                </c:pt>
                <c:pt idx="1166">
                  <c:v>3.1231399710383211E-2</c:v>
                </c:pt>
                <c:pt idx="1167">
                  <c:v>3.1283603693358419E-2</c:v>
                </c:pt>
                <c:pt idx="1168">
                  <c:v>3.1335912503608683E-2</c:v>
                </c:pt>
                <c:pt idx="1169">
                  <c:v>3.1388221313858947E-2</c:v>
                </c:pt>
                <c:pt idx="1170">
                  <c:v>3.1440634951384258E-2</c:v>
                </c:pt>
                <c:pt idx="1171">
                  <c:v>3.149304858890957E-2</c:v>
                </c:pt>
                <c:pt idx="1172">
                  <c:v>3.1545567053709936E-2</c:v>
                </c:pt>
                <c:pt idx="1173">
                  <c:v>3.159819034578535E-2</c:v>
                </c:pt>
                <c:pt idx="1174">
                  <c:v>3.1650813637860764E-2</c:v>
                </c:pt>
                <c:pt idx="1175">
                  <c:v>3.1703436929936178E-2</c:v>
                </c:pt>
                <c:pt idx="1176">
                  <c:v>3.175616504928664E-2</c:v>
                </c:pt>
                <c:pt idx="1177">
                  <c:v>3.1808893168637102E-2</c:v>
                </c:pt>
                <c:pt idx="1178">
                  <c:v>3.1861621287987564E-2</c:v>
                </c:pt>
                <c:pt idx="1179">
                  <c:v>3.1914454234613081E-2</c:v>
                </c:pt>
                <c:pt idx="1180">
                  <c:v>3.1967392008513645E-2</c:v>
                </c:pt>
                <c:pt idx="1181">
                  <c:v>3.202032978241421E-2</c:v>
                </c:pt>
                <c:pt idx="1182">
                  <c:v>3.2073372383589829E-2</c:v>
                </c:pt>
                <c:pt idx="1183">
                  <c:v>3.2126414984765449E-2</c:v>
                </c:pt>
                <c:pt idx="1184">
                  <c:v>3.2179562413216116E-2</c:v>
                </c:pt>
                <c:pt idx="1185">
                  <c:v>3.2232709841666783E-2</c:v>
                </c:pt>
                <c:pt idx="1186">
                  <c:v>3.228585727011745E-2</c:v>
                </c:pt>
                <c:pt idx="1187">
                  <c:v>3.2339109525843165E-2</c:v>
                </c:pt>
                <c:pt idx="1188">
                  <c:v>3.2392361781568881E-2</c:v>
                </c:pt>
                <c:pt idx="1189">
                  <c:v>3.2445823691844698E-2</c:v>
                </c:pt>
                <c:pt idx="1190">
                  <c:v>3.2499285602120516E-2</c:v>
                </c:pt>
                <c:pt idx="1191">
                  <c:v>3.2552852339671388E-2</c:v>
                </c:pt>
                <c:pt idx="1192">
                  <c:v>3.2606419077222261E-2</c:v>
                </c:pt>
                <c:pt idx="1193">
                  <c:v>3.2659985814773133E-2</c:v>
                </c:pt>
                <c:pt idx="1194">
                  <c:v>3.2713657379599054E-2</c:v>
                </c:pt>
                <c:pt idx="1195">
                  <c:v>3.2767433771700022E-2</c:v>
                </c:pt>
                <c:pt idx="1196">
                  <c:v>3.282121016380099E-2</c:v>
                </c:pt>
                <c:pt idx="1197">
                  <c:v>3.2875091383177013E-2</c:v>
                </c:pt>
                <c:pt idx="1198">
                  <c:v>3.2929077429828084E-2</c:v>
                </c:pt>
                <c:pt idx="1199">
                  <c:v>3.2983063476479155E-2</c:v>
                </c:pt>
                <c:pt idx="1200">
                  <c:v>3.303715435040528E-2</c:v>
                </c:pt>
                <c:pt idx="1201">
                  <c:v>3.3091245224331406E-2</c:v>
                </c:pt>
                <c:pt idx="1202">
                  <c:v>3.3145336098257532E-2</c:v>
                </c:pt>
                <c:pt idx="1203">
                  <c:v>3.3199531799458705E-2</c:v>
                </c:pt>
                <c:pt idx="1204">
                  <c:v>3.3253832327934926E-2</c:v>
                </c:pt>
                <c:pt idx="1205">
                  <c:v>3.3308132856411148E-2</c:v>
                </c:pt>
                <c:pt idx="1206">
                  <c:v>3.3362538212162424E-2</c:v>
                </c:pt>
                <c:pt idx="1207">
                  <c:v>3.34169435679137E-2</c:v>
                </c:pt>
                <c:pt idx="1208">
                  <c:v>3.3471348923664976E-2</c:v>
                </c:pt>
                <c:pt idx="1209">
                  <c:v>3.3525754279416252E-2</c:v>
                </c:pt>
                <c:pt idx="1210">
                  <c:v>3.3580264462442576E-2</c:v>
                </c:pt>
                <c:pt idx="1211">
                  <c:v>3.3634879472743955E-2</c:v>
                </c:pt>
                <c:pt idx="1212">
                  <c:v>3.3689494483045333E-2</c:v>
                </c:pt>
                <c:pt idx="1213">
                  <c:v>3.374421432062176E-2</c:v>
                </c:pt>
                <c:pt idx="1214">
                  <c:v>3.3798934158198186E-2</c:v>
                </c:pt>
                <c:pt idx="1215">
                  <c:v>3.3853758823049661E-2</c:v>
                </c:pt>
                <c:pt idx="1216">
                  <c:v>3.3908583487901135E-2</c:v>
                </c:pt>
                <c:pt idx="1217">
                  <c:v>3.3963617807302712E-2</c:v>
                </c:pt>
                <c:pt idx="1218">
                  <c:v>3.4018652126704289E-2</c:v>
                </c:pt>
                <c:pt idx="1219">
                  <c:v>3.4073686446105866E-2</c:v>
                </c:pt>
                <c:pt idx="1220">
                  <c:v>3.4128720765507443E-2</c:v>
                </c:pt>
                <c:pt idx="1221">
                  <c:v>3.4183859912184075E-2</c:v>
                </c:pt>
                <c:pt idx="1222">
                  <c:v>3.4239103886135755E-2</c:v>
                </c:pt>
                <c:pt idx="1223">
                  <c:v>3.4294452687362482E-2</c:v>
                </c:pt>
                <c:pt idx="1224">
                  <c:v>3.4349906315864265E-2</c:v>
                </c:pt>
                <c:pt idx="1225">
                  <c:v>3.4405464771641095E-2</c:v>
                </c:pt>
                <c:pt idx="1226">
                  <c:v>3.446112805469298E-2</c:v>
                </c:pt>
                <c:pt idx="1227">
                  <c:v>3.4516791337744865E-2</c:v>
                </c:pt>
                <c:pt idx="1228">
                  <c:v>3.457245462079675E-2</c:v>
                </c:pt>
                <c:pt idx="1229">
                  <c:v>3.4628222731123683E-2</c:v>
                </c:pt>
                <c:pt idx="1230">
                  <c:v>3.4684095668725663E-2</c:v>
                </c:pt>
                <c:pt idx="1231">
                  <c:v>3.4740073433602699E-2</c:v>
                </c:pt>
                <c:pt idx="1232">
                  <c:v>3.4796051198479734E-2</c:v>
                </c:pt>
                <c:pt idx="1233">
                  <c:v>3.485202896335677E-2</c:v>
                </c:pt>
                <c:pt idx="1234">
                  <c:v>3.4908111555508853E-2</c:v>
                </c:pt>
                <c:pt idx="1235">
                  <c:v>3.4964298974935991E-2</c:v>
                </c:pt>
                <c:pt idx="1236">
                  <c:v>3.5020486394363129E-2</c:v>
                </c:pt>
                <c:pt idx="1237">
                  <c:v>3.5076988295615417E-2</c:v>
                </c:pt>
                <c:pt idx="1238">
                  <c:v>3.5133490196867706E-2</c:v>
                </c:pt>
                <c:pt idx="1239">
                  <c:v>3.5189992098119995E-2</c:v>
                </c:pt>
                <c:pt idx="1240">
                  <c:v>3.5246598826647331E-2</c:v>
                </c:pt>
                <c:pt idx="1241">
                  <c:v>3.5303205555174667E-2</c:v>
                </c:pt>
                <c:pt idx="1242">
                  <c:v>3.5359917110977059E-2</c:v>
                </c:pt>
                <c:pt idx="1243">
                  <c:v>3.541662866677945E-2</c:v>
                </c:pt>
                <c:pt idx="1244">
                  <c:v>3.5473445049856889E-2</c:v>
                </c:pt>
                <c:pt idx="1245">
                  <c:v>3.5530261432934328E-2</c:v>
                </c:pt>
                <c:pt idx="1246">
                  <c:v>3.5587077816011767E-2</c:v>
                </c:pt>
                <c:pt idx="1247">
                  <c:v>3.5643894199089206E-2</c:v>
                </c:pt>
                <c:pt idx="1248">
                  <c:v>3.5700815409441693E-2</c:v>
                </c:pt>
                <c:pt idx="1249">
                  <c:v>3.5757841447069234E-2</c:v>
                </c:pt>
                <c:pt idx="1250">
                  <c:v>3.5814867484696776E-2</c:v>
                </c:pt>
                <c:pt idx="1251">
                  <c:v>3.5871998349599366E-2</c:v>
                </c:pt>
                <c:pt idx="1252">
                  <c:v>3.592923404177701E-2</c:v>
                </c:pt>
                <c:pt idx="1253">
                  <c:v>3.5986574561229702E-2</c:v>
                </c:pt>
                <c:pt idx="1254">
                  <c:v>3.6043915080682394E-2</c:v>
                </c:pt>
                <c:pt idx="1255">
                  <c:v>3.6101465254685189E-2</c:v>
                </c:pt>
                <c:pt idx="1256">
                  <c:v>3.6159015428687984E-2</c:v>
                </c:pt>
                <c:pt idx="1257">
                  <c:v>3.6216670429965826E-2</c:v>
                </c:pt>
                <c:pt idx="1258">
                  <c:v>3.6274325431243669E-2</c:v>
                </c:pt>
                <c:pt idx="1259">
                  <c:v>3.6332085259796566E-2</c:v>
                </c:pt>
                <c:pt idx="1260">
                  <c:v>3.6389845088349464E-2</c:v>
                </c:pt>
                <c:pt idx="1261">
                  <c:v>3.6447709744177409E-2</c:v>
                </c:pt>
                <c:pt idx="1262">
                  <c:v>3.6505679227280402E-2</c:v>
                </c:pt>
                <c:pt idx="1263">
                  <c:v>3.656375353765845E-2</c:v>
                </c:pt>
                <c:pt idx="1264">
                  <c:v>3.66220375025866E-2</c:v>
                </c:pt>
                <c:pt idx="1265">
                  <c:v>3.6680321467514751E-2</c:v>
                </c:pt>
                <c:pt idx="1266">
                  <c:v>3.6738605432442901E-2</c:v>
                </c:pt>
                <c:pt idx="1267">
                  <c:v>3.6796889397371052E-2</c:v>
                </c:pt>
                <c:pt idx="1268">
                  <c:v>3.685527818957425E-2</c:v>
                </c:pt>
                <c:pt idx="1269">
                  <c:v>3.6913771809052497E-2</c:v>
                </c:pt>
                <c:pt idx="1270">
                  <c:v>3.6972265428530743E-2</c:v>
                </c:pt>
                <c:pt idx="1271">
                  <c:v>3.7030759048008989E-2</c:v>
                </c:pt>
                <c:pt idx="1272">
                  <c:v>3.7089252667487235E-2</c:v>
                </c:pt>
                <c:pt idx="1273">
                  <c:v>3.7147851114240536E-2</c:v>
                </c:pt>
                <c:pt idx="1274">
                  <c:v>3.7206449560993837E-2</c:v>
                </c:pt>
                <c:pt idx="1275">
                  <c:v>3.7265152835022186E-2</c:v>
                </c:pt>
                <c:pt idx="1276">
                  <c:v>3.7323856109050535E-2</c:v>
                </c:pt>
                <c:pt idx="1277">
                  <c:v>3.7382664210353939E-2</c:v>
                </c:pt>
                <c:pt idx="1278">
                  <c:v>3.7441472311657342E-2</c:v>
                </c:pt>
                <c:pt idx="1279">
                  <c:v>3.7500385240235794E-2</c:v>
                </c:pt>
                <c:pt idx="1280">
                  <c:v>3.7559298168814245E-2</c:v>
                </c:pt>
                <c:pt idx="1281">
                  <c:v>3.7618315924667745E-2</c:v>
                </c:pt>
                <c:pt idx="1282">
                  <c:v>3.7677438507796299E-2</c:v>
                </c:pt>
                <c:pt idx="1283">
                  <c:v>3.7736665918199901E-2</c:v>
                </c:pt>
                <c:pt idx="1284">
                  <c:v>3.7795998155878557E-2</c:v>
                </c:pt>
                <c:pt idx="1285">
                  <c:v>3.7855330393557214E-2</c:v>
                </c:pt>
                <c:pt idx="1286">
                  <c:v>3.7914662631235871E-2</c:v>
                </c:pt>
                <c:pt idx="1287">
                  <c:v>3.7974099696189575E-2</c:v>
                </c:pt>
                <c:pt idx="1288">
                  <c:v>3.803353676114328E-2</c:v>
                </c:pt>
                <c:pt idx="1289">
                  <c:v>3.8092973826096985E-2</c:v>
                </c:pt>
                <c:pt idx="1290">
                  <c:v>3.8152410891050689E-2</c:v>
                </c:pt>
                <c:pt idx="1291">
                  <c:v>3.8211952783279442E-2</c:v>
                </c:pt>
                <c:pt idx="1292">
                  <c:v>3.8271494675508194E-2</c:v>
                </c:pt>
                <c:pt idx="1293">
                  <c:v>3.8331036567736947E-2</c:v>
                </c:pt>
                <c:pt idx="1294">
                  <c:v>3.8390578459965699E-2</c:v>
                </c:pt>
                <c:pt idx="1295">
                  <c:v>3.8450330006744554E-2</c:v>
                </c:pt>
                <c:pt idx="1296">
                  <c:v>3.8510081553523409E-2</c:v>
                </c:pt>
                <c:pt idx="1297">
                  <c:v>3.8569833100302264E-2</c:v>
                </c:pt>
                <c:pt idx="1298">
                  <c:v>3.8629584647081119E-2</c:v>
                </c:pt>
                <c:pt idx="1299">
                  <c:v>3.8689441021135029E-2</c:v>
                </c:pt>
                <c:pt idx="1300">
                  <c:v>3.8749402222463987E-2</c:v>
                </c:pt>
                <c:pt idx="1301">
                  <c:v>3.8809468251067993E-2</c:v>
                </c:pt>
                <c:pt idx="1302">
                  <c:v>3.8869534279671998E-2</c:v>
                </c:pt>
                <c:pt idx="1303">
                  <c:v>3.8930019617376209E-2</c:v>
                </c:pt>
                <c:pt idx="1304">
                  <c:v>3.899050495508042E-2</c:v>
                </c:pt>
                <c:pt idx="1305">
                  <c:v>3.9051095120059678E-2</c:v>
                </c:pt>
                <c:pt idx="1306">
                  <c:v>3.9111685285038937E-2</c:v>
                </c:pt>
                <c:pt idx="1307">
                  <c:v>3.9172275450018196E-2</c:v>
                </c:pt>
                <c:pt idx="1308">
                  <c:v>3.9232865614997454E-2</c:v>
                </c:pt>
                <c:pt idx="1309">
                  <c:v>3.9293665434526816E-2</c:v>
                </c:pt>
                <c:pt idx="1310">
                  <c:v>3.9354465254056177E-2</c:v>
                </c:pt>
                <c:pt idx="1311">
                  <c:v>3.9415369900860593E-2</c:v>
                </c:pt>
                <c:pt idx="1312">
                  <c:v>3.9476379374940057E-2</c:v>
                </c:pt>
                <c:pt idx="1313">
                  <c:v>3.9537388849019521E-2</c:v>
                </c:pt>
                <c:pt idx="1314">
                  <c:v>3.9598398323098985E-2</c:v>
                </c:pt>
                <c:pt idx="1315">
                  <c:v>3.9659512624453497E-2</c:v>
                </c:pt>
                <c:pt idx="1316">
                  <c:v>3.9720941407633166E-2</c:v>
                </c:pt>
                <c:pt idx="1317">
                  <c:v>3.9782475018087883E-2</c:v>
                </c:pt>
                <c:pt idx="1318">
                  <c:v>3.9844113455817648E-2</c:v>
                </c:pt>
                <c:pt idx="1319">
                  <c:v>3.9905751893547413E-2</c:v>
                </c:pt>
                <c:pt idx="1320">
                  <c:v>3.9967390331277178E-2</c:v>
                </c:pt>
                <c:pt idx="1321">
                  <c:v>4.0029133596281997E-2</c:v>
                </c:pt>
                <c:pt idx="1322">
                  <c:v>4.0090876861286817E-2</c:v>
                </c:pt>
                <c:pt idx="1323">
                  <c:v>4.0152724953566685E-2</c:v>
                </c:pt>
                <c:pt idx="1324">
                  <c:v>4.0214573045846552E-2</c:v>
                </c:pt>
                <c:pt idx="1325">
                  <c:v>4.0276525965401475E-2</c:v>
                </c:pt>
                <c:pt idx="1326">
                  <c:v>4.0338478884956397E-2</c:v>
                </c:pt>
                <c:pt idx="1327">
                  <c:v>4.0400536631786367E-2</c:v>
                </c:pt>
                <c:pt idx="1328">
                  <c:v>4.0462594378616337E-2</c:v>
                </c:pt>
                <c:pt idx="1329">
                  <c:v>4.0524652125446307E-2</c:v>
                </c:pt>
                <c:pt idx="1330">
                  <c:v>4.0586709872276278E-2</c:v>
                </c:pt>
                <c:pt idx="1331">
                  <c:v>4.0648767619106248E-2</c:v>
                </c:pt>
                <c:pt idx="1332">
                  <c:v>4.0710930193211266E-2</c:v>
                </c:pt>
                <c:pt idx="1333">
                  <c:v>4.0773092767316284E-2</c:v>
                </c:pt>
                <c:pt idx="1334">
                  <c:v>4.0835360168696357E-2</c:v>
                </c:pt>
                <c:pt idx="1335">
                  <c:v>4.0897627570076429E-2</c:v>
                </c:pt>
                <c:pt idx="1336">
                  <c:v>4.0959894971456502E-2</c:v>
                </c:pt>
                <c:pt idx="1337">
                  <c:v>4.1022267200111623E-2</c:v>
                </c:pt>
                <c:pt idx="1338">
                  <c:v>4.1084639428766744E-2</c:v>
                </c:pt>
                <c:pt idx="1339">
                  <c:v>4.1147116484696919E-2</c:v>
                </c:pt>
                <c:pt idx="1340">
                  <c:v>4.1209593540627094E-2</c:v>
                </c:pt>
                <c:pt idx="1341">
                  <c:v>4.127207059655727E-2</c:v>
                </c:pt>
                <c:pt idx="1342">
                  <c:v>4.1334547652487445E-2</c:v>
                </c:pt>
                <c:pt idx="1343">
                  <c:v>4.1397024708417621E-2</c:v>
                </c:pt>
                <c:pt idx="1344">
                  <c:v>4.1459606591622844E-2</c:v>
                </c:pt>
                <c:pt idx="1345">
                  <c:v>4.1522188474828067E-2</c:v>
                </c:pt>
                <c:pt idx="1346">
                  <c:v>4.1584875185308338E-2</c:v>
                </c:pt>
                <c:pt idx="1347">
                  <c:v>4.164756189578861E-2</c:v>
                </c:pt>
                <c:pt idx="1348">
                  <c:v>4.1710353433543935E-2</c:v>
                </c:pt>
                <c:pt idx="1349">
                  <c:v>4.1773144971299261E-2</c:v>
                </c:pt>
                <c:pt idx="1350">
                  <c:v>4.1835936509054587E-2</c:v>
                </c:pt>
                <c:pt idx="1351">
                  <c:v>4.1898832874084961E-2</c:v>
                </c:pt>
                <c:pt idx="1352">
                  <c:v>4.1961729239115335E-2</c:v>
                </c:pt>
                <c:pt idx="1353">
                  <c:v>4.2024730431420763E-2</c:v>
                </c:pt>
                <c:pt idx="1354">
                  <c:v>4.2087731623726192E-2</c:v>
                </c:pt>
                <c:pt idx="1355">
                  <c:v>4.2150837643306668E-2</c:v>
                </c:pt>
                <c:pt idx="1356">
                  <c:v>4.2213943662887145E-2</c:v>
                </c:pt>
                <c:pt idx="1357">
                  <c:v>4.2277154509742669E-2</c:v>
                </c:pt>
                <c:pt idx="1358">
                  <c:v>4.2340575011148296E-2</c:v>
                </c:pt>
                <c:pt idx="1359">
                  <c:v>4.2403995512553923E-2</c:v>
                </c:pt>
                <c:pt idx="1360">
                  <c:v>4.2467520841234604E-2</c:v>
                </c:pt>
                <c:pt idx="1361">
                  <c:v>4.2531150997190334E-2</c:v>
                </c:pt>
                <c:pt idx="1362">
                  <c:v>4.2594781153146064E-2</c:v>
                </c:pt>
                <c:pt idx="1363">
                  <c:v>4.2658516136376841E-2</c:v>
                </c:pt>
                <c:pt idx="1364">
                  <c:v>4.2722251119607618E-2</c:v>
                </c:pt>
                <c:pt idx="1365">
                  <c:v>4.2786195757388498E-2</c:v>
                </c:pt>
                <c:pt idx="1366">
                  <c:v>4.2850140395169378E-2</c:v>
                </c:pt>
                <c:pt idx="1367">
                  <c:v>4.2914189860225313E-2</c:v>
                </c:pt>
                <c:pt idx="1368">
                  <c:v>4.2978344152556296E-2</c:v>
                </c:pt>
                <c:pt idx="1369">
                  <c:v>4.3042603272162326E-2</c:v>
                </c:pt>
                <c:pt idx="1370">
                  <c:v>4.3106862391768357E-2</c:v>
                </c:pt>
                <c:pt idx="1371">
                  <c:v>4.3171226338649442E-2</c:v>
                </c:pt>
                <c:pt idx="1372">
                  <c:v>4.3235590285530527E-2</c:v>
                </c:pt>
                <c:pt idx="1373">
                  <c:v>4.3300268714236763E-2</c:v>
                </c:pt>
                <c:pt idx="1374">
                  <c:v>4.3364947142942999E-2</c:v>
                </c:pt>
                <c:pt idx="1375">
                  <c:v>4.3429625571649234E-2</c:v>
                </c:pt>
                <c:pt idx="1376">
                  <c:v>4.3494408827630525E-2</c:v>
                </c:pt>
                <c:pt idx="1377">
                  <c:v>4.3559296910886863E-2</c:v>
                </c:pt>
                <c:pt idx="1378">
                  <c:v>4.3624184994143202E-2</c:v>
                </c:pt>
                <c:pt idx="1379">
                  <c:v>4.3689282731949643E-2</c:v>
                </c:pt>
                <c:pt idx="1380">
                  <c:v>4.3754380469756084E-2</c:v>
                </c:pt>
                <c:pt idx="1381">
                  <c:v>4.3819478207562525E-2</c:v>
                </c:pt>
                <c:pt idx="1382">
                  <c:v>4.3884575945368966E-2</c:v>
                </c:pt>
                <c:pt idx="1383">
                  <c:v>4.3949778510450455E-2</c:v>
                </c:pt>
                <c:pt idx="1384">
                  <c:v>4.4014981075531943E-2</c:v>
                </c:pt>
                <c:pt idx="1385">
                  <c:v>4.4080183640613432E-2</c:v>
                </c:pt>
                <c:pt idx="1386">
                  <c:v>4.4145386205694921E-2</c:v>
                </c:pt>
                <c:pt idx="1387">
                  <c:v>4.4210693598051465E-2</c:v>
                </c:pt>
                <c:pt idx="1388">
                  <c:v>4.4276000990408008E-2</c:v>
                </c:pt>
                <c:pt idx="1389">
                  <c:v>4.4341308382764552E-2</c:v>
                </c:pt>
                <c:pt idx="1390">
                  <c:v>4.4406825429671191E-2</c:v>
                </c:pt>
                <c:pt idx="1391">
                  <c:v>4.4472342476577831E-2</c:v>
                </c:pt>
                <c:pt idx="1392">
                  <c:v>4.4537964350759525E-2</c:v>
                </c:pt>
                <c:pt idx="1393">
                  <c:v>4.4603691052216267E-2</c:v>
                </c:pt>
                <c:pt idx="1394">
                  <c:v>4.4669522580948064E-2</c:v>
                </c:pt>
                <c:pt idx="1395">
                  <c:v>4.473535410967986E-2</c:v>
                </c:pt>
                <c:pt idx="1396">
                  <c:v>4.4801290465686705E-2</c:v>
                </c:pt>
                <c:pt idx="1397">
                  <c:v>4.4867331648968597E-2</c:v>
                </c:pt>
                <c:pt idx="1398">
                  <c:v>4.4933477659525545E-2</c:v>
                </c:pt>
                <c:pt idx="1399">
                  <c:v>4.4999623670082492E-2</c:v>
                </c:pt>
                <c:pt idx="1400">
                  <c:v>4.5065874507914487E-2</c:v>
                </c:pt>
                <c:pt idx="1401">
                  <c:v>4.5132125345746482E-2</c:v>
                </c:pt>
                <c:pt idx="1402">
                  <c:v>4.519858583812858E-2</c:v>
                </c:pt>
                <c:pt idx="1403">
                  <c:v>4.5265046330510678E-2</c:v>
                </c:pt>
                <c:pt idx="1404">
                  <c:v>4.5331506822892775E-2</c:v>
                </c:pt>
                <c:pt idx="1405">
                  <c:v>4.5397967315274873E-2</c:v>
                </c:pt>
                <c:pt idx="1406">
                  <c:v>4.5464532634932019E-2</c:v>
                </c:pt>
                <c:pt idx="1407">
                  <c:v>4.5531097954589164E-2</c:v>
                </c:pt>
                <c:pt idx="1408">
                  <c:v>4.559766327424631E-2</c:v>
                </c:pt>
                <c:pt idx="1409">
                  <c:v>4.566433342117851E-2</c:v>
                </c:pt>
                <c:pt idx="1410">
                  <c:v>4.573100356811071E-2</c:v>
                </c:pt>
                <c:pt idx="1411">
                  <c:v>4.5797778542317959E-2</c:v>
                </c:pt>
                <c:pt idx="1412">
                  <c:v>4.5864553516525207E-2</c:v>
                </c:pt>
                <c:pt idx="1413">
                  <c:v>4.5931538145282558E-2</c:v>
                </c:pt>
                <c:pt idx="1414">
                  <c:v>4.5998522774039909E-2</c:v>
                </c:pt>
                <c:pt idx="1415">
                  <c:v>4.6065612230072307E-2</c:v>
                </c:pt>
                <c:pt idx="1416">
                  <c:v>4.6132701686104706E-2</c:v>
                </c:pt>
                <c:pt idx="1417">
                  <c:v>4.6199895969412159E-2</c:v>
                </c:pt>
                <c:pt idx="1418">
                  <c:v>4.6267090252719613E-2</c:v>
                </c:pt>
                <c:pt idx="1419">
                  <c:v>4.6334389363302114E-2</c:v>
                </c:pt>
                <c:pt idx="1420">
                  <c:v>4.6401688473884616E-2</c:v>
                </c:pt>
                <c:pt idx="1421">
                  <c:v>4.6468987584467117E-2</c:v>
                </c:pt>
                <c:pt idx="1422">
                  <c:v>4.6536391522324673E-2</c:v>
                </c:pt>
                <c:pt idx="1423">
                  <c:v>4.6603795460182229E-2</c:v>
                </c:pt>
                <c:pt idx="1424">
                  <c:v>4.6671199398039785E-2</c:v>
                </c:pt>
                <c:pt idx="1425">
                  <c:v>4.6738917817722492E-2</c:v>
                </c:pt>
                <c:pt idx="1426">
                  <c:v>4.6806636237405198E-2</c:v>
                </c:pt>
                <c:pt idx="1427">
                  <c:v>4.6874459484362953E-2</c:v>
                </c:pt>
                <c:pt idx="1428">
                  <c:v>4.6942282731320707E-2</c:v>
                </c:pt>
                <c:pt idx="1429">
                  <c:v>4.7010105978278462E-2</c:v>
                </c:pt>
                <c:pt idx="1430">
                  <c:v>4.7078034052511271E-2</c:v>
                </c:pt>
                <c:pt idx="1431">
                  <c:v>4.714596212674408E-2</c:v>
                </c:pt>
                <c:pt idx="1432">
                  <c:v>4.7213890200976889E-2</c:v>
                </c:pt>
                <c:pt idx="1433">
                  <c:v>4.7281818275209699E-2</c:v>
                </c:pt>
                <c:pt idx="1434">
                  <c:v>4.7349851176717556E-2</c:v>
                </c:pt>
                <c:pt idx="1435">
                  <c:v>4.7418093732775515E-2</c:v>
                </c:pt>
                <c:pt idx="1436">
                  <c:v>4.7486441116108523E-2</c:v>
                </c:pt>
                <c:pt idx="1437">
                  <c:v>4.7554893326716585E-2</c:v>
                </c:pt>
                <c:pt idx="1438">
                  <c:v>4.7623345537324648E-2</c:v>
                </c:pt>
                <c:pt idx="1439">
                  <c:v>4.7691902575207758E-2</c:v>
                </c:pt>
                <c:pt idx="1440">
                  <c:v>4.7760459613090868E-2</c:v>
                </c:pt>
                <c:pt idx="1441">
                  <c:v>4.7829016650973978E-2</c:v>
                </c:pt>
                <c:pt idx="1442">
                  <c:v>4.7897678516132136E-2</c:v>
                </c:pt>
                <c:pt idx="1443">
                  <c:v>4.7966445208565349E-2</c:v>
                </c:pt>
                <c:pt idx="1444">
                  <c:v>4.8035211900998562E-2</c:v>
                </c:pt>
                <c:pt idx="1445">
                  <c:v>4.8104188247981877E-2</c:v>
                </c:pt>
                <c:pt idx="1446">
                  <c:v>4.8173269422240241E-2</c:v>
                </c:pt>
                <c:pt idx="1447">
                  <c:v>4.8242350596498604E-2</c:v>
                </c:pt>
                <c:pt idx="1448">
                  <c:v>4.8311431770756967E-2</c:v>
                </c:pt>
                <c:pt idx="1449">
                  <c:v>4.8380617772290378E-2</c:v>
                </c:pt>
                <c:pt idx="1450">
                  <c:v>4.8449908601098844E-2</c:v>
                </c:pt>
                <c:pt idx="1451">
                  <c:v>4.8519304257182358E-2</c:v>
                </c:pt>
                <c:pt idx="1452">
                  <c:v>4.8588699913265872E-2</c:v>
                </c:pt>
                <c:pt idx="1453">
                  <c:v>4.8658095569349386E-2</c:v>
                </c:pt>
                <c:pt idx="1454">
                  <c:v>4.8727596052707954E-2</c:v>
                </c:pt>
                <c:pt idx="1455">
                  <c:v>4.879720136334157E-2</c:v>
                </c:pt>
                <c:pt idx="1456">
                  <c:v>4.8866806673975187E-2</c:v>
                </c:pt>
                <c:pt idx="1457">
                  <c:v>4.8936411984608803E-2</c:v>
                </c:pt>
                <c:pt idx="1458">
                  <c:v>4.900601729524242E-2</c:v>
                </c:pt>
                <c:pt idx="1459">
                  <c:v>4.9075727433151084E-2</c:v>
                </c:pt>
                <c:pt idx="1460">
                  <c:v>4.9145542398334803E-2</c:v>
                </c:pt>
                <c:pt idx="1461">
                  <c:v>4.921546219079357E-2</c:v>
                </c:pt>
                <c:pt idx="1462">
                  <c:v>4.9285381983252337E-2</c:v>
                </c:pt>
                <c:pt idx="1463">
                  <c:v>4.9355406602986159E-2</c:v>
                </c:pt>
                <c:pt idx="1464">
                  <c:v>4.942543122271998E-2</c:v>
                </c:pt>
                <c:pt idx="1465">
                  <c:v>4.9495455842453802E-2</c:v>
                </c:pt>
                <c:pt idx="1466">
                  <c:v>4.9565585289462671E-2</c:v>
                </c:pt>
                <c:pt idx="1467">
                  <c:v>4.9635819563746589E-2</c:v>
                </c:pt>
                <c:pt idx="1468">
                  <c:v>4.9706053838030506E-2</c:v>
                </c:pt>
                <c:pt idx="1469">
                  <c:v>4.9776392939589478E-2</c:v>
                </c:pt>
                <c:pt idx="1470">
                  <c:v>4.984673204114845E-2</c:v>
                </c:pt>
                <c:pt idx="1471">
                  <c:v>4.9917071142707423E-2</c:v>
                </c:pt>
                <c:pt idx="1472">
                  <c:v>4.9987515071541443E-2</c:v>
                </c:pt>
                <c:pt idx="1473">
                  <c:v>5.0057959000375463E-2</c:v>
                </c:pt>
                <c:pt idx="1474">
                  <c:v>5.0128507756484537E-2</c:v>
                </c:pt>
                <c:pt idx="1475">
                  <c:v>5.0199056512593612E-2</c:v>
                </c:pt>
                <c:pt idx="1476">
                  <c:v>5.0269710095977735E-2</c:v>
                </c:pt>
                <c:pt idx="1477">
                  <c:v>5.0340468506636905E-2</c:v>
                </c:pt>
                <c:pt idx="1478">
                  <c:v>5.0411226917296076E-2</c:v>
                </c:pt>
                <c:pt idx="1479">
                  <c:v>5.0482090155230301E-2</c:v>
                </c:pt>
                <c:pt idx="1480">
                  <c:v>5.0552953393164526E-2</c:v>
                </c:pt>
                <c:pt idx="1481">
                  <c:v>5.06239214583738E-2</c:v>
                </c:pt>
                <c:pt idx="1482">
                  <c:v>5.0694889523583073E-2</c:v>
                </c:pt>
                <c:pt idx="1483">
                  <c:v>5.0766172070617496E-2</c:v>
                </c:pt>
                <c:pt idx="1484">
                  <c:v>5.083745461765192E-2</c:v>
                </c:pt>
                <c:pt idx="1485">
                  <c:v>5.0908841991961398E-2</c:v>
                </c:pt>
                <c:pt idx="1486">
                  <c:v>5.0980229366270877E-2</c:v>
                </c:pt>
                <c:pt idx="1487">
                  <c:v>5.1051616740580355E-2</c:v>
                </c:pt>
                <c:pt idx="1488">
                  <c:v>5.1123004114889833E-2</c:v>
                </c:pt>
                <c:pt idx="1489">
                  <c:v>5.119449631647436E-2</c:v>
                </c:pt>
                <c:pt idx="1490">
                  <c:v>5.1266093345333941E-2</c:v>
                </c:pt>
                <c:pt idx="1491">
                  <c:v>5.133779520146857E-2</c:v>
                </c:pt>
                <c:pt idx="1492">
                  <c:v>5.1409497057603198E-2</c:v>
                </c:pt>
                <c:pt idx="1493">
                  <c:v>5.1481198913737827E-2</c:v>
                </c:pt>
                <c:pt idx="1494">
                  <c:v>5.1553005597147504E-2</c:v>
                </c:pt>
                <c:pt idx="1495">
                  <c:v>5.1624812280557181E-2</c:v>
                </c:pt>
                <c:pt idx="1496">
                  <c:v>5.1696723791241912E-2</c:v>
                </c:pt>
                <c:pt idx="1497">
                  <c:v>5.1768635301926644E-2</c:v>
                </c:pt>
                <c:pt idx="1498">
                  <c:v>5.1840546812611375E-2</c:v>
                </c:pt>
                <c:pt idx="1499">
                  <c:v>5.1912563150571155E-2</c:v>
                </c:pt>
                <c:pt idx="1500">
                  <c:v>5.1984684315805989E-2</c:v>
                </c:pt>
                <c:pt idx="1501">
                  <c:v>5.2056910308315871E-2</c:v>
                </c:pt>
                <c:pt idx="1502">
                  <c:v>5.2129136300825753E-2</c:v>
                </c:pt>
                <c:pt idx="1503">
                  <c:v>5.2201467120610683E-2</c:v>
                </c:pt>
                <c:pt idx="1504">
                  <c:v>5.2273797940395612E-2</c:v>
                </c:pt>
                <c:pt idx="1505">
                  <c:v>5.2346128760180542E-2</c:v>
                </c:pt>
                <c:pt idx="1506">
                  <c:v>5.2418459579965472E-2</c:v>
                </c:pt>
                <c:pt idx="1507">
                  <c:v>5.2491000054300505E-2</c:v>
                </c:pt>
                <c:pt idx="1508">
                  <c:v>5.2563645355910592E-2</c:v>
                </c:pt>
                <c:pt idx="1509">
                  <c:v>5.2636395484795727E-2</c:v>
                </c:pt>
                <c:pt idx="1510">
                  <c:v>5.270925044095591E-2</c:v>
                </c:pt>
                <c:pt idx="1511">
                  <c:v>5.2782210224391148E-2</c:v>
                </c:pt>
                <c:pt idx="1512">
                  <c:v>5.2855379662376488E-2</c:v>
                </c:pt>
                <c:pt idx="1513">
                  <c:v>5.2928758754911924E-2</c:v>
                </c:pt>
                <c:pt idx="1514">
                  <c:v>5.3002347501997463E-2</c:v>
                </c:pt>
                <c:pt idx="1515">
                  <c:v>5.3075936249083001E-2</c:v>
                </c:pt>
                <c:pt idx="1516">
                  <c:v>5.3149734650718643E-2</c:v>
                </c:pt>
                <c:pt idx="1517">
                  <c:v>5.3223742706904387E-2</c:v>
                </c:pt>
                <c:pt idx="1518">
                  <c:v>5.3297750763090131E-2</c:v>
                </c:pt>
                <c:pt idx="1519">
                  <c:v>5.3371863646550922E-2</c:v>
                </c:pt>
                <c:pt idx="1520">
                  <c:v>5.3445976530011714E-2</c:v>
                </c:pt>
                <c:pt idx="1521">
                  <c:v>5.3520194240747561E-2</c:v>
                </c:pt>
                <c:pt idx="1522">
                  <c:v>5.3594411951483407E-2</c:v>
                </c:pt>
                <c:pt idx="1523">
                  <c:v>5.3668734489494302E-2</c:v>
                </c:pt>
                <c:pt idx="1524">
                  <c:v>5.3743057027505196E-2</c:v>
                </c:pt>
                <c:pt idx="1525">
                  <c:v>5.3817484392791139E-2</c:v>
                </c:pt>
                <c:pt idx="1526">
                  <c:v>5.3892016585352136E-2</c:v>
                </c:pt>
                <c:pt idx="1527">
                  <c:v>5.3966548777913133E-2</c:v>
                </c:pt>
                <c:pt idx="1528">
                  <c:v>5.404139545229928E-2</c:v>
                </c:pt>
                <c:pt idx="1529">
                  <c:v>5.4116346953960476E-2</c:v>
                </c:pt>
                <c:pt idx="1530">
                  <c:v>5.4191298455621671E-2</c:v>
                </c:pt>
                <c:pt idx="1531">
                  <c:v>5.4266249957282867E-2</c:v>
                </c:pt>
                <c:pt idx="1532">
                  <c:v>5.4341201458944062E-2</c:v>
                </c:pt>
                <c:pt idx="1533">
                  <c:v>5.4416257787880312E-2</c:v>
                </c:pt>
                <c:pt idx="1534">
                  <c:v>5.449141894409161E-2</c:v>
                </c:pt>
                <c:pt idx="1535">
                  <c:v>5.4566580100302908E-2</c:v>
                </c:pt>
                <c:pt idx="1536">
                  <c:v>5.4641846083789261E-2</c:v>
                </c:pt>
                <c:pt idx="1537">
                  <c:v>5.4717216894550662E-2</c:v>
                </c:pt>
                <c:pt idx="1538">
                  <c:v>5.479269253258711E-2</c:v>
                </c:pt>
                <c:pt idx="1539">
                  <c:v>5.4868272997898614E-2</c:v>
                </c:pt>
                <c:pt idx="1540">
                  <c:v>5.4943958290485165E-2</c:v>
                </c:pt>
                <c:pt idx="1541">
                  <c:v>5.5019748410346771E-2</c:v>
                </c:pt>
                <c:pt idx="1542">
                  <c:v>5.5095538530208377E-2</c:v>
                </c:pt>
                <c:pt idx="1543">
                  <c:v>5.5171538304620078E-2</c:v>
                </c:pt>
                <c:pt idx="1544">
                  <c:v>5.5247642906306835E-2</c:v>
                </c:pt>
                <c:pt idx="1545">
                  <c:v>5.5323852335268639E-2</c:v>
                </c:pt>
                <c:pt idx="1546">
                  <c:v>5.5400061764230443E-2</c:v>
                </c:pt>
                <c:pt idx="1547">
                  <c:v>5.5476271193192248E-2</c:v>
                </c:pt>
                <c:pt idx="1548">
                  <c:v>5.5552585449429107E-2</c:v>
                </c:pt>
                <c:pt idx="1549">
                  <c:v>5.5628899705665966E-2</c:v>
                </c:pt>
                <c:pt idx="1550">
                  <c:v>5.5705318789177873E-2</c:v>
                </c:pt>
                <c:pt idx="1551">
                  <c:v>5.5781842699964827E-2</c:v>
                </c:pt>
                <c:pt idx="1552">
                  <c:v>5.5858366610751782E-2</c:v>
                </c:pt>
                <c:pt idx="1553">
                  <c:v>5.5934995348813792E-2</c:v>
                </c:pt>
                <c:pt idx="1554">
                  <c:v>5.6011728914150849E-2</c:v>
                </c:pt>
                <c:pt idx="1555">
                  <c:v>5.6088462479487906E-2</c:v>
                </c:pt>
                <c:pt idx="1556">
                  <c:v>5.6165300872100019E-2</c:v>
                </c:pt>
                <c:pt idx="1557">
                  <c:v>5.6242244091987179E-2</c:v>
                </c:pt>
                <c:pt idx="1558">
                  <c:v>5.6319187311874339E-2</c:v>
                </c:pt>
                <c:pt idx="1559">
                  <c:v>5.6396130531761499E-2</c:v>
                </c:pt>
                <c:pt idx="1560">
                  <c:v>5.6473178578923706E-2</c:v>
                </c:pt>
                <c:pt idx="1561">
                  <c:v>5.6550226626085914E-2</c:v>
                </c:pt>
                <c:pt idx="1562">
                  <c:v>5.6627274673248122E-2</c:v>
                </c:pt>
                <c:pt idx="1563">
                  <c:v>5.6704427547685385E-2</c:v>
                </c:pt>
                <c:pt idx="1564">
                  <c:v>5.6781580422122648E-2</c:v>
                </c:pt>
                <c:pt idx="1565">
                  <c:v>5.685873329655991E-2</c:v>
                </c:pt>
                <c:pt idx="1566">
                  <c:v>5.6935990998272221E-2</c:v>
                </c:pt>
                <c:pt idx="1567">
                  <c:v>5.7013248699984531E-2</c:v>
                </c:pt>
                <c:pt idx="1568">
                  <c:v>5.7090506401696842E-2</c:v>
                </c:pt>
                <c:pt idx="1569">
                  <c:v>5.7167764103409152E-2</c:v>
                </c:pt>
                <c:pt idx="1570">
                  <c:v>5.7245126632396517E-2</c:v>
                </c:pt>
                <c:pt idx="1571">
                  <c:v>5.7322489161383883E-2</c:v>
                </c:pt>
                <c:pt idx="1572">
                  <c:v>5.7399956517646296E-2</c:v>
                </c:pt>
                <c:pt idx="1573">
                  <c:v>5.7477423873908709E-2</c:v>
                </c:pt>
                <c:pt idx="1574">
                  <c:v>5.755499605744617E-2</c:v>
                </c:pt>
                <c:pt idx="1575">
                  <c:v>5.7632673068258686E-2</c:v>
                </c:pt>
                <c:pt idx="1576">
                  <c:v>5.7710454906346249E-2</c:v>
                </c:pt>
                <c:pt idx="1577">
                  <c:v>5.7788341571708868E-2</c:v>
                </c:pt>
                <c:pt idx="1578">
                  <c:v>5.7866437891621582E-2</c:v>
                </c:pt>
                <c:pt idx="1579">
                  <c:v>5.7944639038809351E-2</c:v>
                </c:pt>
                <c:pt idx="1580">
                  <c:v>5.802284018599712E-2</c:v>
                </c:pt>
                <c:pt idx="1581">
                  <c:v>5.8101146160459936E-2</c:v>
                </c:pt>
                <c:pt idx="1582">
                  <c:v>5.8179452134922753E-2</c:v>
                </c:pt>
                <c:pt idx="1583">
                  <c:v>5.8257862936660625E-2</c:v>
                </c:pt>
                <c:pt idx="1584">
                  <c:v>5.8336273738398496E-2</c:v>
                </c:pt>
                <c:pt idx="1585">
                  <c:v>5.8414789367411415E-2</c:v>
                </c:pt>
                <c:pt idx="1586">
                  <c:v>5.8493409823699383E-2</c:v>
                </c:pt>
                <c:pt idx="1587">
                  <c:v>5.8572135107262405E-2</c:v>
                </c:pt>
                <c:pt idx="1588">
                  <c:v>5.8650860390825427E-2</c:v>
                </c:pt>
                <c:pt idx="1589">
                  <c:v>5.8729585674388449E-2</c:v>
                </c:pt>
                <c:pt idx="1590">
                  <c:v>5.8808415785226519E-2</c:v>
                </c:pt>
                <c:pt idx="1591">
                  <c:v>5.8887245896064588E-2</c:v>
                </c:pt>
                <c:pt idx="1592">
                  <c:v>5.8966076006902658E-2</c:v>
                </c:pt>
                <c:pt idx="1593">
                  <c:v>5.9045010945015783E-2</c:v>
                </c:pt>
                <c:pt idx="1594">
                  <c:v>5.9124050710403955E-2</c:v>
                </c:pt>
                <c:pt idx="1595">
                  <c:v>5.9203824266717484E-2</c:v>
                </c:pt>
                <c:pt idx="1596">
                  <c:v>5.9283807477581114E-2</c:v>
                </c:pt>
                <c:pt idx="1597">
                  <c:v>5.9363790688444745E-2</c:v>
                </c:pt>
                <c:pt idx="1598">
                  <c:v>5.9443773899308376E-2</c:v>
                </c:pt>
                <c:pt idx="1599">
                  <c:v>5.9523966764722103E-2</c:v>
                </c:pt>
                <c:pt idx="1600">
                  <c:v>5.9604159630135829E-2</c:v>
                </c:pt>
                <c:pt idx="1601">
                  <c:v>5.9684457322824611E-2</c:v>
                </c:pt>
                <c:pt idx="1602">
                  <c:v>5.976485984278844E-2</c:v>
                </c:pt>
                <c:pt idx="1603">
                  <c:v>5.9845472017302372E-2</c:v>
                </c:pt>
                <c:pt idx="1604">
                  <c:v>5.9926084191816303E-2</c:v>
                </c:pt>
                <c:pt idx="1605">
                  <c:v>6.0006801193605283E-2</c:v>
                </c:pt>
                <c:pt idx="1606">
                  <c:v>6.0087623022669318E-2</c:v>
                </c:pt>
                <c:pt idx="1607">
                  <c:v>6.01685496790084E-2</c:v>
                </c:pt>
                <c:pt idx="1608">
                  <c:v>6.0249476335347482E-2</c:v>
                </c:pt>
                <c:pt idx="1609">
                  <c:v>6.0330507818961619E-2</c:v>
                </c:pt>
                <c:pt idx="1610">
                  <c:v>6.0411539302575756E-2</c:v>
                </c:pt>
                <c:pt idx="1611">
                  <c:v>6.0492570786189893E-2</c:v>
                </c:pt>
                <c:pt idx="1612">
                  <c:v>6.0573707097079078E-2</c:v>
                </c:pt>
                <c:pt idx="1613">
                  <c:v>6.0654843407968263E-2</c:v>
                </c:pt>
                <c:pt idx="1614">
                  <c:v>6.0735979718857448E-2</c:v>
                </c:pt>
                <c:pt idx="1615">
                  <c:v>6.0817849820671989E-2</c:v>
                </c:pt>
                <c:pt idx="1616">
                  <c:v>6.0899929577036632E-2</c:v>
                </c:pt>
                <c:pt idx="1617">
                  <c:v>6.0982114160676323E-2</c:v>
                </c:pt>
                <c:pt idx="1618">
                  <c:v>6.1064508398866117E-2</c:v>
                </c:pt>
                <c:pt idx="1619">
                  <c:v>6.1146902637055911E-2</c:v>
                </c:pt>
                <c:pt idx="1620">
                  <c:v>6.1229401702520753E-2</c:v>
                </c:pt>
                <c:pt idx="1621">
                  <c:v>6.1312005595260649E-2</c:v>
                </c:pt>
                <c:pt idx="1622">
                  <c:v>6.1394609488000546E-2</c:v>
                </c:pt>
                <c:pt idx="1623">
                  <c:v>6.147731820801549E-2</c:v>
                </c:pt>
                <c:pt idx="1624">
                  <c:v>6.1560236582580537E-2</c:v>
                </c:pt>
                <c:pt idx="1625">
                  <c:v>6.1643154957145584E-2</c:v>
                </c:pt>
                <c:pt idx="1626">
                  <c:v>6.1726282986260733E-2</c:v>
                </c:pt>
                <c:pt idx="1627">
                  <c:v>6.1809411015375883E-2</c:v>
                </c:pt>
                <c:pt idx="1628">
                  <c:v>6.1892748699041128E-2</c:v>
                </c:pt>
                <c:pt idx="1629">
                  <c:v>6.1976086382706373E-2</c:v>
                </c:pt>
                <c:pt idx="1630">
                  <c:v>6.2059528893646673E-2</c:v>
                </c:pt>
                <c:pt idx="1631">
                  <c:v>6.2142971404586973E-2</c:v>
                </c:pt>
                <c:pt idx="1632">
                  <c:v>6.2226413915527273E-2</c:v>
                </c:pt>
                <c:pt idx="1633">
                  <c:v>6.2309856426467573E-2</c:v>
                </c:pt>
                <c:pt idx="1634">
                  <c:v>6.2393403764682921E-2</c:v>
                </c:pt>
                <c:pt idx="1635">
                  <c:v>6.2477160757448372E-2</c:v>
                </c:pt>
                <c:pt idx="1636">
                  <c:v>6.2560917750213815E-2</c:v>
                </c:pt>
                <c:pt idx="1637">
                  <c:v>6.2644779570254314E-2</c:v>
                </c:pt>
                <c:pt idx="1638">
                  <c:v>6.2728641390294812E-2</c:v>
                </c:pt>
                <c:pt idx="1639">
                  <c:v>6.2812608037610365E-2</c:v>
                </c:pt>
                <c:pt idx="1640">
                  <c:v>6.2896679512200973E-2</c:v>
                </c:pt>
                <c:pt idx="1641">
                  <c:v>6.2980855814066622E-2</c:v>
                </c:pt>
                <c:pt idx="1642">
                  <c:v>6.3065032115932271E-2</c:v>
                </c:pt>
                <c:pt idx="1643">
                  <c:v>6.3149418072348029E-2</c:v>
                </c:pt>
                <c:pt idx="1644">
                  <c:v>6.3234013683313883E-2</c:v>
                </c:pt>
                <c:pt idx="1645">
                  <c:v>6.3318609294279737E-2</c:v>
                </c:pt>
                <c:pt idx="1646">
                  <c:v>6.3403204905245591E-2</c:v>
                </c:pt>
                <c:pt idx="1647">
                  <c:v>6.34879053434865E-2</c:v>
                </c:pt>
                <c:pt idx="1648">
                  <c:v>6.3572605781727409E-2</c:v>
                </c:pt>
                <c:pt idx="1649">
                  <c:v>6.3657411047243359E-2</c:v>
                </c:pt>
                <c:pt idx="1650">
                  <c:v>6.3742216312759309E-2</c:v>
                </c:pt>
                <c:pt idx="1651">
                  <c:v>6.3827126405550313E-2</c:v>
                </c:pt>
                <c:pt idx="1652">
                  <c:v>6.3912036498341318E-2</c:v>
                </c:pt>
                <c:pt idx="1653">
                  <c:v>6.3997051418407377E-2</c:v>
                </c:pt>
                <c:pt idx="1654">
                  <c:v>6.4082275993023533E-2</c:v>
                </c:pt>
                <c:pt idx="1655">
                  <c:v>6.4167605394914742E-2</c:v>
                </c:pt>
                <c:pt idx="1656">
                  <c:v>6.4253144451356048E-2</c:v>
                </c:pt>
                <c:pt idx="1657">
                  <c:v>6.4339312471447668E-2</c:v>
                </c:pt>
                <c:pt idx="1658">
                  <c:v>6.4425480491539289E-2</c:v>
                </c:pt>
                <c:pt idx="1659">
                  <c:v>6.451175333890595E-2</c:v>
                </c:pt>
                <c:pt idx="1660">
                  <c:v>6.4598026186272611E-2</c:v>
                </c:pt>
                <c:pt idx="1661">
                  <c:v>6.4684403860914327E-2</c:v>
                </c:pt>
                <c:pt idx="1662">
                  <c:v>6.4771096017381194E-2</c:v>
                </c:pt>
                <c:pt idx="1663">
                  <c:v>6.4857893001123115E-2</c:v>
                </c:pt>
                <c:pt idx="1664">
                  <c:v>6.4944794812140091E-2</c:v>
                </c:pt>
                <c:pt idx="1665">
                  <c:v>6.5031696623157068E-2</c:v>
                </c:pt>
                <c:pt idx="1666">
                  <c:v>6.5118703261449085E-2</c:v>
                </c:pt>
                <c:pt idx="1667">
                  <c:v>6.5205814727016156E-2</c:v>
                </c:pt>
                <c:pt idx="1668">
                  <c:v>6.5293031019858283E-2</c:v>
                </c:pt>
                <c:pt idx="1669">
                  <c:v>6.538024731270041E-2</c:v>
                </c:pt>
                <c:pt idx="1670">
                  <c:v>6.5467568432817577E-2</c:v>
                </c:pt>
                <c:pt idx="1671">
                  <c:v>6.55549943802098E-2</c:v>
                </c:pt>
                <c:pt idx="1672">
                  <c:v>6.5642629982152118E-2</c:v>
                </c:pt>
                <c:pt idx="1673">
                  <c:v>6.5730265584094436E-2</c:v>
                </c:pt>
                <c:pt idx="1674">
                  <c:v>6.5817901186036754E-2</c:v>
                </c:pt>
                <c:pt idx="1675">
                  <c:v>6.5905641615254126E-2</c:v>
                </c:pt>
                <c:pt idx="1676">
                  <c:v>6.599369652629665E-2</c:v>
                </c:pt>
                <c:pt idx="1677">
                  <c:v>6.6081856264614228E-2</c:v>
                </c:pt>
                <c:pt idx="1678">
                  <c:v>6.6170330484756956E-2</c:v>
                </c:pt>
                <c:pt idx="1679">
                  <c:v>6.6258804704899685E-2</c:v>
                </c:pt>
                <c:pt idx="1680">
                  <c:v>6.6347278925042413E-2</c:v>
                </c:pt>
                <c:pt idx="1681">
                  <c:v>6.6435857972460197E-2</c:v>
                </c:pt>
                <c:pt idx="1682">
                  <c:v>6.652475150170313E-2</c:v>
                </c:pt>
                <c:pt idx="1683">
                  <c:v>6.6613749858221119E-2</c:v>
                </c:pt>
                <c:pt idx="1684">
                  <c:v>6.6702748214739108E-2</c:v>
                </c:pt>
                <c:pt idx="1685">
                  <c:v>6.6791746571257096E-2</c:v>
                </c:pt>
                <c:pt idx="1686">
                  <c:v>6.6880744927775085E-2</c:v>
                </c:pt>
                <c:pt idx="1687">
                  <c:v>6.6969952938843169E-2</c:v>
                </c:pt>
                <c:pt idx="1688">
                  <c:v>6.7059160949911253E-2</c:v>
                </c:pt>
                <c:pt idx="1689">
                  <c:v>6.7148578615529433E-2</c:v>
                </c:pt>
                <c:pt idx="1690">
                  <c:v>6.7238415590247819E-2</c:v>
                </c:pt>
                <c:pt idx="1691">
                  <c:v>6.7328462219516313E-2</c:v>
                </c:pt>
                <c:pt idx="1692">
                  <c:v>6.7418613676059849E-2</c:v>
                </c:pt>
                <c:pt idx="1693">
                  <c:v>6.750886995987844E-2</c:v>
                </c:pt>
                <c:pt idx="1694">
                  <c:v>6.7599231070972085E-2</c:v>
                </c:pt>
                <c:pt idx="1695">
                  <c:v>6.7689697009340771E-2</c:v>
                </c:pt>
                <c:pt idx="1696">
                  <c:v>6.7780162947709457E-2</c:v>
                </c:pt>
                <c:pt idx="1697">
                  <c:v>6.7870733713353198E-2</c:v>
                </c:pt>
                <c:pt idx="1698">
                  <c:v>6.7961409306271994E-2</c:v>
                </c:pt>
                <c:pt idx="1699">
                  <c:v>6.8052189726465831E-2</c:v>
                </c:pt>
                <c:pt idx="1700">
                  <c:v>6.8143074973934722E-2</c:v>
                </c:pt>
                <c:pt idx="1701">
                  <c:v>6.8234169875953724E-2</c:v>
                </c:pt>
                <c:pt idx="1702">
                  <c:v>6.8325264777972725E-2</c:v>
                </c:pt>
                <c:pt idx="1703">
                  <c:v>6.8416464507266767E-2</c:v>
                </c:pt>
                <c:pt idx="1704">
                  <c:v>6.8507769063835863E-2</c:v>
                </c:pt>
                <c:pt idx="1705">
                  <c:v>6.859907362040496E-2</c:v>
                </c:pt>
                <c:pt idx="1706">
                  <c:v>6.8691007140624358E-2</c:v>
                </c:pt>
                <c:pt idx="1707">
                  <c:v>6.8782940660843755E-2</c:v>
                </c:pt>
                <c:pt idx="1708">
                  <c:v>6.8874979008338208E-2</c:v>
                </c:pt>
                <c:pt idx="1709">
                  <c:v>6.8967122183107715E-2</c:v>
                </c:pt>
                <c:pt idx="1710">
                  <c:v>6.9059370185152263E-2</c:v>
                </c:pt>
                <c:pt idx="1711">
                  <c:v>6.9151723014471866E-2</c:v>
                </c:pt>
                <c:pt idx="1712">
                  <c:v>6.9244075843791469E-2</c:v>
                </c:pt>
                <c:pt idx="1713">
                  <c:v>6.9336638327661168E-2</c:v>
                </c:pt>
                <c:pt idx="1714">
                  <c:v>6.9429305638805922E-2</c:v>
                </c:pt>
                <c:pt idx="1715">
                  <c:v>6.9522287431775825E-2</c:v>
                </c:pt>
                <c:pt idx="1716">
                  <c:v>6.9615269224745729E-2</c:v>
                </c:pt>
                <c:pt idx="1717">
                  <c:v>6.9708251017715633E-2</c:v>
                </c:pt>
                <c:pt idx="1718">
                  <c:v>6.9801337637960592E-2</c:v>
                </c:pt>
                <c:pt idx="1719">
                  <c:v>6.9894424258205551E-2</c:v>
                </c:pt>
                <c:pt idx="1720">
                  <c:v>6.998751087845051E-2</c:v>
                </c:pt>
                <c:pt idx="1721">
                  <c:v>7.0080702325970523E-2</c:v>
                </c:pt>
                <c:pt idx="1722">
                  <c:v>7.0173893773490537E-2</c:v>
                </c:pt>
                <c:pt idx="1723">
                  <c:v>7.026708522101055E-2</c:v>
                </c:pt>
                <c:pt idx="1724">
                  <c:v>7.0360486323080659E-2</c:v>
                </c:pt>
                <c:pt idx="1725">
                  <c:v>7.0453887425150769E-2</c:v>
                </c:pt>
                <c:pt idx="1726">
                  <c:v>7.0547393354495933E-2</c:v>
                </c:pt>
                <c:pt idx="1727">
                  <c:v>7.0640899283841097E-2</c:v>
                </c:pt>
                <c:pt idx="1728">
                  <c:v>7.0734614867736356E-2</c:v>
                </c:pt>
                <c:pt idx="1729">
                  <c:v>7.0828435278906671E-2</c:v>
                </c:pt>
                <c:pt idx="1730">
                  <c:v>7.0922360517352026E-2</c:v>
                </c:pt>
                <c:pt idx="1731">
                  <c:v>7.1016285755797381E-2</c:v>
                </c:pt>
                <c:pt idx="1732">
                  <c:v>7.1110315821517792E-2</c:v>
                </c:pt>
                <c:pt idx="1733">
                  <c:v>7.1204450714513257E-2</c:v>
                </c:pt>
                <c:pt idx="1734">
                  <c:v>7.1298690434783776E-2</c:v>
                </c:pt>
                <c:pt idx="1735">
                  <c:v>7.1392930155054296E-2</c:v>
                </c:pt>
                <c:pt idx="1736">
                  <c:v>7.1487379529874912E-2</c:v>
                </c:pt>
                <c:pt idx="1737">
                  <c:v>7.1581828904695527E-2</c:v>
                </c:pt>
                <c:pt idx="1738">
                  <c:v>7.1676278279516142E-2</c:v>
                </c:pt>
                <c:pt idx="1739">
                  <c:v>7.1770832481611813E-2</c:v>
                </c:pt>
                <c:pt idx="1740">
                  <c:v>7.1865491510982524E-2</c:v>
                </c:pt>
                <c:pt idx="1741">
                  <c:v>7.196025536762829E-2</c:v>
                </c:pt>
                <c:pt idx="1742">
                  <c:v>7.2055019224274056E-2</c:v>
                </c:pt>
                <c:pt idx="1743">
                  <c:v>7.2149783080919822E-2</c:v>
                </c:pt>
                <c:pt idx="1744">
                  <c:v>7.2244651764840642E-2</c:v>
                </c:pt>
                <c:pt idx="1745">
                  <c:v>7.2339625276036504E-2</c:v>
                </c:pt>
                <c:pt idx="1746">
                  <c:v>7.2434598787232365E-2</c:v>
                </c:pt>
                <c:pt idx="1747">
                  <c:v>7.2529781952978337E-2</c:v>
                </c:pt>
                <c:pt idx="1748">
                  <c:v>7.2625069945999363E-2</c:v>
                </c:pt>
                <c:pt idx="1749">
                  <c:v>7.2720462766295429E-2</c:v>
                </c:pt>
                <c:pt idx="1750">
                  <c:v>7.2816170068416647E-2</c:v>
                </c:pt>
                <c:pt idx="1751">
                  <c:v>7.2911877370537864E-2</c:v>
                </c:pt>
                <c:pt idx="1752">
                  <c:v>7.3007584672659082E-2</c:v>
                </c:pt>
                <c:pt idx="1753">
                  <c:v>7.3103396802055354E-2</c:v>
                </c:pt>
                <c:pt idx="1754">
                  <c:v>7.3199313758726681E-2</c:v>
                </c:pt>
                <c:pt idx="1755">
                  <c:v>7.3295230715398008E-2</c:v>
                </c:pt>
                <c:pt idx="1756">
                  <c:v>7.3391147672069335E-2</c:v>
                </c:pt>
                <c:pt idx="1757">
                  <c:v>7.3487169456015702E-2</c:v>
                </c:pt>
                <c:pt idx="1758">
                  <c:v>7.358319123996207E-2</c:v>
                </c:pt>
                <c:pt idx="1759">
                  <c:v>7.3679213023908438E-2</c:v>
                </c:pt>
                <c:pt idx="1760">
                  <c:v>7.3775444462404915E-2</c:v>
                </c:pt>
                <c:pt idx="1761">
                  <c:v>7.3871675900901393E-2</c:v>
                </c:pt>
                <c:pt idx="1762">
                  <c:v>7.396790733939787E-2</c:v>
                </c:pt>
                <c:pt idx="1763">
                  <c:v>7.4064243605169403E-2</c:v>
                </c:pt>
                <c:pt idx="1764">
                  <c:v>7.4160579870940935E-2</c:v>
                </c:pt>
                <c:pt idx="1765">
                  <c:v>7.4257020963987508E-2</c:v>
                </c:pt>
                <c:pt idx="1766">
                  <c:v>7.4353462057034081E-2</c:v>
                </c:pt>
                <c:pt idx="1767">
                  <c:v>7.4450007977355709E-2</c:v>
                </c:pt>
                <c:pt idx="1768">
                  <c:v>7.4546553897677337E-2</c:v>
                </c:pt>
                <c:pt idx="1769">
                  <c:v>7.4643204645274019E-2</c:v>
                </c:pt>
                <c:pt idx="1770">
                  <c:v>7.4740065047420798E-2</c:v>
                </c:pt>
                <c:pt idx="1771">
                  <c:v>7.4836925449567576E-2</c:v>
                </c:pt>
                <c:pt idx="1772">
                  <c:v>7.4933890678989409E-2</c:v>
                </c:pt>
                <c:pt idx="1773">
                  <c:v>7.5030960735686283E-2</c:v>
                </c:pt>
                <c:pt idx="1774">
                  <c:v>7.5128030792383158E-2</c:v>
                </c:pt>
                <c:pt idx="1775">
                  <c:v>7.5225100849080032E-2</c:v>
                </c:pt>
                <c:pt idx="1776">
                  <c:v>7.5322170905776906E-2</c:v>
                </c:pt>
                <c:pt idx="1777">
                  <c:v>7.5419345789748835E-2</c:v>
                </c:pt>
                <c:pt idx="1778">
                  <c:v>7.5516520673720763E-2</c:v>
                </c:pt>
                <c:pt idx="1779">
                  <c:v>7.5614010039517843E-2</c:v>
                </c:pt>
                <c:pt idx="1780">
                  <c:v>7.5711709059865032E-2</c:v>
                </c:pt>
                <c:pt idx="1781">
                  <c:v>7.5809617734762316E-2</c:v>
                </c:pt>
                <c:pt idx="1782">
                  <c:v>7.5907736064209697E-2</c:v>
                </c:pt>
                <c:pt idx="1783">
                  <c:v>7.6006064048207186E-2</c:v>
                </c:pt>
                <c:pt idx="1784">
                  <c:v>7.6104392032204676E-2</c:v>
                </c:pt>
                <c:pt idx="1785">
                  <c:v>7.6202824843477221E-2</c:v>
                </c:pt>
                <c:pt idx="1786">
                  <c:v>7.6301362482024807E-2</c:v>
                </c:pt>
                <c:pt idx="1787">
                  <c:v>7.6400004947847447E-2</c:v>
                </c:pt>
                <c:pt idx="1788">
                  <c:v>7.6498647413670087E-2</c:v>
                </c:pt>
                <c:pt idx="1789">
                  <c:v>7.6597289879492728E-2</c:v>
                </c:pt>
                <c:pt idx="1790">
                  <c:v>7.6696037172590423E-2</c:v>
                </c:pt>
                <c:pt idx="1791">
                  <c:v>7.6794784465688118E-2</c:v>
                </c:pt>
                <c:pt idx="1792">
                  <c:v>7.6893636586060854E-2</c:v>
                </c:pt>
                <c:pt idx="1793">
                  <c:v>7.69926983609837E-2</c:v>
                </c:pt>
                <c:pt idx="1794">
                  <c:v>7.7091760135906545E-2</c:v>
                </c:pt>
                <c:pt idx="1795">
                  <c:v>7.7190926738104432E-2</c:v>
                </c:pt>
                <c:pt idx="1796">
                  <c:v>7.7290093340302318E-2</c:v>
                </c:pt>
                <c:pt idx="1797">
                  <c:v>7.738936476977526E-2</c:v>
                </c:pt>
                <c:pt idx="1798">
                  <c:v>7.7488636199248201E-2</c:v>
                </c:pt>
                <c:pt idx="1799">
                  <c:v>7.7587907628721142E-2</c:v>
                </c:pt>
                <c:pt idx="1800">
                  <c:v>7.7687388712744193E-2</c:v>
                </c:pt>
                <c:pt idx="1801">
                  <c:v>7.7786974624042285E-2</c:v>
                </c:pt>
                <c:pt idx="1802">
                  <c:v>7.7886770189890486E-2</c:v>
                </c:pt>
                <c:pt idx="1803">
                  <c:v>7.7986565755738688E-2</c:v>
                </c:pt>
                <c:pt idx="1804">
                  <c:v>7.8086361321586889E-2</c:v>
                </c:pt>
                <c:pt idx="1805">
                  <c:v>7.8186366541985186E-2</c:v>
                </c:pt>
                <c:pt idx="1806">
                  <c:v>7.8286686244208634E-2</c:v>
                </c:pt>
                <c:pt idx="1807">
                  <c:v>7.8387005946432081E-2</c:v>
                </c:pt>
                <c:pt idx="1808">
                  <c:v>7.8487849785030789E-2</c:v>
                </c:pt>
                <c:pt idx="1809">
                  <c:v>7.8588798450904537E-2</c:v>
                </c:pt>
                <c:pt idx="1810">
                  <c:v>7.8689956771328395E-2</c:v>
                </c:pt>
                <c:pt idx="1811">
                  <c:v>7.8791115091752253E-2</c:v>
                </c:pt>
                <c:pt idx="1812">
                  <c:v>7.8892378239451152E-2</c:v>
                </c:pt>
                <c:pt idx="1813">
                  <c:v>7.8993746214425106E-2</c:v>
                </c:pt>
                <c:pt idx="1814">
                  <c:v>7.909532384394917E-2</c:v>
                </c:pt>
                <c:pt idx="1815">
                  <c:v>7.9197006300748274E-2</c:v>
                </c:pt>
                <c:pt idx="1816">
                  <c:v>7.9298793584822433E-2</c:v>
                </c:pt>
                <c:pt idx="1817">
                  <c:v>7.9400790523446688E-2</c:v>
                </c:pt>
                <c:pt idx="1818">
                  <c:v>7.9502787462070942E-2</c:v>
                </c:pt>
                <c:pt idx="1819">
                  <c:v>7.9604784400695197E-2</c:v>
                </c:pt>
                <c:pt idx="1820">
                  <c:v>7.9706781339319452E-2</c:v>
                </c:pt>
                <c:pt idx="1821">
                  <c:v>7.9808778277943707E-2</c:v>
                </c:pt>
                <c:pt idx="1822">
                  <c:v>7.9910775216567961E-2</c:v>
                </c:pt>
                <c:pt idx="1823">
                  <c:v>8.0012981809742326E-2</c:v>
                </c:pt>
                <c:pt idx="1824">
                  <c:v>8.0115293230191731E-2</c:v>
                </c:pt>
                <c:pt idx="1825">
                  <c:v>8.0217604650641136E-2</c:v>
                </c:pt>
                <c:pt idx="1826">
                  <c:v>8.0320020898365596E-2</c:v>
                </c:pt>
                <c:pt idx="1827">
                  <c:v>8.0422646800640166E-2</c:v>
                </c:pt>
                <c:pt idx="1828">
                  <c:v>8.0525377530189776E-2</c:v>
                </c:pt>
                <c:pt idx="1829">
                  <c:v>8.0628527568839592E-2</c:v>
                </c:pt>
                <c:pt idx="1830">
                  <c:v>8.0731677607489408E-2</c:v>
                </c:pt>
                <c:pt idx="1831">
                  <c:v>8.0834827646139223E-2</c:v>
                </c:pt>
                <c:pt idx="1832">
                  <c:v>8.0938082512064094E-2</c:v>
                </c:pt>
                <c:pt idx="1833">
                  <c:v>8.1041442205264005E-2</c:v>
                </c:pt>
                <c:pt idx="1834">
                  <c:v>8.1144801898463917E-2</c:v>
                </c:pt>
                <c:pt idx="1835">
                  <c:v>8.1248266418938883E-2</c:v>
                </c:pt>
                <c:pt idx="1836">
                  <c:v>8.1351940593963959E-2</c:v>
                </c:pt>
                <c:pt idx="1837">
                  <c:v>8.1455614768989035E-2</c:v>
                </c:pt>
                <c:pt idx="1838">
                  <c:v>8.1559498598564206E-2</c:v>
                </c:pt>
                <c:pt idx="1839">
                  <c:v>8.1663592082689473E-2</c:v>
                </c:pt>
                <c:pt idx="1840">
                  <c:v>8.1767685566814741E-2</c:v>
                </c:pt>
                <c:pt idx="1841">
                  <c:v>8.1871883878215063E-2</c:v>
                </c:pt>
                <c:pt idx="1842">
                  <c:v>8.1976396671440535E-2</c:v>
                </c:pt>
                <c:pt idx="1843">
                  <c:v>8.2080909464666008E-2</c:v>
                </c:pt>
                <c:pt idx="1844">
                  <c:v>8.218563191244159E-2</c:v>
                </c:pt>
                <c:pt idx="1845">
                  <c:v>8.2290459187492213E-2</c:v>
                </c:pt>
                <c:pt idx="1846">
                  <c:v>8.2395496117092945E-2</c:v>
                </c:pt>
                <c:pt idx="1847">
                  <c:v>8.2500533046693678E-2</c:v>
                </c:pt>
                <c:pt idx="1848">
                  <c:v>8.2605674803569451E-2</c:v>
                </c:pt>
                <c:pt idx="1849">
                  <c:v>8.2710921387720279E-2</c:v>
                </c:pt>
                <c:pt idx="1850">
                  <c:v>8.2816272799146162E-2</c:v>
                </c:pt>
                <c:pt idx="1851">
                  <c:v>8.2921729037847086E-2</c:v>
                </c:pt>
                <c:pt idx="1852">
                  <c:v>8.3027290103823065E-2</c:v>
                </c:pt>
                <c:pt idx="1853">
                  <c:v>8.3132851169799044E-2</c:v>
                </c:pt>
                <c:pt idx="1854">
                  <c:v>8.3238517063050077E-2</c:v>
                </c:pt>
                <c:pt idx="1855">
                  <c:v>8.3344182956301111E-2</c:v>
                </c:pt>
                <c:pt idx="1856">
                  <c:v>8.3449848849552144E-2</c:v>
                </c:pt>
                <c:pt idx="1857">
                  <c:v>8.3555514742803177E-2</c:v>
                </c:pt>
                <c:pt idx="1858">
                  <c:v>8.3661390290604307E-2</c:v>
                </c:pt>
                <c:pt idx="1859">
                  <c:v>8.3767580320230586E-2</c:v>
                </c:pt>
                <c:pt idx="1860">
                  <c:v>8.3873770349856866E-2</c:v>
                </c:pt>
                <c:pt idx="1861">
                  <c:v>8.39800652067582E-2</c:v>
                </c:pt>
                <c:pt idx="1862">
                  <c:v>8.4086360063659535E-2</c:v>
                </c:pt>
                <c:pt idx="1863">
                  <c:v>8.4192759747835924E-2</c:v>
                </c:pt>
                <c:pt idx="1864">
                  <c:v>8.4299159432012313E-2</c:v>
                </c:pt>
                <c:pt idx="1865">
                  <c:v>8.4405663943463743E-2</c:v>
                </c:pt>
                <c:pt idx="1866">
                  <c:v>8.4512273282190228E-2</c:v>
                </c:pt>
                <c:pt idx="1867">
                  <c:v>8.4618882620916713E-2</c:v>
                </c:pt>
                <c:pt idx="1868">
                  <c:v>8.4726016096018458E-2</c:v>
                </c:pt>
                <c:pt idx="1869">
                  <c:v>8.4833149571120203E-2</c:v>
                </c:pt>
                <c:pt idx="1870">
                  <c:v>8.4940387873496989E-2</c:v>
                </c:pt>
                <c:pt idx="1871">
                  <c:v>8.504773100314883E-2</c:v>
                </c:pt>
                <c:pt idx="1872">
                  <c:v>8.5155074132800671E-2</c:v>
                </c:pt>
                <c:pt idx="1873">
                  <c:v>8.5262417262452511E-2</c:v>
                </c:pt>
                <c:pt idx="1874">
                  <c:v>8.5369970046654448E-2</c:v>
                </c:pt>
                <c:pt idx="1875">
                  <c:v>8.5477522830856384E-2</c:v>
                </c:pt>
                <c:pt idx="1876">
                  <c:v>8.558507561505832E-2</c:v>
                </c:pt>
                <c:pt idx="1877">
                  <c:v>8.5692733226535311E-2</c:v>
                </c:pt>
                <c:pt idx="1878">
                  <c:v>8.5800495665287357E-2</c:v>
                </c:pt>
                <c:pt idx="1879">
                  <c:v>8.5908572585864554E-2</c:v>
                </c:pt>
                <c:pt idx="1880">
                  <c:v>8.6016754333716805E-2</c:v>
                </c:pt>
                <c:pt idx="1881">
                  <c:v>8.6125145736119152E-2</c:v>
                </c:pt>
                <c:pt idx="1882">
                  <c:v>8.6233537138521499E-2</c:v>
                </c:pt>
                <c:pt idx="1883">
                  <c:v>8.6342033368198901E-2</c:v>
                </c:pt>
                <c:pt idx="1884">
                  <c:v>8.6450948906976507E-2</c:v>
                </c:pt>
                <c:pt idx="1885">
                  <c:v>8.656007410030421E-2</c:v>
                </c:pt>
                <c:pt idx="1886">
                  <c:v>8.6669513775457063E-2</c:v>
                </c:pt>
                <c:pt idx="1887">
                  <c:v>8.6778953450609916E-2</c:v>
                </c:pt>
                <c:pt idx="1888">
                  <c:v>8.6889126916688125E-2</c:v>
                </c:pt>
                <c:pt idx="1889">
                  <c:v>8.6999300382766334E-2</c:v>
                </c:pt>
                <c:pt idx="1890">
                  <c:v>8.7109788330669694E-2</c:v>
                </c:pt>
                <c:pt idx="1891">
                  <c:v>8.7220276278573053E-2</c:v>
                </c:pt>
                <c:pt idx="1892">
                  <c:v>8.7330869053751467E-2</c:v>
                </c:pt>
                <c:pt idx="1893">
                  <c:v>8.7441566656204922E-2</c:v>
                </c:pt>
                <c:pt idx="1894">
                  <c:v>8.7552578740483541E-2</c:v>
                </c:pt>
                <c:pt idx="1895">
                  <c:v>8.7663800479312257E-2</c:v>
                </c:pt>
                <c:pt idx="1896">
                  <c:v>8.7775127045416027E-2</c:v>
                </c:pt>
                <c:pt idx="1897">
                  <c:v>8.7886453611519796E-2</c:v>
                </c:pt>
                <c:pt idx="1898">
                  <c:v>8.7997989832173662E-2</c:v>
                </c:pt>
                <c:pt idx="1899">
                  <c:v>8.8109526052827528E-2</c:v>
                </c:pt>
                <c:pt idx="1900">
                  <c:v>8.8221062273481393E-2</c:v>
                </c:pt>
                <c:pt idx="1901">
                  <c:v>8.8332808148685354E-2</c:v>
                </c:pt>
                <c:pt idx="1902">
                  <c:v>8.8444658851164371E-2</c:v>
                </c:pt>
                <c:pt idx="1903">
                  <c:v>8.8556509553643387E-2</c:v>
                </c:pt>
                <c:pt idx="1904">
                  <c:v>8.8668465083397457E-2</c:v>
                </c:pt>
                <c:pt idx="1905">
                  <c:v>8.8780525440426583E-2</c:v>
                </c:pt>
                <c:pt idx="1906">
                  <c:v>8.8892795452005804E-2</c:v>
                </c:pt>
                <c:pt idx="1907">
                  <c:v>8.9005170290860081E-2</c:v>
                </c:pt>
                <c:pt idx="1908">
                  <c:v>8.9117649956989398E-2</c:v>
                </c:pt>
                <c:pt idx="1909">
                  <c:v>8.9230234450393769E-2</c:v>
                </c:pt>
                <c:pt idx="1910">
                  <c:v>8.9343133425623292E-2</c:v>
                </c:pt>
                <c:pt idx="1911">
                  <c:v>8.9456032400852814E-2</c:v>
                </c:pt>
                <c:pt idx="1912">
                  <c:v>8.9569141030632446E-2</c:v>
                </c:pt>
                <c:pt idx="1913">
                  <c:v>8.9682354487687119E-2</c:v>
                </c:pt>
                <c:pt idx="1914">
                  <c:v>8.9795567944741791E-2</c:v>
                </c:pt>
                <c:pt idx="1915">
                  <c:v>8.9909095883621615E-2</c:v>
                </c:pt>
                <c:pt idx="1916">
                  <c:v>9.0022833477051548E-2</c:v>
                </c:pt>
                <c:pt idx="1917">
                  <c:v>9.0136675897756521E-2</c:v>
                </c:pt>
                <c:pt idx="1918">
                  <c:v>9.0250727973011605E-2</c:v>
                </c:pt>
                <c:pt idx="1919">
                  <c:v>9.0364884875541743E-2</c:v>
                </c:pt>
                <c:pt idx="1920">
                  <c:v>9.0479041778071881E-2</c:v>
                </c:pt>
                <c:pt idx="1921">
                  <c:v>9.059330350787706E-2</c:v>
                </c:pt>
                <c:pt idx="1922">
                  <c:v>9.0707774892232348E-2</c:v>
                </c:pt>
                <c:pt idx="1923">
                  <c:v>9.0822351103862678E-2</c:v>
                </c:pt>
                <c:pt idx="1924">
                  <c:v>9.0936927315493007E-2</c:v>
                </c:pt>
                <c:pt idx="1925">
                  <c:v>9.1051713181673447E-2</c:v>
                </c:pt>
                <c:pt idx="1926">
                  <c:v>9.1166499047853886E-2</c:v>
                </c:pt>
                <c:pt idx="1927">
                  <c:v>9.1281284914034325E-2</c:v>
                </c:pt>
                <c:pt idx="1928">
                  <c:v>9.1396175607489805E-2</c:v>
                </c:pt>
                <c:pt idx="1929">
                  <c:v>9.1511171128220339E-2</c:v>
                </c:pt>
                <c:pt idx="1930">
                  <c:v>9.1626271476225929E-2</c:v>
                </c:pt>
                <c:pt idx="1931">
                  <c:v>9.1741791133331724E-2</c:v>
                </c:pt>
                <c:pt idx="1932">
                  <c:v>9.1857520444987614E-2</c:v>
                </c:pt>
                <c:pt idx="1933">
                  <c:v>9.197335458391856E-2</c:v>
                </c:pt>
                <c:pt idx="1934">
                  <c:v>9.2089188722849505E-2</c:v>
                </c:pt>
                <c:pt idx="1935">
                  <c:v>9.220502286178045E-2</c:v>
                </c:pt>
                <c:pt idx="1936">
                  <c:v>9.2320857000711395E-2</c:v>
                </c:pt>
                <c:pt idx="1937">
                  <c:v>9.2437005621467491E-2</c:v>
                </c:pt>
                <c:pt idx="1938">
                  <c:v>9.2553259069498642E-2</c:v>
                </c:pt>
                <c:pt idx="1939">
                  <c:v>9.2669512517529792E-2</c:v>
                </c:pt>
                <c:pt idx="1940">
                  <c:v>9.2786185274661134E-2</c:v>
                </c:pt>
                <c:pt idx="1941">
                  <c:v>9.2902858031792476E-2</c:v>
                </c:pt>
                <c:pt idx="1942">
                  <c:v>9.3019635616198873E-2</c:v>
                </c:pt>
                <c:pt idx="1943">
                  <c:v>9.3136622855155365E-2</c:v>
                </c:pt>
                <c:pt idx="1944">
                  <c:v>9.3253610094111858E-2</c:v>
                </c:pt>
                <c:pt idx="1945">
                  <c:v>9.337080698761846E-2</c:v>
                </c:pt>
                <c:pt idx="1946">
                  <c:v>9.3488108708400117E-2</c:v>
                </c:pt>
                <c:pt idx="1947">
                  <c:v>9.3605620083731869E-2</c:v>
                </c:pt>
                <c:pt idx="1948">
                  <c:v>9.3724179731814128E-2</c:v>
                </c:pt>
                <c:pt idx="1949">
                  <c:v>9.3842844207171441E-2</c:v>
                </c:pt>
                <c:pt idx="1950">
                  <c:v>9.3962347300729152E-2</c:v>
                </c:pt>
                <c:pt idx="1951">
                  <c:v>9.4081850394286862E-2</c:v>
                </c:pt>
                <c:pt idx="1952">
                  <c:v>9.4201458315119627E-2</c:v>
                </c:pt>
                <c:pt idx="1953">
                  <c:v>9.4321171063227446E-2</c:v>
                </c:pt>
                <c:pt idx="1954">
                  <c:v>9.4440883811335266E-2</c:v>
                </c:pt>
                <c:pt idx="1955">
                  <c:v>9.4560701386718127E-2</c:v>
                </c:pt>
                <c:pt idx="1956">
                  <c:v>9.4680518962100987E-2</c:v>
                </c:pt>
                <c:pt idx="1957">
                  <c:v>9.4800441364758903E-2</c:v>
                </c:pt>
                <c:pt idx="1958">
                  <c:v>9.4920678249241969E-2</c:v>
                </c:pt>
                <c:pt idx="1959">
                  <c:v>9.5041019961000089E-2</c:v>
                </c:pt>
                <c:pt idx="1960">
                  <c:v>9.5161466500033265E-2</c:v>
                </c:pt>
                <c:pt idx="1961">
                  <c:v>9.5282017866341481E-2</c:v>
                </c:pt>
                <c:pt idx="1962">
                  <c:v>9.5402674059924752E-2</c:v>
                </c:pt>
                <c:pt idx="1963">
                  <c:v>9.5523749562608229E-2</c:v>
                </c:pt>
                <c:pt idx="1964">
                  <c:v>9.5644929892566746E-2</c:v>
                </c:pt>
                <c:pt idx="1965">
                  <c:v>9.5766110222525264E-2</c:v>
                </c:pt>
                <c:pt idx="1966">
                  <c:v>9.5887605034308945E-2</c:v>
                </c:pt>
                <c:pt idx="1967">
                  <c:v>9.6009204673367668E-2</c:v>
                </c:pt>
                <c:pt idx="1968">
                  <c:v>9.6130909139701445E-2</c:v>
                </c:pt>
                <c:pt idx="1969">
                  <c:v>9.6252823260585318E-2</c:v>
                </c:pt>
                <c:pt idx="1970">
                  <c:v>9.6374842208744246E-2</c:v>
                </c:pt>
                <c:pt idx="1971">
                  <c:v>9.649707081145327E-2</c:v>
                </c:pt>
                <c:pt idx="1972">
                  <c:v>9.6619299414162294E-2</c:v>
                </c:pt>
                <c:pt idx="1973">
                  <c:v>9.6741632844146372E-2</c:v>
                </c:pt>
                <c:pt idx="1974">
                  <c:v>9.6864071101405505E-2</c:v>
                </c:pt>
                <c:pt idx="1975">
                  <c:v>9.6986509358664638E-2</c:v>
                </c:pt>
                <c:pt idx="1976">
                  <c:v>9.7109052443198826E-2</c:v>
                </c:pt>
                <c:pt idx="1977">
                  <c:v>9.7231700355008055E-2</c:v>
                </c:pt>
                <c:pt idx="1978">
                  <c:v>9.7354453094092339E-2</c:v>
                </c:pt>
                <c:pt idx="1979">
                  <c:v>9.7477415487726718E-2</c:v>
                </c:pt>
                <c:pt idx="1980">
                  <c:v>9.7600377881361097E-2</c:v>
                </c:pt>
                <c:pt idx="1981">
                  <c:v>9.7723445102270531E-2</c:v>
                </c:pt>
                <c:pt idx="1982">
                  <c:v>9.7846512323179965E-2</c:v>
                </c:pt>
                <c:pt idx="1983">
                  <c:v>9.79695795440894E-2</c:v>
                </c:pt>
                <c:pt idx="1984">
                  <c:v>9.8092751592273889E-2</c:v>
                </c:pt>
                <c:pt idx="1985">
                  <c:v>9.8216028467733418E-2</c:v>
                </c:pt>
                <c:pt idx="1986">
                  <c:v>9.8339410170468003E-2</c:v>
                </c:pt>
                <c:pt idx="1987">
                  <c:v>9.8462791873202588E-2</c:v>
                </c:pt>
                <c:pt idx="1988">
                  <c:v>9.8586278403212227E-2</c:v>
                </c:pt>
                <c:pt idx="1989">
                  <c:v>9.8709869760496921E-2</c:v>
                </c:pt>
                <c:pt idx="1990">
                  <c:v>9.8833461117781615E-2</c:v>
                </c:pt>
                <c:pt idx="1991">
                  <c:v>9.8957786265991651E-2</c:v>
                </c:pt>
                <c:pt idx="1992">
                  <c:v>9.9082216241476742E-2</c:v>
                </c:pt>
                <c:pt idx="1993">
                  <c:v>9.9206960698786983E-2</c:v>
                </c:pt>
                <c:pt idx="1994">
                  <c:v>9.9332963083397841E-2</c:v>
                </c:pt>
                <c:pt idx="1995">
                  <c:v>9.9458965468008698E-2</c:v>
                </c:pt>
                <c:pt idx="1996">
                  <c:v>9.9584967852619555E-2</c:v>
                </c:pt>
                <c:pt idx="1997">
                  <c:v>9.9711179891780508E-2</c:v>
                </c:pt>
                <c:pt idx="1998">
                  <c:v>9.983739193094146E-2</c:v>
                </c:pt>
                <c:pt idx="1999">
                  <c:v>9.9963603970102413E-2</c:v>
                </c:pt>
                <c:pt idx="2000">
                  <c:v>0.10008992083653842</c:v>
                </c:pt>
                <c:pt idx="2001">
                  <c:v>0.10021623770297443</c:v>
                </c:pt>
                <c:pt idx="2002">
                  <c:v>0.10034265939668548</c:v>
                </c:pt>
                <c:pt idx="2003">
                  <c:v>0.10046981488132188</c:v>
                </c:pt>
                <c:pt idx="2004">
                  <c:v>0.10059707519323334</c:v>
                </c:pt>
                <c:pt idx="2005">
                  <c:v>0.10072454515969489</c:v>
                </c:pt>
                <c:pt idx="2006">
                  <c:v>0.1008521199534315</c:v>
                </c:pt>
                <c:pt idx="2007">
                  <c:v>0.10098000922899326</c:v>
                </c:pt>
                <c:pt idx="2008">
                  <c:v>0.10110810815910513</c:v>
                </c:pt>
                <c:pt idx="2009">
                  <c:v>0.10123631191649204</c:v>
                </c:pt>
                <c:pt idx="2010">
                  <c:v>0.10136462050115401</c:v>
                </c:pt>
                <c:pt idx="2011">
                  <c:v>0.10149292908581597</c:v>
                </c:pt>
                <c:pt idx="2012">
                  <c:v>0.10162134249775299</c:v>
                </c:pt>
                <c:pt idx="2013">
                  <c:v>0.10174975590969002</c:v>
                </c:pt>
                <c:pt idx="2014">
                  <c:v>0.10187827414890208</c:v>
                </c:pt>
                <c:pt idx="2015">
                  <c:v>0.1020071068699393</c:v>
                </c:pt>
                <c:pt idx="2016">
                  <c:v>0.10213593959097653</c:v>
                </c:pt>
                <c:pt idx="2017">
                  <c:v>0.10226498196656385</c:v>
                </c:pt>
                <c:pt idx="2018">
                  <c:v>0.10239402434215117</c:v>
                </c:pt>
                <c:pt idx="2019">
                  <c:v>0.10252317154501354</c:v>
                </c:pt>
                <c:pt idx="2020">
                  <c:v>0.10265231874787592</c:v>
                </c:pt>
                <c:pt idx="2021">
                  <c:v>0.10278157077801334</c:v>
                </c:pt>
                <c:pt idx="2022">
                  <c:v>0.10291082280815075</c:v>
                </c:pt>
                <c:pt idx="2023">
                  <c:v>0.10304017966556323</c:v>
                </c:pt>
                <c:pt idx="2024">
                  <c:v>0.1031695365229757</c:v>
                </c:pt>
                <c:pt idx="2025">
                  <c:v>0.10329889338038817</c:v>
                </c:pt>
                <c:pt idx="2026">
                  <c:v>0.10342835506507569</c:v>
                </c:pt>
                <c:pt idx="2027">
                  <c:v>0.10355823605886343</c:v>
                </c:pt>
                <c:pt idx="2028">
                  <c:v>0.1036882218799262</c:v>
                </c:pt>
                <c:pt idx="2029">
                  <c:v>0.10381820770098897</c:v>
                </c:pt>
                <c:pt idx="2030">
                  <c:v>0.10394819352205174</c:v>
                </c:pt>
                <c:pt idx="2031">
                  <c:v>0.10407828417038957</c:v>
                </c:pt>
                <c:pt idx="2032">
                  <c:v>0.10420868930055255</c:v>
                </c:pt>
                <c:pt idx="2033">
                  <c:v>0.10433951373981573</c:v>
                </c:pt>
                <c:pt idx="2034">
                  <c:v>0.10447033817907891</c:v>
                </c:pt>
                <c:pt idx="2035">
                  <c:v>0.10460137227289219</c:v>
                </c:pt>
                <c:pt idx="2036">
                  <c:v>0.10473261602125558</c:v>
                </c:pt>
                <c:pt idx="2037">
                  <c:v>0.10486406942416907</c:v>
                </c:pt>
                <c:pt idx="2038">
                  <c:v>0.10499604696345781</c:v>
                </c:pt>
                <c:pt idx="2039">
                  <c:v>0.1051283389845717</c:v>
                </c:pt>
                <c:pt idx="2040">
                  <c:v>0.10526084066023569</c:v>
                </c:pt>
                <c:pt idx="2041">
                  <c:v>0.10539355199044979</c:v>
                </c:pt>
                <c:pt idx="2042">
                  <c:v>0.10552647297521399</c:v>
                </c:pt>
                <c:pt idx="2043">
                  <c:v>0.10565949878725324</c:v>
                </c:pt>
                <c:pt idx="2044">
                  <c:v>0.10579336321749289</c:v>
                </c:pt>
                <c:pt idx="2045">
                  <c:v>0.10592733247500759</c:v>
                </c:pt>
                <c:pt idx="2046">
                  <c:v>0.10606130173252229</c:v>
                </c:pt>
                <c:pt idx="2047">
                  <c:v>0.10619548064458709</c:v>
                </c:pt>
                <c:pt idx="2048">
                  <c:v>0.10632976438392694</c:v>
                </c:pt>
                <c:pt idx="2049">
                  <c:v>0.10646415295054185</c:v>
                </c:pt>
                <c:pt idx="2050">
                  <c:v>0.10659854151715675</c:v>
                </c:pt>
                <c:pt idx="2051">
                  <c:v>0.10673293008377166</c:v>
                </c:pt>
                <c:pt idx="2052">
                  <c:v>0.10686805244131192</c:v>
                </c:pt>
                <c:pt idx="2053">
                  <c:v>0.10700338445340228</c:v>
                </c:pt>
                <c:pt idx="2054">
                  <c:v>0.10713903094731779</c:v>
                </c:pt>
                <c:pt idx="2055">
                  <c:v>0.10727478226850835</c:v>
                </c:pt>
                <c:pt idx="2056">
                  <c:v>0.10741053358969892</c:v>
                </c:pt>
                <c:pt idx="2057">
                  <c:v>0.10754628491088948</c:v>
                </c:pt>
                <c:pt idx="2058">
                  <c:v>0.10768224588663014</c:v>
                </c:pt>
                <c:pt idx="2059">
                  <c:v>0.1078182068623708</c:v>
                </c:pt>
                <c:pt idx="2060">
                  <c:v>0.10795416783811146</c:v>
                </c:pt>
                <c:pt idx="2061">
                  <c:v>0.10809023364112717</c:v>
                </c:pt>
                <c:pt idx="2062">
                  <c:v>0.10822650909869298</c:v>
                </c:pt>
                <c:pt idx="2063">
                  <c:v>0.10836278455625879</c:v>
                </c:pt>
                <c:pt idx="2064">
                  <c:v>0.10849916484109966</c:v>
                </c:pt>
                <c:pt idx="2065">
                  <c:v>0.10863606926231578</c:v>
                </c:pt>
                <c:pt idx="2066">
                  <c:v>0.10877307851080695</c:v>
                </c:pt>
                <c:pt idx="2067">
                  <c:v>0.10891019258657317</c:v>
                </c:pt>
                <c:pt idx="2068">
                  <c:v>0.10904751631688948</c:v>
                </c:pt>
                <c:pt idx="2069">
                  <c:v>0.10918494487448085</c:v>
                </c:pt>
                <c:pt idx="2070">
                  <c:v>0.10932268791389738</c:v>
                </c:pt>
                <c:pt idx="2071">
                  <c:v>0.10946053578058895</c:v>
                </c:pt>
                <c:pt idx="2072">
                  <c:v>0.10959848847455558</c:v>
                </c:pt>
                <c:pt idx="2073">
                  <c:v>0.10973654599579725</c:v>
                </c:pt>
                <c:pt idx="2074">
                  <c:v>0.10987491799886408</c:v>
                </c:pt>
                <c:pt idx="2075">
                  <c:v>0.11001339482920595</c:v>
                </c:pt>
                <c:pt idx="2076">
                  <c:v>0.11015197648682289</c:v>
                </c:pt>
                <c:pt idx="2077">
                  <c:v>0.11029076779898991</c:v>
                </c:pt>
                <c:pt idx="2078">
                  <c:v>0.110429663938432</c:v>
                </c:pt>
                <c:pt idx="2079">
                  <c:v>0.11056876973242417</c:v>
                </c:pt>
                <c:pt idx="2080">
                  <c:v>0.1107081900082415</c:v>
                </c:pt>
                <c:pt idx="2081">
                  <c:v>0.11084761028405883</c:v>
                </c:pt>
                <c:pt idx="2082">
                  <c:v>0.11098724021442627</c:v>
                </c:pt>
                <c:pt idx="2083">
                  <c:v>0.11112687014479371</c:v>
                </c:pt>
                <c:pt idx="2084">
                  <c:v>0.11126670972971124</c:v>
                </c:pt>
                <c:pt idx="2085">
                  <c:v>0.11140749276010423</c:v>
                </c:pt>
                <c:pt idx="2086">
                  <c:v>0.11154848544504732</c:v>
                </c:pt>
                <c:pt idx="2087">
                  <c:v>0.11168958295726547</c:v>
                </c:pt>
                <c:pt idx="2088">
                  <c:v>0.11183099495130877</c:v>
                </c:pt>
                <c:pt idx="2089">
                  <c:v>0.11197272142717722</c:v>
                </c:pt>
                <c:pt idx="2090">
                  <c:v>0.11211455273032071</c:v>
                </c:pt>
                <c:pt idx="2091">
                  <c:v>0.11225648886073926</c:v>
                </c:pt>
                <c:pt idx="2092">
                  <c:v>0.11239863464570791</c:v>
                </c:pt>
                <c:pt idx="2093">
                  <c:v>0.11254099008522667</c:v>
                </c:pt>
                <c:pt idx="2094">
                  <c:v>0.11268355517929551</c:v>
                </c:pt>
                <c:pt idx="2095">
                  <c:v>0.11282632992791447</c:v>
                </c:pt>
                <c:pt idx="2096">
                  <c:v>0.11296931433108352</c:v>
                </c:pt>
                <c:pt idx="2097">
                  <c:v>0.11311250838880268</c:v>
                </c:pt>
                <c:pt idx="2098">
                  <c:v>0.11325570244652185</c:v>
                </c:pt>
                <c:pt idx="2099">
                  <c:v>0.11339900133151605</c:v>
                </c:pt>
                <c:pt idx="2100">
                  <c:v>0.11354282435288551</c:v>
                </c:pt>
                <c:pt idx="2101">
                  <c:v>0.11368696185608013</c:v>
                </c:pt>
                <c:pt idx="2102">
                  <c:v>0.11383151866837495</c:v>
                </c:pt>
                <c:pt idx="2103">
                  <c:v>0.11397638996249491</c:v>
                </c:pt>
                <c:pt idx="2104">
                  <c:v>0.11412147091116498</c:v>
                </c:pt>
                <c:pt idx="2105">
                  <c:v>0.1142666566871101</c:v>
                </c:pt>
                <c:pt idx="2106">
                  <c:v>0.11441194729033027</c:v>
                </c:pt>
                <c:pt idx="2107">
                  <c:v>0.11455723789355045</c:v>
                </c:pt>
                <c:pt idx="2108">
                  <c:v>0.11470263332404566</c:v>
                </c:pt>
                <c:pt idx="2109">
                  <c:v>0.11484813358181593</c:v>
                </c:pt>
                <c:pt idx="2110">
                  <c:v>0.11499373866686126</c:v>
                </c:pt>
                <c:pt idx="2111">
                  <c:v>0.11513955340645668</c:v>
                </c:pt>
                <c:pt idx="2112">
                  <c:v>0.11528547297332715</c:v>
                </c:pt>
                <c:pt idx="2113">
                  <c:v>0.11543139254019763</c:v>
                </c:pt>
                <c:pt idx="2114">
                  <c:v>0.11557731210706811</c:v>
                </c:pt>
                <c:pt idx="2115">
                  <c:v>0.11572333650121362</c:v>
                </c:pt>
                <c:pt idx="2116">
                  <c:v>0.11586946572263419</c:v>
                </c:pt>
                <c:pt idx="2117">
                  <c:v>0.11601569977132982</c:v>
                </c:pt>
                <c:pt idx="2118">
                  <c:v>0.11616193382002545</c:v>
                </c:pt>
                <c:pt idx="2119">
                  <c:v>0.11630827269599613</c:v>
                </c:pt>
                <c:pt idx="2120">
                  <c:v>0.1164548212265169</c:v>
                </c:pt>
                <c:pt idx="2121">
                  <c:v>0.11660136975703768</c:v>
                </c:pt>
                <c:pt idx="2122">
                  <c:v>0.11674812794210855</c:v>
                </c:pt>
                <c:pt idx="2123">
                  <c:v>0.11689530543627963</c:v>
                </c:pt>
                <c:pt idx="2124">
                  <c:v>0.11704248293045071</c:v>
                </c:pt>
                <c:pt idx="2125">
                  <c:v>0.11718987007917189</c:v>
                </c:pt>
                <c:pt idx="2126">
                  <c:v>0.11733736205516812</c:v>
                </c:pt>
                <c:pt idx="2127">
                  <c:v>0.11748485403116435</c:v>
                </c:pt>
                <c:pt idx="2128">
                  <c:v>0.11763245083443563</c:v>
                </c:pt>
                <c:pt idx="2129">
                  <c:v>0.11778015246498197</c:v>
                </c:pt>
                <c:pt idx="2130">
                  <c:v>0.11792795892280335</c:v>
                </c:pt>
                <c:pt idx="2131">
                  <c:v>0.11807597503517483</c:v>
                </c:pt>
                <c:pt idx="2132">
                  <c:v>0.11822399114754632</c:v>
                </c:pt>
                <c:pt idx="2133">
                  <c:v>0.11837232174174296</c:v>
                </c:pt>
                <c:pt idx="2134">
                  <c:v>0.1185208619904897</c:v>
                </c:pt>
                <c:pt idx="2135">
                  <c:v>0.11866971672106158</c:v>
                </c:pt>
                <c:pt idx="2136">
                  <c:v>0.11881909558800872</c:v>
                </c:pt>
                <c:pt idx="2137">
                  <c:v>0.11896847445495587</c:v>
                </c:pt>
                <c:pt idx="2138">
                  <c:v>0.11911785332190301</c:v>
                </c:pt>
                <c:pt idx="2139">
                  <c:v>0.11926733701612521</c:v>
                </c:pt>
                <c:pt idx="2140">
                  <c:v>0.11941713519217256</c:v>
                </c:pt>
                <c:pt idx="2141">
                  <c:v>0.11956693336821991</c:v>
                </c:pt>
                <c:pt idx="2142">
                  <c:v>0.1197168363715423</c:v>
                </c:pt>
                <c:pt idx="2143">
                  <c:v>0.11986673937486469</c:v>
                </c:pt>
                <c:pt idx="2144">
                  <c:v>0.12001664237818709</c:v>
                </c:pt>
                <c:pt idx="2145">
                  <c:v>0.12016675503605959</c:v>
                </c:pt>
                <c:pt idx="2146">
                  <c:v>0.12031686769393209</c:v>
                </c:pt>
                <c:pt idx="2147">
                  <c:v>0.12046708517907963</c:v>
                </c:pt>
                <c:pt idx="2148">
                  <c:v>0.12061730266422717</c:v>
                </c:pt>
                <c:pt idx="2149">
                  <c:v>0.12076772980392482</c:v>
                </c:pt>
                <c:pt idx="2150">
                  <c:v>0.12091836659817257</c:v>
                </c:pt>
                <c:pt idx="2151">
                  <c:v>0.12106921304697042</c:v>
                </c:pt>
                <c:pt idx="2152">
                  <c:v>0.12122026915031837</c:v>
                </c:pt>
                <c:pt idx="2153">
                  <c:v>0.12137163973549148</c:v>
                </c:pt>
                <c:pt idx="2154">
                  <c:v>0.12152342962976478</c:v>
                </c:pt>
                <c:pt idx="2155">
                  <c:v>0.12167521952403809</c:v>
                </c:pt>
                <c:pt idx="2156">
                  <c:v>0.12182711424558645</c:v>
                </c:pt>
                <c:pt idx="2157">
                  <c:v>0.12197911379440986</c:v>
                </c:pt>
                <c:pt idx="2158">
                  <c:v>0.12213111334323326</c:v>
                </c:pt>
                <c:pt idx="2159">
                  <c:v>0.12228321771933172</c:v>
                </c:pt>
                <c:pt idx="2160">
                  <c:v>0.12243553174998027</c:v>
                </c:pt>
                <c:pt idx="2161">
                  <c:v>0.12258868439882924</c:v>
                </c:pt>
                <c:pt idx="2162">
                  <c:v>0.1227418370476782</c:v>
                </c:pt>
                <c:pt idx="2163">
                  <c:v>0.12289509452380222</c:v>
                </c:pt>
                <c:pt idx="2164">
                  <c:v>0.12304835199992624</c:v>
                </c:pt>
                <c:pt idx="2165">
                  <c:v>0.1232017143033253</c:v>
                </c:pt>
                <c:pt idx="2166">
                  <c:v>0.12335507660672436</c:v>
                </c:pt>
                <c:pt idx="2167">
                  <c:v>0.12350843891012342</c:v>
                </c:pt>
                <c:pt idx="2168">
                  <c:v>0.12366201086807259</c:v>
                </c:pt>
                <c:pt idx="2169">
                  <c:v>0.12381579248057185</c:v>
                </c:pt>
                <c:pt idx="2170">
                  <c:v>0.12396957409307112</c:v>
                </c:pt>
                <c:pt idx="2171">
                  <c:v>0.12412346053284544</c:v>
                </c:pt>
                <c:pt idx="2172">
                  <c:v>0.12427745179989481</c:v>
                </c:pt>
                <c:pt idx="2173">
                  <c:v>0.12443144306694419</c:v>
                </c:pt>
                <c:pt idx="2174">
                  <c:v>0.12458574881581871</c:v>
                </c:pt>
                <c:pt idx="2175">
                  <c:v>0.12474005456469324</c:v>
                </c:pt>
                <c:pt idx="2176">
                  <c:v>0.12489467479539292</c:v>
                </c:pt>
                <c:pt idx="2177">
                  <c:v>0.12504960950791774</c:v>
                </c:pt>
                <c:pt idx="2178">
                  <c:v>0.12520464904771761</c:v>
                </c:pt>
                <c:pt idx="2179">
                  <c:v>0.12535979341479253</c:v>
                </c:pt>
                <c:pt idx="2180">
                  <c:v>0.12551514743641756</c:v>
                </c:pt>
                <c:pt idx="2181">
                  <c:v>0.12567060628531765</c:v>
                </c:pt>
                <c:pt idx="2182">
                  <c:v>0.12582627478876782</c:v>
                </c:pt>
                <c:pt idx="2183">
                  <c:v>0.12598225777404315</c:v>
                </c:pt>
                <c:pt idx="2184">
                  <c:v>0.12613834558659354</c:v>
                </c:pt>
                <c:pt idx="2185">
                  <c:v>0.12629485270824412</c:v>
                </c:pt>
                <c:pt idx="2186">
                  <c:v>0.12645167431171986</c:v>
                </c:pt>
                <c:pt idx="2187">
                  <c:v>0.1266084959151956</c:v>
                </c:pt>
                <c:pt idx="2188">
                  <c:v>0.12676531751867134</c:v>
                </c:pt>
                <c:pt idx="2189">
                  <c:v>0.12692224394942214</c:v>
                </c:pt>
                <c:pt idx="2190">
                  <c:v>0.12707927520744797</c:v>
                </c:pt>
                <c:pt idx="2191">
                  <c:v>0.12723641129274885</c:v>
                </c:pt>
                <c:pt idx="2192">
                  <c:v>0.12739396668714995</c:v>
                </c:pt>
                <c:pt idx="2193">
                  <c:v>0.1275516269088261</c:v>
                </c:pt>
                <c:pt idx="2194">
                  <c:v>0.12770939195777728</c:v>
                </c:pt>
                <c:pt idx="2195">
                  <c:v>0.12786726183400351</c:v>
                </c:pt>
                <c:pt idx="2196">
                  <c:v>0.12802523653750481</c:v>
                </c:pt>
                <c:pt idx="2197">
                  <c:v>0.1281834208955562</c:v>
                </c:pt>
                <c:pt idx="2198">
                  <c:v>0.12834171008088266</c:v>
                </c:pt>
                <c:pt idx="2199">
                  <c:v>0.12850010409348417</c:v>
                </c:pt>
                <c:pt idx="2200">
                  <c:v>0.12865870776063576</c:v>
                </c:pt>
                <c:pt idx="2201">
                  <c:v>0.12881741625506241</c:v>
                </c:pt>
                <c:pt idx="2202">
                  <c:v>0.12897612474948905</c:v>
                </c:pt>
                <c:pt idx="2203">
                  <c:v>0.1291348332439157</c:v>
                </c:pt>
                <c:pt idx="2204">
                  <c:v>0.12929375139289245</c:v>
                </c:pt>
                <c:pt idx="2205">
                  <c:v>0.12945319367824445</c:v>
                </c:pt>
                <c:pt idx="2206">
                  <c:v>0.12961274079087151</c:v>
                </c:pt>
                <c:pt idx="2207">
                  <c:v>0.12977239273077362</c:v>
                </c:pt>
                <c:pt idx="2208">
                  <c:v>0.12993214949795079</c:v>
                </c:pt>
                <c:pt idx="2209">
                  <c:v>0.13009190626512795</c:v>
                </c:pt>
                <c:pt idx="2210">
                  <c:v>0.13025176785958015</c:v>
                </c:pt>
                <c:pt idx="2211">
                  <c:v>0.13041183910858245</c:v>
                </c:pt>
                <c:pt idx="2212">
                  <c:v>0.13057327311216041</c:v>
                </c:pt>
                <c:pt idx="2213">
                  <c:v>0.13073481194301342</c:v>
                </c:pt>
                <c:pt idx="2214">
                  <c:v>0.13089677008296663</c:v>
                </c:pt>
                <c:pt idx="2215">
                  <c:v>0.13105883305019489</c:v>
                </c:pt>
                <c:pt idx="2216">
                  <c:v>0.1312210008446982</c:v>
                </c:pt>
                <c:pt idx="2217">
                  <c:v>0.13138337829375163</c:v>
                </c:pt>
                <c:pt idx="2218">
                  <c:v>0.13154575574280505</c:v>
                </c:pt>
                <c:pt idx="2219">
                  <c:v>0.13170865732823372</c:v>
                </c:pt>
                <c:pt idx="2220">
                  <c:v>0.1318721878773127</c:v>
                </c:pt>
                <c:pt idx="2221">
                  <c:v>0.13203645221731702</c:v>
                </c:pt>
                <c:pt idx="2222">
                  <c:v>0.13220082138459641</c:v>
                </c:pt>
                <c:pt idx="2223">
                  <c:v>0.13236519055187579</c:v>
                </c:pt>
                <c:pt idx="2224">
                  <c:v>0.13252976937370528</c:v>
                </c:pt>
                <c:pt idx="2225">
                  <c:v>0.13269434819553477</c:v>
                </c:pt>
                <c:pt idx="2226">
                  <c:v>0.13285892701736426</c:v>
                </c:pt>
                <c:pt idx="2227">
                  <c:v>0.13302361066646881</c:v>
                </c:pt>
                <c:pt idx="2228">
                  <c:v>0.13318850397012344</c:v>
                </c:pt>
                <c:pt idx="2229">
                  <c:v>0.13335339727377807</c:v>
                </c:pt>
                <c:pt idx="2230">
                  <c:v>0.13351839540470775</c:v>
                </c:pt>
                <c:pt idx="2231">
                  <c:v>0.13368360319018754</c:v>
                </c:pt>
                <c:pt idx="2232">
                  <c:v>0.13384881097566734</c:v>
                </c:pt>
                <c:pt idx="2233">
                  <c:v>0.13401401876114713</c:v>
                </c:pt>
                <c:pt idx="2234">
                  <c:v>0.13417933137390198</c:v>
                </c:pt>
                <c:pt idx="2235">
                  <c:v>0.13434474881393185</c:v>
                </c:pt>
                <c:pt idx="2236">
                  <c:v>0.13451079521761206</c:v>
                </c:pt>
                <c:pt idx="2237">
                  <c:v>0.13467726093039245</c:v>
                </c:pt>
                <c:pt idx="2238">
                  <c:v>0.13484404112499801</c:v>
                </c:pt>
                <c:pt idx="2239">
                  <c:v>0.13501082131960357</c:v>
                </c:pt>
                <c:pt idx="2240">
                  <c:v>0.13517802082330932</c:v>
                </c:pt>
                <c:pt idx="2241">
                  <c:v>0.13534522032701507</c:v>
                </c:pt>
                <c:pt idx="2242">
                  <c:v>0.13551262948527093</c:v>
                </c:pt>
                <c:pt idx="2243">
                  <c:v>0.13568014347080182</c:v>
                </c:pt>
                <c:pt idx="2244">
                  <c:v>0.13584797193815787</c:v>
                </c:pt>
                <c:pt idx="2245">
                  <c:v>0.13601590523278898</c:v>
                </c:pt>
                <c:pt idx="2246">
                  <c:v>0.13618404818197019</c:v>
                </c:pt>
                <c:pt idx="2247">
                  <c:v>0.13635292492207676</c:v>
                </c:pt>
                <c:pt idx="2248">
                  <c:v>0.13652222097128353</c:v>
                </c:pt>
                <c:pt idx="2249">
                  <c:v>0.13669162184776534</c:v>
                </c:pt>
                <c:pt idx="2250">
                  <c:v>0.13686144203334735</c:v>
                </c:pt>
                <c:pt idx="2251">
                  <c:v>0.13703136704620442</c:v>
                </c:pt>
                <c:pt idx="2252">
                  <c:v>0.13720129205906148</c:v>
                </c:pt>
                <c:pt idx="2253">
                  <c:v>0.13737153155374371</c:v>
                </c:pt>
                <c:pt idx="2254">
                  <c:v>0.13754198070297602</c:v>
                </c:pt>
                <c:pt idx="2255">
                  <c:v>0.13771263950675844</c:v>
                </c:pt>
                <c:pt idx="2256">
                  <c:v>0.13788371761964105</c:v>
                </c:pt>
                <c:pt idx="2257">
                  <c:v>0.13805521504162388</c:v>
                </c:pt>
                <c:pt idx="2258">
                  <c:v>0.13822692211815679</c:v>
                </c:pt>
                <c:pt idx="2259">
                  <c:v>0.13839925815834003</c:v>
                </c:pt>
                <c:pt idx="2260">
                  <c:v>0.13857159419852327</c:v>
                </c:pt>
                <c:pt idx="2261">
                  <c:v>0.1387441398932566</c:v>
                </c:pt>
                <c:pt idx="2262">
                  <c:v>0.13891668558798992</c:v>
                </c:pt>
                <c:pt idx="2263">
                  <c:v>0.13908923128272324</c:v>
                </c:pt>
                <c:pt idx="2264">
                  <c:v>0.13926188180473162</c:v>
                </c:pt>
                <c:pt idx="2265">
                  <c:v>0.13943474198129011</c:v>
                </c:pt>
                <c:pt idx="2266">
                  <c:v>0.13960770698512365</c:v>
                </c:pt>
                <c:pt idx="2267">
                  <c:v>0.13978098647078233</c:v>
                </c:pt>
                <c:pt idx="2268">
                  <c:v>0.139954265956441</c:v>
                </c:pt>
                <c:pt idx="2269">
                  <c:v>0.14012775509664979</c:v>
                </c:pt>
                <c:pt idx="2270">
                  <c:v>0.14030166354595877</c:v>
                </c:pt>
                <c:pt idx="2271">
                  <c:v>0.14047567682254281</c:v>
                </c:pt>
                <c:pt idx="2272">
                  <c:v>0.14064979492640189</c:v>
                </c:pt>
                <c:pt idx="2273">
                  <c:v>0.14082422751208615</c:v>
                </c:pt>
                <c:pt idx="2274">
                  <c:v>0.14099886975232048</c:v>
                </c:pt>
                <c:pt idx="2275">
                  <c:v>0.14117382647437998</c:v>
                </c:pt>
                <c:pt idx="2276">
                  <c:v>0.14134909767826462</c:v>
                </c:pt>
                <c:pt idx="2277">
                  <c:v>0.14152457853669936</c:v>
                </c:pt>
                <c:pt idx="2278">
                  <c:v>0.14170005939513411</c:v>
                </c:pt>
                <c:pt idx="2279">
                  <c:v>0.14187564508084391</c:v>
                </c:pt>
                <c:pt idx="2280">
                  <c:v>0.14205144042110382</c:v>
                </c:pt>
                <c:pt idx="2281">
                  <c:v>0.14222765507046392</c:v>
                </c:pt>
                <c:pt idx="2282">
                  <c:v>0.14240397454709908</c:v>
                </c:pt>
                <c:pt idx="2283">
                  <c:v>0.14258060850555937</c:v>
                </c:pt>
                <c:pt idx="2284">
                  <c:v>0.14275734729129472</c:v>
                </c:pt>
                <c:pt idx="2285">
                  <c:v>0.14293450538613028</c:v>
                </c:pt>
                <c:pt idx="2286">
                  <c:v>0.14311176830824091</c:v>
                </c:pt>
                <c:pt idx="2287">
                  <c:v>0.14328966019400183</c:v>
                </c:pt>
                <c:pt idx="2288">
                  <c:v>0.1434676569070378</c:v>
                </c:pt>
                <c:pt idx="2289">
                  <c:v>0.14364649223827416</c:v>
                </c:pt>
                <c:pt idx="2290">
                  <c:v>0.14382553722406063</c:v>
                </c:pt>
                <c:pt idx="2291">
                  <c:v>0.1440050015189473</c:v>
                </c:pt>
                <c:pt idx="2292">
                  <c:v>0.14418446581383396</c:v>
                </c:pt>
                <c:pt idx="2293">
                  <c:v>0.14436455907237095</c:v>
                </c:pt>
                <c:pt idx="2294">
                  <c:v>0.14454465233090794</c:v>
                </c:pt>
                <c:pt idx="2295">
                  <c:v>0.14472526972582017</c:v>
                </c:pt>
                <c:pt idx="2296">
                  <c:v>0.14490609677528249</c:v>
                </c:pt>
                <c:pt idx="2297">
                  <c:v>0.14508713347929492</c:v>
                </c:pt>
                <c:pt idx="2298">
                  <c:v>0.1452682750105824</c:v>
                </c:pt>
                <c:pt idx="2299">
                  <c:v>0.14544962619641999</c:v>
                </c:pt>
                <c:pt idx="2300">
                  <c:v>0.14563108220953264</c:v>
                </c:pt>
                <c:pt idx="2301">
                  <c:v>0.14581264304992031</c:v>
                </c:pt>
                <c:pt idx="2302">
                  <c:v>0.14599420389030798</c:v>
                </c:pt>
                <c:pt idx="2303">
                  <c:v>0.14617607921252082</c:v>
                </c:pt>
                <c:pt idx="2304">
                  <c:v>0.14635805936200871</c:v>
                </c:pt>
                <c:pt idx="2305">
                  <c:v>0.14654014433877166</c:v>
                </c:pt>
                <c:pt idx="2306">
                  <c:v>0.14672233414280966</c:v>
                </c:pt>
                <c:pt idx="2307">
                  <c:v>0.14690462877412269</c:v>
                </c:pt>
                <c:pt idx="2308">
                  <c:v>0.14708755236908602</c:v>
                </c:pt>
                <c:pt idx="2309">
                  <c:v>0.14727068561859946</c:v>
                </c:pt>
                <c:pt idx="2310">
                  <c:v>0.14745392369538796</c:v>
                </c:pt>
                <c:pt idx="2311">
                  <c:v>0.14763737142672656</c:v>
                </c:pt>
                <c:pt idx="2312">
                  <c:v>0.14782155294899052</c:v>
                </c:pt>
                <c:pt idx="2313">
                  <c:v>0.14800573447125448</c:v>
                </c:pt>
                <c:pt idx="2314">
                  <c:v>0.14819002082079349</c:v>
                </c:pt>
                <c:pt idx="2315">
                  <c:v>0.14837462165215765</c:v>
                </c:pt>
                <c:pt idx="2316">
                  <c:v>0.14855932731079685</c:v>
                </c:pt>
                <c:pt idx="2317">
                  <c:v>0.1487445571058113</c:v>
                </c:pt>
                <c:pt idx="2318">
                  <c:v>0.14892989172810081</c:v>
                </c:pt>
                <c:pt idx="2319">
                  <c:v>0.14911575048676556</c:v>
                </c:pt>
                <c:pt idx="2320">
                  <c:v>0.14930160924543032</c:v>
                </c:pt>
                <c:pt idx="2321">
                  <c:v>0.14948757283137012</c:v>
                </c:pt>
                <c:pt idx="2322">
                  <c:v>0.14967364124458499</c:v>
                </c:pt>
                <c:pt idx="2323">
                  <c:v>0.14985991931234996</c:v>
                </c:pt>
                <c:pt idx="2324">
                  <c:v>0.15004619738011493</c:v>
                </c:pt>
                <c:pt idx="2325">
                  <c:v>0.15023268510242999</c:v>
                </c:pt>
                <c:pt idx="2326">
                  <c:v>0.15041917282474504</c:v>
                </c:pt>
                <c:pt idx="2327">
                  <c:v>0.15060566054706009</c:v>
                </c:pt>
                <c:pt idx="2328">
                  <c:v>0.1507922530966502</c:v>
                </c:pt>
                <c:pt idx="2329">
                  <c:v>0.15097895047351537</c:v>
                </c:pt>
                <c:pt idx="2330">
                  <c:v>0.15116627681403083</c:v>
                </c:pt>
                <c:pt idx="2331">
                  <c:v>0.15135391763637146</c:v>
                </c:pt>
                <c:pt idx="2332">
                  <c:v>0.15154155845871209</c:v>
                </c:pt>
                <c:pt idx="2333">
                  <c:v>0.1517294089356028</c:v>
                </c:pt>
                <c:pt idx="2334">
                  <c:v>0.15191788837614384</c:v>
                </c:pt>
                <c:pt idx="2335">
                  <c:v>0.15210647264395991</c:v>
                </c:pt>
                <c:pt idx="2336">
                  <c:v>0.15229505691177597</c:v>
                </c:pt>
                <c:pt idx="2337">
                  <c:v>0.15248406048869226</c:v>
                </c:pt>
                <c:pt idx="2338">
                  <c:v>0.15267411233835904</c:v>
                </c:pt>
                <c:pt idx="2339">
                  <c:v>0.15286479315167611</c:v>
                </c:pt>
                <c:pt idx="2340">
                  <c:v>0.15305547396499319</c:v>
                </c:pt>
                <c:pt idx="2341">
                  <c:v>0.15324625960558533</c:v>
                </c:pt>
                <c:pt idx="2342">
                  <c:v>0.15343704524617746</c:v>
                </c:pt>
                <c:pt idx="2343">
                  <c:v>0.15362793571404465</c:v>
                </c:pt>
                <c:pt idx="2344">
                  <c:v>0.15381893100918689</c:v>
                </c:pt>
                <c:pt idx="2345">
                  <c:v>0.15401034561342933</c:v>
                </c:pt>
                <c:pt idx="2346">
                  <c:v>0.15420176021767176</c:v>
                </c:pt>
                <c:pt idx="2347">
                  <c:v>0.15439338447646431</c:v>
                </c:pt>
                <c:pt idx="2348">
                  <c:v>0.15458532321708202</c:v>
                </c:pt>
                <c:pt idx="2349">
                  <c:v>0.15477726195769972</c:v>
                </c:pt>
                <c:pt idx="2350">
                  <c:v>0.15496951518014257</c:v>
                </c:pt>
                <c:pt idx="2351">
                  <c:v>0.15516197805713552</c:v>
                </c:pt>
                <c:pt idx="2352">
                  <c:v>0.15535444093412848</c:v>
                </c:pt>
                <c:pt idx="2353">
                  <c:v>0.15554721829294657</c:v>
                </c:pt>
                <c:pt idx="2354">
                  <c:v>0.15574010047903972</c:v>
                </c:pt>
                <c:pt idx="2355">
                  <c:v>0.15593308749240792</c:v>
                </c:pt>
                <c:pt idx="2356">
                  <c:v>0.15612617933305117</c:v>
                </c:pt>
                <c:pt idx="2357">
                  <c:v>0.15631958565551957</c:v>
                </c:pt>
                <c:pt idx="2358">
                  <c:v>0.15651320163253807</c:v>
                </c:pt>
                <c:pt idx="2359">
                  <c:v>0.15670681760955657</c:v>
                </c:pt>
                <c:pt idx="2360">
                  <c:v>0.15690085289567529</c:v>
                </c:pt>
                <c:pt idx="2361">
                  <c:v>0.15709509783634409</c:v>
                </c:pt>
                <c:pt idx="2362">
                  <c:v>0.15728944760428795</c:v>
                </c:pt>
                <c:pt idx="2363">
                  <c:v>0.15748390219950686</c:v>
                </c:pt>
                <c:pt idx="2364">
                  <c:v>0.15767835679472578</c:v>
                </c:pt>
                <c:pt idx="2365">
                  <c:v>0.15787281138994469</c:v>
                </c:pt>
                <c:pt idx="2366">
                  <c:v>0.15806737081243866</c:v>
                </c:pt>
                <c:pt idx="2367">
                  <c:v>0.15826203506220768</c:v>
                </c:pt>
                <c:pt idx="2368">
                  <c:v>0.1584566993119767</c:v>
                </c:pt>
                <c:pt idx="2369">
                  <c:v>0.15865136356174572</c:v>
                </c:pt>
                <c:pt idx="2370">
                  <c:v>0.1588461326387898</c:v>
                </c:pt>
                <c:pt idx="2371">
                  <c:v>0.15904121619765901</c:v>
                </c:pt>
                <c:pt idx="2372">
                  <c:v>0.15923682389290347</c:v>
                </c:pt>
                <c:pt idx="2373">
                  <c:v>0.15943264124269804</c:v>
                </c:pt>
                <c:pt idx="2374">
                  <c:v>0.15962845859249261</c:v>
                </c:pt>
                <c:pt idx="2375">
                  <c:v>0.15982427594228718</c:v>
                </c:pt>
                <c:pt idx="2376">
                  <c:v>0.16002030294663186</c:v>
                </c:pt>
                <c:pt idx="2377">
                  <c:v>0.16021664443280167</c:v>
                </c:pt>
                <c:pt idx="2378">
                  <c:v>0.1604131955735216</c:v>
                </c:pt>
                <c:pt idx="2379">
                  <c:v>0.16060995636879163</c:v>
                </c:pt>
                <c:pt idx="2380">
                  <c:v>0.16080671716406167</c:v>
                </c:pt>
                <c:pt idx="2381">
                  <c:v>0.1610034779593317</c:v>
                </c:pt>
                <c:pt idx="2382">
                  <c:v>0.16120044840915182</c:v>
                </c:pt>
                <c:pt idx="2383">
                  <c:v>0.16139804782262224</c:v>
                </c:pt>
                <c:pt idx="2384">
                  <c:v>0.16159617137246793</c:v>
                </c:pt>
                <c:pt idx="2385">
                  <c:v>0.16179429492231362</c:v>
                </c:pt>
                <c:pt idx="2386">
                  <c:v>0.16199252329943437</c:v>
                </c:pt>
                <c:pt idx="2387">
                  <c:v>0.16219085650383014</c:v>
                </c:pt>
                <c:pt idx="2388">
                  <c:v>0.16238939936277602</c:v>
                </c:pt>
                <c:pt idx="2389">
                  <c:v>0.16258846635809715</c:v>
                </c:pt>
                <c:pt idx="2390">
                  <c:v>0.1627879526625185</c:v>
                </c:pt>
                <c:pt idx="2391">
                  <c:v>0.16298806793059015</c:v>
                </c:pt>
                <c:pt idx="2392">
                  <c:v>0.16318839285321191</c:v>
                </c:pt>
                <c:pt idx="2393">
                  <c:v>0.1633890322576588</c:v>
                </c:pt>
                <c:pt idx="2394">
                  <c:v>0.16359019579848094</c:v>
                </c:pt>
                <c:pt idx="2395">
                  <c:v>0.16379135933930308</c:v>
                </c:pt>
                <c:pt idx="2396">
                  <c:v>0.1639930470165005</c:v>
                </c:pt>
                <c:pt idx="2397">
                  <c:v>0.1641951540027981</c:v>
                </c:pt>
                <c:pt idx="2398">
                  <c:v>0.16439757547092088</c:v>
                </c:pt>
                <c:pt idx="2399">
                  <c:v>0.16460031142086878</c:v>
                </c:pt>
                <c:pt idx="2400">
                  <c:v>0.16480336185264186</c:v>
                </c:pt>
                <c:pt idx="2401">
                  <c:v>0.16500714607534028</c:v>
                </c:pt>
                <c:pt idx="2402">
                  <c:v>0.16521113995258879</c:v>
                </c:pt>
                <c:pt idx="2403">
                  <c:v>0.16541534348438741</c:v>
                </c:pt>
                <c:pt idx="2404">
                  <c:v>0.16561975667073614</c:v>
                </c:pt>
                <c:pt idx="2405">
                  <c:v>0.16582458916618506</c:v>
                </c:pt>
                <c:pt idx="2406">
                  <c:v>0.16602952648890903</c:v>
                </c:pt>
                <c:pt idx="2407">
                  <c:v>0.16623530242983342</c:v>
                </c:pt>
                <c:pt idx="2408">
                  <c:v>0.16644139285258294</c:v>
                </c:pt>
                <c:pt idx="2409">
                  <c:v>0.16664779775715763</c:v>
                </c:pt>
                <c:pt idx="2410">
                  <c:v>0.16685430748900737</c:v>
                </c:pt>
                <c:pt idx="2411">
                  <c:v>0.16706113170268225</c:v>
                </c:pt>
                <c:pt idx="2412">
                  <c:v>0.16726816557090723</c:v>
                </c:pt>
                <c:pt idx="2413">
                  <c:v>0.16747519943913222</c:v>
                </c:pt>
                <c:pt idx="2414">
                  <c:v>0.16768254778918237</c:v>
                </c:pt>
                <c:pt idx="2415">
                  <c:v>0.16789052510288283</c:v>
                </c:pt>
                <c:pt idx="2416">
                  <c:v>0.16809892172568347</c:v>
                </c:pt>
                <c:pt idx="2417">
                  <c:v>0.16830742317575917</c:v>
                </c:pt>
                <c:pt idx="2418">
                  <c:v>0.16851644876221011</c:v>
                </c:pt>
                <c:pt idx="2419">
                  <c:v>0.16872568400321117</c:v>
                </c:pt>
                <c:pt idx="2420">
                  <c:v>0.16893575786241263</c:v>
                </c:pt>
                <c:pt idx="2421">
                  <c:v>0.16914593654888913</c:v>
                </c:pt>
                <c:pt idx="2422">
                  <c:v>0.16935611523536562</c:v>
                </c:pt>
                <c:pt idx="2423">
                  <c:v>0.16956650357639222</c:v>
                </c:pt>
                <c:pt idx="2424">
                  <c:v>0.16977699674469388</c:v>
                </c:pt>
                <c:pt idx="2425">
                  <c:v>0.16998759474027059</c:v>
                </c:pt>
                <c:pt idx="2426">
                  <c:v>0.17019829756312235</c:v>
                </c:pt>
                <c:pt idx="2427">
                  <c:v>0.17040910521324917</c:v>
                </c:pt>
                <c:pt idx="2428">
                  <c:v>0.17062022734520113</c:v>
                </c:pt>
                <c:pt idx="2429">
                  <c:v>0.1708315591317032</c:v>
                </c:pt>
                <c:pt idx="2430">
                  <c:v>0.17104289091820526</c:v>
                </c:pt>
                <c:pt idx="2431">
                  <c:v>0.17125422270470733</c:v>
                </c:pt>
                <c:pt idx="2432">
                  <c:v>0.17146565931848445</c:v>
                </c:pt>
                <c:pt idx="2433">
                  <c:v>0.17167741041408671</c:v>
                </c:pt>
                <c:pt idx="2434">
                  <c:v>0.17188937116423908</c:v>
                </c:pt>
                <c:pt idx="2435">
                  <c:v>0.17210133191439145</c:v>
                </c:pt>
                <c:pt idx="2436">
                  <c:v>0.17231329266454382</c:v>
                </c:pt>
                <c:pt idx="2437">
                  <c:v>0.17252546306924629</c:v>
                </c:pt>
                <c:pt idx="2438">
                  <c:v>0.17273836726487413</c:v>
                </c:pt>
                <c:pt idx="2439">
                  <c:v>0.17295137628777699</c:v>
                </c:pt>
                <c:pt idx="2440">
                  <c:v>0.17316469979250501</c:v>
                </c:pt>
                <c:pt idx="2441">
                  <c:v>0.1733783377790582</c:v>
                </c:pt>
                <c:pt idx="2442">
                  <c:v>0.17359218542016147</c:v>
                </c:pt>
                <c:pt idx="2443">
                  <c:v>0.17380624271581485</c:v>
                </c:pt>
                <c:pt idx="2444">
                  <c:v>0.17402103380239359</c:v>
                </c:pt>
                <c:pt idx="2445">
                  <c:v>0.17423603454352243</c:v>
                </c:pt>
                <c:pt idx="2446">
                  <c:v>0.17445197873012672</c:v>
                </c:pt>
                <c:pt idx="2447">
                  <c:v>0.17466834222583122</c:v>
                </c:pt>
                <c:pt idx="2448">
                  <c:v>0.17488470572153572</c:v>
                </c:pt>
                <c:pt idx="2449">
                  <c:v>0.17510148852634042</c:v>
                </c:pt>
                <c:pt idx="2450">
                  <c:v>0.1753186906402453</c:v>
                </c:pt>
                <c:pt idx="2451">
                  <c:v>0.17553589275415019</c:v>
                </c:pt>
                <c:pt idx="2452">
                  <c:v>0.17575319969533013</c:v>
                </c:pt>
                <c:pt idx="2453">
                  <c:v>0.17597061146378512</c:v>
                </c:pt>
                <c:pt idx="2454">
                  <c:v>0.17618823288679022</c:v>
                </c:pt>
                <c:pt idx="2455">
                  <c:v>0.17640606396434544</c:v>
                </c:pt>
                <c:pt idx="2456">
                  <c:v>0.17662399986917568</c:v>
                </c:pt>
                <c:pt idx="2457">
                  <c:v>0.17684193577400592</c:v>
                </c:pt>
                <c:pt idx="2458">
                  <c:v>0.17706060546976152</c:v>
                </c:pt>
                <c:pt idx="2459">
                  <c:v>0.17728000895644247</c:v>
                </c:pt>
                <c:pt idx="2460">
                  <c:v>0.1774999365794987</c:v>
                </c:pt>
                <c:pt idx="2461">
                  <c:v>0.17771986420255492</c:v>
                </c:pt>
                <c:pt idx="2462">
                  <c:v>0.17794010630743629</c:v>
                </c:pt>
                <c:pt idx="2463">
                  <c:v>0.17816087254869289</c:v>
                </c:pt>
                <c:pt idx="2464">
                  <c:v>0.1783816387899495</c:v>
                </c:pt>
                <c:pt idx="2465">
                  <c:v>0.17860303399485641</c:v>
                </c:pt>
                <c:pt idx="2466">
                  <c:v>0.1788249533361386</c:v>
                </c:pt>
                <c:pt idx="2467">
                  <c:v>0.17904708233197086</c:v>
                </c:pt>
                <c:pt idx="2468">
                  <c:v>0.1792697354641784</c:v>
                </c:pt>
                <c:pt idx="2469">
                  <c:v>0.17949238859638594</c:v>
                </c:pt>
                <c:pt idx="2470">
                  <c:v>0.17971514655586854</c:v>
                </c:pt>
                <c:pt idx="2471">
                  <c:v>0.17993821899717627</c:v>
                </c:pt>
                <c:pt idx="2472">
                  <c:v>0.180161291438484</c:v>
                </c:pt>
                <c:pt idx="2473">
                  <c:v>0.18038457353434184</c:v>
                </c:pt>
                <c:pt idx="2474">
                  <c:v>0.18060837976657493</c:v>
                </c:pt>
                <c:pt idx="2475">
                  <c:v>0.18083229082608307</c:v>
                </c:pt>
                <c:pt idx="2476">
                  <c:v>0.18105651636741635</c:v>
                </c:pt>
                <c:pt idx="2477">
                  <c:v>0.18128095156329974</c:v>
                </c:pt>
                <c:pt idx="2478">
                  <c:v>0.18150559641373323</c:v>
                </c:pt>
                <c:pt idx="2479">
                  <c:v>0.18173034609144179</c:v>
                </c:pt>
                <c:pt idx="2480">
                  <c:v>0.18195520059642539</c:v>
                </c:pt>
                <c:pt idx="2481">
                  <c:v>0.18218015992868403</c:v>
                </c:pt>
                <c:pt idx="2482">
                  <c:v>0.18240543374276783</c:v>
                </c:pt>
                <c:pt idx="2483">
                  <c:v>0.18263070755685162</c:v>
                </c:pt>
                <c:pt idx="2484">
                  <c:v>0.18285713447096097</c:v>
                </c:pt>
                <c:pt idx="2485">
                  <c:v>0.18308356138507031</c:v>
                </c:pt>
                <c:pt idx="2486">
                  <c:v>0.18331051243555493</c:v>
                </c:pt>
                <c:pt idx="2487">
                  <c:v>0.18353756831331458</c:v>
                </c:pt>
                <c:pt idx="2488">
                  <c:v>0.18376472901834928</c:v>
                </c:pt>
                <c:pt idx="2489">
                  <c:v>0.18399188972338398</c:v>
                </c:pt>
                <c:pt idx="2490">
                  <c:v>0.18421936491024385</c:v>
                </c:pt>
                <c:pt idx="2491">
                  <c:v>0.18444684009710371</c:v>
                </c:pt>
                <c:pt idx="2492">
                  <c:v>0.18467536355671407</c:v>
                </c:pt>
                <c:pt idx="2493">
                  <c:v>0.18490399184359949</c:v>
                </c:pt>
                <c:pt idx="2494">
                  <c:v>0.1851326201304849</c:v>
                </c:pt>
                <c:pt idx="2495">
                  <c:v>0.18536145807192042</c:v>
                </c:pt>
                <c:pt idx="2496">
                  <c:v>0.185590400840631</c:v>
                </c:pt>
                <c:pt idx="2497">
                  <c:v>0.18581965809116671</c:v>
                </c:pt>
                <c:pt idx="2498">
                  <c:v>0.18604902016897748</c:v>
                </c:pt>
                <c:pt idx="2499">
                  <c:v>0.18627859190133836</c:v>
                </c:pt>
                <c:pt idx="2500">
                  <c:v>0.18650837328824932</c:v>
                </c:pt>
                <c:pt idx="2501">
                  <c:v>0.18673878363881061</c:v>
                </c:pt>
                <c:pt idx="2502">
                  <c:v>0.18696961329847209</c:v>
                </c:pt>
                <c:pt idx="2503">
                  <c:v>0.18720065261268368</c:v>
                </c:pt>
                <c:pt idx="2504">
                  <c:v>0.18743221606327051</c:v>
                </c:pt>
                <c:pt idx="2505">
                  <c:v>0.18766503744115795</c:v>
                </c:pt>
                <c:pt idx="2506">
                  <c:v>0.18789796364632044</c:v>
                </c:pt>
                <c:pt idx="2507">
                  <c:v>0.18813162364240829</c:v>
                </c:pt>
                <c:pt idx="2508">
                  <c:v>0.18836538846577119</c:v>
                </c:pt>
                <c:pt idx="2509">
                  <c:v>0.1885991532891341</c:v>
                </c:pt>
                <c:pt idx="2510">
                  <c:v>0.18883344224887225</c:v>
                </c:pt>
                <c:pt idx="2511">
                  <c:v>0.18906794086316051</c:v>
                </c:pt>
                <c:pt idx="2512">
                  <c:v>0.18930264913199885</c:v>
                </c:pt>
                <c:pt idx="2513">
                  <c:v>0.18953767188266235</c:v>
                </c:pt>
                <c:pt idx="2514">
                  <c:v>0.18977300911515102</c:v>
                </c:pt>
                <c:pt idx="2515">
                  <c:v>0.19000928979311513</c:v>
                </c:pt>
                <c:pt idx="2516">
                  <c:v>0.19024567529835429</c:v>
                </c:pt>
                <c:pt idx="2517">
                  <c:v>0.19048216563086851</c:v>
                </c:pt>
                <c:pt idx="2518">
                  <c:v>0.19071865596338272</c:v>
                </c:pt>
                <c:pt idx="2519">
                  <c:v>0.19095525112317199</c:v>
                </c:pt>
                <c:pt idx="2520">
                  <c:v>0.19119195111023632</c:v>
                </c:pt>
                <c:pt idx="2521">
                  <c:v>0.19142959454277608</c:v>
                </c:pt>
                <c:pt idx="2522">
                  <c:v>0.19166807659351626</c:v>
                </c:pt>
                <c:pt idx="2523">
                  <c:v>0.19190676829880654</c:v>
                </c:pt>
                <c:pt idx="2524">
                  <c:v>0.19214556483137188</c:v>
                </c:pt>
                <c:pt idx="2525">
                  <c:v>0.19238488550031246</c:v>
                </c:pt>
                <c:pt idx="2526">
                  <c:v>0.19262420616925305</c:v>
                </c:pt>
                <c:pt idx="2527">
                  <c:v>0.19286405097456888</c:v>
                </c:pt>
                <c:pt idx="2528">
                  <c:v>0.19310389577988471</c:v>
                </c:pt>
                <c:pt idx="2529">
                  <c:v>0.19334405506702571</c:v>
                </c:pt>
                <c:pt idx="2530">
                  <c:v>0.19358463366326689</c:v>
                </c:pt>
                <c:pt idx="2531">
                  <c:v>0.19382521225950808</c:v>
                </c:pt>
                <c:pt idx="2532">
                  <c:v>0.19406610533757443</c:v>
                </c:pt>
                <c:pt idx="2533">
                  <c:v>0.19430741772474097</c:v>
                </c:pt>
                <c:pt idx="2534">
                  <c:v>0.19454904459373268</c:v>
                </c:pt>
                <c:pt idx="2535">
                  <c:v>0.19479119559909963</c:v>
                </c:pt>
                <c:pt idx="2536">
                  <c:v>0.19503397556811689</c:v>
                </c:pt>
                <c:pt idx="2537">
                  <c:v>0.19527759415533455</c:v>
                </c:pt>
                <c:pt idx="2538">
                  <c:v>0.19552121274255221</c:v>
                </c:pt>
                <c:pt idx="2539">
                  <c:v>0.19576514581159501</c:v>
                </c:pt>
                <c:pt idx="2540">
                  <c:v>0.19601002232611328</c:v>
                </c:pt>
                <c:pt idx="2541">
                  <c:v>0.1962556326315569</c:v>
                </c:pt>
                <c:pt idx="2542">
                  <c:v>0.19650134776427558</c:v>
                </c:pt>
                <c:pt idx="2543">
                  <c:v>0.19674737737881939</c:v>
                </c:pt>
                <c:pt idx="2544">
                  <c:v>0.19699361664791332</c:v>
                </c:pt>
                <c:pt idx="2545">
                  <c:v>0.19723985591700724</c:v>
                </c:pt>
                <c:pt idx="2546">
                  <c:v>0.19748672414975146</c:v>
                </c:pt>
                <c:pt idx="2547">
                  <c:v>0.19773359238249569</c:v>
                </c:pt>
                <c:pt idx="2548">
                  <c:v>0.19798119440616527</c:v>
                </c:pt>
                <c:pt idx="2549">
                  <c:v>0.1982289012571099</c:v>
                </c:pt>
                <c:pt idx="2550">
                  <c:v>0.19847681776260465</c:v>
                </c:pt>
                <c:pt idx="2551">
                  <c:v>0.19872504874992453</c:v>
                </c:pt>
                <c:pt idx="2552">
                  <c:v>0.19897359421906957</c:v>
                </c:pt>
                <c:pt idx="2553">
                  <c:v>0.19922245417003975</c:v>
                </c:pt>
                <c:pt idx="2554">
                  <c:v>0.19947141894828499</c:v>
                </c:pt>
                <c:pt idx="2555">
                  <c:v>0.19972069820835539</c:v>
                </c:pt>
                <c:pt idx="2556">
                  <c:v>0.19997039677752598</c:v>
                </c:pt>
                <c:pt idx="2557">
                  <c:v>0.20022030500124668</c:v>
                </c:pt>
                <c:pt idx="2558">
                  <c:v>0.20047021322496739</c:v>
                </c:pt>
                <c:pt idx="2559">
                  <c:v>0.20072096006688847</c:v>
                </c:pt>
                <c:pt idx="2560">
                  <c:v>0.20097170690880956</c:v>
                </c:pt>
                <c:pt idx="2561">
                  <c:v>0.20122266340528075</c:v>
                </c:pt>
                <c:pt idx="2562">
                  <c:v>0.20147361990175194</c:v>
                </c:pt>
                <c:pt idx="2563">
                  <c:v>0.20172593915279879</c:v>
                </c:pt>
                <c:pt idx="2564">
                  <c:v>0.2019783632311207</c:v>
                </c:pt>
                <c:pt idx="2565">
                  <c:v>0.20223089213671766</c:v>
                </c:pt>
                <c:pt idx="2566">
                  <c:v>0.20248394517868987</c:v>
                </c:pt>
                <c:pt idx="2567">
                  <c:v>0.20273773201158743</c:v>
                </c:pt>
                <c:pt idx="2568">
                  <c:v>0.20299193815358521</c:v>
                </c:pt>
                <c:pt idx="2569">
                  <c:v>0.20324656360468318</c:v>
                </c:pt>
                <c:pt idx="2570">
                  <c:v>0.20350129388305621</c:v>
                </c:pt>
                <c:pt idx="2571">
                  <c:v>0.20375633864325438</c:v>
                </c:pt>
                <c:pt idx="2572">
                  <c:v>0.20401306063985336</c:v>
                </c:pt>
                <c:pt idx="2573">
                  <c:v>0.20427020194555254</c:v>
                </c:pt>
                <c:pt idx="2574">
                  <c:v>0.20452734325125171</c:v>
                </c:pt>
                <c:pt idx="2575">
                  <c:v>0.20478563765697647</c:v>
                </c:pt>
                <c:pt idx="2576">
                  <c:v>0.2050441417172513</c:v>
                </c:pt>
                <c:pt idx="2577">
                  <c:v>0.20530316991390141</c:v>
                </c:pt>
                <c:pt idx="2578">
                  <c:v>0.2055624077651016</c:v>
                </c:pt>
                <c:pt idx="2579">
                  <c:v>0.20582164561630178</c:v>
                </c:pt>
                <c:pt idx="2580">
                  <c:v>0.20608088346750197</c:v>
                </c:pt>
                <c:pt idx="2581">
                  <c:v>0.20634169372782793</c:v>
                </c:pt>
                <c:pt idx="2582">
                  <c:v>0.20660250398815388</c:v>
                </c:pt>
                <c:pt idx="2583">
                  <c:v>0.20686352390302995</c:v>
                </c:pt>
                <c:pt idx="2584">
                  <c:v>0.20712485829973115</c:v>
                </c:pt>
                <c:pt idx="2585">
                  <c:v>0.20738671683280763</c:v>
                </c:pt>
                <c:pt idx="2586">
                  <c:v>0.20764888984770924</c:v>
                </c:pt>
                <c:pt idx="2587">
                  <c:v>0.20791116768988591</c:v>
                </c:pt>
                <c:pt idx="2588">
                  <c:v>0.20817396966843782</c:v>
                </c:pt>
                <c:pt idx="2589">
                  <c:v>0.20843677164698973</c:v>
                </c:pt>
                <c:pt idx="2590">
                  <c:v>0.20869978328009176</c:v>
                </c:pt>
                <c:pt idx="2591">
                  <c:v>0.20896279491319378</c:v>
                </c:pt>
                <c:pt idx="2592">
                  <c:v>0.20922685481904629</c:v>
                </c:pt>
                <c:pt idx="2593">
                  <c:v>0.20949091472489881</c:v>
                </c:pt>
                <c:pt idx="2594">
                  <c:v>0.2097561277307769</c:v>
                </c:pt>
                <c:pt idx="2595">
                  <c:v>0.21002259866395559</c:v>
                </c:pt>
                <c:pt idx="2596">
                  <c:v>0.21028969856078458</c:v>
                </c:pt>
                <c:pt idx="2597">
                  <c:v>0.21055690328488863</c:v>
                </c:pt>
                <c:pt idx="2598">
                  <c:v>0.21082463214536792</c:v>
                </c:pt>
                <c:pt idx="2599">
                  <c:v>0.21109257066039733</c:v>
                </c:pt>
                <c:pt idx="2600">
                  <c:v>0.21136092848452692</c:v>
                </c:pt>
                <c:pt idx="2601">
                  <c:v>0.21162960079048168</c:v>
                </c:pt>
                <c:pt idx="2602">
                  <c:v>0.2118983779237115</c:v>
                </c:pt>
                <c:pt idx="2603">
                  <c:v>0.2121675743660415</c:v>
                </c:pt>
                <c:pt idx="2604">
                  <c:v>0.21243687563564656</c:v>
                </c:pt>
                <c:pt idx="2605">
                  <c:v>0.21270617690525162</c:v>
                </c:pt>
                <c:pt idx="2606">
                  <c:v>0.21297547817485668</c:v>
                </c:pt>
                <c:pt idx="2607">
                  <c:v>0.2132448842717368</c:v>
                </c:pt>
                <c:pt idx="2608">
                  <c:v>0.21351491933226721</c:v>
                </c:pt>
                <c:pt idx="2609">
                  <c:v>0.21378495439279763</c:v>
                </c:pt>
                <c:pt idx="2610">
                  <c:v>0.2140557232442534</c:v>
                </c:pt>
                <c:pt idx="2611">
                  <c:v>0.21432733071390958</c:v>
                </c:pt>
                <c:pt idx="2612">
                  <c:v>0.21459946231994101</c:v>
                </c:pt>
                <c:pt idx="2613">
                  <c:v>0.21487222288962274</c:v>
                </c:pt>
                <c:pt idx="2614">
                  <c:v>0.21514634621388012</c:v>
                </c:pt>
                <c:pt idx="2615">
                  <c:v>0.21542057436541256</c:v>
                </c:pt>
                <c:pt idx="2616">
                  <c:v>0.21569490734422006</c:v>
                </c:pt>
                <c:pt idx="2617">
                  <c:v>0.21596965963212775</c:v>
                </c:pt>
                <c:pt idx="2618">
                  <c:v>0.21624483122913565</c:v>
                </c:pt>
                <c:pt idx="2619">
                  <c:v>0.21652010765341859</c:v>
                </c:pt>
                <c:pt idx="2620">
                  <c:v>0.21679559373225163</c:v>
                </c:pt>
                <c:pt idx="2621">
                  <c:v>0.21707139429290984</c:v>
                </c:pt>
                <c:pt idx="2622">
                  <c:v>0.21734750933539318</c:v>
                </c:pt>
                <c:pt idx="2623">
                  <c:v>0.21762372920515158</c:v>
                </c:pt>
                <c:pt idx="2624">
                  <c:v>0.21790005390218503</c:v>
                </c:pt>
                <c:pt idx="2625">
                  <c:v>0.21817732204469395</c:v>
                </c:pt>
                <c:pt idx="2626">
                  <c:v>0.21845542880540325</c:v>
                </c:pt>
                <c:pt idx="2627">
                  <c:v>0.21873364039338761</c:v>
                </c:pt>
                <c:pt idx="2628">
                  <c:v>0.21901237611774721</c:v>
                </c:pt>
                <c:pt idx="2629">
                  <c:v>0.21929111184210681</c:v>
                </c:pt>
                <c:pt idx="2630">
                  <c:v>0.21956995239374147</c:v>
                </c:pt>
                <c:pt idx="2631">
                  <c:v>0.21984889777265118</c:v>
                </c:pt>
                <c:pt idx="2632">
                  <c:v>0.22012794797883595</c:v>
                </c:pt>
                <c:pt idx="2633">
                  <c:v>0.22040699818502071</c:v>
                </c:pt>
                <c:pt idx="2634">
                  <c:v>0.22068646770030567</c:v>
                </c:pt>
                <c:pt idx="2635">
                  <c:v>0.22096593721559063</c:v>
                </c:pt>
                <c:pt idx="2636">
                  <c:v>0.22124540673087559</c:v>
                </c:pt>
                <c:pt idx="2637">
                  <c:v>0.22152519072798571</c:v>
                </c:pt>
                <c:pt idx="2638">
                  <c:v>0.22180518437964594</c:v>
                </c:pt>
                <c:pt idx="2639">
                  <c:v>0.22208538768585626</c:v>
                </c:pt>
                <c:pt idx="2640">
                  <c:v>0.22236569581934162</c:v>
                </c:pt>
                <c:pt idx="2641">
                  <c:v>0.22264600395282699</c:v>
                </c:pt>
                <c:pt idx="2642">
                  <c:v>0.22292673139541258</c:v>
                </c:pt>
                <c:pt idx="2643">
                  <c:v>0.22320808780164847</c:v>
                </c:pt>
                <c:pt idx="2644">
                  <c:v>0.22348965386243444</c:v>
                </c:pt>
                <c:pt idx="2645">
                  <c:v>0.22377216336869588</c:v>
                </c:pt>
                <c:pt idx="2646">
                  <c:v>0.22405498735678248</c:v>
                </c:pt>
                <c:pt idx="2647">
                  <c:v>0.22433885961761957</c:v>
                </c:pt>
                <c:pt idx="2648">
                  <c:v>0.22462294153300677</c:v>
                </c:pt>
                <c:pt idx="2649">
                  <c:v>0.22490733793021911</c:v>
                </c:pt>
                <c:pt idx="2650">
                  <c:v>0.2251918391547065</c:v>
                </c:pt>
                <c:pt idx="2651">
                  <c:v>0.22547833209741985</c:v>
                </c:pt>
                <c:pt idx="2652">
                  <c:v>0.22576534917650848</c:v>
                </c:pt>
                <c:pt idx="2653">
                  <c:v>0.2260527855646973</c:v>
                </c:pt>
                <c:pt idx="2654">
                  <c:v>0.22634168953473682</c:v>
                </c:pt>
                <c:pt idx="2655">
                  <c:v>0.2266317466048019</c:v>
                </c:pt>
                <c:pt idx="2656">
                  <c:v>0.22692190850214203</c:v>
                </c:pt>
                <c:pt idx="2657">
                  <c:v>0.22721238488130732</c:v>
                </c:pt>
                <c:pt idx="2658">
                  <c:v>0.2275030709150227</c:v>
                </c:pt>
                <c:pt idx="2659">
                  <c:v>0.22779449073966343</c:v>
                </c:pt>
                <c:pt idx="2660">
                  <c:v>0.22808632987340438</c:v>
                </c:pt>
                <c:pt idx="2661">
                  <c:v>0.22837827383442039</c:v>
                </c:pt>
                <c:pt idx="2662">
                  <c:v>0.22867074193181164</c:v>
                </c:pt>
                <c:pt idx="2663">
                  <c:v>0.22896415347467833</c:v>
                </c:pt>
                <c:pt idx="2664">
                  <c:v>0.22925819398119535</c:v>
                </c:pt>
                <c:pt idx="2665">
                  <c:v>0.22955244414226245</c:v>
                </c:pt>
                <c:pt idx="2666">
                  <c:v>0.22984669430332955</c:v>
                </c:pt>
                <c:pt idx="2667">
                  <c:v>0.23014241204624736</c:v>
                </c:pt>
                <c:pt idx="2668">
                  <c:v>0.23043854909826539</c:v>
                </c:pt>
                <c:pt idx="2669">
                  <c:v>0.2307355247684838</c:v>
                </c:pt>
                <c:pt idx="2670">
                  <c:v>0.23103250043870222</c:v>
                </c:pt>
                <c:pt idx="2671">
                  <c:v>0.23132958093619568</c:v>
                </c:pt>
                <c:pt idx="2672">
                  <c:v>0.23162687108823926</c:v>
                </c:pt>
                <c:pt idx="2673">
                  <c:v>0.23192426606755789</c:v>
                </c:pt>
                <c:pt idx="2674">
                  <c:v>0.23222291897417713</c:v>
                </c:pt>
                <c:pt idx="2675">
                  <c:v>0.23252167670807142</c:v>
                </c:pt>
                <c:pt idx="2676">
                  <c:v>0.23282242616019166</c:v>
                </c:pt>
                <c:pt idx="2677">
                  <c:v>0.23312328043958697</c:v>
                </c:pt>
                <c:pt idx="2678">
                  <c:v>0.23342423954625732</c:v>
                </c:pt>
                <c:pt idx="2679">
                  <c:v>0.23372530348020273</c:v>
                </c:pt>
                <c:pt idx="2680">
                  <c:v>0.23402657706869823</c:v>
                </c:pt>
                <c:pt idx="2681">
                  <c:v>0.23433015685724484</c:v>
                </c:pt>
                <c:pt idx="2682">
                  <c:v>0.23463499457309206</c:v>
                </c:pt>
                <c:pt idx="2683">
                  <c:v>0.23493993711621433</c:v>
                </c:pt>
                <c:pt idx="2684">
                  <c:v>0.23524529896843679</c:v>
                </c:pt>
                <c:pt idx="2685">
                  <c:v>0.23555076564793431</c:v>
                </c:pt>
                <c:pt idx="2686">
                  <c:v>0.23585665163653205</c:v>
                </c:pt>
                <c:pt idx="2687">
                  <c:v>0.23616641623430665</c:v>
                </c:pt>
                <c:pt idx="2688">
                  <c:v>0.23647618083208125</c:v>
                </c:pt>
                <c:pt idx="2689">
                  <c:v>0.23678678404805625</c:v>
                </c:pt>
                <c:pt idx="2690">
                  <c:v>0.23709791140040651</c:v>
                </c:pt>
                <c:pt idx="2691">
                  <c:v>0.23740935323458193</c:v>
                </c:pt>
                <c:pt idx="2692">
                  <c:v>0.23772226265060806</c:v>
                </c:pt>
                <c:pt idx="2693">
                  <c:v>0.23803580103028449</c:v>
                </c:pt>
                <c:pt idx="2694">
                  <c:v>0.23834965389178606</c:v>
                </c:pt>
                <c:pt idx="2695">
                  <c:v>0.23866445019876309</c:v>
                </c:pt>
                <c:pt idx="2696">
                  <c:v>0.23897935133301518</c:v>
                </c:pt>
                <c:pt idx="2697">
                  <c:v>0.23929540556729281</c:v>
                </c:pt>
                <c:pt idx="2698">
                  <c:v>0.2396115646288455</c:v>
                </c:pt>
                <c:pt idx="2699">
                  <c:v>0.23992803817222336</c:v>
                </c:pt>
                <c:pt idx="2700">
                  <c:v>0.24024859997932818</c:v>
                </c:pt>
                <c:pt idx="2701">
                  <c:v>0.24057031488645855</c:v>
                </c:pt>
                <c:pt idx="2702">
                  <c:v>0.24089265875723923</c:v>
                </c:pt>
                <c:pt idx="2703">
                  <c:v>0.24121531710984506</c:v>
                </c:pt>
                <c:pt idx="2704">
                  <c:v>0.2415386044261012</c:v>
                </c:pt>
                <c:pt idx="2705">
                  <c:v>0.24186283518783278</c:v>
                </c:pt>
                <c:pt idx="2706">
                  <c:v>0.24218727560411446</c:v>
                </c:pt>
                <c:pt idx="2707">
                  <c:v>0.24251203050222131</c:v>
                </c:pt>
                <c:pt idx="2708">
                  <c:v>0.24283699505487824</c:v>
                </c:pt>
                <c:pt idx="2709">
                  <c:v>0.24316332236211083</c:v>
                </c:pt>
                <c:pt idx="2710">
                  <c:v>0.24349059311481888</c:v>
                </c:pt>
                <c:pt idx="2711">
                  <c:v>0.24381838800390218</c:v>
                </c:pt>
                <c:pt idx="2712">
                  <c:v>0.24414628772026054</c:v>
                </c:pt>
                <c:pt idx="2713">
                  <c:v>0.24447523570936941</c:v>
                </c:pt>
                <c:pt idx="2714">
                  <c:v>0.24480439335302837</c:v>
                </c:pt>
                <c:pt idx="2715">
                  <c:v>0.24513512340581309</c:v>
                </c:pt>
                <c:pt idx="2716">
                  <c:v>0.24546627276769803</c:v>
                </c:pt>
                <c:pt idx="2717">
                  <c:v>0.24579857522960852</c:v>
                </c:pt>
                <c:pt idx="2718">
                  <c:v>0.2461325549279198</c:v>
                </c:pt>
                <c:pt idx="2719">
                  <c:v>0.24646716358988141</c:v>
                </c:pt>
                <c:pt idx="2720">
                  <c:v>0.24680187707911805</c:v>
                </c:pt>
                <c:pt idx="2721">
                  <c:v>0.24713669539562974</c:v>
                </c:pt>
                <c:pt idx="2722">
                  <c:v>0.24747319094854225</c:v>
                </c:pt>
                <c:pt idx="2723">
                  <c:v>0.24781052511965518</c:v>
                </c:pt>
                <c:pt idx="2724">
                  <c:v>0.24814859308169346</c:v>
                </c:pt>
                <c:pt idx="2725">
                  <c:v>0.24848739483465709</c:v>
                </c:pt>
                <c:pt idx="2726">
                  <c:v>0.24882850278767182</c:v>
                </c:pt>
                <c:pt idx="2727">
                  <c:v>0.24916982039523666</c:v>
                </c:pt>
                <c:pt idx="2728">
                  <c:v>0.24951166213917675</c:v>
                </c:pt>
                <c:pt idx="2729">
                  <c:v>0.24985360871039189</c:v>
                </c:pt>
                <c:pt idx="2730">
                  <c:v>0.25019555528160703</c:v>
                </c:pt>
                <c:pt idx="2731">
                  <c:v>0.25053844529829761</c:v>
                </c:pt>
                <c:pt idx="2732">
                  <c:v>0.2508817546240884</c:v>
                </c:pt>
                <c:pt idx="2733">
                  <c:v>0.25122548325897942</c:v>
                </c:pt>
                <c:pt idx="2734">
                  <c:v>0.2515696312029706</c:v>
                </c:pt>
                <c:pt idx="2735">
                  <c:v>0.25191461776516222</c:v>
                </c:pt>
                <c:pt idx="2736">
                  <c:v>0.25226159604557979</c:v>
                </c:pt>
                <c:pt idx="2737">
                  <c:v>0.25261004190784808</c:v>
                </c:pt>
                <c:pt idx="2738">
                  <c:v>0.25295953604286686</c:v>
                </c:pt>
                <c:pt idx="2739">
                  <c:v>0.253309763968811</c:v>
                </c:pt>
                <c:pt idx="2740">
                  <c:v>0.25366072568568049</c:v>
                </c:pt>
                <c:pt idx="2741">
                  <c:v>0.25401378394805102</c:v>
                </c:pt>
                <c:pt idx="2742">
                  <c:v>0.25436872910137243</c:v>
                </c:pt>
                <c:pt idx="2743">
                  <c:v>0.25472409356379405</c:v>
                </c:pt>
                <c:pt idx="2744">
                  <c:v>0.25507977250804081</c:v>
                </c:pt>
                <c:pt idx="2745">
                  <c:v>0.2554371286886884</c:v>
                </c:pt>
                <c:pt idx="2746">
                  <c:v>0.25579500900571123</c:v>
                </c:pt>
                <c:pt idx="2747">
                  <c:v>0.25615320380455919</c:v>
                </c:pt>
                <c:pt idx="2748">
                  <c:v>0.25651213239433251</c:v>
                </c:pt>
                <c:pt idx="2749">
                  <c:v>0.25687252856595655</c:v>
                </c:pt>
                <c:pt idx="2750">
                  <c:v>0.25723355370123091</c:v>
                </c:pt>
                <c:pt idx="2751">
                  <c:v>0.25759478849105538</c:v>
                </c:pt>
                <c:pt idx="2752">
                  <c:v>0.25795602328087985</c:v>
                </c:pt>
                <c:pt idx="2753">
                  <c:v>0.25831736289797935</c:v>
                </c:pt>
                <c:pt idx="2754">
                  <c:v>0.25867943630600421</c:v>
                </c:pt>
                <c:pt idx="2755">
                  <c:v>0.25904203385040431</c:v>
                </c:pt>
                <c:pt idx="2756">
                  <c:v>0.25940515553117965</c:v>
                </c:pt>
                <c:pt idx="2757">
                  <c:v>0.25976922065743047</c:v>
                </c:pt>
                <c:pt idx="2758">
                  <c:v>0.26013548715645735</c:v>
                </c:pt>
                <c:pt idx="2759">
                  <c:v>0.26050280192823472</c:v>
                </c:pt>
                <c:pt idx="2760">
                  <c:v>0.26087095531821253</c:v>
                </c:pt>
                <c:pt idx="2761">
                  <c:v>0.26124267283554203</c:v>
                </c:pt>
                <c:pt idx="2762">
                  <c:v>0.26161460000742165</c:v>
                </c:pt>
                <c:pt idx="2763">
                  <c:v>0.26198694648840148</c:v>
                </c:pt>
                <c:pt idx="2764">
                  <c:v>0.26235950262393143</c:v>
                </c:pt>
                <c:pt idx="2765">
                  <c:v>0.26273237324128651</c:v>
                </c:pt>
                <c:pt idx="2766">
                  <c:v>0.2631054535131917</c:v>
                </c:pt>
                <c:pt idx="2767">
                  <c:v>0.26348021102149771</c:v>
                </c:pt>
                <c:pt idx="2768">
                  <c:v>0.26385633128437935</c:v>
                </c:pt>
                <c:pt idx="2769">
                  <c:v>0.2642326612018111</c:v>
                </c:pt>
                <c:pt idx="2770">
                  <c:v>0.26461024904654346</c:v>
                </c:pt>
                <c:pt idx="2771">
                  <c:v>0.26498857068220116</c:v>
                </c:pt>
                <c:pt idx="2772">
                  <c:v>0.26536731162695909</c:v>
                </c:pt>
                <c:pt idx="2773">
                  <c:v>0.26574647188081718</c:v>
                </c:pt>
                <c:pt idx="2774">
                  <c:v>0.26612636592560063</c:v>
                </c:pt>
                <c:pt idx="2775">
                  <c:v>0.26650709858858451</c:v>
                </c:pt>
                <c:pt idx="2776">
                  <c:v>0.26688950848796922</c:v>
                </c:pt>
                <c:pt idx="2777">
                  <c:v>0.26727202321462895</c:v>
                </c:pt>
                <c:pt idx="2778">
                  <c:v>0.26765464276856371</c:v>
                </c:pt>
                <c:pt idx="2779">
                  <c:v>0.26803757680432366</c:v>
                </c:pt>
                <c:pt idx="2780">
                  <c:v>0.26842072049463372</c:v>
                </c:pt>
                <c:pt idx="2781">
                  <c:v>0.26880470280314417</c:v>
                </c:pt>
                <c:pt idx="2782">
                  <c:v>0.26918889476620472</c:v>
                </c:pt>
                <c:pt idx="2783">
                  <c:v>0.26957434465656588</c:v>
                </c:pt>
                <c:pt idx="2784">
                  <c:v>0.26996000420147714</c:v>
                </c:pt>
                <c:pt idx="2785">
                  <c:v>0.27034618788276366</c:v>
                </c:pt>
                <c:pt idx="2786">
                  <c:v>0.27073530672775159</c:v>
                </c:pt>
                <c:pt idx="2787">
                  <c:v>0.27112599798186526</c:v>
                </c:pt>
                <c:pt idx="2788">
                  <c:v>0.27151773750872943</c:v>
                </c:pt>
                <c:pt idx="2789">
                  <c:v>0.27191104944471939</c:v>
                </c:pt>
                <c:pt idx="2790">
                  <c:v>0.27230478068980957</c:v>
                </c:pt>
                <c:pt idx="2791">
                  <c:v>0.27269893124399991</c:v>
                </c:pt>
                <c:pt idx="2792">
                  <c:v>0.27309654109826692</c:v>
                </c:pt>
                <c:pt idx="2793">
                  <c:v>0.27349436060708404</c:v>
                </c:pt>
                <c:pt idx="2794">
                  <c:v>0.27389280907955149</c:v>
                </c:pt>
                <c:pt idx="2795">
                  <c:v>0.27429220099749435</c:v>
                </c:pt>
                <c:pt idx="2796">
                  <c:v>0.27469285084273787</c:v>
                </c:pt>
                <c:pt idx="2797">
                  <c:v>0.27509360551525641</c:v>
                </c:pt>
                <c:pt idx="2798">
                  <c:v>0.2754961422514508</c:v>
                </c:pt>
                <c:pt idx="2799">
                  <c:v>0.27590129966952148</c:v>
                </c:pt>
                <c:pt idx="2800">
                  <c:v>0.27630813432399298</c:v>
                </c:pt>
                <c:pt idx="2801">
                  <c:v>0.27671612207849</c:v>
                </c:pt>
                <c:pt idx="2802">
                  <c:v>0.27712431948753713</c:v>
                </c:pt>
                <c:pt idx="2803">
                  <c:v>0.27753346034205972</c:v>
                </c:pt>
                <c:pt idx="2804">
                  <c:v>0.27794448808753325</c:v>
                </c:pt>
                <c:pt idx="2805">
                  <c:v>0.27835551583300677</c:v>
                </c:pt>
                <c:pt idx="2806">
                  <c:v>0.2787678015057809</c:v>
                </c:pt>
                <c:pt idx="2807">
                  <c:v>0.2791807161422053</c:v>
                </c:pt>
                <c:pt idx="2808">
                  <c:v>0.27959625146050598</c:v>
                </c:pt>
                <c:pt idx="2809">
                  <c:v>0.28001241574245694</c:v>
                </c:pt>
                <c:pt idx="2810">
                  <c:v>0.28042868485168299</c:v>
                </c:pt>
                <c:pt idx="2811">
                  <c:v>0.2808455829245593</c:v>
                </c:pt>
                <c:pt idx="2812">
                  <c:v>0.2812638437520113</c:v>
                </c:pt>
                <c:pt idx="2813">
                  <c:v>0.28168252388856352</c:v>
                </c:pt>
                <c:pt idx="2814">
                  <c:v>0.28210550194339279</c:v>
                </c:pt>
                <c:pt idx="2815">
                  <c:v>0.28253036688917299</c:v>
                </c:pt>
                <c:pt idx="2816">
                  <c:v>0.28295659458952882</c:v>
                </c:pt>
                <c:pt idx="2817">
                  <c:v>0.28338502366266072</c:v>
                </c:pt>
                <c:pt idx="2818">
                  <c:v>0.28381512997219344</c:v>
                </c:pt>
                <c:pt idx="2819">
                  <c:v>0.28424586524537648</c:v>
                </c:pt>
                <c:pt idx="2820">
                  <c:v>0.2846795356822609</c:v>
                </c:pt>
                <c:pt idx="2821">
                  <c:v>0.28511383508279564</c:v>
                </c:pt>
                <c:pt idx="2822">
                  <c:v>0.28554844896515552</c:v>
                </c:pt>
                <c:pt idx="2823">
                  <c:v>0.2859858931839418</c:v>
                </c:pt>
                <c:pt idx="2824">
                  <c:v>0.28642522429367895</c:v>
                </c:pt>
                <c:pt idx="2825">
                  <c:v>0.28686602298526681</c:v>
                </c:pt>
                <c:pt idx="2826">
                  <c:v>0.28730692650412976</c:v>
                </c:pt>
                <c:pt idx="2827">
                  <c:v>0.28774845898664297</c:v>
                </c:pt>
                <c:pt idx="2828">
                  <c:v>0.28819062043280652</c:v>
                </c:pt>
                <c:pt idx="2829">
                  <c:v>0.28863320118807029</c:v>
                </c:pt>
                <c:pt idx="2830">
                  <c:v>0.28907672538880946</c:v>
                </c:pt>
                <c:pt idx="2831">
                  <c:v>0.28952087855319897</c:v>
                </c:pt>
                <c:pt idx="2832">
                  <c:v>0.28996555585396372</c:v>
                </c:pt>
                <c:pt idx="2833">
                  <c:v>0.2904108621183788</c:v>
                </c:pt>
                <c:pt idx="2834">
                  <c:v>0.29085637803734399</c:v>
                </c:pt>
                <c:pt idx="2835">
                  <c:v>0.29130241809268442</c:v>
                </c:pt>
                <c:pt idx="2836">
                  <c:v>0.29175097400262606</c:v>
                </c:pt>
                <c:pt idx="2837">
                  <c:v>0.29219994922166792</c:v>
                </c:pt>
                <c:pt idx="2838">
                  <c:v>0.2926500775407353</c:v>
                </c:pt>
                <c:pt idx="2839">
                  <c:v>0.29310072999617792</c:v>
                </c:pt>
                <c:pt idx="2840">
                  <c:v>0.29355285003347126</c:v>
                </c:pt>
                <c:pt idx="2841">
                  <c:v>0.29400591351624006</c:v>
                </c:pt>
                <c:pt idx="2842">
                  <c:v>0.29445992044448432</c:v>
                </c:pt>
                <c:pt idx="2843">
                  <c:v>0.29491812046373062</c:v>
                </c:pt>
                <c:pt idx="2844">
                  <c:v>0.29537632048297691</c:v>
                </c:pt>
                <c:pt idx="2845">
                  <c:v>0.29583745566592462</c:v>
                </c:pt>
                <c:pt idx="2846">
                  <c:v>0.29629963912162283</c:v>
                </c:pt>
                <c:pt idx="2847">
                  <c:v>0.29676412877737213</c:v>
                </c:pt>
                <c:pt idx="2848">
                  <c:v>0.29723029566952225</c:v>
                </c:pt>
                <c:pt idx="2849">
                  <c:v>0.29769656738894745</c:v>
                </c:pt>
                <c:pt idx="2850">
                  <c:v>0.29816346807202293</c:v>
                </c:pt>
                <c:pt idx="2851">
                  <c:v>0.29863036875509841</c:v>
                </c:pt>
                <c:pt idx="2852">
                  <c:v>0.29909852736547449</c:v>
                </c:pt>
                <c:pt idx="2853">
                  <c:v>0.29956741976677592</c:v>
                </c:pt>
                <c:pt idx="2854">
                  <c:v>0.30003914250450375</c:v>
                </c:pt>
                <c:pt idx="2855">
                  <c:v>0.30051191351498208</c:v>
                </c:pt>
                <c:pt idx="2856">
                  <c:v>0.30098667624368636</c:v>
                </c:pt>
                <c:pt idx="2857">
                  <c:v>0.30146825274526895</c:v>
                </c:pt>
                <c:pt idx="2858">
                  <c:v>0.30195161131052739</c:v>
                </c:pt>
                <c:pt idx="2859">
                  <c:v>0.30243664711218665</c:v>
                </c:pt>
                <c:pt idx="2860">
                  <c:v>0.30292210222294608</c:v>
                </c:pt>
                <c:pt idx="2861">
                  <c:v>0.30341227456108283</c:v>
                </c:pt>
                <c:pt idx="2862">
                  <c:v>0.30390380965379521</c:v>
                </c:pt>
                <c:pt idx="2863">
                  <c:v>0.30439576405560781</c:v>
                </c:pt>
                <c:pt idx="2864">
                  <c:v>0.30488813776652063</c:v>
                </c:pt>
                <c:pt idx="2865">
                  <c:v>0.30538208388655919</c:v>
                </c:pt>
                <c:pt idx="2866">
                  <c:v>0.3058803279248748</c:v>
                </c:pt>
                <c:pt idx="2867">
                  <c:v>0.3063785719631904</c:v>
                </c:pt>
                <c:pt idx="2868">
                  <c:v>0.30687807392880662</c:v>
                </c:pt>
                <c:pt idx="2869">
                  <c:v>0.30737778554897294</c:v>
                </c:pt>
                <c:pt idx="2870">
                  <c:v>0.3078780213055145</c:v>
                </c:pt>
                <c:pt idx="2871">
                  <c:v>0.30837899085298143</c:v>
                </c:pt>
                <c:pt idx="2872">
                  <c:v>0.30888184729139928</c:v>
                </c:pt>
                <c:pt idx="2873">
                  <c:v>0.30938512303891735</c:v>
                </c:pt>
                <c:pt idx="2874">
                  <c:v>0.3098902856773863</c:v>
                </c:pt>
                <c:pt idx="2875">
                  <c:v>0.31039880278865689</c:v>
                </c:pt>
                <c:pt idx="2876">
                  <c:v>0.31090731989992748</c:v>
                </c:pt>
                <c:pt idx="2877">
                  <c:v>0.31141678045667354</c:v>
                </c:pt>
                <c:pt idx="2878">
                  <c:v>0.31192739411344511</c:v>
                </c:pt>
                <c:pt idx="2879">
                  <c:v>0.3124394753520674</c:v>
                </c:pt>
                <c:pt idx="2880">
                  <c:v>0.31295166141796477</c:v>
                </c:pt>
                <c:pt idx="2881">
                  <c:v>0.31346489575661263</c:v>
                </c:pt>
                <c:pt idx="2882">
                  <c:v>0.31398012181348645</c:v>
                </c:pt>
                <c:pt idx="2883">
                  <c:v>0.31449671062493595</c:v>
                </c:pt>
                <c:pt idx="2884">
                  <c:v>0.31501529115461141</c:v>
                </c:pt>
                <c:pt idx="2885">
                  <c:v>0.31553439582066212</c:v>
                </c:pt>
                <c:pt idx="2886">
                  <c:v>0.31605402462308807</c:v>
                </c:pt>
                <c:pt idx="2887">
                  <c:v>0.31657910444381665</c:v>
                </c:pt>
                <c:pt idx="2888">
                  <c:v>0.31710439391909534</c:v>
                </c:pt>
                <c:pt idx="2889">
                  <c:v>0.31763429579447627</c:v>
                </c:pt>
                <c:pt idx="2890">
                  <c:v>0.31816577007898295</c:v>
                </c:pt>
                <c:pt idx="2891">
                  <c:v>0.31869892159989044</c:v>
                </c:pt>
                <c:pt idx="2892">
                  <c:v>0.319234274493574</c:v>
                </c:pt>
                <c:pt idx="2893">
                  <c:v>0.31977057083273303</c:v>
                </c:pt>
                <c:pt idx="2894">
                  <c:v>0.32030917337194315</c:v>
                </c:pt>
                <c:pt idx="2895">
                  <c:v>0.32084840487480359</c:v>
                </c:pt>
                <c:pt idx="2896">
                  <c:v>0.3213878460322141</c:v>
                </c:pt>
                <c:pt idx="2897">
                  <c:v>0.32193829405350494</c:v>
                </c:pt>
                <c:pt idx="2898">
                  <c:v>0.32249073379302173</c:v>
                </c:pt>
                <c:pt idx="2899">
                  <c:v>0.32304610869623995</c:v>
                </c:pt>
                <c:pt idx="2900">
                  <c:v>0.32360483807225982</c:v>
                </c:pt>
                <c:pt idx="2901">
                  <c:v>0.32416409158465492</c:v>
                </c:pt>
                <c:pt idx="2902">
                  <c:v>0.32472617543347637</c:v>
                </c:pt>
                <c:pt idx="2903">
                  <c:v>0.32528846893684793</c:v>
                </c:pt>
                <c:pt idx="2904">
                  <c:v>0.32585086726749452</c:v>
                </c:pt>
                <c:pt idx="2905">
                  <c:v>0.32641662007094274</c:v>
                </c:pt>
                <c:pt idx="2906">
                  <c:v>0.326982477701666</c:v>
                </c:pt>
                <c:pt idx="2907">
                  <c:v>0.32755011739606515</c:v>
                </c:pt>
                <c:pt idx="2908">
                  <c:v>0.3281223694905665</c:v>
                </c:pt>
                <c:pt idx="2909">
                  <c:v>0.32869462158506785</c:v>
                </c:pt>
                <c:pt idx="2910">
                  <c:v>0.32926834126141991</c:v>
                </c:pt>
                <c:pt idx="2911">
                  <c:v>0.32984405265599792</c:v>
                </c:pt>
                <c:pt idx="2912">
                  <c:v>0.33042039301422627</c:v>
                </c:pt>
                <c:pt idx="2913">
                  <c:v>0.33099809612703029</c:v>
                </c:pt>
                <c:pt idx="2914">
                  <c:v>0.33158282266726269</c:v>
                </c:pt>
                <c:pt idx="2915">
                  <c:v>0.33216817817114541</c:v>
                </c:pt>
                <c:pt idx="2916">
                  <c:v>0.33276202468430721</c:v>
                </c:pt>
                <c:pt idx="2917">
                  <c:v>0.33335629050656923</c:v>
                </c:pt>
                <c:pt idx="2918">
                  <c:v>0.3339535963198077</c:v>
                </c:pt>
                <c:pt idx="2919">
                  <c:v>0.33455289385127213</c:v>
                </c:pt>
                <c:pt idx="2920">
                  <c:v>0.33515428792823759</c:v>
                </c:pt>
                <c:pt idx="2921">
                  <c:v>0.33576249577808132</c:v>
                </c:pt>
                <c:pt idx="2922">
                  <c:v>0.33637143741885039</c:v>
                </c:pt>
                <c:pt idx="2923">
                  <c:v>0.33698121767781991</c:v>
                </c:pt>
                <c:pt idx="2924">
                  <c:v>0.3375928848277403</c:v>
                </c:pt>
                <c:pt idx="2925">
                  <c:v>0.33820643886861163</c:v>
                </c:pt>
                <c:pt idx="2926">
                  <c:v>0.33882051704585819</c:v>
                </c:pt>
                <c:pt idx="2927">
                  <c:v>0.33943511935948001</c:v>
                </c:pt>
                <c:pt idx="2928">
                  <c:v>0.34005003615492696</c:v>
                </c:pt>
                <c:pt idx="2929">
                  <c:v>0.34066600122312446</c:v>
                </c:pt>
                <c:pt idx="2930">
                  <c:v>0.34128437731864808</c:v>
                </c:pt>
                <c:pt idx="2931">
                  <c:v>0.34190747064154903</c:v>
                </c:pt>
                <c:pt idx="2932">
                  <c:v>0.34253098327355014</c:v>
                </c:pt>
                <c:pt idx="2933">
                  <c:v>0.34315606831467704</c:v>
                </c:pt>
                <c:pt idx="2934">
                  <c:v>0.34378345955585504</c:v>
                </c:pt>
                <c:pt idx="2935">
                  <c:v>0.34441106045158315</c:v>
                </c:pt>
                <c:pt idx="2936">
                  <c:v>0.34503918548368651</c:v>
                </c:pt>
                <c:pt idx="2937">
                  <c:v>0.34566814913399024</c:v>
                </c:pt>
                <c:pt idx="2938">
                  <c:v>0.34630046725709562</c:v>
                </c:pt>
                <c:pt idx="2939">
                  <c:v>0.34693802674395352</c:v>
                </c:pt>
                <c:pt idx="2940">
                  <c:v>0.34757705381266213</c:v>
                </c:pt>
                <c:pt idx="2941">
                  <c:v>0.34821849190869691</c:v>
                </c:pt>
                <c:pt idx="2942">
                  <c:v>0.34886936445948624</c:v>
                </c:pt>
                <c:pt idx="2943">
                  <c:v>0.34952065631937579</c:v>
                </c:pt>
                <c:pt idx="2944">
                  <c:v>0.3501764557520925</c:v>
                </c:pt>
                <c:pt idx="2945">
                  <c:v>0.35083728689401167</c:v>
                </c:pt>
                <c:pt idx="2946">
                  <c:v>0.35150377870878358</c:v>
                </c:pt>
                <c:pt idx="2947">
                  <c:v>0.35217163327813111</c:v>
                </c:pt>
                <c:pt idx="2948">
                  <c:v>0.35283990715657887</c:v>
                </c:pt>
                <c:pt idx="2949">
                  <c:v>0.35351038240780269</c:v>
                </c:pt>
                <c:pt idx="2950">
                  <c:v>0.35418463144092832</c:v>
                </c:pt>
                <c:pt idx="2951">
                  <c:v>0.35486076736500488</c:v>
                </c:pt>
                <c:pt idx="2952">
                  <c:v>0.35553879018003232</c:v>
                </c:pt>
                <c:pt idx="2953">
                  <c:v>0.35621838540418554</c:v>
                </c:pt>
                <c:pt idx="2954">
                  <c:v>0.35691244679229572</c:v>
                </c:pt>
                <c:pt idx="2955">
                  <c:v>0.35760755645315645</c:v>
                </c:pt>
                <c:pt idx="2956">
                  <c:v>0.35831031850509587</c:v>
                </c:pt>
                <c:pt idx="2957">
                  <c:v>0.35901769295713748</c:v>
                </c:pt>
                <c:pt idx="2958">
                  <c:v>0.35973146187295718</c:v>
                </c:pt>
                <c:pt idx="2959">
                  <c:v>0.36044585975242721</c:v>
                </c:pt>
                <c:pt idx="2960">
                  <c:v>0.36116046728644735</c:v>
                </c:pt>
                <c:pt idx="2961">
                  <c:v>0.36187538930229263</c:v>
                </c:pt>
                <c:pt idx="2962">
                  <c:v>0.36259062579996304</c:v>
                </c:pt>
                <c:pt idx="2963">
                  <c:v>0.36331026504318559</c:v>
                </c:pt>
                <c:pt idx="2964">
                  <c:v>0.3640356697865359</c:v>
                </c:pt>
                <c:pt idx="2965">
                  <c:v>0.36477333932106715</c:v>
                </c:pt>
                <c:pt idx="2966">
                  <c:v>0.36551258126472419</c:v>
                </c:pt>
                <c:pt idx="2967">
                  <c:v>0.36625664526303353</c:v>
                </c:pt>
                <c:pt idx="2968">
                  <c:v>0.36700878096152179</c:v>
                </c:pt>
                <c:pt idx="2969">
                  <c:v>0.3677641663055366</c:v>
                </c:pt>
                <c:pt idx="2970">
                  <c:v>0.36854072675911165</c:v>
                </c:pt>
                <c:pt idx="2971">
                  <c:v>0.36931948858546276</c:v>
                </c:pt>
                <c:pt idx="2972">
                  <c:v>0.3701227799941757</c:v>
                </c:pt>
                <c:pt idx="2973">
                  <c:v>0.37093005483934055</c:v>
                </c:pt>
                <c:pt idx="2974">
                  <c:v>0.37173837795725595</c:v>
                </c:pt>
                <c:pt idx="2975">
                  <c:v>0.37255477277535021</c:v>
                </c:pt>
                <c:pt idx="2976">
                  <c:v>0.37337305448439539</c:v>
                </c:pt>
                <c:pt idx="2977">
                  <c:v>0.37419343273894162</c:v>
                </c:pt>
                <c:pt idx="2978">
                  <c:v>0.3750221971754919</c:v>
                </c:pt>
                <c:pt idx="2979">
                  <c:v>0.37585400160301863</c:v>
                </c:pt>
                <c:pt idx="2980">
                  <c:v>0.37668978946699727</c:v>
                </c:pt>
                <c:pt idx="2981">
                  <c:v>0.3775269400855516</c:v>
                </c:pt>
                <c:pt idx="2982">
                  <c:v>0.37836419553138095</c:v>
                </c:pt>
                <c:pt idx="2983">
                  <c:v>0.37920952267738922</c:v>
                </c:pt>
                <c:pt idx="2984">
                  <c:v>0.38005935739622465</c:v>
                </c:pt>
                <c:pt idx="2985">
                  <c:v>0.3809185217425396</c:v>
                </c:pt>
                <c:pt idx="2986">
                  <c:v>0.38178324193443219</c:v>
                </c:pt>
                <c:pt idx="2987">
                  <c:v>0.38265037315365097</c:v>
                </c:pt>
                <c:pt idx="2988">
                  <c:v>0.38352043953657117</c:v>
                </c:pt>
                <c:pt idx="2989">
                  <c:v>0.3843908204013165</c:v>
                </c:pt>
                <c:pt idx="2990">
                  <c:v>0.38526518470251375</c:v>
                </c:pt>
                <c:pt idx="2991">
                  <c:v>0.38614017796736133</c:v>
                </c:pt>
                <c:pt idx="2992">
                  <c:v>0.38701716295043487</c:v>
                </c:pt>
                <c:pt idx="2993">
                  <c:v>0.38789551068808409</c:v>
                </c:pt>
                <c:pt idx="2994">
                  <c:v>0.38877983358041118</c:v>
                </c:pt>
                <c:pt idx="2995">
                  <c:v>0.38967348610021779</c:v>
                </c:pt>
                <c:pt idx="2996">
                  <c:v>0.39056797723822478</c:v>
                </c:pt>
                <c:pt idx="2997">
                  <c:v>0.39146980628548533</c:v>
                </c:pt>
                <c:pt idx="2998">
                  <c:v>0.39238777873310365</c:v>
                </c:pt>
                <c:pt idx="2999">
                  <c:v>0.39330658979892241</c:v>
                </c:pt>
                <c:pt idx="3000">
                  <c:v>0.39424867251980239</c:v>
                </c:pt>
                <c:pt idx="3001">
                  <c:v>0.39519086006795739</c:v>
                </c:pt>
                <c:pt idx="3002">
                  <c:v>0.39613598277981382</c:v>
                </c:pt>
                <c:pt idx="3003">
                  <c:v>0.39708278272807107</c:v>
                </c:pt>
                <c:pt idx="3004">
                  <c:v>0.39804908054948773</c:v>
                </c:pt>
                <c:pt idx="3005">
                  <c:v>0.39902407903473358</c:v>
                </c:pt>
                <c:pt idx="3006">
                  <c:v>0.40000767335653359</c:v>
                </c:pt>
                <c:pt idx="3007">
                  <c:v>0.40099734766028655</c:v>
                </c:pt>
                <c:pt idx="3008">
                  <c:v>0.4019883847186152</c:v>
                </c:pt>
                <c:pt idx="3009">
                  <c:v>0.40299179139539981</c:v>
                </c:pt>
                <c:pt idx="3010">
                  <c:v>0.40399813323588585</c:v>
                </c:pt>
                <c:pt idx="3011">
                  <c:v>0.40500814403099861</c:v>
                </c:pt>
                <c:pt idx="3012">
                  <c:v>0.40603314512644362</c:v>
                </c:pt>
                <c:pt idx="3013">
                  <c:v>0.40706779033119328</c:v>
                </c:pt>
                <c:pt idx="3014">
                  <c:v>0.40811082171794699</c:v>
                </c:pt>
                <c:pt idx="3015">
                  <c:v>0.40915636895930196</c:v>
                </c:pt>
                <c:pt idx="3016">
                  <c:v>0.41020736721895956</c:v>
                </c:pt>
                <c:pt idx="3017">
                  <c:v>0.41126213926051897</c:v>
                </c:pt>
                <c:pt idx="3018">
                  <c:v>0.41231733061117859</c:v>
                </c:pt>
                <c:pt idx="3019">
                  <c:v>0.41338593985304467</c:v>
                </c:pt>
                <c:pt idx="3020">
                  <c:v>0.41447331317714481</c:v>
                </c:pt>
                <c:pt idx="3021">
                  <c:v>0.41556592786499746</c:v>
                </c:pt>
                <c:pt idx="3022">
                  <c:v>0.41666850114397996</c:v>
                </c:pt>
                <c:pt idx="3023">
                  <c:v>0.417774219241214</c:v>
                </c:pt>
                <c:pt idx="3024">
                  <c:v>0.41888832352045208</c:v>
                </c:pt>
                <c:pt idx="3025">
                  <c:v>0.42002601393657651</c:v>
                </c:pt>
                <c:pt idx="3026">
                  <c:v>0.42117146157105473</c:v>
                </c:pt>
                <c:pt idx="3027">
                  <c:v>0.42233043192401443</c:v>
                </c:pt>
                <c:pt idx="3028">
                  <c:v>0.42349254709522566</c:v>
                </c:pt>
                <c:pt idx="3029">
                  <c:v>0.42466000845746449</c:v>
                </c:pt>
                <c:pt idx="3030">
                  <c:v>0.42583145325615523</c:v>
                </c:pt>
                <c:pt idx="3031">
                  <c:v>0.42700394632759647</c:v>
                </c:pt>
                <c:pt idx="3032">
                  <c:v>0.42818304351736591</c:v>
                </c:pt>
                <c:pt idx="3033">
                  <c:v>0.4293626648435106</c:v>
                </c:pt>
                <c:pt idx="3034">
                  <c:v>0.43054427788788124</c:v>
                </c:pt>
                <c:pt idx="3035">
                  <c:v>0.43173888951435818</c:v>
                </c:pt>
                <c:pt idx="3036">
                  <c:v>0.43295027350484322</c:v>
                </c:pt>
                <c:pt idx="3037">
                  <c:v>0.43417193056828324</c:v>
                </c:pt>
                <c:pt idx="3038">
                  <c:v>0.43539358763172326</c:v>
                </c:pt>
                <c:pt idx="3039">
                  <c:v>0.43661608331336366</c:v>
                </c:pt>
                <c:pt idx="3040">
                  <c:v>0.43784182864053062</c:v>
                </c:pt>
                <c:pt idx="3041">
                  <c:v>0.43907753255882742</c:v>
                </c:pt>
                <c:pt idx="3042">
                  <c:v>0.44031742956812625</c:v>
                </c:pt>
                <c:pt idx="3043">
                  <c:v>0.44156214863207738</c:v>
                </c:pt>
                <c:pt idx="3044">
                  <c:v>0.44281001251428004</c:v>
                </c:pt>
                <c:pt idx="3045">
                  <c:v>0.44407674530599178</c:v>
                </c:pt>
                <c:pt idx="3046">
                  <c:v>0.44534389740680375</c:v>
                </c:pt>
                <c:pt idx="3047">
                  <c:v>0.44661534742589282</c:v>
                </c:pt>
                <c:pt idx="3048">
                  <c:v>0.44789822361796239</c:v>
                </c:pt>
                <c:pt idx="3049">
                  <c:v>0.44918791358291027</c:v>
                </c:pt>
                <c:pt idx="3050">
                  <c:v>0.45051429309412583</c:v>
                </c:pt>
                <c:pt idx="3051">
                  <c:v>0.45184486569634341</c:v>
                </c:pt>
                <c:pt idx="3052">
                  <c:v>0.4531977665081468</c:v>
                </c:pt>
                <c:pt idx="3053">
                  <c:v>0.45456041625652988</c:v>
                </c:pt>
                <c:pt idx="3054">
                  <c:v>0.45593407286879328</c:v>
                </c:pt>
                <c:pt idx="3055">
                  <c:v>0.4573079391356068</c:v>
                </c:pt>
                <c:pt idx="3056">
                  <c:v>0.45869752949367792</c:v>
                </c:pt>
                <c:pt idx="3057">
                  <c:v>0.4601183583797141</c:v>
                </c:pt>
                <c:pt idx="3058">
                  <c:v>0.46155512101155799</c:v>
                </c:pt>
                <c:pt idx="3059">
                  <c:v>0.46300289050728222</c:v>
                </c:pt>
                <c:pt idx="3060">
                  <c:v>0.46445254689395732</c:v>
                </c:pt>
                <c:pt idx="3061">
                  <c:v>0.46591163773538696</c:v>
                </c:pt>
                <c:pt idx="3062">
                  <c:v>0.46737125271319191</c:v>
                </c:pt>
                <c:pt idx="3063">
                  <c:v>0.46883359320014817</c:v>
                </c:pt>
                <c:pt idx="3064">
                  <c:v>0.47030746468735996</c:v>
                </c:pt>
                <c:pt idx="3065">
                  <c:v>0.47179810853857984</c:v>
                </c:pt>
                <c:pt idx="3066">
                  <c:v>0.47329263099897662</c:v>
                </c:pt>
                <c:pt idx="3067">
                  <c:v>0.4747927093049511</c:v>
                </c:pt>
                <c:pt idx="3068">
                  <c:v>0.47631763167511254</c:v>
                </c:pt>
                <c:pt idx="3069">
                  <c:v>0.47784842437267683</c:v>
                </c:pt>
                <c:pt idx="3070">
                  <c:v>0.4793805798248168</c:v>
                </c:pt>
                <c:pt idx="3071">
                  <c:v>0.48093705520476848</c:v>
                </c:pt>
                <c:pt idx="3072">
                  <c:v>0.48250401331222526</c:v>
                </c:pt>
                <c:pt idx="3073">
                  <c:v>0.48410336304767265</c:v>
                </c:pt>
                <c:pt idx="3074">
                  <c:v>0.48570900241962311</c:v>
                </c:pt>
                <c:pt idx="3075">
                  <c:v>0.48732470520997839</c:v>
                </c:pt>
                <c:pt idx="3076">
                  <c:v>0.48894365764586029</c:v>
                </c:pt>
                <c:pt idx="3077">
                  <c:v>0.49061565268291779</c:v>
                </c:pt>
                <c:pt idx="3078">
                  <c:v>0.4922914215018771</c:v>
                </c:pt>
                <c:pt idx="3079">
                  <c:v>0.49404748801352522</c:v>
                </c:pt>
                <c:pt idx="3080">
                  <c:v>0.4958352123622386</c:v>
                </c:pt>
                <c:pt idx="3081">
                  <c:v>0.4976233560200522</c:v>
                </c:pt>
                <c:pt idx="3082">
                  <c:v>0.49943498098747713</c:v>
                </c:pt>
                <c:pt idx="3083">
                  <c:v>0.50125562110055644</c:v>
                </c:pt>
                <c:pt idx="3084">
                  <c:v>0.50308538118656509</c:v>
                </c:pt>
                <c:pt idx="3085">
                  <c:v>0.50492090677270152</c:v>
                </c:pt>
                <c:pt idx="3086">
                  <c:v>0.50677320472284604</c:v>
                </c:pt>
                <c:pt idx="3087">
                  <c:v>0.50864678260982588</c:v>
                </c:pt>
                <c:pt idx="3088">
                  <c:v>0.51053597976078824</c:v>
                </c:pt>
                <c:pt idx="3089">
                  <c:v>0.51243492584833028</c:v>
                </c:pt>
                <c:pt idx="3090">
                  <c:v>0.51434728982707889</c:v>
                </c:pt>
                <c:pt idx="3091">
                  <c:v>0.51627422479705953</c:v>
                </c:pt>
                <c:pt idx="3092">
                  <c:v>0.51826206441384459</c:v>
                </c:pt>
                <c:pt idx="3093">
                  <c:v>0.52028156186769492</c:v>
                </c:pt>
                <c:pt idx="3094">
                  <c:v>0.52231049377629979</c:v>
                </c:pt>
                <c:pt idx="3095">
                  <c:v>0.52435514977616227</c:v>
                </c:pt>
                <c:pt idx="3096">
                  <c:v>0.52643722911321778</c:v>
                </c:pt>
                <c:pt idx="3097">
                  <c:v>0.52857098829687332</c:v>
                </c:pt>
                <c:pt idx="3098">
                  <c:v>0.53075380664525251</c:v>
                </c:pt>
                <c:pt idx="3099">
                  <c:v>0.53296870213979719</c:v>
                </c:pt>
                <c:pt idx="3100">
                  <c:v>0.53520980445310451</c:v>
                </c:pt>
                <c:pt idx="3101">
                  <c:v>0.53747061429412135</c:v>
                </c:pt>
                <c:pt idx="3102">
                  <c:v>0.53974568064454509</c:v>
                </c:pt>
                <c:pt idx="3103">
                  <c:v>0.54203489867710064</c:v>
                </c:pt>
                <c:pt idx="3104">
                  <c:v>0.54439204478388903</c:v>
                </c:pt>
                <c:pt idx="3105">
                  <c:v>0.54679678247355035</c:v>
                </c:pt>
                <c:pt idx="3106">
                  <c:v>0.54927154478294549</c:v>
                </c:pt>
                <c:pt idx="3107">
                  <c:v>0.5517520725924685</c:v>
                </c:pt>
                <c:pt idx="3108">
                  <c:v>0.5542341728111172</c:v>
                </c:pt>
                <c:pt idx="3109">
                  <c:v>0.55671857922981705</c:v>
                </c:pt>
                <c:pt idx="3110">
                  <c:v>0.5592140973396722</c:v>
                </c:pt>
                <c:pt idx="3111">
                  <c:v>0.56171642922240572</c:v>
                </c:pt>
                <c:pt idx="3112">
                  <c:v>0.56423553346914734</c:v>
                </c:pt>
                <c:pt idx="3113">
                  <c:v>0.5667793769528009</c:v>
                </c:pt>
                <c:pt idx="3114">
                  <c:v>0.56934575830059031</c:v>
                </c:pt>
                <c:pt idx="3115">
                  <c:v>0.57195165953107385</c:v>
                </c:pt>
                <c:pt idx="3116">
                  <c:v>0.57460620061718082</c:v>
                </c:pt>
                <c:pt idx="3117">
                  <c:v>0.57730204364965776</c:v>
                </c:pt>
                <c:pt idx="3118">
                  <c:v>0.58002828659189942</c:v>
                </c:pt>
                <c:pt idx="3119">
                  <c:v>0.58288944223713124</c:v>
                </c:pt>
                <c:pt idx="3120">
                  <c:v>0.58578435226492931</c:v>
                </c:pt>
                <c:pt idx="3121">
                  <c:v>0.58874467451235901</c:v>
                </c:pt>
                <c:pt idx="3122">
                  <c:v>0.59171988223284588</c:v>
                </c:pt>
                <c:pt idx="3123">
                  <c:v>0.59470567750811287</c:v>
                </c:pt>
                <c:pt idx="3124">
                  <c:v>0.59769545621983178</c:v>
                </c:pt>
                <c:pt idx="3125">
                  <c:v>0.6007659519333397</c:v>
                </c:pt>
                <c:pt idx="3126">
                  <c:v>0.60383781040142326</c:v>
                </c:pt>
                <c:pt idx="3127">
                  <c:v>0.60691312816958354</c:v>
                </c:pt>
                <c:pt idx="3128">
                  <c:v>0.61006381674850518</c:v>
                </c:pt>
                <c:pt idx="3129">
                  <c:v>0.613252243146445</c:v>
                </c:pt>
                <c:pt idx="3130">
                  <c:v>0.61664875168536037</c:v>
                </c:pt>
                <c:pt idx="3131">
                  <c:v>0.62004620366975116</c:v>
                </c:pt>
                <c:pt idx="3132">
                  <c:v>0.62358339041178446</c:v>
                </c:pt>
                <c:pt idx="3133">
                  <c:v>0.62713399504502421</c:v>
                </c:pt>
                <c:pt idx="3134">
                  <c:v>0.63084016335443915</c:v>
                </c:pt>
                <c:pt idx="3135">
                  <c:v>0.63462704866564301</c:v>
                </c:pt>
                <c:pt idx="3136">
                  <c:v>0.63883397686797472</c:v>
                </c:pt>
                <c:pt idx="3137">
                  <c:v>0.64315212680913514</c:v>
                </c:pt>
                <c:pt idx="3138">
                  <c:v>0.64752017453321964</c:v>
                </c:pt>
                <c:pt idx="3139">
                  <c:v>0.65192732283089805</c:v>
                </c:pt>
                <c:pt idx="3140">
                  <c:v>0.65639610956630623</c:v>
                </c:pt>
                <c:pt idx="3141">
                  <c:v>0.66149973027942099</c:v>
                </c:pt>
                <c:pt idx="3142">
                  <c:v>0.66661792198376779</c:v>
                </c:pt>
                <c:pt idx="3143">
                  <c:v>0.67227272450909881</c:v>
                </c:pt>
                <c:pt idx="3144">
                  <c:v>0.67792920427083059</c:v>
                </c:pt>
                <c:pt idx="3145">
                  <c:v>0.68370707401707098</c:v>
                </c:pt>
                <c:pt idx="3146">
                  <c:v>0.68950790093654746</c:v>
                </c:pt>
                <c:pt idx="3147">
                  <c:v>0.69546313843217356</c:v>
                </c:pt>
                <c:pt idx="3148">
                  <c:v>0.70148640882930746</c:v>
                </c:pt>
                <c:pt idx="3149">
                  <c:v>0.70761450650149205</c:v>
                </c:pt>
                <c:pt idx="3150">
                  <c:v>0.71374774071015412</c:v>
                </c:pt>
                <c:pt idx="3151">
                  <c:v>0.7201233355787332</c:v>
                </c:pt>
                <c:pt idx="3152">
                  <c:v>0.72653121724802794</c:v>
                </c:pt>
                <c:pt idx="3153">
                  <c:v>0.73332245226218273</c:v>
                </c:pt>
                <c:pt idx="3154">
                  <c:v>0.74019534772360196</c:v>
                </c:pt>
                <c:pt idx="3155">
                  <c:v>0.74748105299417056</c:v>
                </c:pt>
                <c:pt idx="3156">
                  <c:v>0.75492724882284168</c:v>
                </c:pt>
                <c:pt idx="3157">
                  <c:v>0.76242187485258617</c:v>
                </c:pt>
                <c:pt idx="3158">
                  <c:v>0.76999533099316875</c:v>
                </c:pt>
                <c:pt idx="3159">
                  <c:v>0.77781974363022255</c:v>
                </c:pt>
                <c:pt idx="3160">
                  <c:v>0.78569038509557365</c:v>
                </c:pt>
                <c:pt idx="3161">
                  <c:v>0.79375348943791768</c:v>
                </c:pt>
                <c:pt idx="3162">
                  <c:v>0.80258675977005867</c:v>
                </c:pt>
                <c:pt idx="3163">
                  <c:v>0.81155714417796587</c:v>
                </c:pt>
                <c:pt idx="3164">
                  <c:v>0.82148596436166099</c:v>
                </c:pt>
                <c:pt idx="3165">
                  <c:v>0.83146981886475768</c:v>
                </c:pt>
                <c:pt idx="3166">
                  <c:v>0.84186480594060298</c:v>
                </c:pt>
                <c:pt idx="3167">
                  <c:v>0.85325439420212856</c:v>
                </c:pt>
                <c:pt idx="3168">
                  <c:v>0.86529621776901922</c:v>
                </c:pt>
                <c:pt idx="3169">
                  <c:v>0.87776112421801411</c:v>
                </c:pt>
                <c:pt idx="3170">
                  <c:v>0.89046681891780033</c:v>
                </c:pt>
                <c:pt idx="3171">
                  <c:v>0.90361666678197605</c:v>
                </c:pt>
                <c:pt idx="3172">
                  <c:v>0.91717848583710071</c:v>
                </c:pt>
                <c:pt idx="3173">
                  <c:v>0.93179266590645859</c:v>
                </c:pt>
                <c:pt idx="3174">
                  <c:v>0.94661943568961915</c:v>
                </c:pt>
                <c:pt idx="3175">
                  <c:v>0.96232381941950362</c:v>
                </c:pt>
                <c:pt idx="3176">
                  <c:v>0.97881126289401621</c:v>
                </c:pt>
                <c:pt idx="3177">
                  <c:v>0.99999999999999933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B-4138-9C65-C6DB0453B060}"/>
            </c:ext>
          </c:extLst>
        </c:ser>
        <c:ser>
          <c:idx val="1"/>
          <c:order val="1"/>
          <c:spPr>
            <a:ln w="1905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'E5.1'!$D$8:$D$3185</c:f>
              <c:numCache>
                <c:formatCode>0.000%</c:formatCode>
                <c:ptCount val="3178"/>
                <c:pt idx="0">
                  <c:v>0</c:v>
                </c:pt>
                <c:pt idx="1">
                  <c:v>3.1476235442241108E-4</c:v>
                </c:pt>
                <c:pt idx="2">
                  <c:v>6.2952470884482215E-4</c:v>
                </c:pt>
                <c:pt idx="3">
                  <c:v>9.4428706326723328E-4</c:v>
                </c:pt>
                <c:pt idx="4">
                  <c:v>1.2590494176896443E-3</c:v>
                </c:pt>
                <c:pt idx="5">
                  <c:v>1.5738117721120553E-3</c:v>
                </c:pt>
                <c:pt idx="6">
                  <c:v>1.8885741265344664E-3</c:v>
                </c:pt>
                <c:pt idx="7">
                  <c:v>2.2033364809568774E-3</c:v>
                </c:pt>
                <c:pt idx="8">
                  <c:v>2.5180988353792886E-3</c:v>
                </c:pt>
                <c:pt idx="9">
                  <c:v>2.8328611898016999E-3</c:v>
                </c:pt>
                <c:pt idx="10">
                  <c:v>3.1476235442241111E-3</c:v>
                </c:pt>
                <c:pt idx="11">
                  <c:v>3.4623858986465223E-3</c:v>
                </c:pt>
                <c:pt idx="12">
                  <c:v>3.7771482530689336E-3</c:v>
                </c:pt>
                <c:pt idx="13">
                  <c:v>4.0919106074913444E-3</c:v>
                </c:pt>
                <c:pt idx="14">
                  <c:v>4.4066729619137556E-3</c:v>
                </c:pt>
                <c:pt idx="15">
                  <c:v>4.7214353163361669E-3</c:v>
                </c:pt>
                <c:pt idx="16">
                  <c:v>5.0361976707585781E-3</c:v>
                </c:pt>
                <c:pt idx="17">
                  <c:v>5.3509600251809893E-3</c:v>
                </c:pt>
                <c:pt idx="18">
                  <c:v>5.6657223796034006E-3</c:v>
                </c:pt>
                <c:pt idx="19">
                  <c:v>5.9804847340258118E-3</c:v>
                </c:pt>
                <c:pt idx="20">
                  <c:v>6.295247088448223E-3</c:v>
                </c:pt>
                <c:pt idx="21">
                  <c:v>6.6100094428706343E-3</c:v>
                </c:pt>
                <c:pt idx="22">
                  <c:v>6.9247717972930455E-3</c:v>
                </c:pt>
                <c:pt idx="23">
                  <c:v>7.2395341517154568E-3</c:v>
                </c:pt>
                <c:pt idx="24">
                  <c:v>7.554296506137868E-3</c:v>
                </c:pt>
                <c:pt idx="25">
                  <c:v>7.8690588605602792E-3</c:v>
                </c:pt>
                <c:pt idx="26">
                  <c:v>8.1838212149826905E-3</c:v>
                </c:pt>
                <c:pt idx="27">
                  <c:v>8.4985835694051017E-3</c:v>
                </c:pt>
                <c:pt idx="28">
                  <c:v>8.813345923827513E-3</c:v>
                </c:pt>
                <c:pt idx="29">
                  <c:v>9.1281082782499242E-3</c:v>
                </c:pt>
                <c:pt idx="30">
                  <c:v>9.4428706326723354E-3</c:v>
                </c:pt>
                <c:pt idx="31">
                  <c:v>9.7576329870947467E-3</c:v>
                </c:pt>
                <c:pt idx="32">
                  <c:v>1.0072395341517158E-2</c:v>
                </c:pt>
                <c:pt idx="33">
                  <c:v>1.0387157695939569E-2</c:v>
                </c:pt>
                <c:pt idx="34">
                  <c:v>1.070192005036198E-2</c:v>
                </c:pt>
                <c:pt idx="35">
                  <c:v>1.1016682404784392E-2</c:v>
                </c:pt>
                <c:pt idx="36">
                  <c:v>1.1331444759206803E-2</c:v>
                </c:pt>
                <c:pt idx="37">
                  <c:v>1.1646207113629214E-2</c:v>
                </c:pt>
                <c:pt idx="38">
                  <c:v>1.1960969468051625E-2</c:v>
                </c:pt>
                <c:pt idx="39">
                  <c:v>1.2275731822474037E-2</c:v>
                </c:pt>
                <c:pt idx="40">
                  <c:v>1.2590494176896448E-2</c:v>
                </c:pt>
                <c:pt idx="41">
                  <c:v>1.2905256531318859E-2</c:v>
                </c:pt>
                <c:pt idx="42">
                  <c:v>1.322001888574127E-2</c:v>
                </c:pt>
                <c:pt idx="43">
                  <c:v>1.3534781240163682E-2</c:v>
                </c:pt>
                <c:pt idx="44">
                  <c:v>1.3849543594586093E-2</c:v>
                </c:pt>
                <c:pt idx="45">
                  <c:v>1.4164305949008504E-2</c:v>
                </c:pt>
                <c:pt idx="46">
                  <c:v>1.4479068303430915E-2</c:v>
                </c:pt>
                <c:pt idx="47">
                  <c:v>1.4793830657853327E-2</c:v>
                </c:pt>
                <c:pt idx="48">
                  <c:v>1.5108593012275738E-2</c:v>
                </c:pt>
                <c:pt idx="49">
                  <c:v>1.5423355366698149E-2</c:v>
                </c:pt>
                <c:pt idx="50">
                  <c:v>1.5738117721120558E-2</c:v>
                </c:pt>
                <c:pt idx="51">
                  <c:v>1.605288007554297E-2</c:v>
                </c:pt>
                <c:pt idx="52">
                  <c:v>1.6367642429965381E-2</c:v>
                </c:pt>
                <c:pt idx="53">
                  <c:v>1.6682404784387792E-2</c:v>
                </c:pt>
                <c:pt idx="54">
                  <c:v>1.6997167138810203E-2</c:v>
                </c:pt>
                <c:pt idx="55">
                  <c:v>1.7311929493232615E-2</c:v>
                </c:pt>
                <c:pt idx="56">
                  <c:v>1.7626691847655026E-2</c:v>
                </c:pt>
                <c:pt idx="57">
                  <c:v>1.7941454202077437E-2</c:v>
                </c:pt>
                <c:pt idx="58">
                  <c:v>1.8256216556499848E-2</c:v>
                </c:pt>
                <c:pt idx="59">
                  <c:v>1.857097891092226E-2</c:v>
                </c:pt>
                <c:pt idx="60">
                  <c:v>1.8885741265344671E-2</c:v>
                </c:pt>
                <c:pt idx="61">
                  <c:v>1.9200503619767082E-2</c:v>
                </c:pt>
                <c:pt idx="62">
                  <c:v>1.9515265974189493E-2</c:v>
                </c:pt>
                <c:pt idx="63">
                  <c:v>1.9830028328611905E-2</c:v>
                </c:pt>
                <c:pt idx="64">
                  <c:v>2.0144790683034316E-2</c:v>
                </c:pt>
                <c:pt idx="65">
                  <c:v>2.0459553037456727E-2</c:v>
                </c:pt>
                <c:pt idx="66">
                  <c:v>2.0774315391879138E-2</c:v>
                </c:pt>
                <c:pt idx="67">
                  <c:v>2.108907774630155E-2</c:v>
                </c:pt>
                <c:pt idx="68">
                  <c:v>2.1403840100723961E-2</c:v>
                </c:pt>
                <c:pt idx="69">
                  <c:v>2.1718602455146372E-2</c:v>
                </c:pt>
                <c:pt idx="70">
                  <c:v>2.2033364809568783E-2</c:v>
                </c:pt>
                <c:pt idx="71">
                  <c:v>2.2348127163991195E-2</c:v>
                </c:pt>
                <c:pt idx="72">
                  <c:v>2.2662889518413606E-2</c:v>
                </c:pt>
                <c:pt idx="73">
                  <c:v>2.2977651872836017E-2</c:v>
                </c:pt>
                <c:pt idx="74">
                  <c:v>2.3292414227258428E-2</c:v>
                </c:pt>
                <c:pt idx="75">
                  <c:v>2.3607176581680839E-2</c:v>
                </c:pt>
                <c:pt idx="76">
                  <c:v>2.3921938936103251E-2</c:v>
                </c:pt>
                <c:pt idx="77">
                  <c:v>2.4236701290525662E-2</c:v>
                </c:pt>
                <c:pt idx="78">
                  <c:v>2.4551463644948073E-2</c:v>
                </c:pt>
                <c:pt idx="79">
                  <c:v>2.4866225999370484E-2</c:v>
                </c:pt>
                <c:pt idx="80">
                  <c:v>2.5180988353792896E-2</c:v>
                </c:pt>
                <c:pt idx="81">
                  <c:v>2.5495750708215307E-2</c:v>
                </c:pt>
                <c:pt idx="82">
                  <c:v>2.5810513062637718E-2</c:v>
                </c:pt>
                <c:pt idx="83">
                  <c:v>2.6125275417060129E-2</c:v>
                </c:pt>
                <c:pt idx="84">
                  <c:v>2.6440037771482541E-2</c:v>
                </c:pt>
                <c:pt idx="85">
                  <c:v>2.6754800125904952E-2</c:v>
                </c:pt>
                <c:pt idx="86">
                  <c:v>2.7069562480327363E-2</c:v>
                </c:pt>
                <c:pt idx="87">
                  <c:v>2.7384324834749774E-2</c:v>
                </c:pt>
                <c:pt idx="88">
                  <c:v>2.7699087189172186E-2</c:v>
                </c:pt>
                <c:pt idx="89">
                  <c:v>2.8013849543594597E-2</c:v>
                </c:pt>
                <c:pt idx="90">
                  <c:v>2.8328611898017008E-2</c:v>
                </c:pt>
                <c:pt idx="91">
                  <c:v>2.8643374252439419E-2</c:v>
                </c:pt>
                <c:pt idx="92">
                  <c:v>2.8958136606861831E-2</c:v>
                </c:pt>
                <c:pt idx="93">
                  <c:v>2.9272898961284242E-2</c:v>
                </c:pt>
                <c:pt idx="94">
                  <c:v>2.9587661315706653E-2</c:v>
                </c:pt>
                <c:pt idx="95">
                  <c:v>2.9902423670129064E-2</c:v>
                </c:pt>
                <c:pt idx="96">
                  <c:v>3.0217186024551475E-2</c:v>
                </c:pt>
                <c:pt idx="97">
                  <c:v>3.0531948378973887E-2</c:v>
                </c:pt>
                <c:pt idx="98">
                  <c:v>3.0846710733396298E-2</c:v>
                </c:pt>
                <c:pt idx="99">
                  <c:v>3.1161473087818709E-2</c:v>
                </c:pt>
                <c:pt idx="100">
                  <c:v>3.1476235442241117E-2</c:v>
                </c:pt>
                <c:pt idx="101">
                  <c:v>3.1790997796663528E-2</c:v>
                </c:pt>
                <c:pt idx="102">
                  <c:v>3.2105760151085939E-2</c:v>
                </c:pt>
                <c:pt idx="103">
                  <c:v>3.2420522505508351E-2</c:v>
                </c:pt>
                <c:pt idx="104">
                  <c:v>3.2735284859930762E-2</c:v>
                </c:pt>
                <c:pt idx="105">
                  <c:v>3.3050047214353173E-2</c:v>
                </c:pt>
                <c:pt idx="106">
                  <c:v>3.3364809568775584E-2</c:v>
                </c:pt>
                <c:pt idx="107">
                  <c:v>3.3679571923197996E-2</c:v>
                </c:pt>
                <c:pt idx="108">
                  <c:v>3.3994334277620407E-2</c:v>
                </c:pt>
                <c:pt idx="109">
                  <c:v>3.4309096632042818E-2</c:v>
                </c:pt>
                <c:pt idx="110">
                  <c:v>3.4623858986465229E-2</c:v>
                </c:pt>
                <c:pt idx="111">
                  <c:v>3.4938621340887641E-2</c:v>
                </c:pt>
                <c:pt idx="112">
                  <c:v>3.5253383695310052E-2</c:v>
                </c:pt>
                <c:pt idx="113">
                  <c:v>3.5568146049732463E-2</c:v>
                </c:pt>
                <c:pt idx="114">
                  <c:v>3.5882908404154874E-2</c:v>
                </c:pt>
                <c:pt idx="115">
                  <c:v>3.6197670758577286E-2</c:v>
                </c:pt>
                <c:pt idx="116">
                  <c:v>3.6512433112999697E-2</c:v>
                </c:pt>
                <c:pt idx="117">
                  <c:v>3.6827195467422108E-2</c:v>
                </c:pt>
                <c:pt idx="118">
                  <c:v>3.7141957821844519E-2</c:v>
                </c:pt>
                <c:pt idx="119">
                  <c:v>3.7456720176266931E-2</c:v>
                </c:pt>
                <c:pt idx="120">
                  <c:v>3.7771482530689342E-2</c:v>
                </c:pt>
                <c:pt idx="121">
                  <c:v>3.8086244885111753E-2</c:v>
                </c:pt>
                <c:pt idx="122">
                  <c:v>3.8401007239534164E-2</c:v>
                </c:pt>
                <c:pt idx="123">
                  <c:v>3.8715769593956575E-2</c:v>
                </c:pt>
                <c:pt idx="124">
                  <c:v>3.9030531948378987E-2</c:v>
                </c:pt>
                <c:pt idx="125">
                  <c:v>3.9345294302801398E-2</c:v>
                </c:pt>
                <c:pt idx="126">
                  <c:v>3.9660056657223809E-2</c:v>
                </c:pt>
                <c:pt idx="127">
                  <c:v>3.997481901164622E-2</c:v>
                </c:pt>
                <c:pt idx="128">
                  <c:v>4.0289581366068632E-2</c:v>
                </c:pt>
                <c:pt idx="129">
                  <c:v>4.0604343720491043E-2</c:v>
                </c:pt>
                <c:pt idx="130">
                  <c:v>4.0919106074913454E-2</c:v>
                </c:pt>
                <c:pt idx="131">
                  <c:v>4.1233868429335865E-2</c:v>
                </c:pt>
                <c:pt idx="132">
                  <c:v>4.1548630783758277E-2</c:v>
                </c:pt>
                <c:pt idx="133">
                  <c:v>4.1863393138180688E-2</c:v>
                </c:pt>
                <c:pt idx="134">
                  <c:v>4.2178155492603099E-2</c:v>
                </c:pt>
                <c:pt idx="135">
                  <c:v>4.249291784702551E-2</c:v>
                </c:pt>
                <c:pt idx="136">
                  <c:v>4.2807680201447922E-2</c:v>
                </c:pt>
                <c:pt idx="137">
                  <c:v>4.3122442555870333E-2</c:v>
                </c:pt>
                <c:pt idx="138">
                  <c:v>4.3437204910292744E-2</c:v>
                </c:pt>
                <c:pt idx="139">
                  <c:v>4.3751967264715155E-2</c:v>
                </c:pt>
                <c:pt idx="140">
                  <c:v>4.4066729619137567E-2</c:v>
                </c:pt>
                <c:pt idx="141">
                  <c:v>4.4381491973559978E-2</c:v>
                </c:pt>
                <c:pt idx="142">
                  <c:v>4.4696254327982389E-2</c:v>
                </c:pt>
                <c:pt idx="143">
                  <c:v>4.50110166824048E-2</c:v>
                </c:pt>
                <c:pt idx="144">
                  <c:v>4.5325779036827211E-2</c:v>
                </c:pt>
                <c:pt idx="145">
                  <c:v>4.5640541391249623E-2</c:v>
                </c:pt>
                <c:pt idx="146">
                  <c:v>4.5955303745672034E-2</c:v>
                </c:pt>
                <c:pt idx="147">
                  <c:v>4.6270066100094445E-2</c:v>
                </c:pt>
                <c:pt idx="148">
                  <c:v>4.6584828454516856E-2</c:v>
                </c:pt>
                <c:pt idx="149">
                  <c:v>4.6899590808939268E-2</c:v>
                </c:pt>
                <c:pt idx="150">
                  <c:v>4.7214353163361679E-2</c:v>
                </c:pt>
                <c:pt idx="151">
                  <c:v>4.752911551778409E-2</c:v>
                </c:pt>
                <c:pt idx="152">
                  <c:v>4.7843877872206501E-2</c:v>
                </c:pt>
                <c:pt idx="153">
                  <c:v>4.8158640226628913E-2</c:v>
                </c:pt>
                <c:pt idx="154">
                  <c:v>4.8473402581051324E-2</c:v>
                </c:pt>
                <c:pt idx="155">
                  <c:v>4.8788164935473735E-2</c:v>
                </c:pt>
                <c:pt idx="156">
                  <c:v>4.9102927289896146E-2</c:v>
                </c:pt>
                <c:pt idx="157">
                  <c:v>4.9417689644318558E-2</c:v>
                </c:pt>
                <c:pt idx="158">
                  <c:v>4.9732451998740969E-2</c:v>
                </c:pt>
                <c:pt idx="159">
                  <c:v>5.004721435316338E-2</c:v>
                </c:pt>
                <c:pt idx="160">
                  <c:v>5.0361976707585791E-2</c:v>
                </c:pt>
                <c:pt idx="161">
                  <c:v>5.0676739062008203E-2</c:v>
                </c:pt>
                <c:pt idx="162">
                  <c:v>5.0991501416430614E-2</c:v>
                </c:pt>
                <c:pt idx="163">
                  <c:v>5.1306263770853025E-2</c:v>
                </c:pt>
                <c:pt idx="164">
                  <c:v>5.1621026125275436E-2</c:v>
                </c:pt>
                <c:pt idx="165">
                  <c:v>5.1935788479697848E-2</c:v>
                </c:pt>
                <c:pt idx="166">
                  <c:v>5.2250550834120259E-2</c:v>
                </c:pt>
                <c:pt idx="167">
                  <c:v>5.256531318854267E-2</c:v>
                </c:pt>
                <c:pt idx="168">
                  <c:v>5.2880075542965081E-2</c:v>
                </c:pt>
                <c:pt idx="169">
                  <c:v>5.3194837897387492E-2</c:v>
                </c:pt>
                <c:pt idx="170">
                  <c:v>5.3509600251809904E-2</c:v>
                </c:pt>
                <c:pt idx="171">
                  <c:v>5.3824362606232315E-2</c:v>
                </c:pt>
                <c:pt idx="172">
                  <c:v>5.4139124960654726E-2</c:v>
                </c:pt>
                <c:pt idx="173">
                  <c:v>5.4453887315077137E-2</c:v>
                </c:pt>
                <c:pt idx="174">
                  <c:v>5.4768649669499549E-2</c:v>
                </c:pt>
                <c:pt idx="175">
                  <c:v>5.508341202392196E-2</c:v>
                </c:pt>
                <c:pt idx="176">
                  <c:v>5.5398174378344371E-2</c:v>
                </c:pt>
                <c:pt idx="177">
                  <c:v>5.5712936732766782E-2</c:v>
                </c:pt>
                <c:pt idx="178">
                  <c:v>5.6027699087189194E-2</c:v>
                </c:pt>
                <c:pt idx="179">
                  <c:v>5.6342461441611605E-2</c:v>
                </c:pt>
                <c:pt idx="180">
                  <c:v>5.6657223796034016E-2</c:v>
                </c:pt>
                <c:pt idx="181">
                  <c:v>5.6971986150456427E-2</c:v>
                </c:pt>
                <c:pt idx="182">
                  <c:v>5.7286748504878839E-2</c:v>
                </c:pt>
                <c:pt idx="183">
                  <c:v>5.760151085930125E-2</c:v>
                </c:pt>
                <c:pt idx="184">
                  <c:v>5.7916273213723661E-2</c:v>
                </c:pt>
                <c:pt idx="185">
                  <c:v>5.8231035568146072E-2</c:v>
                </c:pt>
                <c:pt idx="186">
                  <c:v>5.8545797922568484E-2</c:v>
                </c:pt>
                <c:pt idx="187">
                  <c:v>5.8860560276990895E-2</c:v>
                </c:pt>
                <c:pt idx="188">
                  <c:v>5.9175322631413306E-2</c:v>
                </c:pt>
                <c:pt idx="189">
                  <c:v>5.9490084985835717E-2</c:v>
                </c:pt>
                <c:pt idx="190">
                  <c:v>5.9804847340258128E-2</c:v>
                </c:pt>
                <c:pt idx="191">
                  <c:v>6.011960969468054E-2</c:v>
                </c:pt>
                <c:pt idx="192">
                  <c:v>6.0434372049102951E-2</c:v>
                </c:pt>
                <c:pt idx="193">
                  <c:v>6.0749134403525362E-2</c:v>
                </c:pt>
                <c:pt idx="194">
                  <c:v>6.1063896757947773E-2</c:v>
                </c:pt>
                <c:pt idx="195">
                  <c:v>6.1378659112370185E-2</c:v>
                </c:pt>
                <c:pt idx="196">
                  <c:v>6.1693421466792596E-2</c:v>
                </c:pt>
                <c:pt idx="197">
                  <c:v>6.2008183821215007E-2</c:v>
                </c:pt>
                <c:pt idx="198">
                  <c:v>6.2322946175637418E-2</c:v>
                </c:pt>
                <c:pt idx="199">
                  <c:v>6.263770853005983E-2</c:v>
                </c:pt>
                <c:pt idx="200">
                  <c:v>6.2952470884482234E-2</c:v>
                </c:pt>
                <c:pt idx="201">
                  <c:v>6.3267233238904638E-2</c:v>
                </c:pt>
                <c:pt idx="202">
                  <c:v>6.3581995593327043E-2</c:v>
                </c:pt>
                <c:pt idx="203">
                  <c:v>6.3896757947749447E-2</c:v>
                </c:pt>
                <c:pt idx="204">
                  <c:v>6.4211520302171851E-2</c:v>
                </c:pt>
                <c:pt idx="205">
                  <c:v>6.4526282656594255E-2</c:v>
                </c:pt>
                <c:pt idx="206">
                  <c:v>6.484104501101666E-2</c:v>
                </c:pt>
                <c:pt idx="207">
                  <c:v>6.5155807365439064E-2</c:v>
                </c:pt>
                <c:pt idx="208">
                  <c:v>6.5470569719861468E-2</c:v>
                </c:pt>
                <c:pt idx="209">
                  <c:v>6.5785332074283873E-2</c:v>
                </c:pt>
                <c:pt idx="210">
                  <c:v>6.6100094428706277E-2</c:v>
                </c:pt>
                <c:pt idx="211">
                  <c:v>6.6414856783128681E-2</c:v>
                </c:pt>
                <c:pt idx="212">
                  <c:v>6.6729619137551086E-2</c:v>
                </c:pt>
                <c:pt idx="213">
                  <c:v>6.704438149197349E-2</c:v>
                </c:pt>
                <c:pt idx="214">
                  <c:v>6.7359143846395894E-2</c:v>
                </c:pt>
                <c:pt idx="215">
                  <c:v>6.7673906200818298E-2</c:v>
                </c:pt>
                <c:pt idx="216">
                  <c:v>6.7988668555240703E-2</c:v>
                </c:pt>
                <c:pt idx="217">
                  <c:v>6.8303430909663107E-2</c:v>
                </c:pt>
                <c:pt idx="218">
                  <c:v>6.8618193264085511E-2</c:v>
                </c:pt>
                <c:pt idx="219">
                  <c:v>6.8932955618507916E-2</c:v>
                </c:pt>
                <c:pt idx="220">
                  <c:v>6.924771797293032E-2</c:v>
                </c:pt>
                <c:pt idx="221">
                  <c:v>6.9562480327352724E-2</c:v>
                </c:pt>
                <c:pt idx="222">
                  <c:v>6.9877242681775129E-2</c:v>
                </c:pt>
                <c:pt idx="223">
                  <c:v>7.0192005036197533E-2</c:v>
                </c:pt>
                <c:pt idx="224">
                  <c:v>7.0506767390619937E-2</c:v>
                </c:pt>
                <c:pt idx="225">
                  <c:v>7.0821529745042341E-2</c:v>
                </c:pt>
                <c:pt idx="226">
                  <c:v>7.1136292099464746E-2</c:v>
                </c:pt>
                <c:pt idx="227">
                  <c:v>7.145105445388715E-2</c:v>
                </c:pt>
                <c:pt idx="228">
                  <c:v>7.1765816808309554E-2</c:v>
                </c:pt>
                <c:pt idx="229">
                  <c:v>7.2080579162731959E-2</c:v>
                </c:pt>
                <c:pt idx="230">
                  <c:v>7.2395341517154363E-2</c:v>
                </c:pt>
                <c:pt idx="231">
                  <c:v>7.2710103871576767E-2</c:v>
                </c:pt>
                <c:pt idx="232">
                  <c:v>7.3024866225999172E-2</c:v>
                </c:pt>
                <c:pt idx="233">
                  <c:v>7.3339628580421576E-2</c:v>
                </c:pt>
                <c:pt idx="234">
                  <c:v>7.365439093484398E-2</c:v>
                </c:pt>
                <c:pt idx="235">
                  <c:v>7.3969153289266384E-2</c:v>
                </c:pt>
                <c:pt idx="236">
                  <c:v>7.4283915643688789E-2</c:v>
                </c:pt>
                <c:pt idx="237">
                  <c:v>7.4598677998111193E-2</c:v>
                </c:pt>
                <c:pt idx="238">
                  <c:v>7.4913440352533597E-2</c:v>
                </c:pt>
                <c:pt idx="239">
                  <c:v>7.5228202706956002E-2</c:v>
                </c:pt>
                <c:pt idx="240">
                  <c:v>7.5542965061378406E-2</c:v>
                </c:pt>
                <c:pt idx="241">
                  <c:v>7.585772741580081E-2</c:v>
                </c:pt>
                <c:pt idx="242">
                  <c:v>7.6172489770223215E-2</c:v>
                </c:pt>
                <c:pt idx="243">
                  <c:v>7.6487252124645619E-2</c:v>
                </c:pt>
                <c:pt idx="244">
                  <c:v>7.6802014479068023E-2</c:v>
                </c:pt>
                <c:pt idx="245">
                  <c:v>7.7116776833490427E-2</c:v>
                </c:pt>
                <c:pt idx="246">
                  <c:v>7.7431539187912832E-2</c:v>
                </c:pt>
                <c:pt idx="247">
                  <c:v>7.7746301542335236E-2</c:v>
                </c:pt>
                <c:pt idx="248">
                  <c:v>7.806106389675764E-2</c:v>
                </c:pt>
                <c:pt idx="249">
                  <c:v>7.8375826251180045E-2</c:v>
                </c:pt>
                <c:pt idx="250">
                  <c:v>7.8690588605602449E-2</c:v>
                </c:pt>
                <c:pt idx="251">
                  <c:v>7.9005350960024853E-2</c:v>
                </c:pt>
                <c:pt idx="252">
                  <c:v>7.9320113314447258E-2</c:v>
                </c:pt>
                <c:pt idx="253">
                  <c:v>7.9634875668869662E-2</c:v>
                </c:pt>
                <c:pt idx="254">
                  <c:v>7.9949638023292066E-2</c:v>
                </c:pt>
                <c:pt idx="255">
                  <c:v>8.026440037771447E-2</c:v>
                </c:pt>
                <c:pt idx="256">
                  <c:v>8.0579162732136875E-2</c:v>
                </c:pt>
                <c:pt idx="257">
                  <c:v>8.0893925086559279E-2</c:v>
                </c:pt>
                <c:pt idx="258">
                  <c:v>8.1208687440981683E-2</c:v>
                </c:pt>
                <c:pt idx="259">
                  <c:v>8.1523449795404088E-2</c:v>
                </c:pt>
                <c:pt idx="260">
                  <c:v>8.1838212149826492E-2</c:v>
                </c:pt>
                <c:pt idx="261">
                  <c:v>8.2152974504248896E-2</c:v>
                </c:pt>
                <c:pt idx="262">
                  <c:v>8.2467736858671301E-2</c:v>
                </c:pt>
                <c:pt idx="263">
                  <c:v>8.2782499213093705E-2</c:v>
                </c:pt>
                <c:pt idx="264">
                  <c:v>8.3097261567516109E-2</c:v>
                </c:pt>
                <c:pt idx="265">
                  <c:v>8.3412023921938513E-2</c:v>
                </c:pt>
                <c:pt idx="266">
                  <c:v>8.3726786276360918E-2</c:v>
                </c:pt>
                <c:pt idx="267">
                  <c:v>8.4041548630783322E-2</c:v>
                </c:pt>
                <c:pt idx="268">
                  <c:v>8.4356310985205726E-2</c:v>
                </c:pt>
                <c:pt idx="269">
                  <c:v>8.4671073339628131E-2</c:v>
                </c:pt>
                <c:pt idx="270">
                  <c:v>8.4985835694050535E-2</c:v>
                </c:pt>
                <c:pt idx="271">
                  <c:v>8.5300598048472939E-2</c:v>
                </c:pt>
                <c:pt idx="272">
                  <c:v>8.5615360402895344E-2</c:v>
                </c:pt>
                <c:pt idx="273">
                  <c:v>8.5930122757317748E-2</c:v>
                </c:pt>
                <c:pt idx="274">
                  <c:v>8.6244885111740152E-2</c:v>
                </c:pt>
                <c:pt idx="275">
                  <c:v>8.6559647466162556E-2</c:v>
                </c:pt>
                <c:pt idx="276">
                  <c:v>8.6874409820584961E-2</c:v>
                </c:pt>
                <c:pt idx="277">
                  <c:v>8.7189172175007365E-2</c:v>
                </c:pt>
                <c:pt idx="278">
                  <c:v>8.7503934529429769E-2</c:v>
                </c:pt>
                <c:pt idx="279">
                  <c:v>8.7818696883852174E-2</c:v>
                </c:pt>
                <c:pt idx="280">
                  <c:v>8.8133459238274578E-2</c:v>
                </c:pt>
                <c:pt idx="281">
                  <c:v>8.8448221592696982E-2</c:v>
                </c:pt>
                <c:pt idx="282">
                  <c:v>8.8762983947119387E-2</c:v>
                </c:pt>
                <c:pt idx="283">
                  <c:v>8.9077746301541791E-2</c:v>
                </c:pt>
                <c:pt idx="284">
                  <c:v>8.9392508655964195E-2</c:v>
                </c:pt>
                <c:pt idx="285">
                  <c:v>8.9707271010386599E-2</c:v>
                </c:pt>
                <c:pt idx="286">
                  <c:v>9.0022033364809004E-2</c:v>
                </c:pt>
                <c:pt idx="287">
                  <c:v>9.0336795719231408E-2</c:v>
                </c:pt>
                <c:pt idx="288">
                  <c:v>9.0651558073653812E-2</c:v>
                </c:pt>
                <c:pt idx="289">
                  <c:v>9.0966320428076217E-2</c:v>
                </c:pt>
                <c:pt idx="290">
                  <c:v>9.1281082782498621E-2</c:v>
                </c:pt>
                <c:pt idx="291">
                  <c:v>9.1595845136921025E-2</c:v>
                </c:pt>
                <c:pt idx="292">
                  <c:v>9.191060749134343E-2</c:v>
                </c:pt>
                <c:pt idx="293">
                  <c:v>9.2225369845765834E-2</c:v>
                </c:pt>
                <c:pt idx="294">
                  <c:v>9.2540132200188238E-2</c:v>
                </c:pt>
                <c:pt idx="295">
                  <c:v>9.2854894554610642E-2</c:v>
                </c:pt>
                <c:pt idx="296">
                  <c:v>9.3169656909033047E-2</c:v>
                </c:pt>
                <c:pt idx="297">
                  <c:v>9.3484419263455451E-2</c:v>
                </c:pt>
                <c:pt idx="298">
                  <c:v>9.3799181617877855E-2</c:v>
                </c:pt>
                <c:pt idx="299">
                  <c:v>9.411394397230026E-2</c:v>
                </c:pt>
                <c:pt idx="300">
                  <c:v>9.4428706326722664E-2</c:v>
                </c:pt>
                <c:pt idx="301">
                  <c:v>9.4743468681145068E-2</c:v>
                </c:pt>
                <c:pt idx="302">
                  <c:v>9.5058231035567473E-2</c:v>
                </c:pt>
                <c:pt idx="303">
                  <c:v>9.5372993389989877E-2</c:v>
                </c:pt>
                <c:pt idx="304">
                  <c:v>9.5687755744412281E-2</c:v>
                </c:pt>
                <c:pt idx="305">
                  <c:v>9.6002518098834685E-2</c:v>
                </c:pt>
                <c:pt idx="306">
                  <c:v>9.631728045325709E-2</c:v>
                </c:pt>
                <c:pt idx="307">
                  <c:v>9.6632042807679494E-2</c:v>
                </c:pt>
                <c:pt idx="308">
                  <c:v>9.6946805162101898E-2</c:v>
                </c:pt>
                <c:pt idx="309">
                  <c:v>9.7261567516524303E-2</c:v>
                </c:pt>
                <c:pt idx="310">
                  <c:v>9.7576329870946707E-2</c:v>
                </c:pt>
                <c:pt idx="311">
                  <c:v>9.7891092225369111E-2</c:v>
                </c:pt>
                <c:pt idx="312">
                  <c:v>9.8205854579791516E-2</c:v>
                </c:pt>
                <c:pt idx="313">
                  <c:v>9.852061693421392E-2</c:v>
                </c:pt>
                <c:pt idx="314">
                  <c:v>9.8835379288636324E-2</c:v>
                </c:pt>
                <c:pt idx="315">
                  <c:v>9.9150141643058728E-2</c:v>
                </c:pt>
                <c:pt idx="316">
                  <c:v>9.9464903997481133E-2</c:v>
                </c:pt>
                <c:pt idx="317">
                  <c:v>9.9779666351903537E-2</c:v>
                </c:pt>
                <c:pt idx="318">
                  <c:v>0.10009442870632594</c:v>
                </c:pt>
                <c:pt idx="319">
                  <c:v>0.10040919106074835</c:v>
                </c:pt>
                <c:pt idx="320">
                  <c:v>0.10072395341517075</c:v>
                </c:pt>
                <c:pt idx="321">
                  <c:v>0.10103871576959315</c:v>
                </c:pt>
                <c:pt idx="322">
                  <c:v>0.10135347812401556</c:v>
                </c:pt>
                <c:pt idx="323">
                  <c:v>0.10166824047843796</c:v>
                </c:pt>
                <c:pt idx="324">
                  <c:v>0.10198300283286037</c:v>
                </c:pt>
                <c:pt idx="325">
                  <c:v>0.10229776518728277</c:v>
                </c:pt>
                <c:pt idx="326">
                  <c:v>0.10261252754170518</c:v>
                </c:pt>
                <c:pt idx="327">
                  <c:v>0.10292728989612758</c:v>
                </c:pt>
                <c:pt idx="328">
                  <c:v>0.10324205225054998</c:v>
                </c:pt>
                <c:pt idx="329">
                  <c:v>0.10355681460497239</c:v>
                </c:pt>
                <c:pt idx="330">
                  <c:v>0.10387157695939479</c:v>
                </c:pt>
                <c:pt idx="331">
                  <c:v>0.1041863393138172</c:v>
                </c:pt>
                <c:pt idx="332">
                  <c:v>0.1045011016682396</c:v>
                </c:pt>
                <c:pt idx="333">
                  <c:v>0.10481586402266201</c:v>
                </c:pt>
                <c:pt idx="334">
                  <c:v>0.10513062637708441</c:v>
                </c:pt>
                <c:pt idx="335">
                  <c:v>0.10544538873150681</c:v>
                </c:pt>
                <c:pt idx="336">
                  <c:v>0.10576015108592922</c:v>
                </c:pt>
                <c:pt idx="337">
                  <c:v>0.10607491344035162</c:v>
                </c:pt>
                <c:pt idx="338">
                  <c:v>0.10638967579477403</c:v>
                </c:pt>
                <c:pt idx="339">
                  <c:v>0.10670443814919643</c:v>
                </c:pt>
                <c:pt idx="340">
                  <c:v>0.10701920050361884</c:v>
                </c:pt>
                <c:pt idx="341">
                  <c:v>0.10733396285804124</c:v>
                </c:pt>
                <c:pt idx="342">
                  <c:v>0.10764872521246364</c:v>
                </c:pt>
                <c:pt idx="343">
                  <c:v>0.10796348756688605</c:v>
                </c:pt>
                <c:pt idx="344">
                  <c:v>0.10827824992130845</c:v>
                </c:pt>
                <c:pt idx="345">
                  <c:v>0.10859301227573086</c:v>
                </c:pt>
                <c:pt idx="346">
                  <c:v>0.10890777463015326</c:v>
                </c:pt>
                <c:pt idx="347">
                  <c:v>0.10922253698457567</c:v>
                </c:pt>
                <c:pt idx="348">
                  <c:v>0.10953729933899807</c:v>
                </c:pt>
                <c:pt idx="349">
                  <c:v>0.10985206169342047</c:v>
                </c:pt>
                <c:pt idx="350">
                  <c:v>0.11016682404784288</c:v>
                </c:pt>
                <c:pt idx="351">
                  <c:v>0.11048158640226528</c:v>
                </c:pt>
                <c:pt idx="352">
                  <c:v>0.11079634875668769</c:v>
                </c:pt>
                <c:pt idx="353">
                  <c:v>0.11111111111111009</c:v>
                </c:pt>
                <c:pt idx="354">
                  <c:v>0.1114258734655325</c:v>
                </c:pt>
                <c:pt idx="355">
                  <c:v>0.1117406358199549</c:v>
                </c:pt>
                <c:pt idx="356">
                  <c:v>0.1120553981743773</c:v>
                </c:pt>
                <c:pt idx="357">
                  <c:v>0.11237016052879971</c:v>
                </c:pt>
                <c:pt idx="358">
                  <c:v>0.11268492288322211</c:v>
                </c:pt>
                <c:pt idx="359">
                  <c:v>0.11299968523764452</c:v>
                </c:pt>
                <c:pt idx="360">
                  <c:v>0.11331444759206692</c:v>
                </c:pt>
                <c:pt idx="361">
                  <c:v>0.11362920994648933</c:v>
                </c:pt>
                <c:pt idx="362">
                  <c:v>0.11394397230091173</c:v>
                </c:pt>
                <c:pt idx="363">
                  <c:v>0.11425873465533413</c:v>
                </c:pt>
                <c:pt idx="364">
                  <c:v>0.11457349700975654</c:v>
                </c:pt>
                <c:pt idx="365">
                  <c:v>0.11488825936417894</c:v>
                </c:pt>
                <c:pt idx="366">
                  <c:v>0.11520302171860135</c:v>
                </c:pt>
                <c:pt idx="367">
                  <c:v>0.11551778407302375</c:v>
                </c:pt>
                <c:pt idx="368">
                  <c:v>0.11583254642744616</c:v>
                </c:pt>
                <c:pt idx="369">
                  <c:v>0.11614730878186856</c:v>
                </c:pt>
                <c:pt idx="370">
                  <c:v>0.11646207113629096</c:v>
                </c:pt>
                <c:pt idx="371">
                  <c:v>0.11677683349071337</c:v>
                </c:pt>
                <c:pt idx="372">
                  <c:v>0.11709159584513577</c:v>
                </c:pt>
                <c:pt idx="373">
                  <c:v>0.11740635819955818</c:v>
                </c:pt>
                <c:pt idx="374">
                  <c:v>0.11772112055398058</c:v>
                </c:pt>
                <c:pt idx="375">
                  <c:v>0.11803588290840299</c:v>
                </c:pt>
                <c:pt idx="376">
                  <c:v>0.11835064526282539</c:v>
                </c:pt>
                <c:pt idx="377">
                  <c:v>0.1186654076172478</c:v>
                </c:pt>
                <c:pt idx="378">
                  <c:v>0.1189801699716702</c:v>
                </c:pt>
                <c:pt idx="379">
                  <c:v>0.1192949323260926</c:v>
                </c:pt>
                <c:pt idx="380">
                  <c:v>0.11960969468051501</c:v>
                </c:pt>
                <c:pt idx="381">
                  <c:v>0.11992445703493741</c:v>
                </c:pt>
                <c:pt idx="382">
                  <c:v>0.12023921938935982</c:v>
                </c:pt>
                <c:pt idx="383">
                  <c:v>0.12055398174378222</c:v>
                </c:pt>
                <c:pt idx="384">
                  <c:v>0.12086874409820463</c:v>
                </c:pt>
                <c:pt idx="385">
                  <c:v>0.12118350645262703</c:v>
                </c:pt>
                <c:pt idx="386">
                  <c:v>0.12149826880704943</c:v>
                </c:pt>
                <c:pt idx="387">
                  <c:v>0.12181303116147184</c:v>
                </c:pt>
                <c:pt idx="388">
                  <c:v>0.12212779351589424</c:v>
                </c:pt>
                <c:pt idx="389">
                  <c:v>0.12244255587031665</c:v>
                </c:pt>
                <c:pt idx="390">
                  <c:v>0.12275731822473905</c:v>
                </c:pt>
                <c:pt idx="391">
                  <c:v>0.12307208057916146</c:v>
                </c:pt>
                <c:pt idx="392">
                  <c:v>0.12338684293358386</c:v>
                </c:pt>
                <c:pt idx="393">
                  <c:v>0.12370160528800626</c:v>
                </c:pt>
                <c:pt idx="394">
                  <c:v>0.12401636764242867</c:v>
                </c:pt>
                <c:pt idx="395">
                  <c:v>0.12433112999685107</c:v>
                </c:pt>
                <c:pt idx="396">
                  <c:v>0.12464589235127348</c:v>
                </c:pt>
                <c:pt idx="397">
                  <c:v>0.12496065470569588</c:v>
                </c:pt>
                <c:pt idx="398">
                  <c:v>0.1252754170601183</c:v>
                </c:pt>
                <c:pt idx="399">
                  <c:v>0.1255901794145407</c:v>
                </c:pt>
                <c:pt idx="400">
                  <c:v>0.12590494176896311</c:v>
                </c:pt>
                <c:pt idx="401">
                  <c:v>0.12621970412338551</c:v>
                </c:pt>
                <c:pt idx="402">
                  <c:v>0.12653446647780792</c:v>
                </c:pt>
                <c:pt idx="403">
                  <c:v>0.12684922883223032</c:v>
                </c:pt>
                <c:pt idx="404">
                  <c:v>0.12716399118665273</c:v>
                </c:pt>
                <c:pt idx="405">
                  <c:v>0.12747875354107513</c:v>
                </c:pt>
                <c:pt idx="406">
                  <c:v>0.12779351589549753</c:v>
                </c:pt>
                <c:pt idx="407">
                  <c:v>0.12810827824991994</c:v>
                </c:pt>
                <c:pt idx="408">
                  <c:v>0.12842304060434234</c:v>
                </c:pt>
                <c:pt idx="409">
                  <c:v>0.12873780295876475</c:v>
                </c:pt>
                <c:pt idx="410">
                  <c:v>0.12905256531318715</c:v>
                </c:pt>
                <c:pt idx="411">
                  <c:v>0.12936732766760956</c:v>
                </c:pt>
                <c:pt idx="412">
                  <c:v>0.12968209002203196</c:v>
                </c:pt>
                <c:pt idx="413">
                  <c:v>0.12999685237645436</c:v>
                </c:pt>
                <c:pt idx="414">
                  <c:v>0.13031161473087677</c:v>
                </c:pt>
                <c:pt idx="415">
                  <c:v>0.13062637708529917</c:v>
                </c:pt>
                <c:pt idx="416">
                  <c:v>0.13094113943972158</c:v>
                </c:pt>
                <c:pt idx="417">
                  <c:v>0.13125590179414398</c:v>
                </c:pt>
                <c:pt idx="418">
                  <c:v>0.13157066414856639</c:v>
                </c:pt>
                <c:pt idx="419">
                  <c:v>0.13188542650298879</c:v>
                </c:pt>
                <c:pt idx="420">
                  <c:v>0.13220018885741119</c:v>
                </c:pt>
                <c:pt idx="421">
                  <c:v>0.1325149512118336</c:v>
                </c:pt>
                <c:pt idx="422">
                  <c:v>0.132829713566256</c:v>
                </c:pt>
                <c:pt idx="423">
                  <c:v>0.13314447592067841</c:v>
                </c:pt>
                <c:pt idx="424">
                  <c:v>0.13345923827510081</c:v>
                </c:pt>
                <c:pt idx="425">
                  <c:v>0.13377400062952322</c:v>
                </c:pt>
                <c:pt idx="426">
                  <c:v>0.13408876298394562</c:v>
                </c:pt>
                <c:pt idx="427">
                  <c:v>0.13440352533836802</c:v>
                </c:pt>
                <c:pt idx="428">
                  <c:v>0.13471828769279043</c:v>
                </c:pt>
                <c:pt idx="429">
                  <c:v>0.13503305004721283</c:v>
                </c:pt>
                <c:pt idx="430">
                  <c:v>0.13534781240163524</c:v>
                </c:pt>
                <c:pt idx="431">
                  <c:v>0.13566257475605764</c:v>
                </c:pt>
                <c:pt idx="432">
                  <c:v>0.13597733711048005</c:v>
                </c:pt>
                <c:pt idx="433">
                  <c:v>0.13629209946490245</c:v>
                </c:pt>
                <c:pt idx="434">
                  <c:v>0.13660686181932485</c:v>
                </c:pt>
                <c:pt idx="435">
                  <c:v>0.13692162417374726</c:v>
                </c:pt>
                <c:pt idx="436">
                  <c:v>0.13723638652816966</c:v>
                </c:pt>
                <c:pt idx="437">
                  <c:v>0.13755114888259207</c:v>
                </c:pt>
                <c:pt idx="438">
                  <c:v>0.13786591123701447</c:v>
                </c:pt>
                <c:pt idx="439">
                  <c:v>0.13818067359143688</c:v>
                </c:pt>
                <c:pt idx="440">
                  <c:v>0.13849543594585928</c:v>
                </c:pt>
                <c:pt idx="441">
                  <c:v>0.13881019830028168</c:v>
                </c:pt>
                <c:pt idx="442">
                  <c:v>0.13912496065470409</c:v>
                </c:pt>
                <c:pt idx="443">
                  <c:v>0.13943972300912649</c:v>
                </c:pt>
                <c:pt idx="444">
                  <c:v>0.1397544853635489</c:v>
                </c:pt>
                <c:pt idx="445">
                  <c:v>0.1400692477179713</c:v>
                </c:pt>
                <c:pt idx="446">
                  <c:v>0.14038401007239371</c:v>
                </c:pt>
                <c:pt idx="447">
                  <c:v>0.14069877242681611</c:v>
                </c:pt>
                <c:pt idx="448">
                  <c:v>0.14101353478123851</c:v>
                </c:pt>
                <c:pt idx="449">
                  <c:v>0.14132829713566092</c:v>
                </c:pt>
                <c:pt idx="450">
                  <c:v>0.14164305949008332</c:v>
                </c:pt>
                <c:pt idx="451">
                  <c:v>0.14195782184450573</c:v>
                </c:pt>
                <c:pt idx="452">
                  <c:v>0.14227258419892813</c:v>
                </c:pt>
                <c:pt idx="453">
                  <c:v>0.14258734655335054</c:v>
                </c:pt>
                <c:pt idx="454">
                  <c:v>0.14290210890777294</c:v>
                </c:pt>
                <c:pt idx="455">
                  <c:v>0.14321687126219534</c:v>
                </c:pt>
                <c:pt idx="456">
                  <c:v>0.14353163361661775</c:v>
                </c:pt>
                <c:pt idx="457">
                  <c:v>0.14384639597104015</c:v>
                </c:pt>
                <c:pt idx="458">
                  <c:v>0.14416115832546256</c:v>
                </c:pt>
                <c:pt idx="459">
                  <c:v>0.14447592067988496</c:v>
                </c:pt>
                <c:pt idx="460">
                  <c:v>0.14479068303430737</c:v>
                </c:pt>
                <c:pt idx="461">
                  <c:v>0.14510544538872977</c:v>
                </c:pt>
                <c:pt idx="462">
                  <c:v>0.14542020774315217</c:v>
                </c:pt>
                <c:pt idx="463">
                  <c:v>0.14573497009757458</c:v>
                </c:pt>
                <c:pt idx="464">
                  <c:v>0.14604973245199698</c:v>
                </c:pt>
                <c:pt idx="465">
                  <c:v>0.14636449480641939</c:v>
                </c:pt>
                <c:pt idx="466">
                  <c:v>0.14667925716084179</c:v>
                </c:pt>
                <c:pt idx="467">
                  <c:v>0.1469940195152642</c:v>
                </c:pt>
                <c:pt idx="468">
                  <c:v>0.1473087818696866</c:v>
                </c:pt>
                <c:pt idx="469">
                  <c:v>0.147623544224109</c:v>
                </c:pt>
                <c:pt idx="470">
                  <c:v>0.14793830657853141</c:v>
                </c:pt>
                <c:pt idx="471">
                  <c:v>0.14825306893295381</c:v>
                </c:pt>
                <c:pt idx="472">
                  <c:v>0.14856783128737622</c:v>
                </c:pt>
                <c:pt idx="473">
                  <c:v>0.14888259364179862</c:v>
                </c:pt>
                <c:pt idx="474">
                  <c:v>0.14919735599622103</c:v>
                </c:pt>
                <c:pt idx="475">
                  <c:v>0.14951211835064343</c:v>
                </c:pt>
                <c:pt idx="476">
                  <c:v>0.14982688070506583</c:v>
                </c:pt>
                <c:pt idx="477">
                  <c:v>0.15014164305948824</c:v>
                </c:pt>
                <c:pt idx="478">
                  <c:v>0.15045640541391064</c:v>
                </c:pt>
                <c:pt idx="479">
                  <c:v>0.15077116776833305</c:v>
                </c:pt>
                <c:pt idx="480">
                  <c:v>0.15108593012275545</c:v>
                </c:pt>
                <c:pt idx="481">
                  <c:v>0.15140069247717786</c:v>
                </c:pt>
                <c:pt idx="482">
                  <c:v>0.15171545483160026</c:v>
                </c:pt>
                <c:pt idx="483">
                  <c:v>0.15203021718602266</c:v>
                </c:pt>
                <c:pt idx="484">
                  <c:v>0.15234497954044507</c:v>
                </c:pt>
                <c:pt idx="485">
                  <c:v>0.15265974189486747</c:v>
                </c:pt>
                <c:pt idx="486">
                  <c:v>0.15297450424928988</c:v>
                </c:pt>
                <c:pt idx="487">
                  <c:v>0.15328926660371228</c:v>
                </c:pt>
                <c:pt idx="488">
                  <c:v>0.15360402895813469</c:v>
                </c:pt>
                <c:pt idx="489">
                  <c:v>0.15391879131255709</c:v>
                </c:pt>
                <c:pt idx="490">
                  <c:v>0.15423355366697949</c:v>
                </c:pt>
                <c:pt idx="491">
                  <c:v>0.1545483160214019</c:v>
                </c:pt>
                <c:pt idx="492">
                  <c:v>0.1548630783758243</c:v>
                </c:pt>
                <c:pt idx="493">
                  <c:v>0.15517784073024671</c:v>
                </c:pt>
                <c:pt idx="494">
                  <c:v>0.15549260308466911</c:v>
                </c:pt>
                <c:pt idx="495">
                  <c:v>0.15580736543909152</c:v>
                </c:pt>
                <c:pt idx="496">
                  <c:v>0.15612212779351392</c:v>
                </c:pt>
                <c:pt idx="497">
                  <c:v>0.15643689014793632</c:v>
                </c:pt>
                <c:pt idx="498">
                  <c:v>0.15675165250235873</c:v>
                </c:pt>
                <c:pt idx="499">
                  <c:v>0.15706641485678113</c:v>
                </c:pt>
                <c:pt idx="500">
                  <c:v>0.15738117721120354</c:v>
                </c:pt>
                <c:pt idx="501">
                  <c:v>0.15769593956562594</c:v>
                </c:pt>
                <c:pt idx="502">
                  <c:v>0.15801070192004835</c:v>
                </c:pt>
                <c:pt idx="503">
                  <c:v>0.15832546427447075</c:v>
                </c:pt>
                <c:pt idx="504">
                  <c:v>0.15864022662889316</c:v>
                </c:pt>
                <c:pt idx="505">
                  <c:v>0.15895498898331556</c:v>
                </c:pt>
                <c:pt idx="506">
                  <c:v>0.15926975133773796</c:v>
                </c:pt>
                <c:pt idx="507">
                  <c:v>0.15958451369216037</c:v>
                </c:pt>
                <c:pt idx="508">
                  <c:v>0.15989927604658277</c:v>
                </c:pt>
                <c:pt idx="509">
                  <c:v>0.16021403840100518</c:v>
                </c:pt>
                <c:pt idx="510">
                  <c:v>0.16052880075542758</c:v>
                </c:pt>
                <c:pt idx="511">
                  <c:v>0.16084356310984999</c:v>
                </c:pt>
                <c:pt idx="512">
                  <c:v>0.16115832546427239</c:v>
                </c:pt>
                <c:pt idx="513">
                  <c:v>0.16147308781869479</c:v>
                </c:pt>
                <c:pt idx="514">
                  <c:v>0.1617878501731172</c:v>
                </c:pt>
                <c:pt idx="515">
                  <c:v>0.1621026125275396</c:v>
                </c:pt>
                <c:pt idx="516">
                  <c:v>0.16241737488196201</c:v>
                </c:pt>
                <c:pt idx="517">
                  <c:v>0.16273213723638441</c:v>
                </c:pt>
                <c:pt idx="518">
                  <c:v>0.16304689959080682</c:v>
                </c:pt>
                <c:pt idx="519">
                  <c:v>0.16336166194522922</c:v>
                </c:pt>
                <c:pt idx="520">
                  <c:v>0.16367642429965162</c:v>
                </c:pt>
                <c:pt idx="521">
                  <c:v>0.16399118665407403</c:v>
                </c:pt>
                <c:pt idx="522">
                  <c:v>0.16430594900849643</c:v>
                </c:pt>
                <c:pt idx="523">
                  <c:v>0.16462071136291884</c:v>
                </c:pt>
                <c:pt idx="524">
                  <c:v>0.16493547371734124</c:v>
                </c:pt>
                <c:pt idx="525">
                  <c:v>0.16525023607176365</c:v>
                </c:pt>
                <c:pt idx="526">
                  <c:v>0.16556499842618605</c:v>
                </c:pt>
                <c:pt idx="527">
                  <c:v>0.16587976078060845</c:v>
                </c:pt>
                <c:pt idx="528">
                  <c:v>0.16619452313503086</c:v>
                </c:pt>
                <c:pt idx="529">
                  <c:v>0.16650928548945326</c:v>
                </c:pt>
                <c:pt idx="530">
                  <c:v>0.16682404784387567</c:v>
                </c:pt>
                <c:pt idx="531">
                  <c:v>0.16713881019829807</c:v>
                </c:pt>
                <c:pt idx="532">
                  <c:v>0.16745357255272048</c:v>
                </c:pt>
                <c:pt idx="533">
                  <c:v>0.16776833490714288</c:v>
                </c:pt>
                <c:pt idx="534">
                  <c:v>0.16808309726156528</c:v>
                </c:pt>
                <c:pt idx="535">
                  <c:v>0.16839785961598769</c:v>
                </c:pt>
                <c:pt idx="536">
                  <c:v>0.16871262197041009</c:v>
                </c:pt>
                <c:pt idx="537">
                  <c:v>0.1690273843248325</c:v>
                </c:pt>
                <c:pt idx="538">
                  <c:v>0.1693421466792549</c:v>
                </c:pt>
                <c:pt idx="539">
                  <c:v>0.16965690903367731</c:v>
                </c:pt>
                <c:pt idx="540">
                  <c:v>0.16997167138809971</c:v>
                </c:pt>
                <c:pt idx="541">
                  <c:v>0.17028643374252211</c:v>
                </c:pt>
                <c:pt idx="542">
                  <c:v>0.17060119609694452</c:v>
                </c:pt>
                <c:pt idx="543">
                  <c:v>0.17091595845136692</c:v>
                </c:pt>
                <c:pt idx="544">
                  <c:v>0.17123072080578933</c:v>
                </c:pt>
                <c:pt idx="545">
                  <c:v>0.17154548316021173</c:v>
                </c:pt>
                <c:pt idx="546">
                  <c:v>0.17186024551463414</c:v>
                </c:pt>
                <c:pt idx="547">
                  <c:v>0.17217500786905654</c:v>
                </c:pt>
                <c:pt idx="548">
                  <c:v>0.17248977022347894</c:v>
                </c:pt>
                <c:pt idx="549">
                  <c:v>0.17280453257790135</c:v>
                </c:pt>
                <c:pt idx="550">
                  <c:v>0.17311929493232375</c:v>
                </c:pt>
                <c:pt idx="551">
                  <c:v>0.17343405728674616</c:v>
                </c:pt>
                <c:pt idx="552">
                  <c:v>0.17374881964116856</c:v>
                </c:pt>
                <c:pt idx="553">
                  <c:v>0.17406358199559097</c:v>
                </c:pt>
                <c:pt idx="554">
                  <c:v>0.17437834435001337</c:v>
                </c:pt>
                <c:pt idx="555">
                  <c:v>0.17469310670443577</c:v>
                </c:pt>
                <c:pt idx="556">
                  <c:v>0.17500786905885818</c:v>
                </c:pt>
                <c:pt idx="557">
                  <c:v>0.17532263141328058</c:v>
                </c:pt>
                <c:pt idx="558">
                  <c:v>0.17563739376770299</c:v>
                </c:pt>
                <c:pt idx="559">
                  <c:v>0.17595215612212539</c:v>
                </c:pt>
                <c:pt idx="560">
                  <c:v>0.1762669184765478</c:v>
                </c:pt>
                <c:pt idx="561">
                  <c:v>0.1765816808309702</c:v>
                </c:pt>
                <c:pt idx="562">
                  <c:v>0.1768964431853926</c:v>
                </c:pt>
                <c:pt idx="563">
                  <c:v>0.17721120553981501</c:v>
                </c:pt>
                <c:pt idx="564">
                  <c:v>0.17752596789423741</c:v>
                </c:pt>
                <c:pt idx="565">
                  <c:v>0.17784073024865982</c:v>
                </c:pt>
                <c:pt idx="566">
                  <c:v>0.17815549260308222</c:v>
                </c:pt>
                <c:pt idx="567">
                  <c:v>0.17847025495750463</c:v>
                </c:pt>
                <c:pt idx="568">
                  <c:v>0.17878501731192703</c:v>
                </c:pt>
                <c:pt idx="569">
                  <c:v>0.17909977966634943</c:v>
                </c:pt>
                <c:pt idx="570">
                  <c:v>0.17941454202077184</c:v>
                </c:pt>
                <c:pt idx="571">
                  <c:v>0.17972930437519424</c:v>
                </c:pt>
                <c:pt idx="572">
                  <c:v>0.18004406672961665</c:v>
                </c:pt>
                <c:pt idx="573">
                  <c:v>0.18035882908403905</c:v>
                </c:pt>
                <c:pt idx="574">
                  <c:v>0.18067359143846146</c:v>
                </c:pt>
                <c:pt idx="575">
                  <c:v>0.18098835379288386</c:v>
                </c:pt>
                <c:pt idx="576">
                  <c:v>0.18130311614730626</c:v>
                </c:pt>
                <c:pt idx="577">
                  <c:v>0.18161787850172867</c:v>
                </c:pt>
                <c:pt idx="578">
                  <c:v>0.18193264085615107</c:v>
                </c:pt>
                <c:pt idx="579">
                  <c:v>0.18224740321057348</c:v>
                </c:pt>
                <c:pt idx="580">
                  <c:v>0.18256216556499588</c:v>
                </c:pt>
                <c:pt idx="581">
                  <c:v>0.18287692791941829</c:v>
                </c:pt>
                <c:pt idx="582">
                  <c:v>0.18319169027384069</c:v>
                </c:pt>
                <c:pt idx="583">
                  <c:v>0.18350645262826309</c:v>
                </c:pt>
                <c:pt idx="584">
                  <c:v>0.1838212149826855</c:v>
                </c:pt>
                <c:pt idx="585">
                  <c:v>0.1841359773371079</c:v>
                </c:pt>
                <c:pt idx="586">
                  <c:v>0.18445073969153031</c:v>
                </c:pt>
                <c:pt idx="587">
                  <c:v>0.18476550204595271</c:v>
                </c:pt>
                <c:pt idx="588">
                  <c:v>0.18508026440037512</c:v>
                </c:pt>
                <c:pt idx="589">
                  <c:v>0.18539502675479752</c:v>
                </c:pt>
                <c:pt idx="590">
                  <c:v>0.18570978910921992</c:v>
                </c:pt>
                <c:pt idx="591">
                  <c:v>0.18602455146364233</c:v>
                </c:pt>
                <c:pt idx="592">
                  <c:v>0.18633931381806473</c:v>
                </c:pt>
                <c:pt idx="593">
                  <c:v>0.18665407617248714</c:v>
                </c:pt>
                <c:pt idx="594">
                  <c:v>0.18696883852690954</c:v>
                </c:pt>
                <c:pt idx="595">
                  <c:v>0.18728360088133195</c:v>
                </c:pt>
                <c:pt idx="596">
                  <c:v>0.18759836323575435</c:v>
                </c:pt>
                <c:pt idx="597">
                  <c:v>0.18791312559017675</c:v>
                </c:pt>
                <c:pt idx="598">
                  <c:v>0.18822788794459916</c:v>
                </c:pt>
                <c:pt idx="599">
                  <c:v>0.18854265029902156</c:v>
                </c:pt>
                <c:pt idx="600">
                  <c:v>0.18885741265344397</c:v>
                </c:pt>
                <c:pt idx="601">
                  <c:v>0.18917217500786637</c:v>
                </c:pt>
                <c:pt idx="602">
                  <c:v>0.18948693736228878</c:v>
                </c:pt>
                <c:pt idx="603">
                  <c:v>0.18980169971671118</c:v>
                </c:pt>
                <c:pt idx="604">
                  <c:v>0.19011646207113359</c:v>
                </c:pt>
                <c:pt idx="605">
                  <c:v>0.19043122442555599</c:v>
                </c:pt>
                <c:pt idx="606">
                  <c:v>0.19074598677997839</c:v>
                </c:pt>
                <c:pt idx="607">
                  <c:v>0.1910607491344008</c:v>
                </c:pt>
                <c:pt idx="608">
                  <c:v>0.1913755114888232</c:v>
                </c:pt>
                <c:pt idx="609">
                  <c:v>0.19169027384324561</c:v>
                </c:pt>
                <c:pt idx="610">
                  <c:v>0.19200503619766801</c:v>
                </c:pt>
                <c:pt idx="611">
                  <c:v>0.19231979855209042</c:v>
                </c:pt>
                <c:pt idx="612">
                  <c:v>0.19263456090651282</c:v>
                </c:pt>
                <c:pt idx="613">
                  <c:v>0.19294932326093522</c:v>
                </c:pt>
                <c:pt idx="614">
                  <c:v>0.19326408561535763</c:v>
                </c:pt>
                <c:pt idx="615">
                  <c:v>0.19357884796978003</c:v>
                </c:pt>
                <c:pt idx="616">
                  <c:v>0.19389361032420244</c:v>
                </c:pt>
                <c:pt idx="617">
                  <c:v>0.19420837267862484</c:v>
                </c:pt>
                <c:pt idx="618">
                  <c:v>0.19452313503304725</c:v>
                </c:pt>
                <c:pt idx="619">
                  <c:v>0.19483789738746965</c:v>
                </c:pt>
                <c:pt idx="620">
                  <c:v>0.19515265974189205</c:v>
                </c:pt>
                <c:pt idx="621">
                  <c:v>0.19546742209631446</c:v>
                </c:pt>
                <c:pt idx="622">
                  <c:v>0.19578218445073686</c:v>
                </c:pt>
                <c:pt idx="623">
                  <c:v>0.19609694680515927</c:v>
                </c:pt>
                <c:pt idx="624">
                  <c:v>0.19641170915958167</c:v>
                </c:pt>
                <c:pt idx="625">
                  <c:v>0.19672647151400408</c:v>
                </c:pt>
                <c:pt idx="626">
                  <c:v>0.19704123386842648</c:v>
                </c:pt>
                <c:pt idx="627">
                  <c:v>0.19735599622284888</c:v>
                </c:pt>
                <c:pt idx="628">
                  <c:v>0.19767075857727129</c:v>
                </c:pt>
                <c:pt idx="629">
                  <c:v>0.19798552093169369</c:v>
                </c:pt>
                <c:pt idx="630">
                  <c:v>0.1983002832861161</c:v>
                </c:pt>
                <c:pt idx="631">
                  <c:v>0.1986150456405385</c:v>
                </c:pt>
                <c:pt idx="632">
                  <c:v>0.19892980799496091</c:v>
                </c:pt>
                <c:pt idx="633">
                  <c:v>0.19924457034938331</c:v>
                </c:pt>
                <c:pt idx="634">
                  <c:v>0.19955933270380571</c:v>
                </c:pt>
                <c:pt idx="635">
                  <c:v>0.19987409505822812</c:v>
                </c:pt>
                <c:pt idx="636">
                  <c:v>0.20018885741265052</c:v>
                </c:pt>
                <c:pt idx="637">
                  <c:v>0.20050361976707293</c:v>
                </c:pt>
                <c:pt idx="638">
                  <c:v>0.20081838212149533</c:v>
                </c:pt>
                <c:pt idx="639">
                  <c:v>0.20113314447591774</c:v>
                </c:pt>
                <c:pt idx="640">
                  <c:v>0.20144790683034014</c:v>
                </c:pt>
                <c:pt idx="641">
                  <c:v>0.20176266918476254</c:v>
                </c:pt>
                <c:pt idx="642">
                  <c:v>0.20207743153918495</c:v>
                </c:pt>
                <c:pt idx="643">
                  <c:v>0.20239219389360735</c:v>
                </c:pt>
                <c:pt idx="644">
                  <c:v>0.20270695624802976</c:v>
                </c:pt>
                <c:pt idx="645">
                  <c:v>0.20302171860245216</c:v>
                </c:pt>
                <c:pt idx="646">
                  <c:v>0.20333648095687457</c:v>
                </c:pt>
                <c:pt idx="647">
                  <c:v>0.20365124331129697</c:v>
                </c:pt>
                <c:pt idx="648">
                  <c:v>0.20396600566571937</c:v>
                </c:pt>
                <c:pt idx="649">
                  <c:v>0.20428076802014178</c:v>
                </c:pt>
                <c:pt idx="650">
                  <c:v>0.20459553037456418</c:v>
                </c:pt>
                <c:pt idx="651">
                  <c:v>0.20491029272898659</c:v>
                </c:pt>
                <c:pt idx="652">
                  <c:v>0.20522505508340899</c:v>
                </c:pt>
                <c:pt idx="653">
                  <c:v>0.2055398174378314</c:v>
                </c:pt>
                <c:pt idx="654">
                  <c:v>0.2058545797922538</c:v>
                </c:pt>
                <c:pt idx="655">
                  <c:v>0.2061693421466762</c:v>
                </c:pt>
                <c:pt idx="656">
                  <c:v>0.20648410450109861</c:v>
                </c:pt>
                <c:pt idx="657">
                  <c:v>0.20679886685552101</c:v>
                </c:pt>
                <c:pt idx="658">
                  <c:v>0.20711362920994342</c:v>
                </c:pt>
                <c:pt idx="659">
                  <c:v>0.20742839156436582</c:v>
                </c:pt>
                <c:pt idx="660">
                  <c:v>0.20774315391878823</c:v>
                </c:pt>
                <c:pt idx="661">
                  <c:v>0.20805791627321063</c:v>
                </c:pt>
                <c:pt idx="662">
                  <c:v>0.20837267862763303</c:v>
                </c:pt>
                <c:pt idx="663">
                  <c:v>0.20868744098205544</c:v>
                </c:pt>
                <c:pt idx="664">
                  <c:v>0.20900220333647784</c:v>
                </c:pt>
                <c:pt idx="665">
                  <c:v>0.20931696569090025</c:v>
                </c:pt>
                <c:pt idx="666">
                  <c:v>0.20963172804532265</c:v>
                </c:pt>
                <c:pt idx="667">
                  <c:v>0.20994649039974506</c:v>
                </c:pt>
                <c:pt idx="668">
                  <c:v>0.21026125275416746</c:v>
                </c:pt>
                <c:pt idx="669">
                  <c:v>0.21057601510858986</c:v>
                </c:pt>
                <c:pt idx="670">
                  <c:v>0.21089077746301227</c:v>
                </c:pt>
                <c:pt idx="671">
                  <c:v>0.21120553981743467</c:v>
                </c:pt>
                <c:pt idx="672">
                  <c:v>0.21152030217185708</c:v>
                </c:pt>
                <c:pt idx="673">
                  <c:v>0.21183506452627948</c:v>
                </c:pt>
                <c:pt idx="674">
                  <c:v>0.21214982688070189</c:v>
                </c:pt>
                <c:pt idx="675">
                  <c:v>0.21246458923512429</c:v>
                </c:pt>
                <c:pt idx="676">
                  <c:v>0.21277935158954669</c:v>
                </c:pt>
                <c:pt idx="677">
                  <c:v>0.2130941139439691</c:v>
                </c:pt>
                <c:pt idx="678">
                  <c:v>0.2134088762983915</c:v>
                </c:pt>
                <c:pt idx="679">
                  <c:v>0.21372363865281391</c:v>
                </c:pt>
                <c:pt idx="680">
                  <c:v>0.21403840100723631</c:v>
                </c:pt>
                <c:pt idx="681">
                  <c:v>0.21435316336165872</c:v>
                </c:pt>
                <c:pt idx="682">
                  <c:v>0.21466792571608112</c:v>
                </c:pt>
                <c:pt idx="683">
                  <c:v>0.21498268807050352</c:v>
                </c:pt>
                <c:pt idx="684">
                  <c:v>0.21529745042492593</c:v>
                </c:pt>
                <c:pt idx="685">
                  <c:v>0.21561221277934833</c:v>
                </c:pt>
                <c:pt idx="686">
                  <c:v>0.21592697513377074</c:v>
                </c:pt>
                <c:pt idx="687">
                  <c:v>0.21624173748819314</c:v>
                </c:pt>
                <c:pt idx="688">
                  <c:v>0.21655649984261555</c:v>
                </c:pt>
                <c:pt idx="689">
                  <c:v>0.21687126219703795</c:v>
                </c:pt>
                <c:pt idx="690">
                  <c:v>0.21718602455146035</c:v>
                </c:pt>
                <c:pt idx="691">
                  <c:v>0.21750078690588276</c:v>
                </c:pt>
                <c:pt idx="692">
                  <c:v>0.21781554926030516</c:v>
                </c:pt>
                <c:pt idx="693">
                  <c:v>0.21813031161472757</c:v>
                </c:pt>
                <c:pt idx="694">
                  <c:v>0.21844507396914997</c:v>
                </c:pt>
                <c:pt idx="695">
                  <c:v>0.21875983632357238</c:v>
                </c:pt>
                <c:pt idx="696">
                  <c:v>0.21907459867799478</c:v>
                </c:pt>
                <c:pt idx="697">
                  <c:v>0.21938936103241719</c:v>
                </c:pt>
                <c:pt idx="698">
                  <c:v>0.21970412338683959</c:v>
                </c:pt>
                <c:pt idx="699">
                  <c:v>0.22001888574126199</c:v>
                </c:pt>
                <c:pt idx="700">
                  <c:v>0.2203336480956844</c:v>
                </c:pt>
                <c:pt idx="701">
                  <c:v>0.2206484104501068</c:v>
                </c:pt>
                <c:pt idx="702">
                  <c:v>0.22096317280452921</c:v>
                </c:pt>
                <c:pt idx="703">
                  <c:v>0.22127793515895161</c:v>
                </c:pt>
                <c:pt idx="704">
                  <c:v>0.22159269751337402</c:v>
                </c:pt>
                <c:pt idx="705">
                  <c:v>0.22190745986779642</c:v>
                </c:pt>
                <c:pt idx="706">
                  <c:v>0.22222222222221882</c:v>
                </c:pt>
                <c:pt idx="707">
                  <c:v>0.22253698457664123</c:v>
                </c:pt>
                <c:pt idx="708">
                  <c:v>0.22285174693106363</c:v>
                </c:pt>
                <c:pt idx="709">
                  <c:v>0.22316650928548604</c:v>
                </c:pt>
                <c:pt idx="710">
                  <c:v>0.22348127163990844</c:v>
                </c:pt>
                <c:pt idx="711">
                  <c:v>0.22379603399433085</c:v>
                </c:pt>
                <c:pt idx="712">
                  <c:v>0.22411079634875325</c:v>
                </c:pt>
                <c:pt idx="713">
                  <c:v>0.22442555870317565</c:v>
                </c:pt>
                <c:pt idx="714">
                  <c:v>0.22474032105759806</c:v>
                </c:pt>
                <c:pt idx="715">
                  <c:v>0.22505508341202046</c:v>
                </c:pt>
                <c:pt idx="716">
                  <c:v>0.22536984576644287</c:v>
                </c:pt>
                <c:pt idx="717">
                  <c:v>0.22568460812086527</c:v>
                </c:pt>
                <c:pt idx="718">
                  <c:v>0.22599937047528768</c:v>
                </c:pt>
                <c:pt idx="719">
                  <c:v>0.22631413282971008</c:v>
                </c:pt>
                <c:pt idx="720">
                  <c:v>0.22662889518413248</c:v>
                </c:pt>
                <c:pt idx="721">
                  <c:v>0.22694365753855489</c:v>
                </c:pt>
                <c:pt idx="722">
                  <c:v>0.22725841989297729</c:v>
                </c:pt>
                <c:pt idx="723">
                  <c:v>0.2275731822473997</c:v>
                </c:pt>
                <c:pt idx="724">
                  <c:v>0.2278879446018221</c:v>
                </c:pt>
                <c:pt idx="725">
                  <c:v>0.22820270695624451</c:v>
                </c:pt>
                <c:pt idx="726">
                  <c:v>0.22851746931066691</c:v>
                </c:pt>
                <c:pt idx="727">
                  <c:v>0.22883223166508931</c:v>
                </c:pt>
                <c:pt idx="728">
                  <c:v>0.22914699401951172</c:v>
                </c:pt>
                <c:pt idx="729">
                  <c:v>0.22946175637393412</c:v>
                </c:pt>
                <c:pt idx="730">
                  <c:v>0.22977651872835653</c:v>
                </c:pt>
                <c:pt idx="731">
                  <c:v>0.23009128108277893</c:v>
                </c:pt>
                <c:pt idx="732">
                  <c:v>0.23040604343720134</c:v>
                </c:pt>
                <c:pt idx="733">
                  <c:v>0.23072080579162374</c:v>
                </c:pt>
                <c:pt idx="734">
                  <c:v>0.23103556814604614</c:v>
                </c:pt>
                <c:pt idx="735">
                  <c:v>0.23135033050046855</c:v>
                </c:pt>
                <c:pt idx="736">
                  <c:v>0.23166509285489095</c:v>
                </c:pt>
                <c:pt idx="737">
                  <c:v>0.23197985520931336</c:v>
                </c:pt>
                <c:pt idx="738">
                  <c:v>0.23229461756373576</c:v>
                </c:pt>
                <c:pt idx="739">
                  <c:v>0.23260937991815817</c:v>
                </c:pt>
                <c:pt idx="740">
                  <c:v>0.23292414227258057</c:v>
                </c:pt>
                <c:pt idx="741">
                  <c:v>0.23323890462700297</c:v>
                </c:pt>
                <c:pt idx="742">
                  <c:v>0.23355366698142538</c:v>
                </c:pt>
                <c:pt idx="743">
                  <c:v>0.23386842933584778</c:v>
                </c:pt>
                <c:pt idx="744">
                  <c:v>0.23418319169027019</c:v>
                </c:pt>
                <c:pt idx="745">
                  <c:v>0.23449795404469259</c:v>
                </c:pt>
                <c:pt idx="746">
                  <c:v>0.234812716399115</c:v>
                </c:pt>
                <c:pt idx="747">
                  <c:v>0.2351274787535374</c:v>
                </c:pt>
                <c:pt idx="748">
                  <c:v>0.2354422411079598</c:v>
                </c:pt>
                <c:pt idx="749">
                  <c:v>0.23575700346238221</c:v>
                </c:pt>
                <c:pt idx="750">
                  <c:v>0.23607176581680461</c:v>
                </c:pt>
                <c:pt idx="751">
                  <c:v>0.23638652817122702</c:v>
                </c:pt>
                <c:pt idx="752">
                  <c:v>0.23670129052564942</c:v>
                </c:pt>
                <c:pt idx="753">
                  <c:v>0.23701605288007183</c:v>
                </c:pt>
                <c:pt idx="754">
                  <c:v>0.23733081523449423</c:v>
                </c:pt>
                <c:pt idx="755">
                  <c:v>0.23764557758891663</c:v>
                </c:pt>
                <c:pt idx="756">
                  <c:v>0.23796033994333904</c:v>
                </c:pt>
                <c:pt idx="757">
                  <c:v>0.23827510229776144</c:v>
                </c:pt>
                <c:pt idx="758">
                  <c:v>0.23858986465218385</c:v>
                </c:pt>
                <c:pt idx="759">
                  <c:v>0.23890462700660625</c:v>
                </c:pt>
                <c:pt idx="760">
                  <c:v>0.23921938936102866</c:v>
                </c:pt>
                <c:pt idx="761">
                  <c:v>0.23953415171545106</c:v>
                </c:pt>
                <c:pt idx="762">
                  <c:v>0.23984891406987346</c:v>
                </c:pt>
                <c:pt idx="763">
                  <c:v>0.24016367642429587</c:v>
                </c:pt>
                <c:pt idx="764">
                  <c:v>0.24047843877871827</c:v>
                </c:pt>
                <c:pt idx="765">
                  <c:v>0.24079320113314068</c:v>
                </c:pt>
                <c:pt idx="766">
                  <c:v>0.24110796348756308</c:v>
                </c:pt>
                <c:pt idx="767">
                  <c:v>0.24142272584198549</c:v>
                </c:pt>
                <c:pt idx="768">
                  <c:v>0.24173748819640789</c:v>
                </c:pt>
                <c:pt idx="769">
                  <c:v>0.24205225055083029</c:v>
                </c:pt>
                <c:pt idx="770">
                  <c:v>0.2423670129052527</c:v>
                </c:pt>
                <c:pt idx="771">
                  <c:v>0.2426817752596751</c:v>
                </c:pt>
                <c:pt idx="772">
                  <c:v>0.24299653761409751</c:v>
                </c:pt>
                <c:pt idx="773">
                  <c:v>0.24331129996851991</c:v>
                </c:pt>
                <c:pt idx="774">
                  <c:v>0.24362606232294232</c:v>
                </c:pt>
                <c:pt idx="775">
                  <c:v>0.24394082467736472</c:v>
                </c:pt>
                <c:pt idx="776">
                  <c:v>0.24425558703178712</c:v>
                </c:pt>
                <c:pt idx="777">
                  <c:v>0.24457034938620953</c:v>
                </c:pt>
                <c:pt idx="778">
                  <c:v>0.24488511174063193</c:v>
                </c:pt>
                <c:pt idx="779">
                  <c:v>0.24519987409505434</c:v>
                </c:pt>
                <c:pt idx="780">
                  <c:v>0.24551463644947674</c:v>
                </c:pt>
                <c:pt idx="781">
                  <c:v>0.24582939880389915</c:v>
                </c:pt>
                <c:pt idx="782">
                  <c:v>0.24614416115832155</c:v>
                </c:pt>
                <c:pt idx="783">
                  <c:v>0.24645892351274395</c:v>
                </c:pt>
                <c:pt idx="784">
                  <c:v>0.24677368586716636</c:v>
                </c:pt>
                <c:pt idx="785">
                  <c:v>0.24708844822158876</c:v>
                </c:pt>
                <c:pt idx="786">
                  <c:v>0.24740321057601117</c:v>
                </c:pt>
                <c:pt idx="787">
                  <c:v>0.24771797293043357</c:v>
                </c:pt>
                <c:pt idx="788">
                  <c:v>0.24803273528485598</c:v>
                </c:pt>
                <c:pt idx="789">
                  <c:v>0.24834749763927838</c:v>
                </c:pt>
                <c:pt idx="790">
                  <c:v>0.24866225999370078</c:v>
                </c:pt>
                <c:pt idx="791">
                  <c:v>0.24897702234812319</c:v>
                </c:pt>
                <c:pt idx="792">
                  <c:v>0.24929178470254559</c:v>
                </c:pt>
                <c:pt idx="793">
                  <c:v>0.249606547056968</c:v>
                </c:pt>
                <c:pt idx="794">
                  <c:v>0.2499213094113904</c:v>
                </c:pt>
                <c:pt idx="795">
                  <c:v>0.25023607176581281</c:v>
                </c:pt>
                <c:pt idx="796">
                  <c:v>0.25055083412023521</c:v>
                </c:pt>
                <c:pt idx="797">
                  <c:v>0.25086559647465762</c:v>
                </c:pt>
                <c:pt idx="798">
                  <c:v>0.25118035882908002</c:v>
                </c:pt>
                <c:pt idx="799">
                  <c:v>0.25149512118350242</c:v>
                </c:pt>
                <c:pt idx="800">
                  <c:v>0.25180988353792483</c:v>
                </c:pt>
                <c:pt idx="801">
                  <c:v>0.25212464589234723</c:v>
                </c:pt>
                <c:pt idx="802">
                  <c:v>0.25243940824676964</c:v>
                </c:pt>
                <c:pt idx="803">
                  <c:v>0.25275417060119204</c:v>
                </c:pt>
                <c:pt idx="804">
                  <c:v>0.25306893295561445</c:v>
                </c:pt>
                <c:pt idx="805">
                  <c:v>0.25338369531003685</c:v>
                </c:pt>
                <c:pt idx="806">
                  <c:v>0.25369845766445925</c:v>
                </c:pt>
                <c:pt idx="807">
                  <c:v>0.25401322001888166</c:v>
                </c:pt>
                <c:pt idx="808">
                  <c:v>0.25432798237330406</c:v>
                </c:pt>
                <c:pt idx="809">
                  <c:v>0.25464274472772647</c:v>
                </c:pt>
                <c:pt idx="810">
                  <c:v>0.25495750708214887</c:v>
                </c:pt>
                <c:pt idx="811">
                  <c:v>0.25527226943657128</c:v>
                </c:pt>
                <c:pt idx="812">
                  <c:v>0.25558703179099368</c:v>
                </c:pt>
                <c:pt idx="813">
                  <c:v>0.25590179414541608</c:v>
                </c:pt>
                <c:pt idx="814">
                  <c:v>0.25621655649983849</c:v>
                </c:pt>
                <c:pt idx="815">
                  <c:v>0.25653131885426089</c:v>
                </c:pt>
                <c:pt idx="816">
                  <c:v>0.2568460812086833</c:v>
                </c:pt>
                <c:pt idx="817">
                  <c:v>0.2571608435631057</c:v>
                </c:pt>
                <c:pt idx="818">
                  <c:v>0.25747560591752811</c:v>
                </c:pt>
                <c:pt idx="819">
                  <c:v>0.25779036827195051</c:v>
                </c:pt>
                <c:pt idx="820">
                  <c:v>0.25810513062637291</c:v>
                </c:pt>
                <c:pt idx="821">
                  <c:v>0.25841989298079532</c:v>
                </c:pt>
                <c:pt idx="822">
                  <c:v>0.25873465533521772</c:v>
                </c:pt>
                <c:pt idx="823">
                  <c:v>0.25904941768964013</c:v>
                </c:pt>
                <c:pt idx="824">
                  <c:v>0.25936418004406253</c:v>
                </c:pt>
                <c:pt idx="825">
                  <c:v>0.25967894239848494</c:v>
                </c:pt>
                <c:pt idx="826">
                  <c:v>0.25999370475290734</c:v>
                </c:pt>
                <c:pt idx="827">
                  <c:v>0.26030846710732974</c:v>
                </c:pt>
                <c:pt idx="828">
                  <c:v>0.26062322946175215</c:v>
                </c:pt>
                <c:pt idx="829">
                  <c:v>0.26093799181617455</c:v>
                </c:pt>
                <c:pt idx="830">
                  <c:v>0.26125275417059696</c:v>
                </c:pt>
                <c:pt idx="831">
                  <c:v>0.26156751652501936</c:v>
                </c:pt>
                <c:pt idx="832">
                  <c:v>0.26188227887944177</c:v>
                </c:pt>
                <c:pt idx="833">
                  <c:v>0.26219704123386417</c:v>
                </c:pt>
                <c:pt idx="834">
                  <c:v>0.26251180358828657</c:v>
                </c:pt>
                <c:pt idx="835">
                  <c:v>0.26282656594270898</c:v>
                </c:pt>
                <c:pt idx="836">
                  <c:v>0.26314132829713138</c:v>
                </c:pt>
                <c:pt idx="837">
                  <c:v>0.26345609065155379</c:v>
                </c:pt>
                <c:pt idx="838">
                  <c:v>0.26377085300597619</c:v>
                </c:pt>
                <c:pt idx="839">
                  <c:v>0.2640856153603986</c:v>
                </c:pt>
                <c:pt idx="840">
                  <c:v>0.264400377714821</c:v>
                </c:pt>
                <c:pt idx="841">
                  <c:v>0.2647151400692434</c:v>
                </c:pt>
                <c:pt idx="842">
                  <c:v>0.26502990242366581</c:v>
                </c:pt>
                <c:pt idx="843">
                  <c:v>0.26534466477808821</c:v>
                </c:pt>
                <c:pt idx="844">
                  <c:v>0.26565942713251062</c:v>
                </c:pt>
                <c:pt idx="845">
                  <c:v>0.26597418948693302</c:v>
                </c:pt>
                <c:pt idx="846">
                  <c:v>0.26628895184135543</c:v>
                </c:pt>
                <c:pt idx="847">
                  <c:v>0.26660371419577783</c:v>
                </c:pt>
                <c:pt idx="848">
                  <c:v>0.26691847655020023</c:v>
                </c:pt>
                <c:pt idx="849">
                  <c:v>0.26723323890462264</c:v>
                </c:pt>
                <c:pt idx="850">
                  <c:v>0.26754800125904504</c:v>
                </c:pt>
                <c:pt idx="851">
                  <c:v>0.26786276361346745</c:v>
                </c:pt>
                <c:pt idx="852">
                  <c:v>0.26817752596788985</c:v>
                </c:pt>
                <c:pt idx="853">
                  <c:v>0.26849228832231226</c:v>
                </c:pt>
                <c:pt idx="854">
                  <c:v>0.26880705067673466</c:v>
                </c:pt>
                <c:pt idx="855">
                  <c:v>0.26912181303115706</c:v>
                </c:pt>
                <c:pt idx="856">
                  <c:v>0.26943657538557947</c:v>
                </c:pt>
                <c:pt idx="857">
                  <c:v>0.26975133774000187</c:v>
                </c:pt>
                <c:pt idx="858">
                  <c:v>0.27006610009442428</c:v>
                </c:pt>
                <c:pt idx="859">
                  <c:v>0.27038086244884668</c:v>
                </c:pt>
                <c:pt idx="860">
                  <c:v>0.27069562480326909</c:v>
                </c:pt>
                <c:pt idx="861">
                  <c:v>0.27101038715769149</c:v>
                </c:pt>
                <c:pt idx="862">
                  <c:v>0.27132514951211389</c:v>
                </c:pt>
                <c:pt idx="863">
                  <c:v>0.2716399118665363</c:v>
                </c:pt>
                <c:pt idx="864">
                  <c:v>0.2719546742209587</c:v>
                </c:pt>
                <c:pt idx="865">
                  <c:v>0.27226943657538111</c:v>
                </c:pt>
                <c:pt idx="866">
                  <c:v>0.27258419892980351</c:v>
                </c:pt>
                <c:pt idx="867">
                  <c:v>0.27289896128422592</c:v>
                </c:pt>
                <c:pt idx="868">
                  <c:v>0.27321372363864832</c:v>
                </c:pt>
                <c:pt idx="869">
                  <c:v>0.27352848599307072</c:v>
                </c:pt>
                <c:pt idx="870">
                  <c:v>0.27384324834749313</c:v>
                </c:pt>
                <c:pt idx="871">
                  <c:v>0.27415801070191553</c:v>
                </c:pt>
                <c:pt idx="872">
                  <c:v>0.27447277305633794</c:v>
                </c:pt>
                <c:pt idx="873">
                  <c:v>0.27478753541076034</c:v>
                </c:pt>
                <c:pt idx="874">
                  <c:v>0.27510229776518275</c:v>
                </c:pt>
                <c:pt idx="875">
                  <c:v>0.27541706011960515</c:v>
                </c:pt>
                <c:pt idx="876">
                  <c:v>0.27573182247402755</c:v>
                </c:pt>
                <c:pt idx="877">
                  <c:v>0.27604658482844996</c:v>
                </c:pt>
                <c:pt idx="878">
                  <c:v>0.27636134718287236</c:v>
                </c:pt>
                <c:pt idx="879">
                  <c:v>0.27667610953729477</c:v>
                </c:pt>
                <c:pt idx="880">
                  <c:v>0.27699087189171717</c:v>
                </c:pt>
                <c:pt idx="881">
                  <c:v>0.27730563424613958</c:v>
                </c:pt>
                <c:pt idx="882">
                  <c:v>0.27762039660056198</c:v>
                </c:pt>
                <c:pt idx="883">
                  <c:v>0.27793515895498438</c:v>
                </c:pt>
                <c:pt idx="884">
                  <c:v>0.27824992130940679</c:v>
                </c:pt>
                <c:pt idx="885">
                  <c:v>0.27856468366382919</c:v>
                </c:pt>
                <c:pt idx="886">
                  <c:v>0.2788794460182516</c:v>
                </c:pt>
                <c:pt idx="887">
                  <c:v>0.279194208372674</c:v>
                </c:pt>
                <c:pt idx="888">
                  <c:v>0.27950897072709641</c:v>
                </c:pt>
                <c:pt idx="889">
                  <c:v>0.27982373308151881</c:v>
                </c:pt>
                <c:pt idx="890">
                  <c:v>0.28013849543594121</c:v>
                </c:pt>
                <c:pt idx="891">
                  <c:v>0.28045325779036362</c:v>
                </c:pt>
                <c:pt idx="892">
                  <c:v>0.28076802014478602</c:v>
                </c:pt>
                <c:pt idx="893">
                  <c:v>0.28108278249920843</c:v>
                </c:pt>
                <c:pt idx="894">
                  <c:v>0.28139754485363083</c:v>
                </c:pt>
                <c:pt idx="895">
                  <c:v>0.28171230720805324</c:v>
                </c:pt>
                <c:pt idx="896">
                  <c:v>0.28202706956247564</c:v>
                </c:pt>
                <c:pt idx="897">
                  <c:v>0.28234183191689805</c:v>
                </c:pt>
                <c:pt idx="898">
                  <c:v>0.28265659427132045</c:v>
                </c:pt>
                <c:pt idx="899">
                  <c:v>0.28297135662574285</c:v>
                </c:pt>
                <c:pt idx="900">
                  <c:v>0.28328611898016526</c:v>
                </c:pt>
                <c:pt idx="901">
                  <c:v>0.28360088133458766</c:v>
                </c:pt>
                <c:pt idx="902">
                  <c:v>0.28391564368901007</c:v>
                </c:pt>
                <c:pt idx="903">
                  <c:v>0.28423040604343247</c:v>
                </c:pt>
                <c:pt idx="904">
                  <c:v>0.28454516839785488</c:v>
                </c:pt>
                <c:pt idx="905">
                  <c:v>0.28485993075227728</c:v>
                </c:pt>
                <c:pt idx="906">
                  <c:v>0.28517469310669968</c:v>
                </c:pt>
                <c:pt idx="907">
                  <c:v>0.28548945546112209</c:v>
                </c:pt>
                <c:pt idx="908">
                  <c:v>0.28580421781554449</c:v>
                </c:pt>
                <c:pt idx="909">
                  <c:v>0.2861189801699669</c:v>
                </c:pt>
                <c:pt idx="910">
                  <c:v>0.2864337425243893</c:v>
                </c:pt>
                <c:pt idx="911">
                  <c:v>0.28674850487881171</c:v>
                </c:pt>
                <c:pt idx="912">
                  <c:v>0.28706326723323411</c:v>
                </c:pt>
                <c:pt idx="913">
                  <c:v>0.28737802958765651</c:v>
                </c:pt>
                <c:pt idx="914">
                  <c:v>0.28769279194207892</c:v>
                </c:pt>
                <c:pt idx="915">
                  <c:v>0.28800755429650132</c:v>
                </c:pt>
                <c:pt idx="916">
                  <c:v>0.28832231665092373</c:v>
                </c:pt>
                <c:pt idx="917">
                  <c:v>0.28863707900534613</c:v>
                </c:pt>
                <c:pt idx="918">
                  <c:v>0.28895184135976854</c:v>
                </c:pt>
                <c:pt idx="919">
                  <c:v>0.28926660371419094</c:v>
                </c:pt>
                <c:pt idx="920">
                  <c:v>0.28958136606861334</c:v>
                </c:pt>
                <c:pt idx="921">
                  <c:v>0.28989612842303575</c:v>
                </c:pt>
                <c:pt idx="922">
                  <c:v>0.29021089077745815</c:v>
                </c:pt>
                <c:pt idx="923">
                  <c:v>0.29052565313188056</c:v>
                </c:pt>
                <c:pt idx="924">
                  <c:v>0.29084041548630296</c:v>
                </c:pt>
                <c:pt idx="925">
                  <c:v>0.29115517784072537</c:v>
                </c:pt>
                <c:pt idx="926">
                  <c:v>0.29146994019514777</c:v>
                </c:pt>
                <c:pt idx="927">
                  <c:v>0.29178470254957017</c:v>
                </c:pt>
                <c:pt idx="928">
                  <c:v>0.29209946490399258</c:v>
                </c:pt>
                <c:pt idx="929">
                  <c:v>0.29241422725841498</c:v>
                </c:pt>
                <c:pt idx="930">
                  <c:v>0.29272898961283739</c:v>
                </c:pt>
                <c:pt idx="931">
                  <c:v>0.29304375196725979</c:v>
                </c:pt>
                <c:pt idx="932">
                  <c:v>0.2933585143216822</c:v>
                </c:pt>
                <c:pt idx="933">
                  <c:v>0.2936732766761046</c:v>
                </c:pt>
                <c:pt idx="934">
                  <c:v>0.293988039030527</c:v>
                </c:pt>
                <c:pt idx="935">
                  <c:v>0.29430280138494941</c:v>
                </c:pt>
                <c:pt idx="936">
                  <c:v>0.29461756373937181</c:v>
                </c:pt>
                <c:pt idx="937">
                  <c:v>0.29493232609379422</c:v>
                </c:pt>
                <c:pt idx="938">
                  <c:v>0.29524708844821662</c:v>
                </c:pt>
                <c:pt idx="939">
                  <c:v>0.29556185080263903</c:v>
                </c:pt>
                <c:pt idx="940">
                  <c:v>0.29587661315706143</c:v>
                </c:pt>
                <c:pt idx="941">
                  <c:v>0.29619137551148383</c:v>
                </c:pt>
                <c:pt idx="942">
                  <c:v>0.29650613786590624</c:v>
                </c:pt>
                <c:pt idx="943">
                  <c:v>0.29682090022032864</c:v>
                </c:pt>
                <c:pt idx="944">
                  <c:v>0.29713566257475105</c:v>
                </c:pt>
                <c:pt idx="945">
                  <c:v>0.29745042492917345</c:v>
                </c:pt>
                <c:pt idx="946">
                  <c:v>0.29776518728359586</c:v>
                </c:pt>
                <c:pt idx="947">
                  <c:v>0.29807994963801826</c:v>
                </c:pt>
                <c:pt idx="948">
                  <c:v>0.29839471199244066</c:v>
                </c:pt>
                <c:pt idx="949">
                  <c:v>0.29870947434686307</c:v>
                </c:pt>
                <c:pt idx="950">
                  <c:v>0.29902423670128547</c:v>
                </c:pt>
                <c:pt idx="951">
                  <c:v>0.29933899905570788</c:v>
                </c:pt>
                <c:pt idx="952">
                  <c:v>0.29965376141013028</c:v>
                </c:pt>
                <c:pt idx="953">
                  <c:v>0.29996852376455269</c:v>
                </c:pt>
                <c:pt idx="954">
                  <c:v>0.30028328611897509</c:v>
                </c:pt>
                <c:pt idx="955">
                  <c:v>0.30059804847339749</c:v>
                </c:pt>
                <c:pt idx="956">
                  <c:v>0.3009128108278199</c:v>
                </c:pt>
                <c:pt idx="957">
                  <c:v>0.3012275731822423</c:v>
                </c:pt>
                <c:pt idx="958">
                  <c:v>0.30154233553666471</c:v>
                </c:pt>
                <c:pt idx="959">
                  <c:v>0.30185709789108711</c:v>
                </c:pt>
                <c:pt idx="960">
                  <c:v>0.30217186024550952</c:v>
                </c:pt>
                <c:pt idx="961">
                  <c:v>0.30248662259993192</c:v>
                </c:pt>
                <c:pt idx="962">
                  <c:v>0.30280138495435432</c:v>
                </c:pt>
                <c:pt idx="963">
                  <c:v>0.30311614730877673</c:v>
                </c:pt>
                <c:pt idx="964">
                  <c:v>0.30343090966319913</c:v>
                </c:pt>
                <c:pt idx="965">
                  <c:v>0.30374567201762154</c:v>
                </c:pt>
                <c:pt idx="966">
                  <c:v>0.30406043437204394</c:v>
                </c:pt>
                <c:pt idx="967">
                  <c:v>0.30437519672646635</c:v>
                </c:pt>
                <c:pt idx="968">
                  <c:v>0.30468995908088875</c:v>
                </c:pt>
                <c:pt idx="969">
                  <c:v>0.30500472143531115</c:v>
                </c:pt>
                <c:pt idx="970">
                  <c:v>0.30531948378973356</c:v>
                </c:pt>
                <c:pt idx="971">
                  <c:v>0.30563424614415596</c:v>
                </c:pt>
                <c:pt idx="972">
                  <c:v>0.30594900849857837</c:v>
                </c:pt>
                <c:pt idx="973">
                  <c:v>0.30626377085300077</c:v>
                </c:pt>
                <c:pt idx="974">
                  <c:v>0.30657853320742318</c:v>
                </c:pt>
                <c:pt idx="975">
                  <c:v>0.30689329556184558</c:v>
                </c:pt>
                <c:pt idx="976">
                  <c:v>0.30720805791626798</c:v>
                </c:pt>
                <c:pt idx="977">
                  <c:v>0.30752282027069039</c:v>
                </c:pt>
                <c:pt idx="978">
                  <c:v>0.30783758262511279</c:v>
                </c:pt>
                <c:pt idx="979">
                  <c:v>0.3081523449795352</c:v>
                </c:pt>
                <c:pt idx="980">
                  <c:v>0.3084671073339576</c:v>
                </c:pt>
                <c:pt idx="981">
                  <c:v>0.30878186968838001</c:v>
                </c:pt>
                <c:pt idx="982">
                  <c:v>0.30909663204280241</c:v>
                </c:pt>
                <c:pt idx="983">
                  <c:v>0.30941139439722481</c:v>
                </c:pt>
                <c:pt idx="984">
                  <c:v>0.30972615675164722</c:v>
                </c:pt>
                <c:pt idx="985">
                  <c:v>0.31004091910606962</c:v>
                </c:pt>
                <c:pt idx="986">
                  <c:v>0.31035568146049203</c:v>
                </c:pt>
                <c:pt idx="987">
                  <c:v>0.31067044381491443</c:v>
                </c:pt>
                <c:pt idx="988">
                  <c:v>0.31098520616933684</c:v>
                </c:pt>
                <c:pt idx="989">
                  <c:v>0.31129996852375924</c:v>
                </c:pt>
                <c:pt idx="990">
                  <c:v>0.31161473087818164</c:v>
                </c:pt>
                <c:pt idx="991">
                  <c:v>0.31192949323260405</c:v>
                </c:pt>
                <c:pt idx="992">
                  <c:v>0.31224425558702645</c:v>
                </c:pt>
                <c:pt idx="993">
                  <c:v>0.31255901794144886</c:v>
                </c:pt>
                <c:pt idx="994">
                  <c:v>0.31287378029587126</c:v>
                </c:pt>
                <c:pt idx="995">
                  <c:v>0.31318854265029367</c:v>
                </c:pt>
                <c:pt idx="996">
                  <c:v>0.31350330500471607</c:v>
                </c:pt>
                <c:pt idx="997">
                  <c:v>0.31381806735913848</c:v>
                </c:pt>
                <c:pt idx="998">
                  <c:v>0.31413282971356088</c:v>
                </c:pt>
                <c:pt idx="999">
                  <c:v>0.31444759206798328</c:v>
                </c:pt>
                <c:pt idx="1000">
                  <c:v>0.31476235442240569</c:v>
                </c:pt>
                <c:pt idx="1001">
                  <c:v>0.31507711677682809</c:v>
                </c:pt>
                <c:pt idx="1002">
                  <c:v>0.3153918791312505</c:v>
                </c:pt>
                <c:pt idx="1003">
                  <c:v>0.3157066414856729</c:v>
                </c:pt>
                <c:pt idx="1004">
                  <c:v>0.31602140384009531</c:v>
                </c:pt>
                <c:pt idx="1005">
                  <c:v>0.31633616619451771</c:v>
                </c:pt>
                <c:pt idx="1006">
                  <c:v>0.31665092854894011</c:v>
                </c:pt>
                <c:pt idx="1007">
                  <c:v>0.31696569090336252</c:v>
                </c:pt>
                <c:pt idx="1008">
                  <c:v>0.31728045325778492</c:v>
                </c:pt>
                <c:pt idx="1009">
                  <c:v>0.31759521561220733</c:v>
                </c:pt>
                <c:pt idx="1010">
                  <c:v>0.31790997796662973</c:v>
                </c:pt>
                <c:pt idx="1011">
                  <c:v>0.31822474032105214</c:v>
                </c:pt>
                <c:pt idx="1012">
                  <c:v>0.31853950267547454</c:v>
                </c:pt>
                <c:pt idx="1013">
                  <c:v>0.31885426502989694</c:v>
                </c:pt>
                <c:pt idx="1014">
                  <c:v>0.31916902738431935</c:v>
                </c:pt>
                <c:pt idx="1015">
                  <c:v>0.31948378973874175</c:v>
                </c:pt>
                <c:pt idx="1016">
                  <c:v>0.31979855209316416</c:v>
                </c:pt>
                <c:pt idx="1017">
                  <c:v>0.32011331444758656</c:v>
                </c:pt>
                <c:pt idx="1018">
                  <c:v>0.32042807680200897</c:v>
                </c:pt>
                <c:pt idx="1019">
                  <c:v>0.32074283915643137</c:v>
                </c:pt>
                <c:pt idx="1020">
                  <c:v>0.32105760151085377</c:v>
                </c:pt>
                <c:pt idx="1021">
                  <c:v>0.32137236386527618</c:v>
                </c:pt>
                <c:pt idx="1022">
                  <c:v>0.32168712621969858</c:v>
                </c:pt>
                <c:pt idx="1023">
                  <c:v>0.32200188857412099</c:v>
                </c:pt>
                <c:pt idx="1024">
                  <c:v>0.32231665092854339</c:v>
                </c:pt>
                <c:pt idx="1025">
                  <c:v>0.3226314132829658</c:v>
                </c:pt>
                <c:pt idx="1026">
                  <c:v>0.3229461756373882</c:v>
                </c:pt>
                <c:pt idx="1027">
                  <c:v>0.3232609379918106</c:v>
                </c:pt>
                <c:pt idx="1028">
                  <c:v>0.32357570034623301</c:v>
                </c:pt>
                <c:pt idx="1029">
                  <c:v>0.32389046270065541</c:v>
                </c:pt>
                <c:pt idx="1030">
                  <c:v>0.32420522505507782</c:v>
                </c:pt>
                <c:pt idx="1031">
                  <c:v>0.32451998740950022</c:v>
                </c:pt>
                <c:pt idx="1032">
                  <c:v>0.32483474976392263</c:v>
                </c:pt>
                <c:pt idx="1033">
                  <c:v>0.32514951211834503</c:v>
                </c:pt>
                <c:pt idx="1034">
                  <c:v>0.32546427447276743</c:v>
                </c:pt>
                <c:pt idx="1035">
                  <c:v>0.32577903682718984</c:v>
                </c:pt>
                <c:pt idx="1036">
                  <c:v>0.32609379918161224</c:v>
                </c:pt>
                <c:pt idx="1037">
                  <c:v>0.32640856153603465</c:v>
                </c:pt>
                <c:pt idx="1038">
                  <c:v>0.32672332389045705</c:v>
                </c:pt>
                <c:pt idx="1039">
                  <c:v>0.32703808624487946</c:v>
                </c:pt>
                <c:pt idx="1040">
                  <c:v>0.32735284859930186</c:v>
                </c:pt>
                <c:pt idx="1041">
                  <c:v>0.32766761095372426</c:v>
                </c:pt>
                <c:pt idx="1042">
                  <c:v>0.32798237330814667</c:v>
                </c:pt>
                <c:pt idx="1043">
                  <c:v>0.32829713566256907</c:v>
                </c:pt>
                <c:pt idx="1044">
                  <c:v>0.32861189801699148</c:v>
                </c:pt>
                <c:pt idx="1045">
                  <c:v>0.32892666037141388</c:v>
                </c:pt>
                <c:pt idx="1046">
                  <c:v>0.32924142272583629</c:v>
                </c:pt>
                <c:pt idx="1047">
                  <c:v>0.32955618508025869</c:v>
                </c:pt>
                <c:pt idx="1048">
                  <c:v>0.32987094743468109</c:v>
                </c:pt>
                <c:pt idx="1049">
                  <c:v>0.3301857097891035</c:v>
                </c:pt>
                <c:pt idx="1050">
                  <c:v>0.3305004721435259</c:v>
                </c:pt>
                <c:pt idx="1051">
                  <c:v>0.33081523449794831</c:v>
                </c:pt>
                <c:pt idx="1052">
                  <c:v>0.33112999685237071</c:v>
                </c:pt>
                <c:pt idx="1053">
                  <c:v>0.33144475920679312</c:v>
                </c:pt>
                <c:pt idx="1054">
                  <c:v>0.33175952156121552</c:v>
                </c:pt>
                <c:pt idx="1055">
                  <c:v>0.33207428391563792</c:v>
                </c:pt>
                <c:pt idx="1056">
                  <c:v>0.33238904627006033</c:v>
                </c:pt>
                <c:pt idx="1057">
                  <c:v>0.33270380862448273</c:v>
                </c:pt>
                <c:pt idx="1058">
                  <c:v>0.33301857097890514</c:v>
                </c:pt>
                <c:pt idx="1059">
                  <c:v>0.33333333333332754</c:v>
                </c:pt>
                <c:pt idx="1060">
                  <c:v>0.33364809568774995</c:v>
                </c:pt>
                <c:pt idx="1061">
                  <c:v>0.33396285804217235</c:v>
                </c:pt>
                <c:pt idx="1062">
                  <c:v>0.33427762039659475</c:v>
                </c:pt>
                <c:pt idx="1063">
                  <c:v>0.33459238275101716</c:v>
                </c:pt>
                <c:pt idx="1064">
                  <c:v>0.33490714510543956</c:v>
                </c:pt>
                <c:pt idx="1065">
                  <c:v>0.33522190745986197</c:v>
                </c:pt>
                <c:pt idx="1066">
                  <c:v>0.33553666981428437</c:v>
                </c:pt>
                <c:pt idx="1067">
                  <c:v>0.33585143216870678</c:v>
                </c:pt>
                <c:pt idx="1068">
                  <c:v>0.33616619452312918</c:v>
                </c:pt>
                <c:pt idx="1069">
                  <c:v>0.33648095687755158</c:v>
                </c:pt>
                <c:pt idx="1070">
                  <c:v>0.33679571923197399</c:v>
                </c:pt>
                <c:pt idx="1071">
                  <c:v>0.33711048158639639</c:v>
                </c:pt>
                <c:pt idx="1072">
                  <c:v>0.3374252439408188</c:v>
                </c:pt>
                <c:pt idx="1073">
                  <c:v>0.3377400062952412</c:v>
                </c:pt>
                <c:pt idx="1074">
                  <c:v>0.33805476864966361</c:v>
                </c:pt>
                <c:pt idx="1075">
                  <c:v>0.33836953100408601</c:v>
                </c:pt>
                <c:pt idx="1076">
                  <c:v>0.33868429335850841</c:v>
                </c:pt>
                <c:pt idx="1077">
                  <c:v>0.33899905571293082</c:v>
                </c:pt>
                <c:pt idx="1078">
                  <c:v>0.33931381806735322</c:v>
                </c:pt>
                <c:pt idx="1079">
                  <c:v>0.33962858042177563</c:v>
                </c:pt>
                <c:pt idx="1080">
                  <c:v>0.33994334277619803</c:v>
                </c:pt>
                <c:pt idx="1081">
                  <c:v>0.34025810513062044</c:v>
                </c:pt>
                <c:pt idx="1082">
                  <c:v>0.34057286748504284</c:v>
                </c:pt>
                <c:pt idx="1083">
                  <c:v>0.34088762983946524</c:v>
                </c:pt>
                <c:pt idx="1084">
                  <c:v>0.34120239219388765</c:v>
                </c:pt>
                <c:pt idx="1085">
                  <c:v>0.34151715454831005</c:v>
                </c:pt>
                <c:pt idx="1086">
                  <c:v>0.34183191690273246</c:v>
                </c:pt>
                <c:pt idx="1087">
                  <c:v>0.34214667925715486</c:v>
                </c:pt>
                <c:pt idx="1088">
                  <c:v>0.34246144161157727</c:v>
                </c:pt>
                <c:pt idx="1089">
                  <c:v>0.34277620396599967</c:v>
                </c:pt>
                <c:pt idx="1090">
                  <c:v>0.34309096632042207</c:v>
                </c:pt>
                <c:pt idx="1091">
                  <c:v>0.34340572867484448</c:v>
                </c:pt>
                <c:pt idx="1092">
                  <c:v>0.34372049102926688</c:v>
                </c:pt>
                <c:pt idx="1093">
                  <c:v>0.34403525338368929</c:v>
                </c:pt>
                <c:pt idx="1094">
                  <c:v>0.34435001573811169</c:v>
                </c:pt>
                <c:pt idx="1095">
                  <c:v>0.3446647780925341</c:v>
                </c:pt>
                <c:pt idx="1096">
                  <c:v>0.3449795404469565</c:v>
                </c:pt>
                <c:pt idx="1097">
                  <c:v>0.34529430280137891</c:v>
                </c:pt>
                <c:pt idx="1098">
                  <c:v>0.34560906515580131</c:v>
                </c:pt>
                <c:pt idx="1099">
                  <c:v>0.34592382751022371</c:v>
                </c:pt>
                <c:pt idx="1100">
                  <c:v>0.34623858986464612</c:v>
                </c:pt>
                <c:pt idx="1101">
                  <c:v>0.34655335221906852</c:v>
                </c:pt>
                <c:pt idx="1102">
                  <c:v>0.34686811457349093</c:v>
                </c:pt>
                <c:pt idx="1103">
                  <c:v>0.34718287692791333</c:v>
                </c:pt>
                <c:pt idx="1104">
                  <c:v>0.34749763928233574</c:v>
                </c:pt>
                <c:pt idx="1105">
                  <c:v>0.34781240163675814</c:v>
                </c:pt>
                <c:pt idx="1106">
                  <c:v>0.34812716399118054</c:v>
                </c:pt>
                <c:pt idx="1107">
                  <c:v>0.34844192634560295</c:v>
                </c:pt>
                <c:pt idx="1108">
                  <c:v>0.34875668870002535</c:v>
                </c:pt>
                <c:pt idx="1109">
                  <c:v>0.34907145105444776</c:v>
                </c:pt>
                <c:pt idx="1110">
                  <c:v>0.34938621340887016</c:v>
                </c:pt>
                <c:pt idx="1111">
                  <c:v>0.34970097576329257</c:v>
                </c:pt>
                <c:pt idx="1112">
                  <c:v>0.35001573811771497</c:v>
                </c:pt>
                <c:pt idx="1113">
                  <c:v>0.35033050047213737</c:v>
                </c:pt>
                <c:pt idx="1114">
                  <c:v>0.35064526282655978</c:v>
                </c:pt>
                <c:pt idx="1115">
                  <c:v>0.35096002518098218</c:v>
                </c:pt>
                <c:pt idx="1116">
                  <c:v>0.35127478753540459</c:v>
                </c:pt>
                <c:pt idx="1117">
                  <c:v>0.35158954988982699</c:v>
                </c:pt>
                <c:pt idx="1118">
                  <c:v>0.3519043122442494</c:v>
                </c:pt>
                <c:pt idx="1119">
                  <c:v>0.3522190745986718</c:v>
                </c:pt>
                <c:pt idx="1120">
                  <c:v>0.3525338369530942</c:v>
                </c:pt>
                <c:pt idx="1121">
                  <c:v>0.35284859930751661</c:v>
                </c:pt>
                <c:pt idx="1122">
                  <c:v>0.35316336166193901</c:v>
                </c:pt>
                <c:pt idx="1123">
                  <c:v>0.35347812401636142</c:v>
                </c:pt>
                <c:pt idx="1124">
                  <c:v>0.35379288637078382</c:v>
                </c:pt>
                <c:pt idx="1125">
                  <c:v>0.35410764872520623</c:v>
                </c:pt>
                <c:pt idx="1126">
                  <c:v>0.35442241107962863</c:v>
                </c:pt>
                <c:pt idx="1127">
                  <c:v>0.35473717343405103</c:v>
                </c:pt>
                <c:pt idx="1128">
                  <c:v>0.35505193578847344</c:v>
                </c:pt>
                <c:pt idx="1129">
                  <c:v>0.35536669814289584</c:v>
                </c:pt>
                <c:pt idx="1130">
                  <c:v>0.35568146049731825</c:v>
                </c:pt>
                <c:pt idx="1131">
                  <c:v>0.35599622285174065</c:v>
                </c:pt>
                <c:pt idx="1132">
                  <c:v>0.35631098520616306</c:v>
                </c:pt>
                <c:pt idx="1133">
                  <c:v>0.35662574756058546</c:v>
                </c:pt>
                <c:pt idx="1134">
                  <c:v>0.35694050991500786</c:v>
                </c:pt>
                <c:pt idx="1135">
                  <c:v>0.35725527226943027</c:v>
                </c:pt>
                <c:pt idx="1136">
                  <c:v>0.35757003462385267</c:v>
                </c:pt>
                <c:pt idx="1137">
                  <c:v>0.35788479697827508</c:v>
                </c:pt>
                <c:pt idx="1138">
                  <c:v>0.35819955933269748</c:v>
                </c:pt>
                <c:pt idx="1139">
                  <c:v>0.35851432168711989</c:v>
                </c:pt>
                <c:pt idx="1140">
                  <c:v>0.35882908404154229</c:v>
                </c:pt>
                <c:pt idx="1141">
                  <c:v>0.35914384639596469</c:v>
                </c:pt>
                <c:pt idx="1142">
                  <c:v>0.3594586087503871</c:v>
                </c:pt>
                <c:pt idx="1143">
                  <c:v>0.3597733711048095</c:v>
                </c:pt>
                <c:pt idx="1144">
                  <c:v>0.36008813345923191</c:v>
                </c:pt>
                <c:pt idx="1145">
                  <c:v>0.36040289581365431</c:v>
                </c:pt>
                <c:pt idx="1146">
                  <c:v>0.36071765816807672</c:v>
                </c:pt>
                <c:pt idx="1147">
                  <c:v>0.36103242052249912</c:v>
                </c:pt>
                <c:pt idx="1148">
                  <c:v>0.36134718287692152</c:v>
                </c:pt>
                <c:pt idx="1149">
                  <c:v>0.36166194523134393</c:v>
                </c:pt>
                <c:pt idx="1150">
                  <c:v>0.36197670758576633</c:v>
                </c:pt>
                <c:pt idx="1151">
                  <c:v>0.36229146994018874</c:v>
                </c:pt>
                <c:pt idx="1152">
                  <c:v>0.36260623229461114</c:v>
                </c:pt>
                <c:pt idx="1153">
                  <c:v>0.36292099464903355</c:v>
                </c:pt>
                <c:pt idx="1154">
                  <c:v>0.36323575700345595</c:v>
                </c:pt>
                <c:pt idx="1155">
                  <c:v>0.36355051935787835</c:v>
                </c:pt>
                <c:pt idx="1156">
                  <c:v>0.36386528171230076</c:v>
                </c:pt>
                <c:pt idx="1157">
                  <c:v>0.36418004406672316</c:v>
                </c:pt>
                <c:pt idx="1158">
                  <c:v>0.36449480642114557</c:v>
                </c:pt>
                <c:pt idx="1159">
                  <c:v>0.36480956877556797</c:v>
                </c:pt>
                <c:pt idx="1160">
                  <c:v>0.36512433112999038</c:v>
                </c:pt>
                <c:pt idx="1161">
                  <c:v>0.36543909348441278</c:v>
                </c:pt>
                <c:pt idx="1162">
                  <c:v>0.36575385583883518</c:v>
                </c:pt>
                <c:pt idx="1163">
                  <c:v>0.36606861819325759</c:v>
                </c:pt>
                <c:pt idx="1164">
                  <c:v>0.36638338054767999</c:v>
                </c:pt>
                <c:pt idx="1165">
                  <c:v>0.3666981429021024</c:v>
                </c:pt>
                <c:pt idx="1166">
                  <c:v>0.3670129052565248</c:v>
                </c:pt>
                <c:pt idx="1167">
                  <c:v>0.36732766761094721</c:v>
                </c:pt>
                <c:pt idx="1168">
                  <c:v>0.36764242996536961</c:v>
                </c:pt>
                <c:pt idx="1169">
                  <c:v>0.36795719231979201</c:v>
                </c:pt>
                <c:pt idx="1170">
                  <c:v>0.36827195467421442</c:v>
                </c:pt>
                <c:pt idx="1171">
                  <c:v>0.36858671702863682</c:v>
                </c:pt>
                <c:pt idx="1172">
                  <c:v>0.36890147938305923</c:v>
                </c:pt>
                <c:pt idx="1173">
                  <c:v>0.36921624173748163</c:v>
                </c:pt>
                <c:pt idx="1174">
                  <c:v>0.36953100409190404</c:v>
                </c:pt>
                <c:pt idx="1175">
                  <c:v>0.36984576644632644</c:v>
                </c:pt>
                <c:pt idx="1176">
                  <c:v>0.37016052880074884</c:v>
                </c:pt>
                <c:pt idx="1177">
                  <c:v>0.37047529115517125</c:v>
                </c:pt>
                <c:pt idx="1178">
                  <c:v>0.37079005350959365</c:v>
                </c:pt>
                <c:pt idx="1179">
                  <c:v>0.37110481586401606</c:v>
                </c:pt>
                <c:pt idx="1180">
                  <c:v>0.37141957821843846</c:v>
                </c:pt>
                <c:pt idx="1181">
                  <c:v>0.37173434057286087</c:v>
                </c:pt>
                <c:pt idx="1182">
                  <c:v>0.37204910292728327</c:v>
                </c:pt>
                <c:pt idx="1183">
                  <c:v>0.37236386528170567</c:v>
                </c:pt>
                <c:pt idx="1184">
                  <c:v>0.37267862763612808</c:v>
                </c:pt>
                <c:pt idx="1185">
                  <c:v>0.37299338999055048</c:v>
                </c:pt>
                <c:pt idx="1186">
                  <c:v>0.37330815234497289</c:v>
                </c:pt>
                <c:pt idx="1187">
                  <c:v>0.37362291469939529</c:v>
                </c:pt>
                <c:pt idx="1188">
                  <c:v>0.3739376770538177</c:v>
                </c:pt>
                <c:pt idx="1189">
                  <c:v>0.3742524394082401</c:v>
                </c:pt>
                <c:pt idx="1190">
                  <c:v>0.3745672017626625</c:v>
                </c:pt>
                <c:pt idx="1191">
                  <c:v>0.37488196411708491</c:v>
                </c:pt>
                <c:pt idx="1192">
                  <c:v>0.37519672647150731</c:v>
                </c:pt>
                <c:pt idx="1193">
                  <c:v>0.37551148882592972</c:v>
                </c:pt>
                <c:pt idx="1194">
                  <c:v>0.37582625118035212</c:v>
                </c:pt>
                <c:pt idx="1195">
                  <c:v>0.37614101353477453</c:v>
                </c:pt>
                <c:pt idx="1196">
                  <c:v>0.37645577588919693</c:v>
                </c:pt>
                <c:pt idx="1197">
                  <c:v>0.37677053824361934</c:v>
                </c:pt>
                <c:pt idx="1198">
                  <c:v>0.37708530059804174</c:v>
                </c:pt>
                <c:pt idx="1199">
                  <c:v>0.37740006295246414</c:v>
                </c:pt>
                <c:pt idx="1200">
                  <c:v>0.37771482530688655</c:v>
                </c:pt>
                <c:pt idx="1201">
                  <c:v>0.37802958766130895</c:v>
                </c:pt>
                <c:pt idx="1202">
                  <c:v>0.37834435001573136</c:v>
                </c:pt>
                <c:pt idx="1203">
                  <c:v>0.37865911237015376</c:v>
                </c:pt>
                <c:pt idx="1204">
                  <c:v>0.37897387472457617</c:v>
                </c:pt>
                <c:pt idx="1205">
                  <c:v>0.37928863707899857</c:v>
                </c:pt>
                <c:pt idx="1206">
                  <c:v>0.37960339943342097</c:v>
                </c:pt>
                <c:pt idx="1207">
                  <c:v>0.37991816178784338</c:v>
                </c:pt>
                <c:pt idx="1208">
                  <c:v>0.38023292414226578</c:v>
                </c:pt>
                <c:pt idx="1209">
                  <c:v>0.38054768649668819</c:v>
                </c:pt>
                <c:pt idx="1210">
                  <c:v>0.38086244885111059</c:v>
                </c:pt>
                <c:pt idx="1211">
                  <c:v>0.381177211205533</c:v>
                </c:pt>
                <c:pt idx="1212">
                  <c:v>0.3814919735599554</c:v>
                </c:pt>
                <c:pt idx="1213">
                  <c:v>0.3818067359143778</c:v>
                </c:pt>
                <c:pt idx="1214">
                  <c:v>0.38212149826880021</c:v>
                </c:pt>
                <c:pt idx="1215">
                  <c:v>0.38243626062322261</c:v>
                </c:pt>
                <c:pt idx="1216">
                  <c:v>0.38275102297764502</c:v>
                </c:pt>
                <c:pt idx="1217">
                  <c:v>0.38306578533206742</c:v>
                </c:pt>
                <c:pt idx="1218">
                  <c:v>0.38338054768648983</c:v>
                </c:pt>
                <c:pt idx="1219">
                  <c:v>0.38369531004091223</c:v>
                </c:pt>
                <c:pt idx="1220">
                  <c:v>0.38401007239533463</c:v>
                </c:pt>
                <c:pt idx="1221">
                  <c:v>0.38432483474975704</c:v>
                </c:pt>
                <c:pt idx="1222">
                  <c:v>0.38463959710417944</c:v>
                </c:pt>
                <c:pt idx="1223">
                  <c:v>0.38495435945860185</c:v>
                </c:pt>
                <c:pt idx="1224">
                  <c:v>0.38526912181302425</c:v>
                </c:pt>
                <c:pt idx="1225">
                  <c:v>0.38558388416744666</c:v>
                </c:pt>
                <c:pt idx="1226">
                  <c:v>0.38589864652186906</c:v>
                </c:pt>
                <c:pt idx="1227">
                  <c:v>0.38621340887629146</c:v>
                </c:pt>
                <c:pt idx="1228">
                  <c:v>0.38652817123071387</c:v>
                </c:pt>
                <c:pt idx="1229">
                  <c:v>0.38684293358513627</c:v>
                </c:pt>
                <c:pt idx="1230">
                  <c:v>0.38715769593955868</c:v>
                </c:pt>
                <c:pt idx="1231">
                  <c:v>0.38747245829398108</c:v>
                </c:pt>
                <c:pt idx="1232">
                  <c:v>0.38778722064840349</c:v>
                </c:pt>
                <c:pt idx="1233">
                  <c:v>0.38810198300282589</c:v>
                </c:pt>
                <c:pt idx="1234">
                  <c:v>0.38841674535724829</c:v>
                </c:pt>
                <c:pt idx="1235">
                  <c:v>0.3887315077116707</c:v>
                </c:pt>
                <c:pt idx="1236">
                  <c:v>0.3890462700660931</c:v>
                </c:pt>
                <c:pt idx="1237">
                  <c:v>0.38936103242051551</c:v>
                </c:pt>
                <c:pt idx="1238">
                  <c:v>0.38967579477493791</c:v>
                </c:pt>
                <c:pt idx="1239">
                  <c:v>0.38999055712936032</c:v>
                </c:pt>
                <c:pt idx="1240">
                  <c:v>0.39030531948378272</c:v>
                </c:pt>
                <c:pt idx="1241">
                  <c:v>0.39062008183820512</c:v>
                </c:pt>
                <c:pt idx="1242">
                  <c:v>0.39093484419262753</c:v>
                </c:pt>
                <c:pt idx="1243">
                  <c:v>0.39124960654704993</c:v>
                </c:pt>
                <c:pt idx="1244">
                  <c:v>0.39156436890147234</c:v>
                </c:pt>
                <c:pt idx="1245">
                  <c:v>0.39187913125589474</c:v>
                </c:pt>
                <c:pt idx="1246">
                  <c:v>0.39219389361031715</c:v>
                </c:pt>
                <c:pt idx="1247">
                  <c:v>0.39250865596473955</c:v>
                </c:pt>
                <c:pt idx="1248">
                  <c:v>0.39282341831916195</c:v>
                </c:pt>
                <c:pt idx="1249">
                  <c:v>0.39313818067358436</c:v>
                </c:pt>
                <c:pt idx="1250">
                  <c:v>0.39345294302800676</c:v>
                </c:pt>
                <c:pt idx="1251">
                  <c:v>0.39376770538242917</c:v>
                </c:pt>
                <c:pt idx="1252">
                  <c:v>0.39408246773685157</c:v>
                </c:pt>
                <c:pt idx="1253">
                  <c:v>0.39439723009127398</c:v>
                </c:pt>
                <c:pt idx="1254">
                  <c:v>0.39471199244569638</c:v>
                </c:pt>
                <c:pt idx="1255">
                  <c:v>0.39502675480011878</c:v>
                </c:pt>
                <c:pt idx="1256">
                  <c:v>0.39534151715454119</c:v>
                </c:pt>
                <c:pt idx="1257">
                  <c:v>0.39565627950896359</c:v>
                </c:pt>
                <c:pt idx="1258">
                  <c:v>0.395971041863386</c:v>
                </c:pt>
                <c:pt idx="1259">
                  <c:v>0.3962858042178084</c:v>
                </c:pt>
                <c:pt idx="1260">
                  <c:v>0.39660056657223081</c:v>
                </c:pt>
                <c:pt idx="1261">
                  <c:v>0.39691532892665321</c:v>
                </c:pt>
                <c:pt idx="1262">
                  <c:v>0.39723009128107561</c:v>
                </c:pt>
                <c:pt idx="1263">
                  <c:v>0.39754485363549802</c:v>
                </c:pt>
                <c:pt idx="1264">
                  <c:v>0.39785961598992042</c:v>
                </c:pt>
                <c:pt idx="1265">
                  <c:v>0.39817437834434283</c:v>
                </c:pt>
                <c:pt idx="1266">
                  <c:v>0.39848914069876523</c:v>
                </c:pt>
                <c:pt idx="1267">
                  <c:v>0.39880390305318764</c:v>
                </c:pt>
                <c:pt idx="1268">
                  <c:v>0.39911866540761004</c:v>
                </c:pt>
                <c:pt idx="1269">
                  <c:v>0.39943342776203244</c:v>
                </c:pt>
                <c:pt idx="1270">
                  <c:v>0.39974819011645485</c:v>
                </c:pt>
                <c:pt idx="1271">
                  <c:v>0.40006295247087725</c:v>
                </c:pt>
                <c:pt idx="1272">
                  <c:v>0.40037771482529966</c:v>
                </c:pt>
                <c:pt idx="1273">
                  <c:v>0.40069247717972206</c:v>
                </c:pt>
                <c:pt idx="1274">
                  <c:v>0.40100723953414447</c:v>
                </c:pt>
                <c:pt idx="1275">
                  <c:v>0.40132200188856687</c:v>
                </c:pt>
                <c:pt idx="1276">
                  <c:v>0.40163676424298927</c:v>
                </c:pt>
                <c:pt idx="1277">
                  <c:v>0.40195152659741168</c:v>
                </c:pt>
                <c:pt idx="1278">
                  <c:v>0.40226628895183408</c:v>
                </c:pt>
                <c:pt idx="1279">
                  <c:v>0.40258105130625649</c:v>
                </c:pt>
                <c:pt idx="1280">
                  <c:v>0.40289581366067889</c:v>
                </c:pt>
                <c:pt idx="1281">
                  <c:v>0.4032105760151013</c:v>
                </c:pt>
                <c:pt idx="1282">
                  <c:v>0.4035253383695237</c:v>
                </c:pt>
                <c:pt idx="1283">
                  <c:v>0.4038401007239461</c:v>
                </c:pt>
                <c:pt idx="1284">
                  <c:v>0.40415486307836851</c:v>
                </c:pt>
                <c:pt idx="1285">
                  <c:v>0.40446962543279091</c:v>
                </c:pt>
                <c:pt idx="1286">
                  <c:v>0.40478438778721332</c:v>
                </c:pt>
                <c:pt idx="1287">
                  <c:v>0.40509915014163572</c:v>
                </c:pt>
                <c:pt idx="1288">
                  <c:v>0.40541391249605813</c:v>
                </c:pt>
                <c:pt idx="1289">
                  <c:v>0.40572867485048053</c:v>
                </c:pt>
                <c:pt idx="1290">
                  <c:v>0.40604343720490294</c:v>
                </c:pt>
                <c:pt idx="1291">
                  <c:v>0.40635819955932534</c:v>
                </c:pt>
                <c:pt idx="1292">
                  <c:v>0.40667296191374774</c:v>
                </c:pt>
                <c:pt idx="1293">
                  <c:v>0.40698772426817015</c:v>
                </c:pt>
                <c:pt idx="1294">
                  <c:v>0.40730248662259255</c:v>
                </c:pt>
                <c:pt idx="1295">
                  <c:v>0.40761724897701496</c:v>
                </c:pt>
                <c:pt idx="1296">
                  <c:v>0.40793201133143736</c:v>
                </c:pt>
                <c:pt idx="1297">
                  <c:v>0.40824677368585977</c:v>
                </c:pt>
                <c:pt idx="1298">
                  <c:v>0.40856153604028217</c:v>
                </c:pt>
                <c:pt idx="1299">
                  <c:v>0.40887629839470457</c:v>
                </c:pt>
                <c:pt idx="1300">
                  <c:v>0.40919106074912698</c:v>
                </c:pt>
                <c:pt idx="1301">
                  <c:v>0.40950582310354938</c:v>
                </c:pt>
                <c:pt idx="1302">
                  <c:v>0.40982058545797179</c:v>
                </c:pt>
                <c:pt idx="1303">
                  <c:v>0.41013534781239419</c:v>
                </c:pt>
                <c:pt idx="1304">
                  <c:v>0.4104501101668166</c:v>
                </c:pt>
                <c:pt idx="1305">
                  <c:v>0.410764872521239</c:v>
                </c:pt>
                <c:pt idx="1306">
                  <c:v>0.4110796348756614</c:v>
                </c:pt>
                <c:pt idx="1307">
                  <c:v>0.41139439723008381</c:v>
                </c:pt>
                <c:pt idx="1308">
                  <c:v>0.41170915958450621</c:v>
                </c:pt>
                <c:pt idx="1309">
                  <c:v>0.41202392193892862</c:v>
                </c:pt>
                <c:pt idx="1310">
                  <c:v>0.41233868429335102</c:v>
                </c:pt>
                <c:pt idx="1311">
                  <c:v>0.41265344664777343</c:v>
                </c:pt>
                <c:pt idx="1312">
                  <c:v>0.41296820900219583</c:v>
                </c:pt>
                <c:pt idx="1313">
                  <c:v>0.41328297135661823</c:v>
                </c:pt>
                <c:pt idx="1314">
                  <c:v>0.41359773371104064</c:v>
                </c:pt>
                <c:pt idx="1315">
                  <c:v>0.41391249606546304</c:v>
                </c:pt>
                <c:pt idx="1316">
                  <c:v>0.41422725841988545</c:v>
                </c:pt>
                <c:pt idx="1317">
                  <c:v>0.41454202077430785</c:v>
                </c:pt>
                <c:pt idx="1318">
                  <c:v>0.41485678312873026</c:v>
                </c:pt>
                <c:pt idx="1319">
                  <c:v>0.41517154548315266</c:v>
                </c:pt>
                <c:pt idx="1320">
                  <c:v>0.41548630783757506</c:v>
                </c:pt>
                <c:pt idx="1321">
                  <c:v>0.41580107019199747</c:v>
                </c:pt>
                <c:pt idx="1322">
                  <c:v>0.41611583254641987</c:v>
                </c:pt>
                <c:pt idx="1323">
                  <c:v>0.41643059490084228</c:v>
                </c:pt>
                <c:pt idx="1324">
                  <c:v>0.41674535725526468</c:v>
                </c:pt>
                <c:pt idx="1325">
                  <c:v>0.41706011960968709</c:v>
                </c:pt>
                <c:pt idx="1326">
                  <c:v>0.41737488196410949</c:v>
                </c:pt>
                <c:pt idx="1327">
                  <c:v>0.41768964431853189</c:v>
                </c:pt>
                <c:pt idx="1328">
                  <c:v>0.4180044066729543</c:v>
                </c:pt>
                <c:pt idx="1329">
                  <c:v>0.4183191690273767</c:v>
                </c:pt>
                <c:pt idx="1330">
                  <c:v>0.41863393138179911</c:v>
                </c:pt>
                <c:pt idx="1331">
                  <c:v>0.41894869373622151</c:v>
                </c:pt>
                <c:pt idx="1332">
                  <c:v>0.41926345609064392</c:v>
                </c:pt>
                <c:pt idx="1333">
                  <c:v>0.41957821844506632</c:v>
                </c:pt>
                <c:pt idx="1334">
                  <c:v>0.41989298079948872</c:v>
                </c:pt>
                <c:pt idx="1335">
                  <c:v>0.42020774315391113</c:v>
                </c:pt>
                <c:pt idx="1336">
                  <c:v>0.42052250550833353</c:v>
                </c:pt>
                <c:pt idx="1337">
                  <c:v>0.42083726786275594</c:v>
                </c:pt>
                <c:pt idx="1338">
                  <c:v>0.42115203021717834</c:v>
                </c:pt>
                <c:pt idx="1339">
                  <c:v>0.42146679257160075</c:v>
                </c:pt>
                <c:pt idx="1340">
                  <c:v>0.42178155492602315</c:v>
                </c:pt>
                <c:pt idx="1341">
                  <c:v>0.42209631728044555</c:v>
                </c:pt>
                <c:pt idx="1342">
                  <c:v>0.42241107963486796</c:v>
                </c:pt>
                <c:pt idx="1343">
                  <c:v>0.42272584198929036</c:v>
                </c:pt>
                <c:pt idx="1344">
                  <c:v>0.42304060434371277</c:v>
                </c:pt>
                <c:pt idx="1345">
                  <c:v>0.42335536669813517</c:v>
                </c:pt>
                <c:pt idx="1346">
                  <c:v>0.42367012905255758</c:v>
                </c:pt>
                <c:pt idx="1347">
                  <c:v>0.42398489140697998</c:v>
                </c:pt>
                <c:pt idx="1348">
                  <c:v>0.42429965376140238</c:v>
                </c:pt>
                <c:pt idx="1349">
                  <c:v>0.42461441611582479</c:v>
                </c:pt>
                <c:pt idx="1350">
                  <c:v>0.42492917847024719</c:v>
                </c:pt>
                <c:pt idx="1351">
                  <c:v>0.4252439408246696</c:v>
                </c:pt>
                <c:pt idx="1352">
                  <c:v>0.425558703179092</c:v>
                </c:pt>
                <c:pt idx="1353">
                  <c:v>0.42587346553351441</c:v>
                </c:pt>
                <c:pt idx="1354">
                  <c:v>0.42618822788793681</c:v>
                </c:pt>
                <c:pt idx="1355">
                  <c:v>0.42650299024235921</c:v>
                </c:pt>
                <c:pt idx="1356">
                  <c:v>0.42681775259678162</c:v>
                </c:pt>
                <c:pt idx="1357">
                  <c:v>0.42713251495120402</c:v>
                </c:pt>
                <c:pt idx="1358">
                  <c:v>0.42744727730562643</c:v>
                </c:pt>
                <c:pt idx="1359">
                  <c:v>0.42776203966004883</c:v>
                </c:pt>
                <c:pt idx="1360">
                  <c:v>0.42807680201447124</c:v>
                </c:pt>
                <c:pt idx="1361">
                  <c:v>0.42839156436889364</c:v>
                </c:pt>
                <c:pt idx="1362">
                  <c:v>0.42870632672331604</c:v>
                </c:pt>
                <c:pt idx="1363">
                  <c:v>0.42902108907773845</c:v>
                </c:pt>
                <c:pt idx="1364">
                  <c:v>0.42933585143216085</c:v>
                </c:pt>
                <c:pt idx="1365">
                  <c:v>0.42965061378658326</c:v>
                </c:pt>
                <c:pt idx="1366">
                  <c:v>0.42996537614100566</c:v>
                </c:pt>
                <c:pt idx="1367">
                  <c:v>0.43028013849542807</c:v>
                </c:pt>
                <c:pt idx="1368">
                  <c:v>0.43059490084985047</c:v>
                </c:pt>
                <c:pt idx="1369">
                  <c:v>0.43090966320427287</c:v>
                </c:pt>
                <c:pt idx="1370">
                  <c:v>0.43122442555869528</c:v>
                </c:pt>
                <c:pt idx="1371">
                  <c:v>0.43153918791311768</c:v>
                </c:pt>
                <c:pt idx="1372">
                  <c:v>0.43185395026754009</c:v>
                </c:pt>
                <c:pt idx="1373">
                  <c:v>0.43216871262196249</c:v>
                </c:pt>
                <c:pt idx="1374">
                  <c:v>0.4324834749763849</c:v>
                </c:pt>
                <c:pt idx="1375">
                  <c:v>0.4327982373308073</c:v>
                </c:pt>
                <c:pt idx="1376">
                  <c:v>0.4331129996852297</c:v>
                </c:pt>
                <c:pt idx="1377">
                  <c:v>0.43342776203965211</c:v>
                </c:pt>
                <c:pt idx="1378">
                  <c:v>0.43374252439407451</c:v>
                </c:pt>
                <c:pt idx="1379">
                  <c:v>0.43405728674849692</c:v>
                </c:pt>
                <c:pt idx="1380">
                  <c:v>0.43437204910291932</c:v>
                </c:pt>
                <c:pt idx="1381">
                  <c:v>0.43468681145734173</c:v>
                </c:pt>
                <c:pt idx="1382">
                  <c:v>0.43500157381176413</c:v>
                </c:pt>
                <c:pt idx="1383">
                  <c:v>0.43531633616618653</c:v>
                </c:pt>
                <c:pt idx="1384">
                  <c:v>0.43563109852060894</c:v>
                </c:pt>
                <c:pt idx="1385">
                  <c:v>0.43594586087503134</c:v>
                </c:pt>
                <c:pt idx="1386">
                  <c:v>0.43626062322945375</c:v>
                </c:pt>
                <c:pt idx="1387">
                  <c:v>0.43657538558387615</c:v>
                </c:pt>
                <c:pt idx="1388">
                  <c:v>0.43689014793829856</c:v>
                </c:pt>
                <c:pt idx="1389">
                  <c:v>0.43720491029272096</c:v>
                </c:pt>
                <c:pt idx="1390">
                  <c:v>0.43751967264714337</c:v>
                </c:pt>
                <c:pt idx="1391">
                  <c:v>0.43783443500156577</c:v>
                </c:pt>
                <c:pt idx="1392">
                  <c:v>0.43814919735598817</c:v>
                </c:pt>
                <c:pt idx="1393">
                  <c:v>0.43846395971041058</c:v>
                </c:pt>
                <c:pt idx="1394">
                  <c:v>0.43877872206483298</c:v>
                </c:pt>
                <c:pt idx="1395">
                  <c:v>0.43909348441925539</c:v>
                </c:pt>
                <c:pt idx="1396">
                  <c:v>0.43940824677367779</c:v>
                </c:pt>
                <c:pt idx="1397">
                  <c:v>0.4397230091281002</c:v>
                </c:pt>
                <c:pt idx="1398">
                  <c:v>0.4400377714825226</c:v>
                </c:pt>
                <c:pt idx="1399">
                  <c:v>0.440352533836945</c:v>
                </c:pt>
                <c:pt idx="1400">
                  <c:v>0.44066729619136741</c:v>
                </c:pt>
                <c:pt idx="1401">
                  <c:v>0.44098205854578981</c:v>
                </c:pt>
                <c:pt idx="1402">
                  <c:v>0.44129682090021222</c:v>
                </c:pt>
                <c:pt idx="1403">
                  <c:v>0.44161158325463462</c:v>
                </c:pt>
                <c:pt idx="1404">
                  <c:v>0.44192634560905703</c:v>
                </c:pt>
                <c:pt idx="1405">
                  <c:v>0.44224110796347943</c:v>
                </c:pt>
                <c:pt idx="1406">
                  <c:v>0.44255587031790183</c:v>
                </c:pt>
                <c:pt idx="1407">
                  <c:v>0.44287063267232424</c:v>
                </c:pt>
                <c:pt idx="1408">
                  <c:v>0.44318539502674664</c:v>
                </c:pt>
                <c:pt idx="1409">
                  <c:v>0.44350015738116905</c:v>
                </c:pt>
                <c:pt idx="1410">
                  <c:v>0.44381491973559145</c:v>
                </c:pt>
                <c:pt idx="1411">
                  <c:v>0.44412968209001386</c:v>
                </c:pt>
                <c:pt idx="1412">
                  <c:v>0.44444444444443626</c:v>
                </c:pt>
                <c:pt idx="1413">
                  <c:v>0.44475920679885866</c:v>
                </c:pt>
                <c:pt idx="1414">
                  <c:v>0.44507396915328107</c:v>
                </c:pt>
                <c:pt idx="1415">
                  <c:v>0.44538873150770347</c:v>
                </c:pt>
                <c:pt idx="1416">
                  <c:v>0.44570349386212588</c:v>
                </c:pt>
                <c:pt idx="1417">
                  <c:v>0.44601825621654828</c:v>
                </c:pt>
                <c:pt idx="1418">
                  <c:v>0.44633301857097069</c:v>
                </c:pt>
                <c:pt idx="1419">
                  <c:v>0.44664778092539309</c:v>
                </c:pt>
                <c:pt idx="1420">
                  <c:v>0.44696254327981549</c:v>
                </c:pt>
                <c:pt idx="1421">
                  <c:v>0.4472773056342379</c:v>
                </c:pt>
                <c:pt idx="1422">
                  <c:v>0.4475920679886603</c:v>
                </c:pt>
                <c:pt idx="1423">
                  <c:v>0.44790683034308271</c:v>
                </c:pt>
                <c:pt idx="1424">
                  <c:v>0.44822159269750511</c:v>
                </c:pt>
                <c:pt idx="1425">
                  <c:v>0.44853635505192752</c:v>
                </c:pt>
                <c:pt idx="1426">
                  <c:v>0.44885111740634992</c:v>
                </c:pt>
                <c:pt idx="1427">
                  <c:v>0.44916587976077232</c:v>
                </c:pt>
                <c:pt idx="1428">
                  <c:v>0.44948064211519473</c:v>
                </c:pt>
                <c:pt idx="1429">
                  <c:v>0.44979540446961713</c:v>
                </c:pt>
                <c:pt idx="1430">
                  <c:v>0.45011016682403954</c:v>
                </c:pt>
                <c:pt idx="1431">
                  <c:v>0.45042492917846194</c:v>
                </c:pt>
                <c:pt idx="1432">
                  <c:v>0.45073969153288435</c:v>
                </c:pt>
                <c:pt idx="1433">
                  <c:v>0.45105445388730675</c:v>
                </c:pt>
                <c:pt idx="1434">
                  <c:v>0.45136921624172915</c:v>
                </c:pt>
                <c:pt idx="1435">
                  <c:v>0.45168397859615156</c:v>
                </c:pt>
                <c:pt idx="1436">
                  <c:v>0.45199874095057396</c:v>
                </c:pt>
                <c:pt idx="1437">
                  <c:v>0.45231350330499637</c:v>
                </c:pt>
                <c:pt idx="1438">
                  <c:v>0.45262826565941877</c:v>
                </c:pt>
                <c:pt idx="1439">
                  <c:v>0.45294302801384118</c:v>
                </c:pt>
                <c:pt idx="1440">
                  <c:v>0.45325779036826358</c:v>
                </c:pt>
                <c:pt idx="1441">
                  <c:v>0.45357255272268598</c:v>
                </c:pt>
                <c:pt idx="1442">
                  <c:v>0.45388731507710839</c:v>
                </c:pt>
                <c:pt idx="1443">
                  <c:v>0.45420207743153079</c:v>
                </c:pt>
                <c:pt idx="1444">
                  <c:v>0.4545168397859532</c:v>
                </c:pt>
                <c:pt idx="1445">
                  <c:v>0.4548316021403756</c:v>
                </c:pt>
                <c:pt idx="1446">
                  <c:v>0.45514636449479801</c:v>
                </c:pt>
                <c:pt idx="1447">
                  <c:v>0.45546112684922041</c:v>
                </c:pt>
                <c:pt idx="1448">
                  <c:v>0.45577588920364281</c:v>
                </c:pt>
                <c:pt idx="1449">
                  <c:v>0.45609065155806522</c:v>
                </c:pt>
                <c:pt idx="1450">
                  <c:v>0.45640541391248762</c:v>
                </c:pt>
                <c:pt idx="1451">
                  <c:v>0.45672017626691003</c:v>
                </c:pt>
                <c:pt idx="1452">
                  <c:v>0.45703493862133243</c:v>
                </c:pt>
                <c:pt idx="1453">
                  <c:v>0.45734970097575484</c:v>
                </c:pt>
                <c:pt idx="1454">
                  <c:v>0.45766446333017724</c:v>
                </c:pt>
                <c:pt idx="1455">
                  <c:v>0.45797922568459964</c:v>
                </c:pt>
                <c:pt idx="1456">
                  <c:v>0.45829398803902205</c:v>
                </c:pt>
                <c:pt idx="1457">
                  <c:v>0.45860875039344445</c:v>
                </c:pt>
                <c:pt idx="1458">
                  <c:v>0.45892351274786686</c:v>
                </c:pt>
                <c:pt idx="1459">
                  <c:v>0.45923827510228926</c:v>
                </c:pt>
                <c:pt idx="1460">
                  <c:v>0.45955303745671167</c:v>
                </c:pt>
                <c:pt idx="1461">
                  <c:v>0.45986779981113407</c:v>
                </c:pt>
                <c:pt idx="1462">
                  <c:v>0.46018256216555647</c:v>
                </c:pt>
                <c:pt idx="1463">
                  <c:v>0.46049732451997888</c:v>
                </c:pt>
                <c:pt idx="1464">
                  <c:v>0.46081208687440128</c:v>
                </c:pt>
                <c:pt idx="1465">
                  <c:v>0.46112684922882369</c:v>
                </c:pt>
                <c:pt idx="1466">
                  <c:v>0.46144161158324609</c:v>
                </c:pt>
                <c:pt idx="1467">
                  <c:v>0.4617563739376685</c:v>
                </c:pt>
                <c:pt idx="1468">
                  <c:v>0.4620711362920909</c:v>
                </c:pt>
                <c:pt idx="1469">
                  <c:v>0.4623858986465133</c:v>
                </c:pt>
                <c:pt idx="1470">
                  <c:v>0.46270066100093571</c:v>
                </c:pt>
                <c:pt idx="1471">
                  <c:v>0.46301542335535811</c:v>
                </c:pt>
                <c:pt idx="1472">
                  <c:v>0.46333018570978052</c:v>
                </c:pt>
                <c:pt idx="1473">
                  <c:v>0.46364494806420292</c:v>
                </c:pt>
                <c:pt idx="1474">
                  <c:v>0.46395971041862533</c:v>
                </c:pt>
                <c:pt idx="1475">
                  <c:v>0.46427447277304773</c:v>
                </c:pt>
                <c:pt idx="1476">
                  <c:v>0.46458923512747013</c:v>
                </c:pt>
                <c:pt idx="1477">
                  <c:v>0.46490399748189254</c:v>
                </c:pt>
                <c:pt idx="1478">
                  <c:v>0.46521875983631494</c:v>
                </c:pt>
                <c:pt idx="1479">
                  <c:v>0.46553352219073735</c:v>
                </c:pt>
                <c:pt idx="1480">
                  <c:v>0.46584828454515975</c:v>
                </c:pt>
                <c:pt idx="1481">
                  <c:v>0.46616304689958216</c:v>
                </c:pt>
                <c:pt idx="1482">
                  <c:v>0.46647780925400456</c:v>
                </c:pt>
                <c:pt idx="1483">
                  <c:v>0.46679257160842696</c:v>
                </c:pt>
                <c:pt idx="1484">
                  <c:v>0.46710733396284937</c:v>
                </c:pt>
                <c:pt idx="1485">
                  <c:v>0.46742209631727177</c:v>
                </c:pt>
                <c:pt idx="1486">
                  <c:v>0.46773685867169418</c:v>
                </c:pt>
                <c:pt idx="1487">
                  <c:v>0.46805162102611658</c:v>
                </c:pt>
                <c:pt idx="1488">
                  <c:v>0.46836638338053899</c:v>
                </c:pt>
                <c:pt idx="1489">
                  <c:v>0.46868114573496139</c:v>
                </c:pt>
                <c:pt idx="1490">
                  <c:v>0.4689959080893838</c:v>
                </c:pt>
                <c:pt idx="1491">
                  <c:v>0.4693106704438062</c:v>
                </c:pt>
                <c:pt idx="1492">
                  <c:v>0.4696254327982286</c:v>
                </c:pt>
                <c:pt idx="1493">
                  <c:v>0.46994019515265101</c:v>
                </c:pt>
                <c:pt idx="1494">
                  <c:v>0.47025495750707341</c:v>
                </c:pt>
                <c:pt idx="1495">
                  <c:v>0.47056971986149582</c:v>
                </c:pt>
                <c:pt idx="1496">
                  <c:v>0.47088448221591822</c:v>
                </c:pt>
                <c:pt idx="1497">
                  <c:v>0.47119924457034063</c:v>
                </c:pt>
                <c:pt idx="1498">
                  <c:v>0.47151400692476303</c:v>
                </c:pt>
                <c:pt idx="1499">
                  <c:v>0.47182876927918543</c:v>
                </c:pt>
                <c:pt idx="1500">
                  <c:v>0.47214353163360784</c:v>
                </c:pt>
                <c:pt idx="1501">
                  <c:v>0.47245829398803024</c:v>
                </c:pt>
                <c:pt idx="1502">
                  <c:v>0.47277305634245265</c:v>
                </c:pt>
                <c:pt idx="1503">
                  <c:v>0.47308781869687505</c:v>
                </c:pt>
                <c:pt idx="1504">
                  <c:v>0.47340258105129746</c:v>
                </c:pt>
                <c:pt idx="1505">
                  <c:v>0.47371734340571986</c:v>
                </c:pt>
                <c:pt idx="1506">
                  <c:v>0.47403210576014226</c:v>
                </c:pt>
                <c:pt idx="1507">
                  <c:v>0.47434686811456467</c:v>
                </c:pt>
                <c:pt idx="1508">
                  <c:v>0.47466163046898707</c:v>
                </c:pt>
                <c:pt idx="1509">
                  <c:v>0.47497639282340948</c:v>
                </c:pt>
                <c:pt idx="1510">
                  <c:v>0.47529115517783188</c:v>
                </c:pt>
                <c:pt idx="1511">
                  <c:v>0.47560591753225429</c:v>
                </c:pt>
                <c:pt idx="1512">
                  <c:v>0.47592067988667669</c:v>
                </c:pt>
                <c:pt idx="1513">
                  <c:v>0.47623544224109909</c:v>
                </c:pt>
                <c:pt idx="1514">
                  <c:v>0.4765502045955215</c:v>
                </c:pt>
                <c:pt idx="1515">
                  <c:v>0.4768649669499439</c:v>
                </c:pt>
                <c:pt idx="1516">
                  <c:v>0.47717972930436631</c:v>
                </c:pt>
                <c:pt idx="1517">
                  <c:v>0.47749449165878871</c:v>
                </c:pt>
                <c:pt idx="1518">
                  <c:v>0.47780925401321112</c:v>
                </c:pt>
                <c:pt idx="1519">
                  <c:v>0.47812401636763352</c:v>
                </c:pt>
                <c:pt idx="1520">
                  <c:v>0.47843877872205592</c:v>
                </c:pt>
                <c:pt idx="1521">
                  <c:v>0.47875354107647833</c:v>
                </c:pt>
                <c:pt idx="1522">
                  <c:v>0.47906830343090073</c:v>
                </c:pt>
                <c:pt idx="1523">
                  <c:v>0.47938306578532314</c:v>
                </c:pt>
                <c:pt idx="1524">
                  <c:v>0.47969782813974554</c:v>
                </c:pt>
                <c:pt idx="1525">
                  <c:v>0.48001259049416795</c:v>
                </c:pt>
                <c:pt idx="1526">
                  <c:v>0.48032735284859035</c:v>
                </c:pt>
                <c:pt idx="1527">
                  <c:v>0.48064211520301275</c:v>
                </c:pt>
                <c:pt idx="1528">
                  <c:v>0.48095687755743516</c:v>
                </c:pt>
                <c:pt idx="1529">
                  <c:v>0.48127163991185756</c:v>
                </c:pt>
                <c:pt idx="1530">
                  <c:v>0.48158640226627997</c:v>
                </c:pt>
                <c:pt idx="1531">
                  <c:v>0.48190116462070237</c:v>
                </c:pt>
                <c:pt idx="1532">
                  <c:v>0.48221592697512478</c:v>
                </c:pt>
                <c:pt idx="1533">
                  <c:v>0.48253068932954718</c:v>
                </c:pt>
                <c:pt idx="1534">
                  <c:v>0.48284545168396958</c:v>
                </c:pt>
                <c:pt idx="1535">
                  <c:v>0.48316021403839199</c:v>
                </c:pt>
                <c:pt idx="1536">
                  <c:v>0.48347497639281439</c:v>
                </c:pt>
                <c:pt idx="1537">
                  <c:v>0.4837897387472368</c:v>
                </c:pt>
                <c:pt idx="1538">
                  <c:v>0.4841045011016592</c:v>
                </c:pt>
                <c:pt idx="1539">
                  <c:v>0.48441926345608161</c:v>
                </c:pt>
                <c:pt idx="1540">
                  <c:v>0.48473402581050401</c:v>
                </c:pt>
                <c:pt idx="1541">
                  <c:v>0.48504878816492641</c:v>
                </c:pt>
                <c:pt idx="1542">
                  <c:v>0.48536355051934882</c:v>
                </c:pt>
                <c:pt idx="1543">
                  <c:v>0.48567831287377122</c:v>
                </c:pt>
                <c:pt idx="1544">
                  <c:v>0.48599307522819363</c:v>
                </c:pt>
                <c:pt idx="1545">
                  <c:v>0.48630783758261603</c:v>
                </c:pt>
                <c:pt idx="1546">
                  <c:v>0.48662259993703844</c:v>
                </c:pt>
                <c:pt idx="1547">
                  <c:v>0.48693736229146084</c:v>
                </c:pt>
                <c:pt idx="1548">
                  <c:v>0.48725212464588324</c:v>
                </c:pt>
                <c:pt idx="1549">
                  <c:v>0.48756688700030565</c:v>
                </c:pt>
                <c:pt idx="1550">
                  <c:v>0.48788164935472805</c:v>
                </c:pt>
                <c:pt idx="1551">
                  <c:v>0.48819641170915046</c:v>
                </c:pt>
                <c:pt idx="1552">
                  <c:v>0.48851117406357286</c:v>
                </c:pt>
                <c:pt idx="1553">
                  <c:v>0.48882593641799527</c:v>
                </c:pt>
                <c:pt idx="1554">
                  <c:v>0.48914069877241767</c:v>
                </c:pt>
                <c:pt idx="1555">
                  <c:v>0.48945546112684007</c:v>
                </c:pt>
                <c:pt idx="1556">
                  <c:v>0.48977022348126248</c:v>
                </c:pt>
                <c:pt idx="1557">
                  <c:v>0.49008498583568488</c:v>
                </c:pt>
                <c:pt idx="1558">
                  <c:v>0.49039974819010729</c:v>
                </c:pt>
                <c:pt idx="1559">
                  <c:v>0.49071451054452969</c:v>
                </c:pt>
                <c:pt idx="1560">
                  <c:v>0.4910292728989521</c:v>
                </c:pt>
                <c:pt idx="1561">
                  <c:v>0.4913440352533745</c:v>
                </c:pt>
                <c:pt idx="1562">
                  <c:v>0.4916587976077969</c:v>
                </c:pt>
                <c:pt idx="1563">
                  <c:v>0.49197355996221931</c:v>
                </c:pt>
                <c:pt idx="1564">
                  <c:v>0.49228832231664171</c:v>
                </c:pt>
                <c:pt idx="1565">
                  <c:v>0.49260308467106412</c:v>
                </c:pt>
                <c:pt idx="1566">
                  <c:v>0.49291784702548652</c:v>
                </c:pt>
                <c:pt idx="1567">
                  <c:v>0.49323260937990893</c:v>
                </c:pt>
                <c:pt idx="1568">
                  <c:v>0.49354737173433133</c:v>
                </c:pt>
                <c:pt idx="1569">
                  <c:v>0.49386213408875373</c:v>
                </c:pt>
                <c:pt idx="1570">
                  <c:v>0.49417689644317614</c:v>
                </c:pt>
                <c:pt idx="1571">
                  <c:v>0.49449165879759854</c:v>
                </c:pt>
                <c:pt idx="1572">
                  <c:v>0.49480642115202095</c:v>
                </c:pt>
                <c:pt idx="1573">
                  <c:v>0.49512118350644335</c:v>
                </c:pt>
                <c:pt idx="1574">
                  <c:v>0.49543594586086576</c:v>
                </c:pt>
                <c:pt idx="1575">
                  <c:v>0.49575070821528816</c:v>
                </c:pt>
                <c:pt idx="1576">
                  <c:v>0.49606547056971056</c:v>
                </c:pt>
                <c:pt idx="1577">
                  <c:v>0.49638023292413297</c:v>
                </c:pt>
                <c:pt idx="1578">
                  <c:v>0.49669499527855537</c:v>
                </c:pt>
                <c:pt idx="1579">
                  <c:v>0.49700975763297778</c:v>
                </c:pt>
                <c:pt idx="1580">
                  <c:v>0.49732451998740018</c:v>
                </c:pt>
                <c:pt idx="1581">
                  <c:v>0.49763928234182259</c:v>
                </c:pt>
                <c:pt idx="1582">
                  <c:v>0.49795404469624499</c:v>
                </c:pt>
                <c:pt idx="1583">
                  <c:v>0.49826880705066739</c:v>
                </c:pt>
                <c:pt idx="1584">
                  <c:v>0.4985835694050898</c:v>
                </c:pt>
                <c:pt idx="1585">
                  <c:v>0.4988983317595122</c:v>
                </c:pt>
                <c:pt idx="1586">
                  <c:v>0.49921309411393461</c:v>
                </c:pt>
                <c:pt idx="1587">
                  <c:v>0.49952785646835701</c:v>
                </c:pt>
                <c:pt idx="1588">
                  <c:v>0.49984261882277942</c:v>
                </c:pt>
                <c:pt idx="1589">
                  <c:v>0.50015738117720188</c:v>
                </c:pt>
                <c:pt idx="1590">
                  <c:v>0.50047214353162428</c:v>
                </c:pt>
                <c:pt idx="1591">
                  <c:v>0.50078690588604668</c:v>
                </c:pt>
                <c:pt idx="1592">
                  <c:v>0.50110166824046909</c:v>
                </c:pt>
                <c:pt idx="1593">
                  <c:v>0.50141643059489149</c:v>
                </c:pt>
                <c:pt idx="1594">
                  <c:v>0.5017311929493139</c:v>
                </c:pt>
                <c:pt idx="1595">
                  <c:v>0.5020459553037363</c:v>
                </c:pt>
                <c:pt idx="1596">
                  <c:v>0.50236071765815871</c:v>
                </c:pt>
                <c:pt idx="1597">
                  <c:v>0.50267548001258111</c:v>
                </c:pt>
                <c:pt idx="1598">
                  <c:v>0.50299024236700351</c:v>
                </c:pt>
                <c:pt idx="1599">
                  <c:v>0.50330500472142592</c:v>
                </c:pt>
                <c:pt idx="1600">
                  <c:v>0.50361976707584832</c:v>
                </c:pt>
                <c:pt idx="1601">
                  <c:v>0.50393452943027073</c:v>
                </c:pt>
                <c:pt idx="1602">
                  <c:v>0.50424929178469313</c:v>
                </c:pt>
                <c:pt idx="1603">
                  <c:v>0.50456405413911554</c:v>
                </c:pt>
                <c:pt idx="1604">
                  <c:v>0.50487881649353794</c:v>
                </c:pt>
                <c:pt idx="1605">
                  <c:v>0.50519357884796035</c:v>
                </c:pt>
                <c:pt idx="1606">
                  <c:v>0.50550834120238275</c:v>
                </c:pt>
                <c:pt idx="1607">
                  <c:v>0.50582310355680515</c:v>
                </c:pt>
                <c:pt idx="1608">
                  <c:v>0.50613786591122756</c:v>
                </c:pt>
                <c:pt idx="1609">
                  <c:v>0.50645262826564996</c:v>
                </c:pt>
                <c:pt idx="1610">
                  <c:v>0.50676739062007237</c:v>
                </c:pt>
                <c:pt idx="1611">
                  <c:v>0.50708215297449477</c:v>
                </c:pt>
                <c:pt idx="1612">
                  <c:v>0.50739691532891718</c:v>
                </c:pt>
                <c:pt idx="1613">
                  <c:v>0.50771167768333958</c:v>
                </c:pt>
                <c:pt idx="1614">
                  <c:v>0.50802644003776198</c:v>
                </c:pt>
                <c:pt idx="1615">
                  <c:v>0.50834120239218439</c:v>
                </c:pt>
                <c:pt idx="1616">
                  <c:v>0.50865596474660679</c:v>
                </c:pt>
                <c:pt idx="1617">
                  <c:v>0.5089707271010292</c:v>
                </c:pt>
                <c:pt idx="1618">
                  <c:v>0.5092854894554516</c:v>
                </c:pt>
                <c:pt idx="1619">
                  <c:v>0.50960025180987401</c:v>
                </c:pt>
                <c:pt idx="1620">
                  <c:v>0.50991501416429641</c:v>
                </c:pt>
                <c:pt idx="1621">
                  <c:v>0.51022977651871881</c:v>
                </c:pt>
                <c:pt idx="1622">
                  <c:v>0.51054453887314122</c:v>
                </c:pt>
                <c:pt idx="1623">
                  <c:v>0.51085930122756362</c:v>
                </c:pt>
                <c:pt idx="1624">
                  <c:v>0.51117406358198603</c:v>
                </c:pt>
                <c:pt idx="1625">
                  <c:v>0.51148882593640843</c:v>
                </c:pt>
                <c:pt idx="1626">
                  <c:v>0.51180358829083084</c:v>
                </c:pt>
                <c:pt idx="1627">
                  <c:v>0.51211835064525324</c:v>
                </c:pt>
                <c:pt idx="1628">
                  <c:v>0.51243311299967564</c:v>
                </c:pt>
                <c:pt idx="1629">
                  <c:v>0.51274787535409805</c:v>
                </c:pt>
                <c:pt idx="1630">
                  <c:v>0.51306263770852045</c:v>
                </c:pt>
                <c:pt idx="1631">
                  <c:v>0.51337740006294286</c:v>
                </c:pt>
                <c:pt idx="1632">
                  <c:v>0.51369216241736526</c:v>
                </c:pt>
                <c:pt idx="1633">
                  <c:v>0.51400692477178767</c:v>
                </c:pt>
                <c:pt idx="1634">
                  <c:v>0.51432168712621007</c:v>
                </c:pt>
                <c:pt idx="1635">
                  <c:v>0.51463644948063247</c:v>
                </c:pt>
                <c:pt idx="1636">
                  <c:v>0.51495121183505488</c:v>
                </c:pt>
                <c:pt idx="1637">
                  <c:v>0.51526597418947728</c:v>
                </c:pt>
                <c:pt idx="1638">
                  <c:v>0.51558073654389969</c:v>
                </c:pt>
                <c:pt idx="1639">
                  <c:v>0.51589549889832209</c:v>
                </c:pt>
                <c:pt idx="1640">
                  <c:v>0.5162102612527445</c:v>
                </c:pt>
                <c:pt idx="1641">
                  <c:v>0.5165250236071669</c:v>
                </c:pt>
                <c:pt idx="1642">
                  <c:v>0.5168397859615893</c:v>
                </c:pt>
                <c:pt idx="1643">
                  <c:v>0.51715454831601171</c:v>
                </c:pt>
                <c:pt idx="1644">
                  <c:v>0.51746931067043411</c:v>
                </c:pt>
                <c:pt idx="1645">
                  <c:v>0.51778407302485652</c:v>
                </c:pt>
                <c:pt idx="1646">
                  <c:v>0.51809883537927892</c:v>
                </c:pt>
                <c:pt idx="1647">
                  <c:v>0.51841359773370133</c:v>
                </c:pt>
                <c:pt idx="1648">
                  <c:v>0.51872836008812373</c:v>
                </c:pt>
                <c:pt idx="1649">
                  <c:v>0.51904312244254613</c:v>
                </c:pt>
                <c:pt idx="1650">
                  <c:v>0.51935788479696854</c:v>
                </c:pt>
                <c:pt idx="1651">
                  <c:v>0.51967264715139094</c:v>
                </c:pt>
                <c:pt idx="1652">
                  <c:v>0.51998740950581335</c:v>
                </c:pt>
                <c:pt idx="1653">
                  <c:v>0.52030217186023575</c:v>
                </c:pt>
                <c:pt idx="1654">
                  <c:v>0.52061693421465816</c:v>
                </c:pt>
                <c:pt idx="1655">
                  <c:v>0.52093169656908056</c:v>
                </c:pt>
                <c:pt idx="1656">
                  <c:v>0.52124645892350296</c:v>
                </c:pt>
                <c:pt idx="1657">
                  <c:v>0.52156122127792537</c:v>
                </c:pt>
                <c:pt idx="1658">
                  <c:v>0.52187598363234777</c:v>
                </c:pt>
                <c:pt idx="1659">
                  <c:v>0.52219074598677018</c:v>
                </c:pt>
                <c:pt idx="1660">
                  <c:v>0.52250550834119258</c:v>
                </c:pt>
                <c:pt idx="1661">
                  <c:v>0.52282027069561499</c:v>
                </c:pt>
                <c:pt idx="1662">
                  <c:v>0.52313503305003739</c:v>
                </c:pt>
                <c:pt idx="1663">
                  <c:v>0.52344979540445979</c:v>
                </c:pt>
                <c:pt idx="1664">
                  <c:v>0.5237645577588822</c:v>
                </c:pt>
                <c:pt idx="1665">
                  <c:v>0.5240793201133046</c:v>
                </c:pt>
                <c:pt idx="1666">
                  <c:v>0.52439408246772701</c:v>
                </c:pt>
                <c:pt idx="1667">
                  <c:v>0.52470884482214941</c:v>
                </c:pt>
                <c:pt idx="1668">
                  <c:v>0.52502360717657182</c:v>
                </c:pt>
                <c:pt idx="1669">
                  <c:v>0.52533836953099422</c:v>
                </c:pt>
                <c:pt idx="1670">
                  <c:v>0.52565313188541662</c:v>
                </c:pt>
                <c:pt idx="1671">
                  <c:v>0.52596789423983903</c:v>
                </c:pt>
                <c:pt idx="1672">
                  <c:v>0.52628265659426143</c:v>
                </c:pt>
                <c:pt idx="1673">
                  <c:v>0.52659741894868384</c:v>
                </c:pt>
                <c:pt idx="1674">
                  <c:v>0.52691218130310624</c:v>
                </c:pt>
                <c:pt idx="1675">
                  <c:v>0.52722694365752865</c:v>
                </c:pt>
                <c:pt idx="1676">
                  <c:v>0.52754170601195105</c:v>
                </c:pt>
                <c:pt idx="1677">
                  <c:v>0.52785646836637345</c:v>
                </c:pt>
                <c:pt idx="1678">
                  <c:v>0.52817123072079586</c:v>
                </c:pt>
                <c:pt idx="1679">
                  <c:v>0.52848599307521826</c:v>
                </c:pt>
                <c:pt idx="1680">
                  <c:v>0.52880075542964067</c:v>
                </c:pt>
                <c:pt idx="1681">
                  <c:v>0.52911551778406307</c:v>
                </c:pt>
                <c:pt idx="1682">
                  <c:v>0.52943028013848548</c:v>
                </c:pt>
                <c:pt idx="1683">
                  <c:v>0.52974504249290788</c:v>
                </c:pt>
                <c:pt idx="1684">
                  <c:v>0.53005980484733028</c:v>
                </c:pt>
                <c:pt idx="1685">
                  <c:v>0.53037456720175269</c:v>
                </c:pt>
                <c:pt idx="1686">
                  <c:v>0.53068932955617509</c:v>
                </c:pt>
                <c:pt idx="1687">
                  <c:v>0.5310040919105975</c:v>
                </c:pt>
                <c:pt idx="1688">
                  <c:v>0.5313188542650199</c:v>
                </c:pt>
                <c:pt idx="1689">
                  <c:v>0.53163361661944231</c:v>
                </c:pt>
                <c:pt idx="1690">
                  <c:v>0.53194837897386471</c:v>
                </c:pt>
                <c:pt idx="1691">
                  <c:v>0.53226314132828711</c:v>
                </c:pt>
                <c:pt idx="1692">
                  <c:v>0.53257790368270952</c:v>
                </c:pt>
                <c:pt idx="1693">
                  <c:v>0.53289266603713192</c:v>
                </c:pt>
                <c:pt idx="1694">
                  <c:v>0.53320742839155433</c:v>
                </c:pt>
                <c:pt idx="1695">
                  <c:v>0.53352219074597673</c:v>
                </c:pt>
                <c:pt idx="1696">
                  <c:v>0.53383695310039914</c:v>
                </c:pt>
                <c:pt idx="1697">
                  <c:v>0.53415171545482154</c:v>
                </c:pt>
                <c:pt idx="1698">
                  <c:v>0.53446647780924394</c:v>
                </c:pt>
                <c:pt idx="1699">
                  <c:v>0.53478124016366635</c:v>
                </c:pt>
                <c:pt idx="1700">
                  <c:v>0.53509600251808875</c:v>
                </c:pt>
                <c:pt idx="1701">
                  <c:v>0.53541076487251116</c:v>
                </c:pt>
                <c:pt idx="1702">
                  <c:v>0.53572552722693356</c:v>
                </c:pt>
                <c:pt idx="1703">
                  <c:v>0.53604028958135597</c:v>
                </c:pt>
                <c:pt idx="1704">
                  <c:v>0.53635505193577837</c:v>
                </c:pt>
                <c:pt idx="1705">
                  <c:v>0.53666981429020078</c:v>
                </c:pt>
                <c:pt idx="1706">
                  <c:v>0.53698457664462318</c:v>
                </c:pt>
                <c:pt idx="1707">
                  <c:v>0.53729933899904558</c:v>
                </c:pt>
                <c:pt idx="1708">
                  <c:v>0.53761410135346799</c:v>
                </c:pt>
                <c:pt idx="1709">
                  <c:v>0.53792886370789039</c:v>
                </c:pt>
                <c:pt idx="1710">
                  <c:v>0.5382436260623128</c:v>
                </c:pt>
                <c:pt idx="1711">
                  <c:v>0.5385583884167352</c:v>
                </c:pt>
                <c:pt idx="1712">
                  <c:v>0.53887315077115761</c:v>
                </c:pt>
                <c:pt idx="1713">
                  <c:v>0.53918791312558001</c:v>
                </c:pt>
                <c:pt idx="1714">
                  <c:v>0.53950267548000241</c:v>
                </c:pt>
                <c:pt idx="1715">
                  <c:v>0.53981743783442482</c:v>
                </c:pt>
                <c:pt idx="1716">
                  <c:v>0.54013220018884722</c:v>
                </c:pt>
                <c:pt idx="1717">
                  <c:v>0.54044696254326963</c:v>
                </c:pt>
                <c:pt idx="1718">
                  <c:v>0.54076172489769203</c:v>
                </c:pt>
                <c:pt idx="1719">
                  <c:v>0.54107648725211444</c:v>
                </c:pt>
                <c:pt idx="1720">
                  <c:v>0.54139124960653684</c:v>
                </c:pt>
                <c:pt idx="1721">
                  <c:v>0.54170601196095924</c:v>
                </c:pt>
                <c:pt idx="1722">
                  <c:v>0.54202077431538165</c:v>
                </c:pt>
                <c:pt idx="1723">
                  <c:v>0.54233553666980405</c:v>
                </c:pt>
                <c:pt idx="1724">
                  <c:v>0.54265029902422646</c:v>
                </c:pt>
                <c:pt idx="1725">
                  <c:v>0.54296506137864886</c:v>
                </c:pt>
                <c:pt idx="1726">
                  <c:v>0.54327982373307127</c:v>
                </c:pt>
                <c:pt idx="1727">
                  <c:v>0.54359458608749367</c:v>
                </c:pt>
                <c:pt idx="1728">
                  <c:v>0.54390934844191607</c:v>
                </c:pt>
                <c:pt idx="1729">
                  <c:v>0.54422411079633848</c:v>
                </c:pt>
                <c:pt idx="1730">
                  <c:v>0.54453887315076088</c:v>
                </c:pt>
                <c:pt idx="1731">
                  <c:v>0.54485363550518329</c:v>
                </c:pt>
                <c:pt idx="1732">
                  <c:v>0.54516839785960569</c:v>
                </c:pt>
                <c:pt idx="1733">
                  <c:v>0.5454831602140281</c:v>
                </c:pt>
                <c:pt idx="1734">
                  <c:v>0.5457979225684505</c:v>
                </c:pt>
                <c:pt idx="1735">
                  <c:v>0.5461126849228729</c:v>
                </c:pt>
                <c:pt idx="1736">
                  <c:v>0.54642744727729531</c:v>
                </c:pt>
                <c:pt idx="1737">
                  <c:v>0.54674220963171771</c:v>
                </c:pt>
                <c:pt idx="1738">
                  <c:v>0.54705697198614012</c:v>
                </c:pt>
                <c:pt idx="1739">
                  <c:v>0.54737173434056252</c:v>
                </c:pt>
                <c:pt idx="1740">
                  <c:v>0.54768649669498493</c:v>
                </c:pt>
                <c:pt idx="1741">
                  <c:v>0.54800125904940733</c:v>
                </c:pt>
                <c:pt idx="1742">
                  <c:v>0.54831602140382973</c:v>
                </c:pt>
                <c:pt idx="1743">
                  <c:v>0.54863078375825214</c:v>
                </c:pt>
                <c:pt idx="1744">
                  <c:v>0.54894554611267454</c:v>
                </c:pt>
                <c:pt idx="1745">
                  <c:v>0.54926030846709695</c:v>
                </c:pt>
                <c:pt idx="1746">
                  <c:v>0.54957507082151935</c:v>
                </c:pt>
                <c:pt idx="1747">
                  <c:v>0.54988983317594176</c:v>
                </c:pt>
                <c:pt idx="1748">
                  <c:v>0.55020459553036416</c:v>
                </c:pt>
                <c:pt idx="1749">
                  <c:v>0.55051935788478656</c:v>
                </c:pt>
                <c:pt idx="1750">
                  <c:v>0.55083412023920897</c:v>
                </c:pt>
                <c:pt idx="1751">
                  <c:v>0.55114888259363137</c:v>
                </c:pt>
                <c:pt idx="1752">
                  <c:v>0.55146364494805378</c:v>
                </c:pt>
                <c:pt idx="1753">
                  <c:v>0.55177840730247618</c:v>
                </c:pt>
                <c:pt idx="1754">
                  <c:v>0.55209316965689859</c:v>
                </c:pt>
                <c:pt idx="1755">
                  <c:v>0.55240793201132099</c:v>
                </c:pt>
                <c:pt idx="1756">
                  <c:v>0.55272269436574339</c:v>
                </c:pt>
                <c:pt idx="1757">
                  <c:v>0.5530374567201658</c:v>
                </c:pt>
                <c:pt idx="1758">
                  <c:v>0.5533522190745882</c:v>
                </c:pt>
                <c:pt idx="1759">
                  <c:v>0.55366698142901061</c:v>
                </c:pt>
                <c:pt idx="1760">
                  <c:v>0.55398174378343301</c:v>
                </c:pt>
                <c:pt idx="1761">
                  <c:v>0.55429650613785542</c:v>
                </c:pt>
                <c:pt idx="1762">
                  <c:v>0.55461126849227782</c:v>
                </c:pt>
                <c:pt idx="1763">
                  <c:v>0.55492603084670022</c:v>
                </c:pt>
                <c:pt idx="1764">
                  <c:v>0.55524079320112263</c:v>
                </c:pt>
                <c:pt idx="1765">
                  <c:v>0.55555555555554503</c:v>
                </c:pt>
                <c:pt idx="1766">
                  <c:v>0.55587031790996744</c:v>
                </c:pt>
                <c:pt idx="1767">
                  <c:v>0.55618508026438984</c:v>
                </c:pt>
                <c:pt idx="1768">
                  <c:v>0.55649984261881225</c:v>
                </c:pt>
                <c:pt idx="1769">
                  <c:v>0.55681460497323465</c:v>
                </c:pt>
                <c:pt idx="1770">
                  <c:v>0.55712936732765705</c:v>
                </c:pt>
                <c:pt idx="1771">
                  <c:v>0.55744412968207946</c:v>
                </c:pt>
                <c:pt idx="1772">
                  <c:v>0.55775889203650186</c:v>
                </c:pt>
                <c:pt idx="1773">
                  <c:v>0.55807365439092427</c:v>
                </c:pt>
                <c:pt idx="1774">
                  <c:v>0.55838841674534667</c:v>
                </c:pt>
                <c:pt idx="1775">
                  <c:v>0.55870317909976908</c:v>
                </c:pt>
                <c:pt idx="1776">
                  <c:v>0.55901794145419148</c:v>
                </c:pt>
                <c:pt idx="1777">
                  <c:v>0.55933270380861388</c:v>
                </c:pt>
                <c:pt idx="1778">
                  <c:v>0.55964746616303629</c:v>
                </c:pt>
                <c:pt idx="1779">
                  <c:v>0.55996222851745869</c:v>
                </c:pt>
                <c:pt idx="1780">
                  <c:v>0.5602769908718811</c:v>
                </c:pt>
                <c:pt idx="1781">
                  <c:v>0.5605917532263035</c:v>
                </c:pt>
                <c:pt idx="1782">
                  <c:v>0.56090651558072591</c:v>
                </c:pt>
                <c:pt idx="1783">
                  <c:v>0.56122127793514831</c:v>
                </c:pt>
                <c:pt idx="1784">
                  <c:v>0.56153604028957071</c:v>
                </c:pt>
                <c:pt idx="1785">
                  <c:v>0.56185080264399312</c:v>
                </c:pt>
                <c:pt idx="1786">
                  <c:v>0.56216556499841552</c:v>
                </c:pt>
                <c:pt idx="1787">
                  <c:v>0.56248032735283793</c:v>
                </c:pt>
                <c:pt idx="1788">
                  <c:v>0.56279508970726033</c:v>
                </c:pt>
                <c:pt idx="1789">
                  <c:v>0.56310985206168274</c:v>
                </c:pt>
                <c:pt idx="1790">
                  <c:v>0.56342461441610514</c:v>
                </c:pt>
                <c:pt idx="1791">
                  <c:v>0.56373937677052754</c:v>
                </c:pt>
                <c:pt idx="1792">
                  <c:v>0.56405413912494995</c:v>
                </c:pt>
                <c:pt idx="1793">
                  <c:v>0.56436890147937235</c:v>
                </c:pt>
                <c:pt idx="1794">
                  <c:v>0.56468366383379476</c:v>
                </c:pt>
                <c:pt idx="1795">
                  <c:v>0.56499842618821716</c:v>
                </c:pt>
                <c:pt idx="1796">
                  <c:v>0.56531318854263957</c:v>
                </c:pt>
                <c:pt idx="1797">
                  <c:v>0.56562795089706197</c:v>
                </c:pt>
                <c:pt idx="1798">
                  <c:v>0.56594271325148438</c:v>
                </c:pt>
                <c:pt idx="1799">
                  <c:v>0.56625747560590678</c:v>
                </c:pt>
                <c:pt idx="1800">
                  <c:v>0.56657223796032918</c:v>
                </c:pt>
                <c:pt idx="1801">
                  <c:v>0.56688700031475159</c:v>
                </c:pt>
                <c:pt idx="1802">
                  <c:v>0.56720176266917399</c:v>
                </c:pt>
                <c:pt idx="1803">
                  <c:v>0.5675165250235964</c:v>
                </c:pt>
                <c:pt idx="1804">
                  <c:v>0.5678312873780188</c:v>
                </c:pt>
                <c:pt idx="1805">
                  <c:v>0.56814604973244121</c:v>
                </c:pt>
                <c:pt idx="1806">
                  <c:v>0.56846081208686361</c:v>
                </c:pt>
                <c:pt idx="1807">
                  <c:v>0.56877557444128601</c:v>
                </c:pt>
                <c:pt idx="1808">
                  <c:v>0.56909033679570842</c:v>
                </c:pt>
                <c:pt idx="1809">
                  <c:v>0.56940509915013082</c:v>
                </c:pt>
                <c:pt idx="1810">
                  <c:v>0.56971986150455323</c:v>
                </c:pt>
                <c:pt idx="1811">
                  <c:v>0.57003462385897563</c:v>
                </c:pt>
                <c:pt idx="1812">
                  <c:v>0.57034938621339804</c:v>
                </c:pt>
                <c:pt idx="1813">
                  <c:v>0.57066414856782044</c:v>
                </c:pt>
                <c:pt idx="1814">
                  <c:v>0.57097891092224284</c:v>
                </c:pt>
                <c:pt idx="1815">
                  <c:v>0.57129367327666525</c:v>
                </c:pt>
                <c:pt idx="1816">
                  <c:v>0.57160843563108765</c:v>
                </c:pt>
                <c:pt idx="1817">
                  <c:v>0.57192319798551006</c:v>
                </c:pt>
                <c:pt idx="1818">
                  <c:v>0.57223796033993246</c:v>
                </c:pt>
                <c:pt idx="1819">
                  <c:v>0.57255272269435487</c:v>
                </c:pt>
                <c:pt idx="1820">
                  <c:v>0.57286748504877727</c:v>
                </c:pt>
                <c:pt idx="1821">
                  <c:v>0.57318224740319967</c:v>
                </c:pt>
                <c:pt idx="1822">
                  <c:v>0.57349700975762208</c:v>
                </c:pt>
                <c:pt idx="1823">
                  <c:v>0.57381177211204448</c:v>
                </c:pt>
                <c:pt idx="1824">
                  <c:v>0.57412653446646689</c:v>
                </c:pt>
                <c:pt idx="1825">
                  <c:v>0.57444129682088929</c:v>
                </c:pt>
                <c:pt idx="1826">
                  <c:v>0.5747560591753117</c:v>
                </c:pt>
                <c:pt idx="1827">
                  <c:v>0.5750708215297341</c:v>
                </c:pt>
                <c:pt idx="1828">
                  <c:v>0.5753855838841565</c:v>
                </c:pt>
                <c:pt idx="1829">
                  <c:v>0.57570034623857891</c:v>
                </c:pt>
                <c:pt idx="1830">
                  <c:v>0.57601510859300131</c:v>
                </c:pt>
                <c:pt idx="1831">
                  <c:v>0.57632987094742372</c:v>
                </c:pt>
                <c:pt idx="1832">
                  <c:v>0.57664463330184612</c:v>
                </c:pt>
                <c:pt idx="1833">
                  <c:v>0.57695939565626853</c:v>
                </c:pt>
                <c:pt idx="1834">
                  <c:v>0.57727415801069093</c:v>
                </c:pt>
                <c:pt idx="1835">
                  <c:v>0.57758892036511333</c:v>
                </c:pt>
                <c:pt idx="1836">
                  <c:v>0.57790368271953574</c:v>
                </c:pt>
                <c:pt idx="1837">
                  <c:v>0.57821844507395814</c:v>
                </c:pt>
                <c:pt idx="1838">
                  <c:v>0.57853320742838055</c:v>
                </c:pt>
                <c:pt idx="1839">
                  <c:v>0.57884796978280295</c:v>
                </c:pt>
                <c:pt idx="1840">
                  <c:v>0.57916273213722536</c:v>
                </c:pt>
                <c:pt idx="1841">
                  <c:v>0.57947749449164776</c:v>
                </c:pt>
                <c:pt idx="1842">
                  <c:v>0.57979225684607016</c:v>
                </c:pt>
                <c:pt idx="1843">
                  <c:v>0.58010701920049257</c:v>
                </c:pt>
                <c:pt idx="1844">
                  <c:v>0.58042178155491497</c:v>
                </c:pt>
                <c:pt idx="1845">
                  <c:v>0.58073654390933738</c:v>
                </c:pt>
                <c:pt idx="1846">
                  <c:v>0.58105130626375978</c:v>
                </c:pt>
                <c:pt idx="1847">
                  <c:v>0.58136606861818219</c:v>
                </c:pt>
                <c:pt idx="1848">
                  <c:v>0.58168083097260459</c:v>
                </c:pt>
                <c:pt idx="1849">
                  <c:v>0.58199559332702699</c:v>
                </c:pt>
                <c:pt idx="1850">
                  <c:v>0.5823103556814494</c:v>
                </c:pt>
                <c:pt idx="1851">
                  <c:v>0.5826251180358718</c:v>
                </c:pt>
                <c:pt idx="1852">
                  <c:v>0.58293988039029421</c:v>
                </c:pt>
                <c:pt idx="1853">
                  <c:v>0.58325464274471661</c:v>
                </c:pt>
                <c:pt idx="1854">
                  <c:v>0.58356940509913902</c:v>
                </c:pt>
                <c:pt idx="1855">
                  <c:v>0.58388416745356142</c:v>
                </c:pt>
                <c:pt idx="1856">
                  <c:v>0.58419892980798382</c:v>
                </c:pt>
                <c:pt idx="1857">
                  <c:v>0.58451369216240623</c:v>
                </c:pt>
                <c:pt idx="1858">
                  <c:v>0.58482845451682863</c:v>
                </c:pt>
                <c:pt idx="1859">
                  <c:v>0.58514321687125104</c:v>
                </c:pt>
                <c:pt idx="1860">
                  <c:v>0.58545797922567344</c:v>
                </c:pt>
                <c:pt idx="1861">
                  <c:v>0.58577274158009585</c:v>
                </c:pt>
                <c:pt idx="1862">
                  <c:v>0.58608750393451825</c:v>
                </c:pt>
                <c:pt idx="1863">
                  <c:v>0.58640226628894065</c:v>
                </c:pt>
                <c:pt idx="1864">
                  <c:v>0.58671702864336306</c:v>
                </c:pt>
                <c:pt idx="1865">
                  <c:v>0.58703179099778546</c:v>
                </c:pt>
                <c:pt idx="1866">
                  <c:v>0.58734655335220787</c:v>
                </c:pt>
                <c:pt idx="1867">
                  <c:v>0.58766131570663027</c:v>
                </c:pt>
                <c:pt idx="1868">
                  <c:v>0.58797607806105268</c:v>
                </c:pt>
                <c:pt idx="1869">
                  <c:v>0.58829084041547508</c:v>
                </c:pt>
                <c:pt idx="1870">
                  <c:v>0.58860560276989748</c:v>
                </c:pt>
                <c:pt idx="1871">
                  <c:v>0.58892036512431989</c:v>
                </c:pt>
                <c:pt idx="1872">
                  <c:v>0.58923512747874229</c:v>
                </c:pt>
                <c:pt idx="1873">
                  <c:v>0.5895498898331647</c:v>
                </c:pt>
                <c:pt idx="1874">
                  <c:v>0.5898646521875871</c:v>
                </c:pt>
                <c:pt idx="1875">
                  <c:v>0.59017941454200951</c:v>
                </c:pt>
                <c:pt idx="1876">
                  <c:v>0.59049417689643191</c:v>
                </c:pt>
                <c:pt idx="1877">
                  <c:v>0.59080893925085431</c:v>
                </c:pt>
                <c:pt idx="1878">
                  <c:v>0.59112370160527672</c:v>
                </c:pt>
                <c:pt idx="1879">
                  <c:v>0.59143846395969912</c:v>
                </c:pt>
                <c:pt idx="1880">
                  <c:v>0.59175322631412153</c:v>
                </c:pt>
                <c:pt idx="1881">
                  <c:v>0.59206798866854393</c:v>
                </c:pt>
                <c:pt idx="1882">
                  <c:v>0.59238275102296634</c:v>
                </c:pt>
                <c:pt idx="1883">
                  <c:v>0.59269751337738874</c:v>
                </c:pt>
                <c:pt idx="1884">
                  <c:v>0.59301227573181114</c:v>
                </c:pt>
                <c:pt idx="1885">
                  <c:v>0.59332703808623355</c:v>
                </c:pt>
                <c:pt idx="1886">
                  <c:v>0.59364180044065595</c:v>
                </c:pt>
                <c:pt idx="1887">
                  <c:v>0.59395656279507836</c:v>
                </c:pt>
                <c:pt idx="1888">
                  <c:v>0.59427132514950076</c:v>
                </c:pt>
                <c:pt idx="1889">
                  <c:v>0.59458608750392317</c:v>
                </c:pt>
                <c:pt idx="1890">
                  <c:v>0.59490084985834557</c:v>
                </c:pt>
                <c:pt idx="1891">
                  <c:v>0.59521561221276797</c:v>
                </c:pt>
                <c:pt idx="1892">
                  <c:v>0.59553037456719038</c:v>
                </c:pt>
                <c:pt idx="1893">
                  <c:v>0.59584513692161278</c:v>
                </c:pt>
                <c:pt idx="1894">
                  <c:v>0.59615989927603519</c:v>
                </c:pt>
                <c:pt idx="1895">
                  <c:v>0.59647466163045759</c:v>
                </c:pt>
                <c:pt idx="1896">
                  <c:v>0.59678942398488</c:v>
                </c:pt>
                <c:pt idx="1897">
                  <c:v>0.5971041863393024</c:v>
                </c:pt>
                <c:pt idx="1898">
                  <c:v>0.59741894869372481</c:v>
                </c:pt>
                <c:pt idx="1899">
                  <c:v>0.59773371104814721</c:v>
                </c:pt>
                <c:pt idx="1900">
                  <c:v>0.59804847340256961</c:v>
                </c:pt>
                <c:pt idx="1901">
                  <c:v>0.59836323575699202</c:v>
                </c:pt>
                <c:pt idx="1902">
                  <c:v>0.59867799811141442</c:v>
                </c:pt>
                <c:pt idx="1903">
                  <c:v>0.59899276046583683</c:v>
                </c:pt>
                <c:pt idx="1904">
                  <c:v>0.59930752282025923</c:v>
                </c:pt>
                <c:pt idx="1905">
                  <c:v>0.59962228517468164</c:v>
                </c:pt>
                <c:pt idx="1906">
                  <c:v>0.59993704752910404</c:v>
                </c:pt>
                <c:pt idx="1907">
                  <c:v>0.60025180988352644</c:v>
                </c:pt>
                <c:pt idx="1908">
                  <c:v>0.60056657223794885</c:v>
                </c:pt>
                <c:pt idx="1909">
                  <c:v>0.60088133459237125</c:v>
                </c:pt>
                <c:pt idx="1910">
                  <c:v>0.60119609694679366</c:v>
                </c:pt>
                <c:pt idx="1911">
                  <c:v>0.60151085930121606</c:v>
                </c:pt>
                <c:pt idx="1912">
                  <c:v>0.60182562165563847</c:v>
                </c:pt>
                <c:pt idx="1913">
                  <c:v>0.60214038401006087</c:v>
                </c:pt>
                <c:pt idx="1914">
                  <c:v>0.60245514636448327</c:v>
                </c:pt>
                <c:pt idx="1915">
                  <c:v>0.60276990871890568</c:v>
                </c:pt>
                <c:pt idx="1916">
                  <c:v>0.60308467107332808</c:v>
                </c:pt>
                <c:pt idx="1917">
                  <c:v>0.60339943342775049</c:v>
                </c:pt>
                <c:pt idx="1918">
                  <c:v>0.60371419578217289</c:v>
                </c:pt>
                <c:pt idx="1919">
                  <c:v>0.6040289581365953</c:v>
                </c:pt>
                <c:pt idx="1920">
                  <c:v>0.6043437204910177</c:v>
                </c:pt>
                <c:pt idx="1921">
                  <c:v>0.6046584828454401</c:v>
                </c:pt>
                <c:pt idx="1922">
                  <c:v>0.60497324519986251</c:v>
                </c:pt>
                <c:pt idx="1923">
                  <c:v>0.60528800755428491</c:v>
                </c:pt>
                <c:pt idx="1924">
                  <c:v>0.60560276990870732</c:v>
                </c:pt>
                <c:pt idx="1925">
                  <c:v>0.60591753226312972</c:v>
                </c:pt>
                <c:pt idx="1926">
                  <c:v>0.60623229461755213</c:v>
                </c:pt>
                <c:pt idx="1927">
                  <c:v>0.60654705697197453</c:v>
                </c:pt>
                <c:pt idx="1928">
                  <c:v>0.60686181932639693</c:v>
                </c:pt>
                <c:pt idx="1929">
                  <c:v>0.60717658168081934</c:v>
                </c:pt>
                <c:pt idx="1930">
                  <c:v>0.60749134403524174</c:v>
                </c:pt>
                <c:pt idx="1931">
                  <c:v>0.60780610638966415</c:v>
                </c:pt>
                <c:pt idx="1932">
                  <c:v>0.60812086874408655</c:v>
                </c:pt>
                <c:pt idx="1933">
                  <c:v>0.60843563109850896</c:v>
                </c:pt>
                <c:pt idx="1934">
                  <c:v>0.60875039345293136</c:v>
                </c:pt>
                <c:pt idx="1935">
                  <c:v>0.60906515580735376</c:v>
                </c:pt>
                <c:pt idx="1936">
                  <c:v>0.60937991816177617</c:v>
                </c:pt>
                <c:pt idx="1937">
                  <c:v>0.60969468051619857</c:v>
                </c:pt>
                <c:pt idx="1938">
                  <c:v>0.61000944287062098</c:v>
                </c:pt>
                <c:pt idx="1939">
                  <c:v>0.61032420522504338</c:v>
                </c:pt>
                <c:pt idx="1940">
                  <c:v>0.61063896757946579</c:v>
                </c:pt>
                <c:pt idx="1941">
                  <c:v>0.61095372993388819</c:v>
                </c:pt>
                <c:pt idx="1942">
                  <c:v>0.61126849228831059</c:v>
                </c:pt>
                <c:pt idx="1943">
                  <c:v>0.611583254642733</c:v>
                </c:pt>
                <c:pt idx="1944">
                  <c:v>0.6118980169971554</c:v>
                </c:pt>
                <c:pt idx="1945">
                  <c:v>0.61221277935157781</c:v>
                </c:pt>
                <c:pt idx="1946">
                  <c:v>0.61252754170600021</c:v>
                </c:pt>
                <c:pt idx="1947">
                  <c:v>0.61284230406042262</c:v>
                </c:pt>
                <c:pt idx="1948">
                  <c:v>0.61315706641484502</c:v>
                </c:pt>
                <c:pt idx="1949">
                  <c:v>0.61347182876926742</c:v>
                </c:pt>
                <c:pt idx="1950">
                  <c:v>0.61378659112368983</c:v>
                </c:pt>
                <c:pt idx="1951">
                  <c:v>0.61410135347811223</c:v>
                </c:pt>
                <c:pt idx="1952">
                  <c:v>0.61441611583253464</c:v>
                </c:pt>
                <c:pt idx="1953">
                  <c:v>0.61473087818695704</c:v>
                </c:pt>
                <c:pt idx="1954">
                  <c:v>0.61504564054137945</c:v>
                </c:pt>
                <c:pt idx="1955">
                  <c:v>0.61536040289580185</c:v>
                </c:pt>
                <c:pt idx="1956">
                  <c:v>0.61567516525022425</c:v>
                </c:pt>
                <c:pt idx="1957">
                  <c:v>0.61598992760464666</c:v>
                </c:pt>
                <c:pt idx="1958">
                  <c:v>0.61630468995906906</c:v>
                </c:pt>
                <c:pt idx="1959">
                  <c:v>0.61661945231349147</c:v>
                </c:pt>
                <c:pt idx="1960">
                  <c:v>0.61693421466791387</c:v>
                </c:pt>
                <c:pt idx="1961">
                  <c:v>0.61724897702233628</c:v>
                </c:pt>
                <c:pt idx="1962">
                  <c:v>0.61756373937675868</c:v>
                </c:pt>
                <c:pt idx="1963">
                  <c:v>0.61787850173118108</c:v>
                </c:pt>
                <c:pt idx="1964">
                  <c:v>0.61819326408560349</c:v>
                </c:pt>
                <c:pt idx="1965">
                  <c:v>0.61850802644002589</c:v>
                </c:pt>
                <c:pt idx="1966">
                  <c:v>0.6188227887944483</c:v>
                </c:pt>
                <c:pt idx="1967">
                  <c:v>0.6191375511488707</c:v>
                </c:pt>
                <c:pt idx="1968">
                  <c:v>0.61945231350329311</c:v>
                </c:pt>
                <c:pt idx="1969">
                  <c:v>0.61976707585771551</c:v>
                </c:pt>
                <c:pt idx="1970">
                  <c:v>0.62008183821213791</c:v>
                </c:pt>
                <c:pt idx="1971">
                  <c:v>0.62039660056656032</c:v>
                </c:pt>
                <c:pt idx="1972">
                  <c:v>0.62071136292098272</c:v>
                </c:pt>
                <c:pt idx="1973">
                  <c:v>0.62102612527540513</c:v>
                </c:pt>
                <c:pt idx="1974">
                  <c:v>0.62134088762982753</c:v>
                </c:pt>
                <c:pt idx="1975">
                  <c:v>0.62165564998424994</c:v>
                </c:pt>
                <c:pt idx="1976">
                  <c:v>0.62197041233867234</c:v>
                </c:pt>
                <c:pt idx="1977">
                  <c:v>0.62228517469309474</c:v>
                </c:pt>
                <c:pt idx="1978">
                  <c:v>0.62259993704751715</c:v>
                </c:pt>
                <c:pt idx="1979">
                  <c:v>0.62291469940193955</c:v>
                </c:pt>
                <c:pt idx="1980">
                  <c:v>0.62322946175636196</c:v>
                </c:pt>
                <c:pt idx="1981">
                  <c:v>0.62354422411078436</c:v>
                </c:pt>
                <c:pt idx="1982">
                  <c:v>0.62385898646520677</c:v>
                </c:pt>
                <c:pt idx="1983">
                  <c:v>0.62417374881962917</c:v>
                </c:pt>
                <c:pt idx="1984">
                  <c:v>0.62448851117405157</c:v>
                </c:pt>
                <c:pt idx="1985">
                  <c:v>0.62480327352847398</c:v>
                </c:pt>
                <c:pt idx="1986">
                  <c:v>0.62511803588289638</c:v>
                </c:pt>
                <c:pt idx="1987">
                  <c:v>0.62543279823731879</c:v>
                </c:pt>
                <c:pt idx="1988">
                  <c:v>0.62574756059174119</c:v>
                </c:pt>
                <c:pt idx="1989">
                  <c:v>0.6260623229461636</c:v>
                </c:pt>
                <c:pt idx="1990">
                  <c:v>0.626377085300586</c:v>
                </c:pt>
                <c:pt idx="1991">
                  <c:v>0.6266918476550084</c:v>
                </c:pt>
                <c:pt idx="1992">
                  <c:v>0.62700661000943081</c:v>
                </c:pt>
                <c:pt idx="1993">
                  <c:v>0.62732137236385321</c:v>
                </c:pt>
                <c:pt idx="1994">
                  <c:v>0.62763613471827562</c:v>
                </c:pt>
                <c:pt idx="1995">
                  <c:v>0.62795089707269802</c:v>
                </c:pt>
                <c:pt idx="1996">
                  <c:v>0.62826565942712043</c:v>
                </c:pt>
                <c:pt idx="1997">
                  <c:v>0.62858042178154283</c:v>
                </c:pt>
                <c:pt idx="1998">
                  <c:v>0.62889518413596524</c:v>
                </c:pt>
                <c:pt idx="1999">
                  <c:v>0.62920994649038764</c:v>
                </c:pt>
                <c:pt idx="2000">
                  <c:v>0.62952470884481004</c:v>
                </c:pt>
                <c:pt idx="2001">
                  <c:v>0.62983947119923245</c:v>
                </c:pt>
                <c:pt idx="2002">
                  <c:v>0.63015423355365485</c:v>
                </c:pt>
                <c:pt idx="2003">
                  <c:v>0.63046899590807726</c:v>
                </c:pt>
                <c:pt idx="2004">
                  <c:v>0.63078375826249966</c:v>
                </c:pt>
                <c:pt idx="2005">
                  <c:v>0.63109852061692207</c:v>
                </c:pt>
                <c:pt idx="2006">
                  <c:v>0.63141328297134447</c:v>
                </c:pt>
                <c:pt idx="2007">
                  <c:v>0.63172804532576687</c:v>
                </c:pt>
                <c:pt idx="2008">
                  <c:v>0.63204280768018928</c:v>
                </c:pt>
                <c:pt idx="2009">
                  <c:v>0.63235757003461168</c:v>
                </c:pt>
                <c:pt idx="2010">
                  <c:v>0.63267233238903409</c:v>
                </c:pt>
                <c:pt idx="2011">
                  <c:v>0.63298709474345649</c:v>
                </c:pt>
                <c:pt idx="2012">
                  <c:v>0.6333018570978789</c:v>
                </c:pt>
                <c:pt idx="2013">
                  <c:v>0.6336166194523013</c:v>
                </c:pt>
                <c:pt idx="2014">
                  <c:v>0.6339313818067237</c:v>
                </c:pt>
                <c:pt idx="2015">
                  <c:v>0.63424614416114611</c:v>
                </c:pt>
                <c:pt idx="2016">
                  <c:v>0.63456090651556851</c:v>
                </c:pt>
                <c:pt idx="2017">
                  <c:v>0.63487566886999092</c:v>
                </c:pt>
                <c:pt idx="2018">
                  <c:v>0.63519043122441332</c:v>
                </c:pt>
                <c:pt idx="2019">
                  <c:v>0.63550519357883573</c:v>
                </c:pt>
                <c:pt idx="2020">
                  <c:v>0.63581995593325813</c:v>
                </c:pt>
                <c:pt idx="2021">
                  <c:v>0.63613471828768053</c:v>
                </c:pt>
                <c:pt idx="2022">
                  <c:v>0.63644948064210294</c:v>
                </c:pt>
                <c:pt idx="2023">
                  <c:v>0.63676424299652534</c:v>
                </c:pt>
                <c:pt idx="2024">
                  <c:v>0.63707900535094775</c:v>
                </c:pt>
                <c:pt idx="2025">
                  <c:v>0.63739376770537015</c:v>
                </c:pt>
                <c:pt idx="2026">
                  <c:v>0.63770853005979256</c:v>
                </c:pt>
                <c:pt idx="2027">
                  <c:v>0.63802329241421496</c:v>
                </c:pt>
                <c:pt idx="2028">
                  <c:v>0.63833805476863736</c:v>
                </c:pt>
                <c:pt idx="2029">
                  <c:v>0.63865281712305977</c:v>
                </c:pt>
                <c:pt idx="2030">
                  <c:v>0.63896757947748217</c:v>
                </c:pt>
                <c:pt idx="2031">
                  <c:v>0.63928234183190458</c:v>
                </c:pt>
                <c:pt idx="2032">
                  <c:v>0.63959710418632698</c:v>
                </c:pt>
                <c:pt idx="2033">
                  <c:v>0.63991186654074939</c:v>
                </c:pt>
                <c:pt idx="2034">
                  <c:v>0.64022662889517179</c:v>
                </c:pt>
                <c:pt idx="2035">
                  <c:v>0.64054139124959419</c:v>
                </c:pt>
                <c:pt idx="2036">
                  <c:v>0.6408561536040166</c:v>
                </c:pt>
                <c:pt idx="2037">
                  <c:v>0.641170915958439</c:v>
                </c:pt>
                <c:pt idx="2038">
                  <c:v>0.64148567831286141</c:v>
                </c:pt>
                <c:pt idx="2039">
                  <c:v>0.64180044066728381</c:v>
                </c:pt>
                <c:pt idx="2040">
                  <c:v>0.64211520302170622</c:v>
                </c:pt>
                <c:pt idx="2041">
                  <c:v>0.64242996537612862</c:v>
                </c:pt>
                <c:pt idx="2042">
                  <c:v>0.64274472773055102</c:v>
                </c:pt>
                <c:pt idx="2043">
                  <c:v>0.64305949008497343</c:v>
                </c:pt>
                <c:pt idx="2044">
                  <c:v>0.64337425243939583</c:v>
                </c:pt>
                <c:pt idx="2045">
                  <c:v>0.64368901479381824</c:v>
                </c:pt>
                <c:pt idx="2046">
                  <c:v>0.64400377714824064</c:v>
                </c:pt>
                <c:pt idx="2047">
                  <c:v>0.64431853950266305</c:v>
                </c:pt>
                <c:pt idx="2048">
                  <c:v>0.64463330185708545</c:v>
                </c:pt>
                <c:pt idx="2049">
                  <c:v>0.64494806421150785</c:v>
                </c:pt>
                <c:pt idx="2050">
                  <c:v>0.64526282656593026</c:v>
                </c:pt>
                <c:pt idx="2051">
                  <c:v>0.64557758892035266</c:v>
                </c:pt>
                <c:pt idx="2052">
                  <c:v>0.64589235127477507</c:v>
                </c:pt>
                <c:pt idx="2053">
                  <c:v>0.64620711362919747</c:v>
                </c:pt>
                <c:pt idx="2054">
                  <c:v>0.64652187598361988</c:v>
                </c:pt>
                <c:pt idx="2055">
                  <c:v>0.64683663833804228</c:v>
                </c:pt>
                <c:pt idx="2056">
                  <c:v>0.64715140069246468</c:v>
                </c:pt>
                <c:pt idx="2057">
                  <c:v>0.64746616304688709</c:v>
                </c:pt>
                <c:pt idx="2058">
                  <c:v>0.64778092540130949</c:v>
                </c:pt>
                <c:pt idx="2059">
                  <c:v>0.6480956877557319</c:v>
                </c:pt>
                <c:pt idx="2060">
                  <c:v>0.6484104501101543</c:v>
                </c:pt>
                <c:pt idx="2061">
                  <c:v>0.64872521246457671</c:v>
                </c:pt>
                <c:pt idx="2062">
                  <c:v>0.64903997481899911</c:v>
                </c:pt>
                <c:pt idx="2063">
                  <c:v>0.64935473717342151</c:v>
                </c:pt>
                <c:pt idx="2064">
                  <c:v>0.64966949952784392</c:v>
                </c:pt>
                <c:pt idx="2065">
                  <c:v>0.64998426188226632</c:v>
                </c:pt>
                <c:pt idx="2066">
                  <c:v>0.65029902423668873</c:v>
                </c:pt>
                <c:pt idx="2067">
                  <c:v>0.65061378659111113</c:v>
                </c:pt>
                <c:pt idx="2068">
                  <c:v>0.65092854894553354</c:v>
                </c:pt>
                <c:pt idx="2069">
                  <c:v>0.65124331129995594</c:v>
                </c:pt>
                <c:pt idx="2070">
                  <c:v>0.65155807365437834</c:v>
                </c:pt>
                <c:pt idx="2071">
                  <c:v>0.65187283600880075</c:v>
                </c:pt>
                <c:pt idx="2072">
                  <c:v>0.65218759836322315</c:v>
                </c:pt>
                <c:pt idx="2073">
                  <c:v>0.65250236071764556</c:v>
                </c:pt>
                <c:pt idx="2074">
                  <c:v>0.65281712307206796</c:v>
                </c:pt>
                <c:pt idx="2075">
                  <c:v>0.65313188542649037</c:v>
                </c:pt>
                <c:pt idx="2076">
                  <c:v>0.65344664778091277</c:v>
                </c:pt>
                <c:pt idx="2077">
                  <c:v>0.65376141013533517</c:v>
                </c:pt>
                <c:pt idx="2078">
                  <c:v>0.65407617248975758</c:v>
                </c:pt>
                <c:pt idx="2079">
                  <c:v>0.65439093484417998</c:v>
                </c:pt>
                <c:pt idx="2080">
                  <c:v>0.65470569719860239</c:v>
                </c:pt>
                <c:pt idx="2081">
                  <c:v>0.65502045955302479</c:v>
                </c:pt>
                <c:pt idx="2082">
                  <c:v>0.6553352219074472</c:v>
                </c:pt>
                <c:pt idx="2083">
                  <c:v>0.6556499842618696</c:v>
                </c:pt>
                <c:pt idx="2084">
                  <c:v>0.655964746616292</c:v>
                </c:pt>
                <c:pt idx="2085">
                  <c:v>0.65627950897071441</c:v>
                </c:pt>
                <c:pt idx="2086">
                  <c:v>0.65659427132513681</c:v>
                </c:pt>
                <c:pt idx="2087">
                  <c:v>0.65690903367955922</c:v>
                </c:pt>
                <c:pt idx="2088">
                  <c:v>0.65722379603398162</c:v>
                </c:pt>
                <c:pt idx="2089">
                  <c:v>0.65753855838840403</c:v>
                </c:pt>
                <c:pt idx="2090">
                  <c:v>0.65785332074282643</c:v>
                </c:pt>
                <c:pt idx="2091">
                  <c:v>0.65816808309724883</c:v>
                </c:pt>
                <c:pt idx="2092">
                  <c:v>0.65848284545167124</c:v>
                </c:pt>
                <c:pt idx="2093">
                  <c:v>0.65879760780609364</c:v>
                </c:pt>
                <c:pt idx="2094">
                  <c:v>0.65911237016051605</c:v>
                </c:pt>
                <c:pt idx="2095">
                  <c:v>0.65942713251493845</c:v>
                </c:pt>
                <c:pt idx="2096">
                  <c:v>0.65974189486936086</c:v>
                </c:pt>
                <c:pt idx="2097">
                  <c:v>0.66005665722378326</c:v>
                </c:pt>
                <c:pt idx="2098">
                  <c:v>0.66037141957820567</c:v>
                </c:pt>
                <c:pt idx="2099">
                  <c:v>0.66068618193262807</c:v>
                </c:pt>
                <c:pt idx="2100">
                  <c:v>0.66100094428705047</c:v>
                </c:pt>
                <c:pt idx="2101">
                  <c:v>0.66131570664147288</c:v>
                </c:pt>
                <c:pt idx="2102">
                  <c:v>0.66163046899589528</c:v>
                </c:pt>
                <c:pt idx="2103">
                  <c:v>0.66194523135031769</c:v>
                </c:pt>
                <c:pt idx="2104">
                  <c:v>0.66225999370474009</c:v>
                </c:pt>
                <c:pt idx="2105">
                  <c:v>0.6625747560591625</c:v>
                </c:pt>
                <c:pt idx="2106">
                  <c:v>0.6628895184135849</c:v>
                </c:pt>
                <c:pt idx="2107">
                  <c:v>0.6632042807680073</c:v>
                </c:pt>
                <c:pt idx="2108">
                  <c:v>0.66351904312242971</c:v>
                </c:pt>
                <c:pt idx="2109">
                  <c:v>0.66383380547685211</c:v>
                </c:pt>
                <c:pt idx="2110">
                  <c:v>0.66414856783127452</c:v>
                </c:pt>
                <c:pt idx="2111">
                  <c:v>0.66446333018569692</c:v>
                </c:pt>
                <c:pt idx="2112">
                  <c:v>0.66477809254011933</c:v>
                </c:pt>
                <c:pt idx="2113">
                  <c:v>0.66509285489454173</c:v>
                </c:pt>
                <c:pt idx="2114">
                  <c:v>0.66540761724896413</c:v>
                </c:pt>
                <c:pt idx="2115">
                  <c:v>0.66572237960338654</c:v>
                </c:pt>
                <c:pt idx="2116">
                  <c:v>0.66603714195780894</c:v>
                </c:pt>
                <c:pt idx="2117">
                  <c:v>0.66635190431223135</c:v>
                </c:pt>
                <c:pt idx="2118">
                  <c:v>0.66666666666665375</c:v>
                </c:pt>
                <c:pt idx="2119">
                  <c:v>0.66698142902107616</c:v>
                </c:pt>
                <c:pt idx="2120">
                  <c:v>0.66729619137549856</c:v>
                </c:pt>
                <c:pt idx="2121">
                  <c:v>0.66761095372992096</c:v>
                </c:pt>
                <c:pt idx="2122">
                  <c:v>0.66792571608434337</c:v>
                </c:pt>
                <c:pt idx="2123">
                  <c:v>0.66824047843876577</c:v>
                </c:pt>
                <c:pt idx="2124">
                  <c:v>0.66855524079318818</c:v>
                </c:pt>
                <c:pt idx="2125">
                  <c:v>0.66887000314761058</c:v>
                </c:pt>
                <c:pt idx="2126">
                  <c:v>0.66918476550203299</c:v>
                </c:pt>
                <c:pt idx="2127">
                  <c:v>0.66949952785645539</c:v>
                </c:pt>
                <c:pt idx="2128">
                  <c:v>0.66981429021087779</c:v>
                </c:pt>
                <c:pt idx="2129">
                  <c:v>0.6701290525653002</c:v>
                </c:pt>
                <c:pt idx="2130">
                  <c:v>0.6704438149197226</c:v>
                </c:pt>
                <c:pt idx="2131">
                  <c:v>0.67075857727414501</c:v>
                </c:pt>
                <c:pt idx="2132">
                  <c:v>0.67107333962856741</c:v>
                </c:pt>
                <c:pt idx="2133">
                  <c:v>0.67138810198298982</c:v>
                </c:pt>
                <c:pt idx="2134">
                  <c:v>0.67170286433741222</c:v>
                </c:pt>
                <c:pt idx="2135">
                  <c:v>0.67201762669183462</c:v>
                </c:pt>
                <c:pt idx="2136">
                  <c:v>0.67233238904625703</c:v>
                </c:pt>
                <c:pt idx="2137">
                  <c:v>0.67264715140067943</c:v>
                </c:pt>
                <c:pt idx="2138">
                  <c:v>0.67296191375510184</c:v>
                </c:pt>
                <c:pt idx="2139">
                  <c:v>0.67327667610952424</c:v>
                </c:pt>
                <c:pt idx="2140">
                  <c:v>0.67359143846394665</c:v>
                </c:pt>
                <c:pt idx="2141">
                  <c:v>0.67390620081836905</c:v>
                </c:pt>
                <c:pt idx="2142">
                  <c:v>0.67422096317279145</c:v>
                </c:pt>
                <c:pt idx="2143">
                  <c:v>0.67453572552721386</c:v>
                </c:pt>
                <c:pt idx="2144">
                  <c:v>0.67485048788163626</c:v>
                </c:pt>
                <c:pt idx="2145">
                  <c:v>0.67516525023605867</c:v>
                </c:pt>
                <c:pt idx="2146">
                  <c:v>0.67548001259048107</c:v>
                </c:pt>
                <c:pt idx="2147">
                  <c:v>0.67579477494490348</c:v>
                </c:pt>
                <c:pt idx="2148">
                  <c:v>0.67610953729932588</c:v>
                </c:pt>
                <c:pt idx="2149">
                  <c:v>0.67642429965374828</c:v>
                </c:pt>
                <c:pt idx="2150">
                  <c:v>0.67673906200817069</c:v>
                </c:pt>
                <c:pt idx="2151">
                  <c:v>0.67705382436259309</c:v>
                </c:pt>
                <c:pt idx="2152">
                  <c:v>0.6773685867170155</c:v>
                </c:pt>
                <c:pt idx="2153">
                  <c:v>0.6776833490714379</c:v>
                </c:pt>
                <c:pt idx="2154">
                  <c:v>0.67799811142586031</c:v>
                </c:pt>
                <c:pt idx="2155">
                  <c:v>0.67831287378028271</c:v>
                </c:pt>
                <c:pt idx="2156">
                  <c:v>0.67862763613470511</c:v>
                </c:pt>
                <c:pt idx="2157">
                  <c:v>0.67894239848912752</c:v>
                </c:pt>
                <c:pt idx="2158">
                  <c:v>0.67925716084354992</c:v>
                </c:pt>
                <c:pt idx="2159">
                  <c:v>0.67957192319797233</c:v>
                </c:pt>
                <c:pt idx="2160">
                  <c:v>0.67988668555239473</c:v>
                </c:pt>
                <c:pt idx="2161">
                  <c:v>0.68020144790681714</c:v>
                </c:pt>
                <c:pt idx="2162">
                  <c:v>0.68051621026123954</c:v>
                </c:pt>
                <c:pt idx="2163">
                  <c:v>0.68083097261566194</c:v>
                </c:pt>
                <c:pt idx="2164">
                  <c:v>0.68114573497008435</c:v>
                </c:pt>
                <c:pt idx="2165">
                  <c:v>0.68146049732450675</c:v>
                </c:pt>
                <c:pt idx="2166">
                  <c:v>0.68177525967892916</c:v>
                </c:pt>
                <c:pt idx="2167">
                  <c:v>0.68209002203335156</c:v>
                </c:pt>
                <c:pt idx="2168">
                  <c:v>0.68240478438777397</c:v>
                </c:pt>
                <c:pt idx="2169">
                  <c:v>0.68271954674219637</c:v>
                </c:pt>
                <c:pt idx="2170">
                  <c:v>0.68303430909661877</c:v>
                </c:pt>
                <c:pt idx="2171">
                  <c:v>0.68334907145104118</c:v>
                </c:pt>
                <c:pt idx="2172">
                  <c:v>0.68366383380546358</c:v>
                </c:pt>
                <c:pt idx="2173">
                  <c:v>0.68397859615988599</c:v>
                </c:pt>
                <c:pt idx="2174">
                  <c:v>0.68429335851430839</c:v>
                </c:pt>
                <c:pt idx="2175">
                  <c:v>0.6846081208687308</c:v>
                </c:pt>
                <c:pt idx="2176">
                  <c:v>0.6849228832231532</c:v>
                </c:pt>
                <c:pt idx="2177">
                  <c:v>0.6852376455775756</c:v>
                </c:pt>
                <c:pt idx="2178">
                  <c:v>0.68555240793199801</c:v>
                </c:pt>
                <c:pt idx="2179">
                  <c:v>0.68586717028642041</c:v>
                </c:pt>
                <c:pt idx="2180">
                  <c:v>0.68618193264084282</c:v>
                </c:pt>
                <c:pt idx="2181">
                  <c:v>0.68649669499526522</c:v>
                </c:pt>
                <c:pt idx="2182">
                  <c:v>0.68681145734968763</c:v>
                </c:pt>
                <c:pt idx="2183">
                  <c:v>0.68712621970411003</c:v>
                </c:pt>
                <c:pt idx="2184">
                  <c:v>0.68744098205853243</c:v>
                </c:pt>
                <c:pt idx="2185">
                  <c:v>0.68775574441295484</c:v>
                </c:pt>
                <c:pt idx="2186">
                  <c:v>0.68807050676737724</c:v>
                </c:pt>
                <c:pt idx="2187">
                  <c:v>0.68838526912179965</c:v>
                </c:pt>
                <c:pt idx="2188">
                  <c:v>0.68870003147622205</c:v>
                </c:pt>
                <c:pt idx="2189">
                  <c:v>0.68901479383064446</c:v>
                </c:pt>
                <c:pt idx="2190">
                  <c:v>0.68932955618506686</c:v>
                </c:pt>
                <c:pt idx="2191">
                  <c:v>0.68964431853948926</c:v>
                </c:pt>
                <c:pt idx="2192">
                  <c:v>0.68995908089391167</c:v>
                </c:pt>
                <c:pt idx="2193">
                  <c:v>0.69027384324833407</c:v>
                </c:pt>
                <c:pt idx="2194">
                  <c:v>0.69058860560275648</c:v>
                </c:pt>
                <c:pt idx="2195">
                  <c:v>0.69090336795717888</c:v>
                </c:pt>
                <c:pt idx="2196">
                  <c:v>0.69121813031160129</c:v>
                </c:pt>
                <c:pt idx="2197">
                  <c:v>0.69153289266602369</c:v>
                </c:pt>
                <c:pt idx="2198">
                  <c:v>0.6918476550204461</c:v>
                </c:pt>
                <c:pt idx="2199">
                  <c:v>0.6921624173748685</c:v>
                </c:pt>
                <c:pt idx="2200">
                  <c:v>0.6924771797292909</c:v>
                </c:pt>
                <c:pt idx="2201">
                  <c:v>0.69279194208371331</c:v>
                </c:pt>
                <c:pt idx="2202">
                  <c:v>0.69310670443813571</c:v>
                </c:pt>
                <c:pt idx="2203">
                  <c:v>0.69342146679255812</c:v>
                </c:pt>
                <c:pt idx="2204">
                  <c:v>0.69373622914698052</c:v>
                </c:pt>
                <c:pt idx="2205">
                  <c:v>0.69405099150140293</c:v>
                </c:pt>
                <c:pt idx="2206">
                  <c:v>0.69436575385582533</c:v>
                </c:pt>
                <c:pt idx="2207">
                  <c:v>0.69468051621024773</c:v>
                </c:pt>
                <c:pt idx="2208">
                  <c:v>0.69499527856467014</c:v>
                </c:pt>
                <c:pt idx="2209">
                  <c:v>0.69531004091909254</c:v>
                </c:pt>
                <c:pt idx="2210">
                  <c:v>0.69562480327351495</c:v>
                </c:pt>
                <c:pt idx="2211">
                  <c:v>0.69593956562793735</c:v>
                </c:pt>
                <c:pt idx="2212">
                  <c:v>0.69625432798235976</c:v>
                </c:pt>
                <c:pt idx="2213">
                  <c:v>0.69656909033678216</c:v>
                </c:pt>
                <c:pt idx="2214">
                  <c:v>0.69688385269120456</c:v>
                </c:pt>
                <c:pt idx="2215">
                  <c:v>0.69719861504562697</c:v>
                </c:pt>
                <c:pt idx="2216">
                  <c:v>0.69751337740004937</c:v>
                </c:pt>
                <c:pt idx="2217">
                  <c:v>0.69782813975447178</c:v>
                </c:pt>
                <c:pt idx="2218">
                  <c:v>0.69814290210889418</c:v>
                </c:pt>
                <c:pt idx="2219">
                  <c:v>0.69845766446331659</c:v>
                </c:pt>
                <c:pt idx="2220">
                  <c:v>0.69877242681773899</c:v>
                </c:pt>
                <c:pt idx="2221">
                  <c:v>0.69908718917216139</c:v>
                </c:pt>
                <c:pt idx="2222">
                  <c:v>0.6994019515265838</c:v>
                </c:pt>
                <c:pt idx="2223">
                  <c:v>0.6997167138810062</c:v>
                </c:pt>
                <c:pt idx="2224">
                  <c:v>0.70003147623542861</c:v>
                </c:pt>
                <c:pt idx="2225">
                  <c:v>0.70034623858985101</c:v>
                </c:pt>
                <c:pt idx="2226">
                  <c:v>0.70066100094427342</c:v>
                </c:pt>
                <c:pt idx="2227">
                  <c:v>0.70097576329869582</c:v>
                </c:pt>
                <c:pt idx="2228">
                  <c:v>0.70129052565311822</c:v>
                </c:pt>
                <c:pt idx="2229">
                  <c:v>0.70160528800754063</c:v>
                </c:pt>
                <c:pt idx="2230">
                  <c:v>0.70192005036196303</c:v>
                </c:pt>
                <c:pt idx="2231">
                  <c:v>0.70223481271638544</c:v>
                </c:pt>
                <c:pt idx="2232">
                  <c:v>0.70254957507080784</c:v>
                </c:pt>
                <c:pt idx="2233">
                  <c:v>0.70286433742523025</c:v>
                </c:pt>
                <c:pt idx="2234">
                  <c:v>0.70317909977965265</c:v>
                </c:pt>
                <c:pt idx="2235">
                  <c:v>0.70349386213407505</c:v>
                </c:pt>
                <c:pt idx="2236">
                  <c:v>0.70380862448849746</c:v>
                </c:pt>
                <c:pt idx="2237">
                  <c:v>0.70412338684291986</c:v>
                </c:pt>
                <c:pt idx="2238">
                  <c:v>0.70443814919734227</c:v>
                </c:pt>
                <c:pt idx="2239">
                  <c:v>0.70475291155176467</c:v>
                </c:pt>
                <c:pt idx="2240">
                  <c:v>0.70506767390618708</c:v>
                </c:pt>
                <c:pt idx="2241">
                  <c:v>0.70538243626060948</c:v>
                </c:pt>
                <c:pt idx="2242">
                  <c:v>0.70569719861503188</c:v>
                </c:pt>
                <c:pt idx="2243">
                  <c:v>0.70601196096945429</c:v>
                </c:pt>
                <c:pt idx="2244">
                  <c:v>0.70632672332387669</c:v>
                </c:pt>
                <c:pt idx="2245">
                  <c:v>0.7066414856782991</c:v>
                </c:pt>
                <c:pt idx="2246">
                  <c:v>0.7069562480327215</c:v>
                </c:pt>
                <c:pt idx="2247">
                  <c:v>0.70727101038714391</c:v>
                </c:pt>
                <c:pt idx="2248">
                  <c:v>0.70758577274156631</c:v>
                </c:pt>
                <c:pt idx="2249">
                  <c:v>0.70790053509598871</c:v>
                </c:pt>
                <c:pt idx="2250">
                  <c:v>0.70821529745041112</c:v>
                </c:pt>
                <c:pt idx="2251">
                  <c:v>0.70853005980483352</c:v>
                </c:pt>
                <c:pt idx="2252">
                  <c:v>0.70884482215925593</c:v>
                </c:pt>
                <c:pt idx="2253">
                  <c:v>0.70915958451367833</c:v>
                </c:pt>
                <c:pt idx="2254">
                  <c:v>0.70947434686810074</c:v>
                </c:pt>
                <c:pt idx="2255">
                  <c:v>0.70978910922252314</c:v>
                </c:pt>
                <c:pt idx="2256">
                  <c:v>0.71010387157694554</c:v>
                </c:pt>
                <c:pt idx="2257">
                  <c:v>0.71041863393136795</c:v>
                </c:pt>
                <c:pt idx="2258">
                  <c:v>0.71073339628579035</c:v>
                </c:pt>
                <c:pt idx="2259">
                  <c:v>0.71104815864021276</c:v>
                </c:pt>
                <c:pt idx="2260">
                  <c:v>0.71136292099463516</c:v>
                </c:pt>
                <c:pt idx="2261">
                  <c:v>0.71167768334905757</c:v>
                </c:pt>
                <c:pt idx="2262">
                  <c:v>0.71199244570347997</c:v>
                </c:pt>
                <c:pt idx="2263">
                  <c:v>0.71230720805790237</c:v>
                </c:pt>
                <c:pt idx="2264">
                  <c:v>0.71262197041232478</c:v>
                </c:pt>
                <c:pt idx="2265">
                  <c:v>0.71293673276674718</c:v>
                </c:pt>
                <c:pt idx="2266">
                  <c:v>0.71325149512116959</c:v>
                </c:pt>
                <c:pt idx="2267">
                  <c:v>0.71356625747559199</c:v>
                </c:pt>
                <c:pt idx="2268">
                  <c:v>0.7138810198300144</c:v>
                </c:pt>
                <c:pt idx="2269">
                  <c:v>0.7141957821844368</c:v>
                </c:pt>
                <c:pt idx="2270">
                  <c:v>0.7145105445388592</c:v>
                </c:pt>
                <c:pt idx="2271">
                  <c:v>0.71482530689328161</c:v>
                </c:pt>
                <c:pt idx="2272">
                  <c:v>0.71514006924770401</c:v>
                </c:pt>
                <c:pt idx="2273">
                  <c:v>0.71545483160212642</c:v>
                </c:pt>
                <c:pt idx="2274">
                  <c:v>0.71576959395654882</c:v>
                </c:pt>
                <c:pt idx="2275">
                  <c:v>0.71608435631097123</c:v>
                </c:pt>
                <c:pt idx="2276">
                  <c:v>0.71639911866539363</c:v>
                </c:pt>
                <c:pt idx="2277">
                  <c:v>0.71671388101981603</c:v>
                </c:pt>
                <c:pt idx="2278">
                  <c:v>0.71702864337423844</c:v>
                </c:pt>
                <c:pt idx="2279">
                  <c:v>0.71734340572866084</c:v>
                </c:pt>
                <c:pt idx="2280">
                  <c:v>0.71765816808308325</c:v>
                </c:pt>
                <c:pt idx="2281">
                  <c:v>0.71797293043750565</c:v>
                </c:pt>
                <c:pt idx="2282">
                  <c:v>0.71828769279192806</c:v>
                </c:pt>
                <c:pt idx="2283">
                  <c:v>0.71860245514635046</c:v>
                </c:pt>
                <c:pt idx="2284">
                  <c:v>0.71891721750077286</c:v>
                </c:pt>
                <c:pt idx="2285">
                  <c:v>0.71923197985519527</c:v>
                </c:pt>
                <c:pt idx="2286">
                  <c:v>0.71954674220961767</c:v>
                </c:pt>
                <c:pt idx="2287">
                  <c:v>0.71986150456404008</c:v>
                </c:pt>
                <c:pt idx="2288">
                  <c:v>0.72017626691846248</c:v>
                </c:pt>
                <c:pt idx="2289">
                  <c:v>0.72049102927288489</c:v>
                </c:pt>
                <c:pt idx="2290">
                  <c:v>0.72080579162730729</c:v>
                </c:pt>
                <c:pt idx="2291">
                  <c:v>0.7211205539817297</c:v>
                </c:pt>
                <c:pt idx="2292">
                  <c:v>0.7214353163361521</c:v>
                </c:pt>
                <c:pt idx="2293">
                  <c:v>0.7217500786905745</c:v>
                </c:pt>
                <c:pt idx="2294">
                  <c:v>0.72206484104499691</c:v>
                </c:pt>
                <c:pt idx="2295">
                  <c:v>0.72237960339941931</c:v>
                </c:pt>
                <c:pt idx="2296">
                  <c:v>0.72269436575384172</c:v>
                </c:pt>
                <c:pt idx="2297">
                  <c:v>0.72300912810826412</c:v>
                </c:pt>
                <c:pt idx="2298">
                  <c:v>0.72332389046268653</c:v>
                </c:pt>
                <c:pt idx="2299">
                  <c:v>0.72363865281710893</c:v>
                </c:pt>
                <c:pt idx="2300">
                  <c:v>0.72395341517153133</c:v>
                </c:pt>
                <c:pt idx="2301">
                  <c:v>0.72426817752595374</c:v>
                </c:pt>
                <c:pt idx="2302">
                  <c:v>0.72458293988037614</c:v>
                </c:pt>
                <c:pt idx="2303">
                  <c:v>0.72489770223479855</c:v>
                </c:pt>
                <c:pt idx="2304">
                  <c:v>0.72521246458922095</c:v>
                </c:pt>
                <c:pt idx="2305">
                  <c:v>0.72552722694364336</c:v>
                </c:pt>
                <c:pt idx="2306">
                  <c:v>0.72584198929806576</c:v>
                </c:pt>
                <c:pt idx="2307">
                  <c:v>0.72615675165248816</c:v>
                </c:pt>
                <c:pt idx="2308">
                  <c:v>0.72647151400691057</c:v>
                </c:pt>
                <c:pt idx="2309">
                  <c:v>0.72678627636133297</c:v>
                </c:pt>
                <c:pt idx="2310">
                  <c:v>0.72710103871575538</c:v>
                </c:pt>
                <c:pt idx="2311">
                  <c:v>0.72741580107017778</c:v>
                </c:pt>
                <c:pt idx="2312">
                  <c:v>0.72773056342460019</c:v>
                </c:pt>
                <c:pt idx="2313">
                  <c:v>0.72804532577902259</c:v>
                </c:pt>
                <c:pt idx="2314">
                  <c:v>0.72836008813344499</c:v>
                </c:pt>
                <c:pt idx="2315">
                  <c:v>0.7286748504878674</c:v>
                </c:pt>
                <c:pt idx="2316">
                  <c:v>0.7289896128422898</c:v>
                </c:pt>
                <c:pt idx="2317">
                  <c:v>0.72930437519671221</c:v>
                </c:pt>
                <c:pt idx="2318">
                  <c:v>0.72961913755113461</c:v>
                </c:pt>
                <c:pt idx="2319">
                  <c:v>0.72993389990555702</c:v>
                </c:pt>
                <c:pt idx="2320">
                  <c:v>0.73024866225997942</c:v>
                </c:pt>
                <c:pt idx="2321">
                  <c:v>0.73056342461440182</c:v>
                </c:pt>
                <c:pt idx="2322">
                  <c:v>0.73087818696882423</c:v>
                </c:pt>
                <c:pt idx="2323">
                  <c:v>0.73119294932324663</c:v>
                </c:pt>
                <c:pt idx="2324">
                  <c:v>0.73150771167766904</c:v>
                </c:pt>
                <c:pt idx="2325">
                  <c:v>0.73182247403209144</c:v>
                </c:pt>
                <c:pt idx="2326">
                  <c:v>0.73213723638651385</c:v>
                </c:pt>
                <c:pt idx="2327">
                  <c:v>0.73245199874093625</c:v>
                </c:pt>
                <c:pt idx="2328">
                  <c:v>0.73276676109535865</c:v>
                </c:pt>
                <c:pt idx="2329">
                  <c:v>0.73308152344978106</c:v>
                </c:pt>
                <c:pt idx="2330">
                  <c:v>0.73339628580420346</c:v>
                </c:pt>
                <c:pt idx="2331">
                  <c:v>0.73371104815862587</c:v>
                </c:pt>
                <c:pt idx="2332">
                  <c:v>0.73402581051304827</c:v>
                </c:pt>
                <c:pt idx="2333">
                  <c:v>0.73434057286747068</c:v>
                </c:pt>
                <c:pt idx="2334">
                  <c:v>0.73465533522189308</c:v>
                </c:pt>
                <c:pt idx="2335">
                  <c:v>0.73497009757631548</c:v>
                </c:pt>
                <c:pt idx="2336">
                  <c:v>0.73528485993073789</c:v>
                </c:pt>
                <c:pt idx="2337">
                  <c:v>0.73559962228516029</c:v>
                </c:pt>
                <c:pt idx="2338">
                  <c:v>0.7359143846395827</c:v>
                </c:pt>
                <c:pt idx="2339">
                  <c:v>0.7362291469940051</c:v>
                </c:pt>
                <c:pt idx="2340">
                  <c:v>0.73654390934842751</c:v>
                </c:pt>
                <c:pt idx="2341">
                  <c:v>0.73685867170284991</c:v>
                </c:pt>
                <c:pt idx="2342">
                  <c:v>0.73717343405727231</c:v>
                </c:pt>
                <c:pt idx="2343">
                  <c:v>0.73748819641169472</c:v>
                </c:pt>
                <c:pt idx="2344">
                  <c:v>0.73780295876611712</c:v>
                </c:pt>
                <c:pt idx="2345">
                  <c:v>0.73811772112053953</c:v>
                </c:pt>
                <c:pt idx="2346">
                  <c:v>0.73843248347496193</c:v>
                </c:pt>
                <c:pt idx="2347">
                  <c:v>0.73874724582938434</c:v>
                </c:pt>
                <c:pt idx="2348">
                  <c:v>0.73906200818380674</c:v>
                </c:pt>
                <c:pt idx="2349">
                  <c:v>0.73937677053822914</c:v>
                </c:pt>
                <c:pt idx="2350">
                  <c:v>0.73969153289265155</c:v>
                </c:pt>
                <c:pt idx="2351">
                  <c:v>0.74000629524707395</c:v>
                </c:pt>
                <c:pt idx="2352">
                  <c:v>0.74032105760149636</c:v>
                </c:pt>
                <c:pt idx="2353">
                  <c:v>0.74063581995591876</c:v>
                </c:pt>
                <c:pt idx="2354">
                  <c:v>0.74095058231034117</c:v>
                </c:pt>
                <c:pt idx="2355">
                  <c:v>0.74126534466476357</c:v>
                </c:pt>
                <c:pt idx="2356">
                  <c:v>0.74158010701918597</c:v>
                </c:pt>
                <c:pt idx="2357">
                  <c:v>0.74189486937360838</c:v>
                </c:pt>
                <c:pt idx="2358">
                  <c:v>0.74220963172803078</c:v>
                </c:pt>
                <c:pt idx="2359">
                  <c:v>0.74252439408245319</c:v>
                </c:pt>
                <c:pt idx="2360">
                  <c:v>0.74283915643687559</c:v>
                </c:pt>
                <c:pt idx="2361">
                  <c:v>0.743153918791298</c:v>
                </c:pt>
                <c:pt idx="2362">
                  <c:v>0.7434686811457204</c:v>
                </c:pt>
                <c:pt idx="2363">
                  <c:v>0.7437834435001428</c:v>
                </c:pt>
                <c:pt idx="2364">
                  <c:v>0.74409820585456521</c:v>
                </c:pt>
                <c:pt idx="2365">
                  <c:v>0.74441296820898761</c:v>
                </c:pt>
                <c:pt idx="2366">
                  <c:v>0.74472773056341002</c:v>
                </c:pt>
                <c:pt idx="2367">
                  <c:v>0.74504249291783242</c:v>
                </c:pt>
                <c:pt idx="2368">
                  <c:v>0.74535725527225483</c:v>
                </c:pt>
                <c:pt idx="2369">
                  <c:v>0.74567201762667723</c:v>
                </c:pt>
                <c:pt idx="2370">
                  <c:v>0.74598677998109963</c:v>
                </c:pt>
                <c:pt idx="2371">
                  <c:v>0.74630154233552204</c:v>
                </c:pt>
                <c:pt idx="2372">
                  <c:v>0.74661630468994444</c:v>
                </c:pt>
                <c:pt idx="2373">
                  <c:v>0.74693106704436685</c:v>
                </c:pt>
                <c:pt idx="2374">
                  <c:v>0.74724582939878925</c:v>
                </c:pt>
                <c:pt idx="2375">
                  <c:v>0.74756059175321166</c:v>
                </c:pt>
                <c:pt idx="2376">
                  <c:v>0.74787535410763406</c:v>
                </c:pt>
                <c:pt idx="2377">
                  <c:v>0.74819011646205646</c:v>
                </c:pt>
                <c:pt idx="2378">
                  <c:v>0.74850487881647887</c:v>
                </c:pt>
                <c:pt idx="2379">
                  <c:v>0.74881964117090127</c:v>
                </c:pt>
                <c:pt idx="2380">
                  <c:v>0.74913440352532368</c:v>
                </c:pt>
                <c:pt idx="2381">
                  <c:v>0.74944916587974608</c:v>
                </c:pt>
                <c:pt idx="2382">
                  <c:v>0.74976392823416849</c:v>
                </c:pt>
                <c:pt idx="2383">
                  <c:v>0.75007869058859089</c:v>
                </c:pt>
                <c:pt idx="2384">
                  <c:v>0.75039345294301329</c:v>
                </c:pt>
                <c:pt idx="2385">
                  <c:v>0.7507082152974357</c:v>
                </c:pt>
                <c:pt idx="2386">
                  <c:v>0.7510229776518581</c:v>
                </c:pt>
                <c:pt idx="2387">
                  <c:v>0.75133774000628051</c:v>
                </c:pt>
                <c:pt idx="2388">
                  <c:v>0.75165250236070291</c:v>
                </c:pt>
                <c:pt idx="2389">
                  <c:v>0.75196726471512532</c:v>
                </c:pt>
                <c:pt idx="2390">
                  <c:v>0.75228202706954772</c:v>
                </c:pt>
                <c:pt idx="2391">
                  <c:v>0.75259678942397013</c:v>
                </c:pt>
                <c:pt idx="2392">
                  <c:v>0.75291155177839253</c:v>
                </c:pt>
                <c:pt idx="2393">
                  <c:v>0.75322631413281493</c:v>
                </c:pt>
                <c:pt idx="2394">
                  <c:v>0.75354107648723734</c:v>
                </c:pt>
                <c:pt idx="2395">
                  <c:v>0.75385583884165974</c:v>
                </c:pt>
                <c:pt idx="2396">
                  <c:v>0.75417060119608215</c:v>
                </c:pt>
                <c:pt idx="2397">
                  <c:v>0.75448536355050455</c:v>
                </c:pt>
                <c:pt idx="2398">
                  <c:v>0.75480012590492696</c:v>
                </c:pt>
                <c:pt idx="2399">
                  <c:v>0.75511488825934936</c:v>
                </c:pt>
                <c:pt idx="2400">
                  <c:v>0.75542965061377176</c:v>
                </c:pt>
                <c:pt idx="2401">
                  <c:v>0.75574441296819417</c:v>
                </c:pt>
                <c:pt idx="2402">
                  <c:v>0.75605917532261657</c:v>
                </c:pt>
                <c:pt idx="2403">
                  <c:v>0.75637393767703898</c:v>
                </c:pt>
                <c:pt idx="2404">
                  <c:v>0.75668870003146138</c:v>
                </c:pt>
                <c:pt idx="2405">
                  <c:v>0.75700346238588379</c:v>
                </c:pt>
                <c:pt idx="2406">
                  <c:v>0.75731822474030619</c:v>
                </c:pt>
                <c:pt idx="2407">
                  <c:v>0.75763298709472859</c:v>
                </c:pt>
                <c:pt idx="2408">
                  <c:v>0.757947749449151</c:v>
                </c:pt>
                <c:pt idx="2409">
                  <c:v>0.7582625118035734</c:v>
                </c:pt>
                <c:pt idx="2410">
                  <c:v>0.75857727415799581</c:v>
                </c:pt>
                <c:pt idx="2411">
                  <c:v>0.75889203651241821</c:v>
                </c:pt>
                <c:pt idx="2412">
                  <c:v>0.75920679886684062</c:v>
                </c:pt>
                <c:pt idx="2413">
                  <c:v>0.75952156122126302</c:v>
                </c:pt>
                <c:pt idx="2414">
                  <c:v>0.75983632357568542</c:v>
                </c:pt>
                <c:pt idx="2415">
                  <c:v>0.76015108593010783</c:v>
                </c:pt>
                <c:pt idx="2416">
                  <c:v>0.76046584828453023</c:v>
                </c:pt>
                <c:pt idx="2417">
                  <c:v>0.76078061063895264</c:v>
                </c:pt>
                <c:pt idx="2418">
                  <c:v>0.76109537299337504</c:v>
                </c:pt>
                <c:pt idx="2419">
                  <c:v>0.76141013534779745</c:v>
                </c:pt>
                <c:pt idx="2420">
                  <c:v>0.76172489770221985</c:v>
                </c:pt>
                <c:pt idx="2421">
                  <c:v>0.76203966005664225</c:v>
                </c:pt>
                <c:pt idx="2422">
                  <c:v>0.76235442241106466</c:v>
                </c:pt>
                <c:pt idx="2423">
                  <c:v>0.76266918476548706</c:v>
                </c:pt>
                <c:pt idx="2424">
                  <c:v>0.76298394711990947</c:v>
                </c:pt>
                <c:pt idx="2425">
                  <c:v>0.76329870947433187</c:v>
                </c:pt>
                <c:pt idx="2426">
                  <c:v>0.76361347182875428</c:v>
                </c:pt>
                <c:pt idx="2427">
                  <c:v>0.76392823418317668</c:v>
                </c:pt>
                <c:pt idx="2428">
                  <c:v>0.76424299653759908</c:v>
                </c:pt>
                <c:pt idx="2429">
                  <c:v>0.76455775889202149</c:v>
                </c:pt>
                <c:pt idx="2430">
                  <c:v>0.76487252124644389</c:v>
                </c:pt>
                <c:pt idx="2431">
                  <c:v>0.7651872836008663</c:v>
                </c:pt>
                <c:pt idx="2432">
                  <c:v>0.7655020459552887</c:v>
                </c:pt>
                <c:pt idx="2433">
                  <c:v>0.76581680830971111</c:v>
                </c:pt>
                <c:pt idx="2434">
                  <c:v>0.76613157066413351</c:v>
                </c:pt>
                <c:pt idx="2435">
                  <c:v>0.76644633301855591</c:v>
                </c:pt>
                <c:pt idx="2436">
                  <c:v>0.76676109537297832</c:v>
                </c:pt>
                <c:pt idx="2437">
                  <c:v>0.76707585772740072</c:v>
                </c:pt>
                <c:pt idx="2438">
                  <c:v>0.76739062008182313</c:v>
                </c:pt>
                <c:pt idx="2439">
                  <c:v>0.76770538243624553</c:v>
                </c:pt>
                <c:pt idx="2440">
                  <c:v>0.76802014479066794</c:v>
                </c:pt>
                <c:pt idx="2441">
                  <c:v>0.76833490714509034</c:v>
                </c:pt>
                <c:pt idx="2442">
                  <c:v>0.76864966949951274</c:v>
                </c:pt>
                <c:pt idx="2443">
                  <c:v>0.76896443185393515</c:v>
                </c:pt>
                <c:pt idx="2444">
                  <c:v>0.76927919420835755</c:v>
                </c:pt>
                <c:pt idx="2445">
                  <c:v>0.76959395656277996</c:v>
                </c:pt>
                <c:pt idx="2446">
                  <c:v>0.76990871891720236</c:v>
                </c:pt>
                <c:pt idx="2447">
                  <c:v>0.77022348127162477</c:v>
                </c:pt>
                <c:pt idx="2448">
                  <c:v>0.77053824362604717</c:v>
                </c:pt>
                <c:pt idx="2449">
                  <c:v>0.77085300598046957</c:v>
                </c:pt>
                <c:pt idx="2450">
                  <c:v>0.77116776833489198</c:v>
                </c:pt>
                <c:pt idx="2451">
                  <c:v>0.77148253068931438</c:v>
                </c:pt>
                <c:pt idx="2452">
                  <c:v>0.77179729304373679</c:v>
                </c:pt>
                <c:pt idx="2453">
                  <c:v>0.77211205539815919</c:v>
                </c:pt>
                <c:pt idx="2454">
                  <c:v>0.7724268177525816</c:v>
                </c:pt>
                <c:pt idx="2455">
                  <c:v>0.772741580107004</c:v>
                </c:pt>
                <c:pt idx="2456">
                  <c:v>0.7730563424614264</c:v>
                </c:pt>
                <c:pt idx="2457">
                  <c:v>0.77337110481584881</c:v>
                </c:pt>
                <c:pt idx="2458">
                  <c:v>0.77368586717027121</c:v>
                </c:pt>
                <c:pt idx="2459">
                  <c:v>0.77400062952469362</c:v>
                </c:pt>
                <c:pt idx="2460">
                  <c:v>0.77431539187911602</c:v>
                </c:pt>
                <c:pt idx="2461">
                  <c:v>0.77463015423353843</c:v>
                </c:pt>
                <c:pt idx="2462">
                  <c:v>0.77494491658796083</c:v>
                </c:pt>
                <c:pt idx="2463">
                  <c:v>0.77525967894238323</c:v>
                </c:pt>
                <c:pt idx="2464">
                  <c:v>0.77557444129680564</c:v>
                </c:pt>
                <c:pt idx="2465">
                  <c:v>0.77588920365122804</c:v>
                </c:pt>
                <c:pt idx="2466">
                  <c:v>0.77620396600565045</c:v>
                </c:pt>
                <c:pt idx="2467">
                  <c:v>0.77651872836007285</c:v>
                </c:pt>
                <c:pt idx="2468">
                  <c:v>0.77683349071449526</c:v>
                </c:pt>
                <c:pt idx="2469">
                  <c:v>0.77714825306891766</c:v>
                </c:pt>
                <c:pt idx="2470">
                  <c:v>0.77746301542334006</c:v>
                </c:pt>
                <c:pt idx="2471">
                  <c:v>0.77777777777776247</c:v>
                </c:pt>
                <c:pt idx="2472">
                  <c:v>0.77809254013218487</c:v>
                </c:pt>
                <c:pt idx="2473">
                  <c:v>0.77840730248660728</c:v>
                </c:pt>
                <c:pt idx="2474">
                  <c:v>0.77872206484102968</c:v>
                </c:pt>
                <c:pt idx="2475">
                  <c:v>0.77903682719545209</c:v>
                </c:pt>
                <c:pt idx="2476">
                  <c:v>0.77935158954987449</c:v>
                </c:pt>
                <c:pt idx="2477">
                  <c:v>0.77966635190429689</c:v>
                </c:pt>
                <c:pt idx="2478">
                  <c:v>0.7799811142587193</c:v>
                </c:pt>
                <c:pt idx="2479">
                  <c:v>0.7802958766131417</c:v>
                </c:pt>
                <c:pt idx="2480">
                  <c:v>0.78061063896756411</c:v>
                </c:pt>
                <c:pt idx="2481">
                  <c:v>0.78092540132198651</c:v>
                </c:pt>
                <c:pt idx="2482">
                  <c:v>0.78124016367640892</c:v>
                </c:pt>
                <c:pt idx="2483">
                  <c:v>0.78155492603083132</c:v>
                </c:pt>
                <c:pt idx="2484">
                  <c:v>0.78186968838525372</c:v>
                </c:pt>
                <c:pt idx="2485">
                  <c:v>0.78218445073967613</c:v>
                </c:pt>
                <c:pt idx="2486">
                  <c:v>0.78249921309409853</c:v>
                </c:pt>
                <c:pt idx="2487">
                  <c:v>0.78281397544852094</c:v>
                </c:pt>
                <c:pt idx="2488">
                  <c:v>0.78312873780294334</c:v>
                </c:pt>
                <c:pt idx="2489">
                  <c:v>0.78344350015736575</c:v>
                </c:pt>
                <c:pt idx="2490">
                  <c:v>0.78375826251178815</c:v>
                </c:pt>
                <c:pt idx="2491">
                  <c:v>0.78407302486621056</c:v>
                </c:pt>
                <c:pt idx="2492">
                  <c:v>0.78438778722063296</c:v>
                </c:pt>
                <c:pt idx="2493">
                  <c:v>0.78470254957505536</c:v>
                </c:pt>
                <c:pt idx="2494">
                  <c:v>0.78501731192947777</c:v>
                </c:pt>
                <c:pt idx="2495">
                  <c:v>0.78533207428390017</c:v>
                </c:pt>
                <c:pt idx="2496">
                  <c:v>0.78564683663832258</c:v>
                </c:pt>
                <c:pt idx="2497">
                  <c:v>0.78596159899274498</c:v>
                </c:pt>
                <c:pt idx="2498">
                  <c:v>0.78627636134716739</c:v>
                </c:pt>
                <c:pt idx="2499">
                  <c:v>0.78659112370158979</c:v>
                </c:pt>
                <c:pt idx="2500">
                  <c:v>0.78690588605601219</c:v>
                </c:pt>
                <c:pt idx="2501">
                  <c:v>0.7872206484104346</c:v>
                </c:pt>
                <c:pt idx="2502">
                  <c:v>0.787535410764857</c:v>
                </c:pt>
                <c:pt idx="2503">
                  <c:v>0.78785017311927941</c:v>
                </c:pt>
                <c:pt idx="2504">
                  <c:v>0.78816493547370181</c:v>
                </c:pt>
                <c:pt idx="2505">
                  <c:v>0.78847969782812422</c:v>
                </c:pt>
                <c:pt idx="2506">
                  <c:v>0.78879446018254662</c:v>
                </c:pt>
                <c:pt idx="2507">
                  <c:v>0.78910922253696902</c:v>
                </c:pt>
                <c:pt idx="2508">
                  <c:v>0.78942398489139143</c:v>
                </c:pt>
                <c:pt idx="2509">
                  <c:v>0.78973874724581383</c:v>
                </c:pt>
                <c:pt idx="2510">
                  <c:v>0.79005350960023624</c:v>
                </c:pt>
                <c:pt idx="2511">
                  <c:v>0.79036827195465864</c:v>
                </c:pt>
                <c:pt idx="2512">
                  <c:v>0.79068303430908105</c:v>
                </c:pt>
                <c:pt idx="2513">
                  <c:v>0.79099779666350345</c:v>
                </c:pt>
                <c:pt idx="2514">
                  <c:v>0.79131255901792585</c:v>
                </c:pt>
                <c:pt idx="2515">
                  <c:v>0.79162732137234826</c:v>
                </c:pt>
                <c:pt idx="2516">
                  <c:v>0.79194208372677066</c:v>
                </c:pt>
                <c:pt idx="2517">
                  <c:v>0.79225684608119307</c:v>
                </c:pt>
                <c:pt idx="2518">
                  <c:v>0.79257160843561547</c:v>
                </c:pt>
                <c:pt idx="2519">
                  <c:v>0.79288637079003788</c:v>
                </c:pt>
                <c:pt idx="2520">
                  <c:v>0.79320113314446028</c:v>
                </c:pt>
                <c:pt idx="2521">
                  <c:v>0.79351589549888268</c:v>
                </c:pt>
                <c:pt idx="2522">
                  <c:v>0.79383065785330509</c:v>
                </c:pt>
                <c:pt idx="2523">
                  <c:v>0.79414542020772749</c:v>
                </c:pt>
                <c:pt idx="2524">
                  <c:v>0.7944601825621499</c:v>
                </c:pt>
                <c:pt idx="2525">
                  <c:v>0.7947749449165723</c:v>
                </c:pt>
                <c:pt idx="2526">
                  <c:v>0.79508970727099471</c:v>
                </c:pt>
                <c:pt idx="2527">
                  <c:v>0.79540446962541711</c:v>
                </c:pt>
                <c:pt idx="2528">
                  <c:v>0.79571923197983951</c:v>
                </c:pt>
                <c:pt idx="2529">
                  <c:v>0.79603399433426192</c:v>
                </c:pt>
                <c:pt idx="2530">
                  <c:v>0.79634875668868432</c:v>
                </c:pt>
                <c:pt idx="2531">
                  <c:v>0.79666351904310673</c:v>
                </c:pt>
                <c:pt idx="2532">
                  <c:v>0.79697828139752913</c:v>
                </c:pt>
                <c:pt idx="2533">
                  <c:v>0.79729304375195154</c:v>
                </c:pt>
                <c:pt idx="2534">
                  <c:v>0.79760780610637394</c:v>
                </c:pt>
                <c:pt idx="2535">
                  <c:v>0.79792256846079634</c:v>
                </c:pt>
                <c:pt idx="2536">
                  <c:v>0.79823733081521875</c:v>
                </c:pt>
                <c:pt idx="2537">
                  <c:v>0.79855209316964115</c:v>
                </c:pt>
                <c:pt idx="2538">
                  <c:v>0.79886685552406356</c:v>
                </c:pt>
                <c:pt idx="2539">
                  <c:v>0.79918161787848596</c:v>
                </c:pt>
                <c:pt idx="2540">
                  <c:v>0.79949638023290837</c:v>
                </c:pt>
                <c:pt idx="2541">
                  <c:v>0.79981114258733077</c:v>
                </c:pt>
                <c:pt idx="2542">
                  <c:v>0.80012590494175317</c:v>
                </c:pt>
                <c:pt idx="2543">
                  <c:v>0.80044066729617558</c:v>
                </c:pt>
                <c:pt idx="2544">
                  <c:v>0.80075542965059798</c:v>
                </c:pt>
                <c:pt idx="2545">
                  <c:v>0.80107019200502039</c:v>
                </c:pt>
                <c:pt idx="2546">
                  <c:v>0.80138495435944279</c:v>
                </c:pt>
                <c:pt idx="2547">
                  <c:v>0.8016997167138652</c:v>
                </c:pt>
                <c:pt idx="2548">
                  <c:v>0.8020144790682876</c:v>
                </c:pt>
                <c:pt idx="2549">
                  <c:v>0.80232924142271</c:v>
                </c:pt>
                <c:pt idx="2550">
                  <c:v>0.80264400377713241</c:v>
                </c:pt>
                <c:pt idx="2551">
                  <c:v>0.80295876613155481</c:v>
                </c:pt>
                <c:pt idx="2552">
                  <c:v>0.80327352848597722</c:v>
                </c:pt>
                <c:pt idx="2553">
                  <c:v>0.80358829084039962</c:v>
                </c:pt>
                <c:pt idx="2554">
                  <c:v>0.80390305319482203</c:v>
                </c:pt>
                <c:pt idx="2555">
                  <c:v>0.80421781554924443</c:v>
                </c:pt>
                <c:pt idx="2556">
                  <c:v>0.80453257790366683</c:v>
                </c:pt>
                <c:pt idx="2557">
                  <c:v>0.80484734025808924</c:v>
                </c:pt>
                <c:pt idx="2558">
                  <c:v>0.80516210261251164</c:v>
                </c:pt>
                <c:pt idx="2559">
                  <c:v>0.80547686496693405</c:v>
                </c:pt>
                <c:pt idx="2560">
                  <c:v>0.80579162732135645</c:v>
                </c:pt>
                <c:pt idx="2561">
                  <c:v>0.80610638967577886</c:v>
                </c:pt>
                <c:pt idx="2562">
                  <c:v>0.80642115203020126</c:v>
                </c:pt>
                <c:pt idx="2563">
                  <c:v>0.80673591438462366</c:v>
                </c:pt>
                <c:pt idx="2564">
                  <c:v>0.80705067673904607</c:v>
                </c:pt>
                <c:pt idx="2565">
                  <c:v>0.80736543909346847</c:v>
                </c:pt>
                <c:pt idx="2566">
                  <c:v>0.80768020144789088</c:v>
                </c:pt>
                <c:pt idx="2567">
                  <c:v>0.80799496380231328</c:v>
                </c:pt>
                <c:pt idx="2568">
                  <c:v>0.80830972615673569</c:v>
                </c:pt>
                <c:pt idx="2569">
                  <c:v>0.80862448851115809</c:v>
                </c:pt>
                <c:pt idx="2570">
                  <c:v>0.80893925086558049</c:v>
                </c:pt>
                <c:pt idx="2571">
                  <c:v>0.8092540132200029</c:v>
                </c:pt>
                <c:pt idx="2572">
                  <c:v>0.8095687755744253</c:v>
                </c:pt>
                <c:pt idx="2573">
                  <c:v>0.80988353792884771</c:v>
                </c:pt>
                <c:pt idx="2574">
                  <c:v>0.81019830028327011</c:v>
                </c:pt>
                <c:pt idx="2575">
                  <c:v>0.81051306263769252</c:v>
                </c:pt>
                <c:pt idx="2576">
                  <c:v>0.81082782499211492</c:v>
                </c:pt>
                <c:pt idx="2577">
                  <c:v>0.81114258734653732</c:v>
                </c:pt>
                <c:pt idx="2578">
                  <c:v>0.81145734970095973</c:v>
                </c:pt>
                <c:pt idx="2579">
                  <c:v>0.81177211205538213</c:v>
                </c:pt>
                <c:pt idx="2580">
                  <c:v>0.81208687440980454</c:v>
                </c:pt>
                <c:pt idx="2581">
                  <c:v>0.81240163676422694</c:v>
                </c:pt>
                <c:pt idx="2582">
                  <c:v>0.81271639911864935</c:v>
                </c:pt>
                <c:pt idx="2583">
                  <c:v>0.81303116147307175</c:v>
                </c:pt>
                <c:pt idx="2584">
                  <c:v>0.81334592382749415</c:v>
                </c:pt>
                <c:pt idx="2585">
                  <c:v>0.81366068618191656</c:v>
                </c:pt>
                <c:pt idx="2586">
                  <c:v>0.81397544853633896</c:v>
                </c:pt>
                <c:pt idx="2587">
                  <c:v>0.81429021089076137</c:v>
                </c:pt>
                <c:pt idx="2588">
                  <c:v>0.81460497324518377</c:v>
                </c:pt>
                <c:pt idx="2589">
                  <c:v>0.81491973559960618</c:v>
                </c:pt>
                <c:pt idx="2590">
                  <c:v>0.81523449795402858</c:v>
                </c:pt>
                <c:pt idx="2591">
                  <c:v>0.81554926030845099</c:v>
                </c:pt>
                <c:pt idx="2592">
                  <c:v>0.81586402266287339</c:v>
                </c:pt>
                <c:pt idx="2593">
                  <c:v>0.81617878501729579</c:v>
                </c:pt>
                <c:pt idx="2594">
                  <c:v>0.8164935473717182</c:v>
                </c:pt>
                <c:pt idx="2595">
                  <c:v>0.8168083097261406</c:v>
                </c:pt>
                <c:pt idx="2596">
                  <c:v>0.81712307208056301</c:v>
                </c:pt>
                <c:pt idx="2597">
                  <c:v>0.81743783443498541</c:v>
                </c:pt>
                <c:pt idx="2598">
                  <c:v>0.81775259678940782</c:v>
                </c:pt>
                <c:pt idx="2599">
                  <c:v>0.81806735914383022</c:v>
                </c:pt>
                <c:pt idx="2600">
                  <c:v>0.81838212149825262</c:v>
                </c:pt>
                <c:pt idx="2601">
                  <c:v>0.81869688385267503</c:v>
                </c:pt>
                <c:pt idx="2602">
                  <c:v>0.81901164620709743</c:v>
                </c:pt>
                <c:pt idx="2603">
                  <c:v>0.81932640856151984</c:v>
                </c:pt>
                <c:pt idx="2604">
                  <c:v>0.81964117091594224</c:v>
                </c:pt>
                <c:pt idx="2605">
                  <c:v>0.81995593327036465</c:v>
                </c:pt>
                <c:pt idx="2606">
                  <c:v>0.82027069562478705</c:v>
                </c:pt>
                <c:pt idx="2607">
                  <c:v>0.82058545797920945</c:v>
                </c:pt>
                <c:pt idx="2608">
                  <c:v>0.82090022033363186</c:v>
                </c:pt>
                <c:pt idx="2609">
                  <c:v>0.82121498268805426</c:v>
                </c:pt>
                <c:pt idx="2610">
                  <c:v>0.82152974504247667</c:v>
                </c:pt>
                <c:pt idx="2611">
                  <c:v>0.82184450739689907</c:v>
                </c:pt>
                <c:pt idx="2612">
                  <c:v>0.82215926975132148</c:v>
                </c:pt>
                <c:pt idx="2613">
                  <c:v>0.82247403210574388</c:v>
                </c:pt>
                <c:pt idx="2614">
                  <c:v>0.82278879446016628</c:v>
                </c:pt>
                <c:pt idx="2615">
                  <c:v>0.82310355681458869</c:v>
                </c:pt>
                <c:pt idx="2616">
                  <c:v>0.82341831916901109</c:v>
                </c:pt>
                <c:pt idx="2617">
                  <c:v>0.8237330815234335</c:v>
                </c:pt>
                <c:pt idx="2618">
                  <c:v>0.8240478438778559</c:v>
                </c:pt>
                <c:pt idx="2619">
                  <c:v>0.82436260623227831</c:v>
                </c:pt>
                <c:pt idx="2620">
                  <c:v>0.82467736858670071</c:v>
                </c:pt>
                <c:pt idx="2621">
                  <c:v>0.82499213094112311</c:v>
                </c:pt>
                <c:pt idx="2622">
                  <c:v>0.82530689329554552</c:v>
                </c:pt>
                <c:pt idx="2623">
                  <c:v>0.82562165564996792</c:v>
                </c:pt>
                <c:pt idx="2624">
                  <c:v>0.82593641800439033</c:v>
                </c:pt>
                <c:pt idx="2625">
                  <c:v>0.82625118035881273</c:v>
                </c:pt>
                <c:pt idx="2626">
                  <c:v>0.82656594271323514</c:v>
                </c:pt>
                <c:pt idx="2627">
                  <c:v>0.82688070506765754</c:v>
                </c:pt>
                <c:pt idx="2628">
                  <c:v>0.82719546742207994</c:v>
                </c:pt>
                <c:pt idx="2629">
                  <c:v>0.82751022977650235</c:v>
                </c:pt>
                <c:pt idx="2630">
                  <c:v>0.82782499213092475</c:v>
                </c:pt>
                <c:pt idx="2631">
                  <c:v>0.82813975448534716</c:v>
                </c:pt>
                <c:pt idx="2632">
                  <c:v>0.82845451683976956</c:v>
                </c:pt>
                <c:pt idx="2633">
                  <c:v>0.82876927919419197</c:v>
                </c:pt>
                <c:pt idx="2634">
                  <c:v>0.82908404154861437</c:v>
                </c:pt>
                <c:pt idx="2635">
                  <c:v>0.82939880390303677</c:v>
                </c:pt>
                <c:pt idx="2636">
                  <c:v>0.82971356625745918</c:v>
                </c:pt>
                <c:pt idx="2637">
                  <c:v>0.83002832861188158</c:v>
                </c:pt>
                <c:pt idx="2638">
                  <c:v>0.83034309096630399</c:v>
                </c:pt>
                <c:pt idx="2639">
                  <c:v>0.83065785332072639</c:v>
                </c:pt>
                <c:pt idx="2640">
                  <c:v>0.8309726156751488</c:v>
                </c:pt>
                <c:pt idx="2641">
                  <c:v>0.8312873780295712</c:v>
                </c:pt>
                <c:pt idx="2642">
                  <c:v>0.8316021403839936</c:v>
                </c:pt>
                <c:pt idx="2643">
                  <c:v>0.83191690273841601</c:v>
                </c:pt>
                <c:pt idx="2644">
                  <c:v>0.83223166509283841</c:v>
                </c:pt>
                <c:pt idx="2645">
                  <c:v>0.83254642744726082</c:v>
                </c:pt>
                <c:pt idx="2646">
                  <c:v>0.83286118980168322</c:v>
                </c:pt>
                <c:pt idx="2647">
                  <c:v>0.83317595215610563</c:v>
                </c:pt>
                <c:pt idx="2648">
                  <c:v>0.83349071451052803</c:v>
                </c:pt>
                <c:pt idx="2649">
                  <c:v>0.83380547686495043</c:v>
                </c:pt>
                <c:pt idx="2650">
                  <c:v>0.83412023921937284</c:v>
                </c:pt>
                <c:pt idx="2651">
                  <c:v>0.83443500157379524</c:v>
                </c:pt>
                <c:pt idx="2652">
                  <c:v>0.83474976392821765</c:v>
                </c:pt>
                <c:pt idx="2653">
                  <c:v>0.83506452628264005</c:v>
                </c:pt>
                <c:pt idx="2654">
                  <c:v>0.83537928863706246</c:v>
                </c:pt>
                <c:pt idx="2655">
                  <c:v>0.83569405099148486</c:v>
                </c:pt>
                <c:pt idx="2656">
                  <c:v>0.83600881334590726</c:v>
                </c:pt>
                <c:pt idx="2657">
                  <c:v>0.83632357570032967</c:v>
                </c:pt>
                <c:pt idx="2658">
                  <c:v>0.83663833805475207</c:v>
                </c:pt>
                <c:pt idx="2659">
                  <c:v>0.83695310040917448</c:v>
                </c:pt>
                <c:pt idx="2660">
                  <c:v>0.83726786276359688</c:v>
                </c:pt>
                <c:pt idx="2661">
                  <c:v>0.83758262511801929</c:v>
                </c:pt>
                <c:pt idx="2662">
                  <c:v>0.83789738747244169</c:v>
                </c:pt>
                <c:pt idx="2663">
                  <c:v>0.83821214982686409</c:v>
                </c:pt>
                <c:pt idx="2664">
                  <c:v>0.8385269121812865</c:v>
                </c:pt>
                <c:pt idx="2665">
                  <c:v>0.8388416745357089</c:v>
                </c:pt>
                <c:pt idx="2666">
                  <c:v>0.83915643689013131</c:v>
                </c:pt>
                <c:pt idx="2667">
                  <c:v>0.83947119924455371</c:v>
                </c:pt>
                <c:pt idx="2668">
                  <c:v>0.83978596159897612</c:v>
                </c:pt>
                <c:pt idx="2669">
                  <c:v>0.84010072395339852</c:v>
                </c:pt>
                <c:pt idx="2670">
                  <c:v>0.84041548630782092</c:v>
                </c:pt>
                <c:pt idx="2671">
                  <c:v>0.84073024866224333</c:v>
                </c:pt>
                <c:pt idx="2672">
                  <c:v>0.84104501101666573</c:v>
                </c:pt>
                <c:pt idx="2673">
                  <c:v>0.84135977337108814</c:v>
                </c:pt>
                <c:pt idx="2674">
                  <c:v>0.84167453572551054</c:v>
                </c:pt>
                <c:pt idx="2675">
                  <c:v>0.84198929807993295</c:v>
                </c:pt>
                <c:pt idx="2676">
                  <c:v>0.84230406043435535</c:v>
                </c:pt>
                <c:pt idx="2677">
                  <c:v>0.84261882278877775</c:v>
                </c:pt>
                <c:pt idx="2678">
                  <c:v>0.84293358514320016</c:v>
                </c:pt>
                <c:pt idx="2679">
                  <c:v>0.84324834749762256</c:v>
                </c:pt>
                <c:pt idx="2680">
                  <c:v>0.84356310985204497</c:v>
                </c:pt>
                <c:pt idx="2681">
                  <c:v>0.84387787220646737</c:v>
                </c:pt>
                <c:pt idx="2682">
                  <c:v>0.84419263456088978</c:v>
                </c:pt>
                <c:pt idx="2683">
                  <c:v>0.84450739691531218</c:v>
                </c:pt>
                <c:pt idx="2684">
                  <c:v>0.84482215926973458</c:v>
                </c:pt>
                <c:pt idx="2685">
                  <c:v>0.84513692162415699</c:v>
                </c:pt>
                <c:pt idx="2686">
                  <c:v>0.84545168397857939</c:v>
                </c:pt>
                <c:pt idx="2687">
                  <c:v>0.8457664463330018</c:v>
                </c:pt>
                <c:pt idx="2688">
                  <c:v>0.8460812086874242</c:v>
                </c:pt>
                <c:pt idx="2689">
                  <c:v>0.84639597104184661</c:v>
                </c:pt>
                <c:pt idx="2690">
                  <c:v>0.84671073339626901</c:v>
                </c:pt>
                <c:pt idx="2691">
                  <c:v>0.84702549575069142</c:v>
                </c:pt>
                <c:pt idx="2692">
                  <c:v>0.84734025810511382</c:v>
                </c:pt>
                <c:pt idx="2693">
                  <c:v>0.84765502045953622</c:v>
                </c:pt>
                <c:pt idx="2694">
                  <c:v>0.84796978281395863</c:v>
                </c:pt>
                <c:pt idx="2695">
                  <c:v>0.84828454516838103</c:v>
                </c:pt>
                <c:pt idx="2696">
                  <c:v>0.84859930752280344</c:v>
                </c:pt>
                <c:pt idx="2697">
                  <c:v>0.84891406987722584</c:v>
                </c:pt>
                <c:pt idx="2698">
                  <c:v>0.84922883223164825</c:v>
                </c:pt>
                <c:pt idx="2699">
                  <c:v>0.84954359458607065</c:v>
                </c:pt>
                <c:pt idx="2700">
                  <c:v>0.84985835694049305</c:v>
                </c:pt>
                <c:pt idx="2701">
                  <c:v>0.85017311929491546</c:v>
                </c:pt>
                <c:pt idx="2702">
                  <c:v>0.85048788164933786</c:v>
                </c:pt>
                <c:pt idx="2703">
                  <c:v>0.85080264400376027</c:v>
                </c:pt>
                <c:pt idx="2704">
                  <c:v>0.85111740635818267</c:v>
                </c:pt>
                <c:pt idx="2705">
                  <c:v>0.85143216871260508</c:v>
                </c:pt>
                <c:pt idx="2706">
                  <c:v>0.85174693106702748</c:v>
                </c:pt>
                <c:pt idx="2707">
                  <c:v>0.85206169342144988</c:v>
                </c:pt>
                <c:pt idx="2708">
                  <c:v>0.85237645577587229</c:v>
                </c:pt>
                <c:pt idx="2709">
                  <c:v>0.85269121813029469</c:v>
                </c:pt>
                <c:pt idx="2710">
                  <c:v>0.8530059804847171</c:v>
                </c:pt>
                <c:pt idx="2711">
                  <c:v>0.8533207428391395</c:v>
                </c:pt>
                <c:pt idx="2712">
                  <c:v>0.85363550519356191</c:v>
                </c:pt>
                <c:pt idx="2713">
                  <c:v>0.85395026754798431</c:v>
                </c:pt>
                <c:pt idx="2714">
                  <c:v>0.85426502990240671</c:v>
                </c:pt>
                <c:pt idx="2715">
                  <c:v>0.85457979225682912</c:v>
                </c:pt>
                <c:pt idx="2716">
                  <c:v>0.85489455461125152</c:v>
                </c:pt>
                <c:pt idx="2717">
                  <c:v>0.85520931696567393</c:v>
                </c:pt>
                <c:pt idx="2718">
                  <c:v>0.85552407932009633</c:v>
                </c:pt>
                <c:pt idx="2719">
                  <c:v>0.85583884167451874</c:v>
                </c:pt>
                <c:pt idx="2720">
                  <c:v>0.85615360402894114</c:v>
                </c:pt>
                <c:pt idx="2721">
                  <c:v>0.85646836638336354</c:v>
                </c:pt>
                <c:pt idx="2722">
                  <c:v>0.85678312873778595</c:v>
                </c:pt>
                <c:pt idx="2723">
                  <c:v>0.85709789109220835</c:v>
                </c:pt>
                <c:pt idx="2724">
                  <c:v>0.85741265344663076</c:v>
                </c:pt>
                <c:pt idx="2725">
                  <c:v>0.85772741580105316</c:v>
                </c:pt>
                <c:pt idx="2726">
                  <c:v>0.85804217815547557</c:v>
                </c:pt>
                <c:pt idx="2727">
                  <c:v>0.85835694050989797</c:v>
                </c:pt>
                <c:pt idx="2728">
                  <c:v>0.85867170286432037</c:v>
                </c:pt>
                <c:pt idx="2729">
                  <c:v>0.85898646521874278</c:v>
                </c:pt>
                <c:pt idx="2730">
                  <c:v>0.85930122757316518</c:v>
                </c:pt>
                <c:pt idx="2731">
                  <c:v>0.85961598992758759</c:v>
                </c:pt>
                <c:pt idx="2732">
                  <c:v>0.85993075228200999</c:v>
                </c:pt>
                <c:pt idx="2733">
                  <c:v>0.8602455146364324</c:v>
                </c:pt>
                <c:pt idx="2734">
                  <c:v>0.8605602769908548</c:v>
                </c:pt>
                <c:pt idx="2735">
                  <c:v>0.8608750393452772</c:v>
                </c:pt>
                <c:pt idx="2736">
                  <c:v>0.86118980169969961</c:v>
                </c:pt>
                <c:pt idx="2737">
                  <c:v>0.86150456405412201</c:v>
                </c:pt>
                <c:pt idx="2738">
                  <c:v>0.86181932640854442</c:v>
                </c:pt>
                <c:pt idx="2739">
                  <c:v>0.86213408876296682</c:v>
                </c:pt>
                <c:pt idx="2740">
                  <c:v>0.86244885111738923</c:v>
                </c:pt>
                <c:pt idx="2741">
                  <c:v>0.86276361347181163</c:v>
                </c:pt>
                <c:pt idx="2742">
                  <c:v>0.86307837582623403</c:v>
                </c:pt>
                <c:pt idx="2743">
                  <c:v>0.86339313818065644</c:v>
                </c:pt>
                <c:pt idx="2744">
                  <c:v>0.86370790053507884</c:v>
                </c:pt>
                <c:pt idx="2745">
                  <c:v>0.86402266288950125</c:v>
                </c:pt>
                <c:pt idx="2746">
                  <c:v>0.86433742524392365</c:v>
                </c:pt>
                <c:pt idx="2747">
                  <c:v>0.86465218759834606</c:v>
                </c:pt>
                <c:pt idx="2748">
                  <c:v>0.86496694995276846</c:v>
                </c:pt>
                <c:pt idx="2749">
                  <c:v>0.86528171230719086</c:v>
                </c:pt>
                <c:pt idx="2750">
                  <c:v>0.86559647466161327</c:v>
                </c:pt>
                <c:pt idx="2751">
                  <c:v>0.86591123701603567</c:v>
                </c:pt>
                <c:pt idx="2752">
                  <c:v>0.86622599937045808</c:v>
                </c:pt>
                <c:pt idx="2753">
                  <c:v>0.86654076172488048</c:v>
                </c:pt>
                <c:pt idx="2754">
                  <c:v>0.86685552407930289</c:v>
                </c:pt>
                <c:pt idx="2755">
                  <c:v>0.86717028643372529</c:v>
                </c:pt>
                <c:pt idx="2756">
                  <c:v>0.86748504878814769</c:v>
                </c:pt>
                <c:pt idx="2757">
                  <c:v>0.8677998111425701</c:v>
                </c:pt>
                <c:pt idx="2758">
                  <c:v>0.8681145734969925</c:v>
                </c:pt>
                <c:pt idx="2759">
                  <c:v>0.86842933585141491</c:v>
                </c:pt>
                <c:pt idx="2760">
                  <c:v>0.86874409820583731</c:v>
                </c:pt>
                <c:pt idx="2761">
                  <c:v>0.86905886056025972</c:v>
                </c:pt>
                <c:pt idx="2762">
                  <c:v>0.86937362291468212</c:v>
                </c:pt>
                <c:pt idx="2763">
                  <c:v>0.86968838526910452</c:v>
                </c:pt>
                <c:pt idx="2764">
                  <c:v>0.87000314762352693</c:v>
                </c:pt>
                <c:pt idx="2765">
                  <c:v>0.87031790997794933</c:v>
                </c:pt>
                <c:pt idx="2766">
                  <c:v>0.87063267233237174</c:v>
                </c:pt>
                <c:pt idx="2767">
                  <c:v>0.87094743468679414</c:v>
                </c:pt>
                <c:pt idx="2768">
                  <c:v>0.87126219704121655</c:v>
                </c:pt>
                <c:pt idx="2769">
                  <c:v>0.87157695939563895</c:v>
                </c:pt>
                <c:pt idx="2770">
                  <c:v>0.87189172175006135</c:v>
                </c:pt>
                <c:pt idx="2771">
                  <c:v>0.87220648410448376</c:v>
                </c:pt>
                <c:pt idx="2772">
                  <c:v>0.87252124645890616</c:v>
                </c:pt>
                <c:pt idx="2773">
                  <c:v>0.87283600881332857</c:v>
                </c:pt>
                <c:pt idx="2774">
                  <c:v>0.87315077116775097</c:v>
                </c:pt>
                <c:pt idx="2775">
                  <c:v>0.87346553352217338</c:v>
                </c:pt>
                <c:pt idx="2776">
                  <c:v>0.87378029587659578</c:v>
                </c:pt>
                <c:pt idx="2777">
                  <c:v>0.87409505823101818</c:v>
                </c:pt>
                <c:pt idx="2778">
                  <c:v>0.87440982058544059</c:v>
                </c:pt>
                <c:pt idx="2779">
                  <c:v>0.87472458293986299</c:v>
                </c:pt>
                <c:pt idx="2780">
                  <c:v>0.8750393452942854</c:v>
                </c:pt>
                <c:pt idx="2781">
                  <c:v>0.8753541076487078</c:v>
                </c:pt>
                <c:pt idx="2782">
                  <c:v>0.87566887000313021</c:v>
                </c:pt>
                <c:pt idx="2783">
                  <c:v>0.87598363235755261</c:v>
                </c:pt>
                <c:pt idx="2784">
                  <c:v>0.87629839471197501</c:v>
                </c:pt>
                <c:pt idx="2785">
                  <c:v>0.87661315706639742</c:v>
                </c:pt>
                <c:pt idx="2786">
                  <c:v>0.87692791942081982</c:v>
                </c:pt>
                <c:pt idx="2787">
                  <c:v>0.87724268177524223</c:v>
                </c:pt>
                <c:pt idx="2788">
                  <c:v>0.87755744412966463</c:v>
                </c:pt>
                <c:pt idx="2789">
                  <c:v>0.87787220648408704</c:v>
                </c:pt>
                <c:pt idx="2790">
                  <c:v>0.87818696883850944</c:v>
                </c:pt>
                <c:pt idx="2791">
                  <c:v>0.87850173119293185</c:v>
                </c:pt>
                <c:pt idx="2792">
                  <c:v>0.87881649354735425</c:v>
                </c:pt>
                <c:pt idx="2793">
                  <c:v>0.87913125590177665</c:v>
                </c:pt>
                <c:pt idx="2794">
                  <c:v>0.87944601825619906</c:v>
                </c:pt>
                <c:pt idx="2795">
                  <c:v>0.87976078061062146</c:v>
                </c:pt>
                <c:pt idx="2796">
                  <c:v>0.88007554296504387</c:v>
                </c:pt>
                <c:pt idx="2797">
                  <c:v>0.88039030531946627</c:v>
                </c:pt>
                <c:pt idx="2798">
                  <c:v>0.88070506767388868</c:v>
                </c:pt>
                <c:pt idx="2799">
                  <c:v>0.88101983002831108</c:v>
                </c:pt>
                <c:pt idx="2800">
                  <c:v>0.88133459238273348</c:v>
                </c:pt>
                <c:pt idx="2801">
                  <c:v>0.88164935473715589</c:v>
                </c:pt>
                <c:pt idx="2802">
                  <c:v>0.88196411709157829</c:v>
                </c:pt>
                <c:pt idx="2803">
                  <c:v>0.8822788794460007</c:v>
                </c:pt>
                <c:pt idx="2804">
                  <c:v>0.8825936418004231</c:v>
                </c:pt>
                <c:pt idx="2805">
                  <c:v>0.88290840415484551</c:v>
                </c:pt>
                <c:pt idx="2806">
                  <c:v>0.88322316650926791</c:v>
                </c:pt>
                <c:pt idx="2807">
                  <c:v>0.88353792886369031</c:v>
                </c:pt>
                <c:pt idx="2808">
                  <c:v>0.88385269121811272</c:v>
                </c:pt>
                <c:pt idx="2809">
                  <c:v>0.88416745357253512</c:v>
                </c:pt>
                <c:pt idx="2810">
                  <c:v>0.88448221592695753</c:v>
                </c:pt>
                <c:pt idx="2811">
                  <c:v>0.88479697828137993</c:v>
                </c:pt>
                <c:pt idx="2812">
                  <c:v>0.88511174063580234</c:v>
                </c:pt>
                <c:pt idx="2813">
                  <c:v>0.88542650299022474</c:v>
                </c:pt>
                <c:pt idx="2814">
                  <c:v>0.88574126534464714</c:v>
                </c:pt>
                <c:pt idx="2815">
                  <c:v>0.88605602769906955</c:v>
                </c:pt>
                <c:pt idx="2816">
                  <c:v>0.88637079005349195</c:v>
                </c:pt>
                <c:pt idx="2817">
                  <c:v>0.88668555240791436</c:v>
                </c:pt>
                <c:pt idx="2818">
                  <c:v>0.88700031476233676</c:v>
                </c:pt>
                <c:pt idx="2819">
                  <c:v>0.88731507711675917</c:v>
                </c:pt>
                <c:pt idx="2820">
                  <c:v>0.88762983947118157</c:v>
                </c:pt>
                <c:pt idx="2821">
                  <c:v>0.88794460182560397</c:v>
                </c:pt>
                <c:pt idx="2822">
                  <c:v>0.88825936418002638</c:v>
                </c:pt>
                <c:pt idx="2823">
                  <c:v>0.88857412653444878</c:v>
                </c:pt>
                <c:pt idx="2824">
                  <c:v>0.88888888888887119</c:v>
                </c:pt>
                <c:pt idx="2825">
                  <c:v>0.88920365124329359</c:v>
                </c:pt>
                <c:pt idx="2826">
                  <c:v>0.889518413597716</c:v>
                </c:pt>
                <c:pt idx="2827">
                  <c:v>0.8898331759521384</c:v>
                </c:pt>
                <c:pt idx="2828">
                  <c:v>0.8901479383065608</c:v>
                </c:pt>
                <c:pt idx="2829">
                  <c:v>0.89046270066098321</c:v>
                </c:pt>
                <c:pt idx="2830">
                  <c:v>0.89077746301540561</c:v>
                </c:pt>
                <c:pt idx="2831">
                  <c:v>0.89109222536982802</c:v>
                </c:pt>
                <c:pt idx="2832">
                  <c:v>0.89140698772425042</c:v>
                </c:pt>
                <c:pt idx="2833">
                  <c:v>0.89172175007867283</c:v>
                </c:pt>
                <c:pt idx="2834">
                  <c:v>0.89203651243309523</c:v>
                </c:pt>
                <c:pt idx="2835">
                  <c:v>0.89235127478751763</c:v>
                </c:pt>
                <c:pt idx="2836">
                  <c:v>0.89266603714194004</c:v>
                </c:pt>
                <c:pt idx="2837">
                  <c:v>0.89298079949636244</c:v>
                </c:pt>
                <c:pt idx="2838">
                  <c:v>0.89329556185078485</c:v>
                </c:pt>
                <c:pt idx="2839">
                  <c:v>0.89361032420520725</c:v>
                </c:pt>
                <c:pt idx="2840">
                  <c:v>0.89392508655962966</c:v>
                </c:pt>
                <c:pt idx="2841">
                  <c:v>0.89423984891405206</c:v>
                </c:pt>
                <c:pt idx="2842">
                  <c:v>0.89455461126847446</c:v>
                </c:pt>
                <c:pt idx="2843">
                  <c:v>0.89486937362289687</c:v>
                </c:pt>
                <c:pt idx="2844">
                  <c:v>0.89518413597731927</c:v>
                </c:pt>
                <c:pt idx="2845">
                  <c:v>0.89549889833174168</c:v>
                </c:pt>
                <c:pt idx="2846">
                  <c:v>0.89581366068616408</c:v>
                </c:pt>
                <c:pt idx="2847">
                  <c:v>0.89612842304058649</c:v>
                </c:pt>
                <c:pt idx="2848">
                  <c:v>0.89644318539500889</c:v>
                </c:pt>
                <c:pt idx="2849">
                  <c:v>0.89675794774943129</c:v>
                </c:pt>
                <c:pt idx="2850">
                  <c:v>0.8970727101038537</c:v>
                </c:pt>
                <c:pt idx="2851">
                  <c:v>0.8973874724582761</c:v>
                </c:pt>
                <c:pt idx="2852">
                  <c:v>0.89770223481269851</c:v>
                </c:pt>
                <c:pt idx="2853">
                  <c:v>0.89801699716712091</c:v>
                </c:pt>
                <c:pt idx="2854">
                  <c:v>0.89833175952154332</c:v>
                </c:pt>
                <c:pt idx="2855">
                  <c:v>0.89864652187596572</c:v>
                </c:pt>
                <c:pt idx="2856">
                  <c:v>0.89896128423038812</c:v>
                </c:pt>
                <c:pt idx="2857">
                  <c:v>0.89927604658481053</c:v>
                </c:pt>
                <c:pt idx="2858">
                  <c:v>0.89959080893923293</c:v>
                </c:pt>
                <c:pt idx="2859">
                  <c:v>0.89990557129365534</c:v>
                </c:pt>
                <c:pt idx="2860">
                  <c:v>0.90022033364807774</c:v>
                </c:pt>
                <c:pt idx="2861">
                  <c:v>0.90053509600250015</c:v>
                </c:pt>
                <c:pt idx="2862">
                  <c:v>0.90084985835692255</c:v>
                </c:pt>
                <c:pt idx="2863">
                  <c:v>0.90116462071134495</c:v>
                </c:pt>
                <c:pt idx="2864">
                  <c:v>0.90147938306576736</c:v>
                </c:pt>
                <c:pt idx="2865">
                  <c:v>0.90179414542018976</c:v>
                </c:pt>
                <c:pt idx="2866">
                  <c:v>0.90210890777461217</c:v>
                </c:pt>
                <c:pt idx="2867">
                  <c:v>0.90242367012903457</c:v>
                </c:pt>
                <c:pt idx="2868">
                  <c:v>0.90273843248345698</c:v>
                </c:pt>
                <c:pt idx="2869">
                  <c:v>0.90305319483787938</c:v>
                </c:pt>
                <c:pt idx="2870">
                  <c:v>0.90336795719230178</c:v>
                </c:pt>
                <c:pt idx="2871">
                  <c:v>0.90368271954672419</c:v>
                </c:pt>
                <c:pt idx="2872">
                  <c:v>0.90399748190114659</c:v>
                </c:pt>
                <c:pt idx="2873">
                  <c:v>0.904312244255569</c:v>
                </c:pt>
                <c:pt idx="2874">
                  <c:v>0.9046270066099914</c:v>
                </c:pt>
                <c:pt idx="2875">
                  <c:v>0.90494176896441381</c:v>
                </c:pt>
                <c:pt idx="2876">
                  <c:v>0.90525653131883621</c:v>
                </c:pt>
                <c:pt idx="2877">
                  <c:v>0.90557129367325861</c:v>
                </c:pt>
                <c:pt idx="2878">
                  <c:v>0.90588605602768102</c:v>
                </c:pt>
                <c:pt idx="2879">
                  <c:v>0.90620081838210342</c:v>
                </c:pt>
                <c:pt idx="2880">
                  <c:v>0.90651558073652583</c:v>
                </c:pt>
                <c:pt idx="2881">
                  <c:v>0.90683034309094823</c:v>
                </c:pt>
                <c:pt idx="2882">
                  <c:v>0.90714510544537064</c:v>
                </c:pt>
                <c:pt idx="2883">
                  <c:v>0.90745986779979304</c:v>
                </c:pt>
                <c:pt idx="2884">
                  <c:v>0.90777463015421545</c:v>
                </c:pt>
                <c:pt idx="2885">
                  <c:v>0.90808939250863785</c:v>
                </c:pt>
                <c:pt idx="2886">
                  <c:v>0.90840415486306025</c:v>
                </c:pt>
                <c:pt idx="2887">
                  <c:v>0.90871891721748266</c:v>
                </c:pt>
                <c:pt idx="2888">
                  <c:v>0.90903367957190506</c:v>
                </c:pt>
                <c:pt idx="2889">
                  <c:v>0.90934844192632747</c:v>
                </c:pt>
                <c:pt idx="2890">
                  <c:v>0.90966320428074987</c:v>
                </c:pt>
                <c:pt idx="2891">
                  <c:v>0.90997796663517228</c:v>
                </c:pt>
                <c:pt idx="2892">
                  <c:v>0.91029272898959468</c:v>
                </c:pt>
                <c:pt idx="2893">
                  <c:v>0.91060749134401708</c:v>
                </c:pt>
                <c:pt idx="2894">
                  <c:v>0.91092225369843949</c:v>
                </c:pt>
                <c:pt idx="2895">
                  <c:v>0.91123701605286189</c:v>
                </c:pt>
                <c:pt idx="2896">
                  <c:v>0.9115517784072843</c:v>
                </c:pt>
                <c:pt idx="2897">
                  <c:v>0.9118665407617067</c:v>
                </c:pt>
                <c:pt idx="2898">
                  <c:v>0.91218130311612911</c:v>
                </c:pt>
                <c:pt idx="2899">
                  <c:v>0.91249606547055151</c:v>
                </c:pt>
                <c:pt idx="2900">
                  <c:v>0.91281082782497391</c:v>
                </c:pt>
                <c:pt idx="2901">
                  <c:v>0.91312559017939632</c:v>
                </c:pt>
                <c:pt idx="2902">
                  <c:v>0.91344035253381872</c:v>
                </c:pt>
                <c:pt idx="2903">
                  <c:v>0.91375511488824113</c:v>
                </c:pt>
                <c:pt idx="2904">
                  <c:v>0.91406987724266353</c:v>
                </c:pt>
                <c:pt idx="2905">
                  <c:v>0.91438463959708594</c:v>
                </c:pt>
                <c:pt idx="2906">
                  <c:v>0.91469940195150834</c:v>
                </c:pt>
                <c:pt idx="2907">
                  <c:v>0.91501416430593074</c:v>
                </c:pt>
                <c:pt idx="2908">
                  <c:v>0.91532892666035315</c:v>
                </c:pt>
                <c:pt idx="2909">
                  <c:v>0.91564368901477555</c:v>
                </c:pt>
                <c:pt idx="2910">
                  <c:v>0.91595845136919796</c:v>
                </c:pt>
                <c:pt idx="2911">
                  <c:v>0.91627321372362036</c:v>
                </c:pt>
                <c:pt idx="2912">
                  <c:v>0.91658797607804277</c:v>
                </c:pt>
                <c:pt idx="2913">
                  <c:v>0.91690273843246517</c:v>
                </c:pt>
                <c:pt idx="2914">
                  <c:v>0.91721750078688757</c:v>
                </c:pt>
                <c:pt idx="2915">
                  <c:v>0.91753226314130998</c:v>
                </c:pt>
                <c:pt idx="2916">
                  <c:v>0.91784702549573238</c:v>
                </c:pt>
                <c:pt idx="2917">
                  <c:v>0.91816178785015479</c:v>
                </c:pt>
                <c:pt idx="2918">
                  <c:v>0.91847655020457719</c:v>
                </c:pt>
                <c:pt idx="2919">
                  <c:v>0.9187913125589996</c:v>
                </c:pt>
                <c:pt idx="2920">
                  <c:v>0.919106074913422</c:v>
                </c:pt>
                <c:pt idx="2921">
                  <c:v>0.9194208372678444</c:v>
                </c:pt>
                <c:pt idx="2922">
                  <c:v>0.91973559962226681</c:v>
                </c:pt>
                <c:pt idx="2923">
                  <c:v>0.92005036197668921</c:v>
                </c:pt>
                <c:pt idx="2924">
                  <c:v>0.92036512433111162</c:v>
                </c:pt>
                <c:pt idx="2925">
                  <c:v>0.92067988668553402</c:v>
                </c:pt>
                <c:pt idx="2926">
                  <c:v>0.92099464903995643</c:v>
                </c:pt>
                <c:pt idx="2927">
                  <c:v>0.92130941139437883</c:v>
                </c:pt>
                <c:pt idx="2928">
                  <c:v>0.92162417374880123</c:v>
                </c:pt>
                <c:pt idx="2929">
                  <c:v>0.92193893610322364</c:v>
                </c:pt>
                <c:pt idx="2930">
                  <c:v>0.92225369845764604</c:v>
                </c:pt>
                <c:pt idx="2931">
                  <c:v>0.92256846081206845</c:v>
                </c:pt>
                <c:pt idx="2932">
                  <c:v>0.92288322316649085</c:v>
                </c:pt>
                <c:pt idx="2933">
                  <c:v>0.92319798552091326</c:v>
                </c:pt>
                <c:pt idx="2934">
                  <c:v>0.92351274787533566</c:v>
                </c:pt>
                <c:pt idx="2935">
                  <c:v>0.92382751022975806</c:v>
                </c:pt>
                <c:pt idx="2936">
                  <c:v>0.92414227258418047</c:v>
                </c:pt>
                <c:pt idx="2937">
                  <c:v>0.92445703493860287</c:v>
                </c:pt>
                <c:pt idx="2938">
                  <c:v>0.92477179729302528</c:v>
                </c:pt>
                <c:pt idx="2939">
                  <c:v>0.92508655964744768</c:v>
                </c:pt>
                <c:pt idx="2940">
                  <c:v>0.92540132200187009</c:v>
                </c:pt>
                <c:pt idx="2941">
                  <c:v>0.92571608435629249</c:v>
                </c:pt>
                <c:pt idx="2942">
                  <c:v>0.92603084671071489</c:v>
                </c:pt>
                <c:pt idx="2943">
                  <c:v>0.9263456090651373</c:v>
                </c:pt>
                <c:pt idx="2944">
                  <c:v>0.9266603714195597</c:v>
                </c:pt>
                <c:pt idx="2945">
                  <c:v>0.92697513377398211</c:v>
                </c:pt>
                <c:pt idx="2946">
                  <c:v>0.92728989612840451</c:v>
                </c:pt>
                <c:pt idx="2947">
                  <c:v>0.92760465848282692</c:v>
                </c:pt>
                <c:pt idx="2948">
                  <c:v>0.92791942083724932</c:v>
                </c:pt>
                <c:pt idx="2949">
                  <c:v>0.92823418319167172</c:v>
                </c:pt>
                <c:pt idx="2950">
                  <c:v>0.92854894554609413</c:v>
                </c:pt>
                <c:pt idx="2951">
                  <c:v>0.92886370790051653</c:v>
                </c:pt>
                <c:pt idx="2952">
                  <c:v>0.92917847025493894</c:v>
                </c:pt>
                <c:pt idx="2953">
                  <c:v>0.92949323260936134</c:v>
                </c:pt>
                <c:pt idx="2954">
                  <c:v>0.92980799496378375</c:v>
                </c:pt>
                <c:pt idx="2955">
                  <c:v>0.93012275731820615</c:v>
                </c:pt>
                <c:pt idx="2956">
                  <c:v>0.93043751967262855</c:v>
                </c:pt>
                <c:pt idx="2957">
                  <c:v>0.93075228202705096</c:v>
                </c:pt>
                <c:pt idx="2958">
                  <c:v>0.93106704438147336</c:v>
                </c:pt>
                <c:pt idx="2959">
                  <c:v>0.93138180673589577</c:v>
                </c:pt>
                <c:pt idx="2960">
                  <c:v>0.93169656909031817</c:v>
                </c:pt>
                <c:pt idx="2961">
                  <c:v>0.93201133144474058</c:v>
                </c:pt>
                <c:pt idx="2962">
                  <c:v>0.93232609379916298</c:v>
                </c:pt>
                <c:pt idx="2963">
                  <c:v>0.93264085615358538</c:v>
                </c:pt>
                <c:pt idx="2964">
                  <c:v>0.93295561850800779</c:v>
                </c:pt>
                <c:pt idx="2965">
                  <c:v>0.93327038086243019</c:v>
                </c:pt>
                <c:pt idx="2966">
                  <c:v>0.9335851432168526</c:v>
                </c:pt>
                <c:pt idx="2967">
                  <c:v>0.933899905571275</c:v>
                </c:pt>
                <c:pt idx="2968">
                  <c:v>0.93421466792569741</c:v>
                </c:pt>
                <c:pt idx="2969">
                  <c:v>0.93452943028011981</c:v>
                </c:pt>
                <c:pt idx="2970">
                  <c:v>0.93484419263454221</c:v>
                </c:pt>
                <c:pt idx="2971">
                  <c:v>0.93515895498896462</c:v>
                </c:pt>
                <c:pt idx="2972">
                  <c:v>0.93547371734338702</c:v>
                </c:pt>
                <c:pt idx="2973">
                  <c:v>0.93578847969780943</c:v>
                </c:pt>
                <c:pt idx="2974">
                  <c:v>0.93610324205223183</c:v>
                </c:pt>
                <c:pt idx="2975">
                  <c:v>0.93641800440665424</c:v>
                </c:pt>
                <c:pt idx="2976">
                  <c:v>0.93673276676107664</c:v>
                </c:pt>
                <c:pt idx="2977">
                  <c:v>0.93704752911549904</c:v>
                </c:pt>
                <c:pt idx="2978">
                  <c:v>0.93736229146992145</c:v>
                </c:pt>
                <c:pt idx="2979">
                  <c:v>0.93767705382434385</c:v>
                </c:pt>
                <c:pt idx="2980">
                  <c:v>0.93799181617876626</c:v>
                </c:pt>
                <c:pt idx="2981">
                  <c:v>0.93830657853318866</c:v>
                </c:pt>
                <c:pt idx="2982">
                  <c:v>0.93862134088761107</c:v>
                </c:pt>
                <c:pt idx="2983">
                  <c:v>0.93893610324203347</c:v>
                </c:pt>
                <c:pt idx="2984">
                  <c:v>0.93925086559645588</c:v>
                </c:pt>
                <c:pt idx="2985">
                  <c:v>0.93956562795087828</c:v>
                </c:pt>
                <c:pt idx="2986">
                  <c:v>0.93988039030530068</c:v>
                </c:pt>
                <c:pt idx="2987">
                  <c:v>0.94019515265972309</c:v>
                </c:pt>
                <c:pt idx="2988">
                  <c:v>0.94050991501414549</c:v>
                </c:pt>
                <c:pt idx="2989">
                  <c:v>0.9408246773685679</c:v>
                </c:pt>
                <c:pt idx="2990">
                  <c:v>0.9411394397229903</c:v>
                </c:pt>
                <c:pt idx="2991">
                  <c:v>0.94145420207741271</c:v>
                </c:pt>
                <c:pt idx="2992">
                  <c:v>0.94176896443183511</c:v>
                </c:pt>
                <c:pt idx="2993">
                  <c:v>0.94208372678625751</c:v>
                </c:pt>
                <c:pt idx="2994">
                  <c:v>0.94239848914067992</c:v>
                </c:pt>
                <c:pt idx="2995">
                  <c:v>0.94271325149510232</c:v>
                </c:pt>
                <c:pt idx="2996">
                  <c:v>0.94302801384952473</c:v>
                </c:pt>
                <c:pt idx="2997">
                  <c:v>0.94334277620394713</c:v>
                </c:pt>
                <c:pt idx="2998">
                  <c:v>0.94365753855836954</c:v>
                </c:pt>
                <c:pt idx="2999">
                  <c:v>0.94397230091279194</c:v>
                </c:pt>
                <c:pt idx="3000">
                  <c:v>0.94428706326721434</c:v>
                </c:pt>
                <c:pt idx="3001">
                  <c:v>0.94460182562163675</c:v>
                </c:pt>
                <c:pt idx="3002">
                  <c:v>0.94491658797605915</c:v>
                </c:pt>
                <c:pt idx="3003">
                  <c:v>0.94523135033048156</c:v>
                </c:pt>
                <c:pt idx="3004">
                  <c:v>0.94554611268490396</c:v>
                </c:pt>
                <c:pt idx="3005">
                  <c:v>0.94586087503932637</c:v>
                </c:pt>
                <c:pt idx="3006">
                  <c:v>0.94617563739374877</c:v>
                </c:pt>
                <c:pt idx="3007">
                  <c:v>0.94649039974817117</c:v>
                </c:pt>
                <c:pt idx="3008">
                  <c:v>0.94680516210259358</c:v>
                </c:pt>
                <c:pt idx="3009">
                  <c:v>0.94711992445701598</c:v>
                </c:pt>
                <c:pt idx="3010">
                  <c:v>0.94743468681143839</c:v>
                </c:pt>
                <c:pt idx="3011">
                  <c:v>0.94774944916586079</c:v>
                </c:pt>
                <c:pt idx="3012">
                  <c:v>0.9480642115202832</c:v>
                </c:pt>
                <c:pt idx="3013">
                  <c:v>0.9483789738747056</c:v>
                </c:pt>
                <c:pt idx="3014">
                  <c:v>0.948693736229128</c:v>
                </c:pt>
                <c:pt idx="3015">
                  <c:v>0.94900849858355041</c:v>
                </c:pt>
                <c:pt idx="3016">
                  <c:v>0.94932326093797281</c:v>
                </c:pt>
                <c:pt idx="3017">
                  <c:v>0.94963802329239522</c:v>
                </c:pt>
                <c:pt idx="3018">
                  <c:v>0.94995278564681762</c:v>
                </c:pt>
                <c:pt idx="3019">
                  <c:v>0.95026754800124003</c:v>
                </c:pt>
                <c:pt idx="3020">
                  <c:v>0.95058231035566243</c:v>
                </c:pt>
                <c:pt idx="3021">
                  <c:v>0.95089707271008483</c:v>
                </c:pt>
                <c:pt idx="3022">
                  <c:v>0.95121183506450724</c:v>
                </c:pt>
                <c:pt idx="3023">
                  <c:v>0.95152659741892964</c:v>
                </c:pt>
                <c:pt idx="3024">
                  <c:v>0.95184135977335205</c:v>
                </c:pt>
                <c:pt idx="3025">
                  <c:v>0.95215612212777445</c:v>
                </c:pt>
                <c:pt idx="3026">
                  <c:v>0.95247088448219686</c:v>
                </c:pt>
                <c:pt idx="3027">
                  <c:v>0.95278564683661926</c:v>
                </c:pt>
                <c:pt idx="3028">
                  <c:v>0.95310040919104166</c:v>
                </c:pt>
                <c:pt idx="3029">
                  <c:v>0.95341517154546407</c:v>
                </c:pt>
                <c:pt idx="3030">
                  <c:v>0.95372993389988647</c:v>
                </c:pt>
                <c:pt idx="3031">
                  <c:v>0.95404469625430888</c:v>
                </c:pt>
                <c:pt idx="3032">
                  <c:v>0.95435945860873128</c:v>
                </c:pt>
                <c:pt idx="3033">
                  <c:v>0.95467422096315369</c:v>
                </c:pt>
                <c:pt idx="3034">
                  <c:v>0.95498898331757609</c:v>
                </c:pt>
                <c:pt idx="3035">
                  <c:v>0.95530374567199849</c:v>
                </c:pt>
                <c:pt idx="3036">
                  <c:v>0.9556185080264209</c:v>
                </c:pt>
                <c:pt idx="3037">
                  <c:v>0.9559332703808433</c:v>
                </c:pt>
                <c:pt idx="3038">
                  <c:v>0.95624803273526571</c:v>
                </c:pt>
                <c:pt idx="3039">
                  <c:v>0.95656279508968811</c:v>
                </c:pt>
                <c:pt idx="3040">
                  <c:v>0.95687755744411052</c:v>
                </c:pt>
                <c:pt idx="3041">
                  <c:v>0.95719231979853292</c:v>
                </c:pt>
                <c:pt idx="3042">
                  <c:v>0.95750708215295532</c:v>
                </c:pt>
                <c:pt idx="3043">
                  <c:v>0.95782184450737773</c:v>
                </c:pt>
                <c:pt idx="3044">
                  <c:v>0.95813660686180013</c:v>
                </c:pt>
                <c:pt idx="3045">
                  <c:v>0.95845136921622254</c:v>
                </c:pt>
                <c:pt idx="3046">
                  <c:v>0.95876613157064494</c:v>
                </c:pt>
                <c:pt idx="3047">
                  <c:v>0.95908089392506735</c:v>
                </c:pt>
                <c:pt idx="3048">
                  <c:v>0.95939565627948975</c:v>
                </c:pt>
                <c:pt idx="3049">
                  <c:v>0.95971041863391215</c:v>
                </c:pt>
                <c:pt idx="3050">
                  <c:v>0.96002518098833456</c:v>
                </c:pt>
                <c:pt idx="3051">
                  <c:v>0.96033994334275696</c:v>
                </c:pt>
                <c:pt idx="3052">
                  <c:v>0.96065470569717937</c:v>
                </c:pt>
                <c:pt idx="3053">
                  <c:v>0.96096946805160177</c:v>
                </c:pt>
                <c:pt idx="3054">
                  <c:v>0.96128423040602418</c:v>
                </c:pt>
                <c:pt idx="3055">
                  <c:v>0.96159899276044658</c:v>
                </c:pt>
                <c:pt idx="3056">
                  <c:v>0.96191375511486898</c:v>
                </c:pt>
                <c:pt idx="3057">
                  <c:v>0.96222851746929139</c:v>
                </c:pt>
                <c:pt idx="3058">
                  <c:v>0.96254327982371379</c:v>
                </c:pt>
                <c:pt idx="3059">
                  <c:v>0.9628580421781362</c:v>
                </c:pt>
                <c:pt idx="3060">
                  <c:v>0.9631728045325586</c:v>
                </c:pt>
                <c:pt idx="3061">
                  <c:v>0.96348756688698101</c:v>
                </c:pt>
                <c:pt idx="3062">
                  <c:v>0.96380232924140341</c:v>
                </c:pt>
                <c:pt idx="3063">
                  <c:v>0.96411709159582581</c:v>
                </c:pt>
                <c:pt idx="3064">
                  <c:v>0.96443185395024822</c:v>
                </c:pt>
                <c:pt idx="3065">
                  <c:v>0.96474661630467062</c:v>
                </c:pt>
                <c:pt idx="3066">
                  <c:v>0.96506137865909303</c:v>
                </c:pt>
                <c:pt idx="3067">
                  <c:v>0.96537614101351543</c:v>
                </c:pt>
                <c:pt idx="3068">
                  <c:v>0.96569090336793784</c:v>
                </c:pt>
                <c:pt idx="3069">
                  <c:v>0.96600566572236024</c:v>
                </c:pt>
                <c:pt idx="3070">
                  <c:v>0.96632042807678264</c:v>
                </c:pt>
                <c:pt idx="3071">
                  <c:v>0.96663519043120505</c:v>
                </c:pt>
                <c:pt idx="3072">
                  <c:v>0.96694995278562745</c:v>
                </c:pt>
                <c:pt idx="3073">
                  <c:v>0.96726471514004986</c:v>
                </c:pt>
                <c:pt idx="3074">
                  <c:v>0.96757947749447226</c:v>
                </c:pt>
                <c:pt idx="3075">
                  <c:v>0.96789423984889467</c:v>
                </c:pt>
                <c:pt idx="3076">
                  <c:v>0.96820900220331707</c:v>
                </c:pt>
                <c:pt idx="3077">
                  <c:v>0.96852376455773947</c:v>
                </c:pt>
                <c:pt idx="3078">
                  <c:v>0.96883852691216188</c:v>
                </c:pt>
                <c:pt idx="3079">
                  <c:v>0.96915328926658428</c:v>
                </c:pt>
                <c:pt idx="3080">
                  <c:v>0.96946805162100669</c:v>
                </c:pt>
                <c:pt idx="3081">
                  <c:v>0.96978281397542909</c:v>
                </c:pt>
                <c:pt idx="3082">
                  <c:v>0.9700975763298515</c:v>
                </c:pt>
                <c:pt idx="3083">
                  <c:v>0.9704123386842739</c:v>
                </c:pt>
                <c:pt idx="3084">
                  <c:v>0.97072710103869631</c:v>
                </c:pt>
                <c:pt idx="3085">
                  <c:v>0.97104186339311871</c:v>
                </c:pt>
                <c:pt idx="3086">
                  <c:v>0.97135662574754111</c:v>
                </c:pt>
                <c:pt idx="3087">
                  <c:v>0.97167138810196352</c:v>
                </c:pt>
                <c:pt idx="3088">
                  <c:v>0.97198615045638592</c:v>
                </c:pt>
                <c:pt idx="3089">
                  <c:v>0.97230091281080833</c:v>
                </c:pt>
                <c:pt idx="3090">
                  <c:v>0.97261567516523073</c:v>
                </c:pt>
                <c:pt idx="3091">
                  <c:v>0.97293043751965314</c:v>
                </c:pt>
                <c:pt idx="3092">
                  <c:v>0.97324519987407554</c:v>
                </c:pt>
                <c:pt idx="3093">
                  <c:v>0.97355996222849794</c:v>
                </c:pt>
                <c:pt idx="3094">
                  <c:v>0.97387472458292035</c:v>
                </c:pt>
                <c:pt idx="3095">
                  <c:v>0.97418948693734275</c:v>
                </c:pt>
                <c:pt idx="3096">
                  <c:v>0.97450424929176516</c:v>
                </c:pt>
                <c:pt idx="3097">
                  <c:v>0.97481901164618756</c:v>
                </c:pt>
                <c:pt idx="3098">
                  <c:v>0.97513377400060997</c:v>
                </c:pt>
                <c:pt idx="3099">
                  <c:v>0.97544853635503237</c:v>
                </c:pt>
                <c:pt idx="3100">
                  <c:v>0.97576329870945477</c:v>
                </c:pt>
                <c:pt idx="3101">
                  <c:v>0.97607806106387718</c:v>
                </c:pt>
                <c:pt idx="3102">
                  <c:v>0.97639282341829958</c:v>
                </c:pt>
                <c:pt idx="3103">
                  <c:v>0.97670758577272199</c:v>
                </c:pt>
                <c:pt idx="3104">
                  <c:v>0.97702234812714439</c:v>
                </c:pt>
                <c:pt idx="3105">
                  <c:v>0.9773371104815668</c:v>
                </c:pt>
                <c:pt idx="3106">
                  <c:v>0.9776518728359892</c:v>
                </c:pt>
                <c:pt idx="3107">
                  <c:v>0.9779666351904116</c:v>
                </c:pt>
                <c:pt idx="3108">
                  <c:v>0.97828139754483401</c:v>
                </c:pt>
                <c:pt idx="3109">
                  <c:v>0.97859615989925641</c:v>
                </c:pt>
                <c:pt idx="3110">
                  <c:v>0.97891092225367882</c:v>
                </c:pt>
                <c:pt idx="3111">
                  <c:v>0.97922568460810122</c:v>
                </c:pt>
                <c:pt idx="3112">
                  <c:v>0.97954044696252363</c:v>
                </c:pt>
                <c:pt idx="3113">
                  <c:v>0.97985520931694603</c:v>
                </c:pt>
                <c:pt idx="3114">
                  <c:v>0.98016997167136843</c:v>
                </c:pt>
                <c:pt idx="3115">
                  <c:v>0.98048473402579084</c:v>
                </c:pt>
                <c:pt idx="3116">
                  <c:v>0.98079949638021324</c:v>
                </c:pt>
                <c:pt idx="3117">
                  <c:v>0.98111425873463565</c:v>
                </c:pt>
                <c:pt idx="3118">
                  <c:v>0.98142902108905805</c:v>
                </c:pt>
                <c:pt idx="3119">
                  <c:v>0.98174378344348046</c:v>
                </c:pt>
                <c:pt idx="3120">
                  <c:v>0.98205854579790286</c:v>
                </c:pt>
                <c:pt idx="3121">
                  <c:v>0.98237330815232526</c:v>
                </c:pt>
                <c:pt idx="3122">
                  <c:v>0.98268807050674767</c:v>
                </c:pt>
                <c:pt idx="3123">
                  <c:v>0.98300283286117007</c:v>
                </c:pt>
                <c:pt idx="3124">
                  <c:v>0.98331759521559248</c:v>
                </c:pt>
                <c:pt idx="3125">
                  <c:v>0.98363235757001488</c:v>
                </c:pt>
                <c:pt idx="3126">
                  <c:v>0.98394711992443729</c:v>
                </c:pt>
                <c:pt idx="3127">
                  <c:v>0.98426188227885969</c:v>
                </c:pt>
                <c:pt idx="3128">
                  <c:v>0.98457664463328209</c:v>
                </c:pt>
                <c:pt idx="3129">
                  <c:v>0.9848914069877045</c:v>
                </c:pt>
                <c:pt idx="3130">
                  <c:v>0.9852061693421269</c:v>
                </c:pt>
                <c:pt idx="3131">
                  <c:v>0.98552093169654931</c:v>
                </c:pt>
                <c:pt idx="3132">
                  <c:v>0.98583569405097171</c:v>
                </c:pt>
                <c:pt idx="3133">
                  <c:v>0.98615045640539412</c:v>
                </c:pt>
                <c:pt idx="3134">
                  <c:v>0.98646521875981652</c:v>
                </c:pt>
                <c:pt idx="3135">
                  <c:v>0.98677998111423892</c:v>
                </c:pt>
                <c:pt idx="3136">
                  <c:v>0.98709474346866133</c:v>
                </c:pt>
                <c:pt idx="3137">
                  <c:v>0.98740950582308373</c:v>
                </c:pt>
                <c:pt idx="3138">
                  <c:v>0.98772426817750614</c:v>
                </c:pt>
                <c:pt idx="3139">
                  <c:v>0.98803903053192854</c:v>
                </c:pt>
                <c:pt idx="3140">
                  <c:v>0.98835379288635095</c:v>
                </c:pt>
                <c:pt idx="3141">
                  <c:v>0.98866855524077335</c:v>
                </c:pt>
                <c:pt idx="3142">
                  <c:v>0.98898331759519575</c:v>
                </c:pt>
                <c:pt idx="3143">
                  <c:v>0.98929807994961816</c:v>
                </c:pt>
                <c:pt idx="3144">
                  <c:v>0.98961284230404056</c:v>
                </c:pt>
                <c:pt idx="3145">
                  <c:v>0.98992760465846297</c:v>
                </c:pt>
                <c:pt idx="3146">
                  <c:v>0.99024236701288537</c:v>
                </c:pt>
                <c:pt idx="3147">
                  <c:v>0.99055712936730778</c:v>
                </c:pt>
                <c:pt idx="3148">
                  <c:v>0.99087189172173018</c:v>
                </c:pt>
                <c:pt idx="3149">
                  <c:v>0.99118665407615258</c:v>
                </c:pt>
                <c:pt idx="3150">
                  <c:v>0.99150141643057499</c:v>
                </c:pt>
                <c:pt idx="3151">
                  <c:v>0.99181617878499739</c:v>
                </c:pt>
                <c:pt idx="3152">
                  <c:v>0.9921309411394198</c:v>
                </c:pt>
                <c:pt idx="3153">
                  <c:v>0.9924457034938422</c:v>
                </c:pt>
                <c:pt idx="3154">
                  <c:v>0.99276046584826461</c:v>
                </c:pt>
                <c:pt idx="3155">
                  <c:v>0.99307522820268701</c:v>
                </c:pt>
                <c:pt idx="3156">
                  <c:v>0.99338999055710941</c:v>
                </c:pt>
                <c:pt idx="3157">
                  <c:v>0.99370475291153182</c:v>
                </c:pt>
                <c:pt idx="3158">
                  <c:v>0.99401951526595422</c:v>
                </c:pt>
                <c:pt idx="3159">
                  <c:v>0.99433427762037663</c:v>
                </c:pt>
                <c:pt idx="3160">
                  <c:v>0.99464903997479903</c:v>
                </c:pt>
                <c:pt idx="3161">
                  <c:v>0.99496380232922144</c:v>
                </c:pt>
                <c:pt idx="3162">
                  <c:v>0.99527856468364384</c:v>
                </c:pt>
                <c:pt idx="3163">
                  <c:v>0.99559332703806624</c:v>
                </c:pt>
                <c:pt idx="3164">
                  <c:v>0.99590808939248865</c:v>
                </c:pt>
                <c:pt idx="3165">
                  <c:v>0.99622285174691105</c:v>
                </c:pt>
                <c:pt idx="3166">
                  <c:v>0.99653761410133346</c:v>
                </c:pt>
                <c:pt idx="3167">
                  <c:v>0.99685237645575586</c:v>
                </c:pt>
                <c:pt idx="3168">
                  <c:v>0.99716713881017827</c:v>
                </c:pt>
                <c:pt idx="3169">
                  <c:v>0.99748190116460067</c:v>
                </c:pt>
                <c:pt idx="3170">
                  <c:v>0.99779666351902307</c:v>
                </c:pt>
                <c:pt idx="3171">
                  <c:v>0.99811142587344548</c:v>
                </c:pt>
                <c:pt idx="3172">
                  <c:v>0.99842618822786788</c:v>
                </c:pt>
                <c:pt idx="3173">
                  <c:v>0.99874095058229029</c:v>
                </c:pt>
                <c:pt idx="3174">
                  <c:v>0.99905571293671269</c:v>
                </c:pt>
                <c:pt idx="3175">
                  <c:v>0.9993704752911351</c:v>
                </c:pt>
                <c:pt idx="3176">
                  <c:v>0.9996852376455575</c:v>
                </c:pt>
                <c:pt idx="3177">
                  <c:v>0.9999999999999799</c:v>
                </c:pt>
              </c:numCache>
            </c:numRef>
          </c:xVal>
          <c:yVal>
            <c:numRef>
              <c:f>'E5.1'!$D$8:$D$3185</c:f>
              <c:numCache>
                <c:formatCode>0.000%</c:formatCode>
                <c:ptCount val="3178"/>
                <c:pt idx="0">
                  <c:v>0</c:v>
                </c:pt>
                <c:pt idx="1">
                  <c:v>3.1476235442241108E-4</c:v>
                </c:pt>
                <c:pt idx="2">
                  <c:v>6.2952470884482215E-4</c:v>
                </c:pt>
                <c:pt idx="3">
                  <c:v>9.4428706326723328E-4</c:v>
                </c:pt>
                <c:pt idx="4">
                  <c:v>1.2590494176896443E-3</c:v>
                </c:pt>
                <c:pt idx="5">
                  <c:v>1.5738117721120553E-3</c:v>
                </c:pt>
                <c:pt idx="6">
                  <c:v>1.8885741265344664E-3</c:v>
                </c:pt>
                <c:pt idx="7">
                  <c:v>2.2033364809568774E-3</c:v>
                </c:pt>
                <c:pt idx="8">
                  <c:v>2.5180988353792886E-3</c:v>
                </c:pt>
                <c:pt idx="9">
                  <c:v>2.8328611898016999E-3</c:v>
                </c:pt>
                <c:pt idx="10">
                  <c:v>3.1476235442241111E-3</c:v>
                </c:pt>
                <c:pt idx="11">
                  <c:v>3.4623858986465223E-3</c:v>
                </c:pt>
                <c:pt idx="12">
                  <c:v>3.7771482530689336E-3</c:v>
                </c:pt>
                <c:pt idx="13">
                  <c:v>4.0919106074913444E-3</c:v>
                </c:pt>
                <c:pt idx="14">
                  <c:v>4.4066729619137556E-3</c:v>
                </c:pt>
                <c:pt idx="15">
                  <c:v>4.7214353163361669E-3</c:v>
                </c:pt>
                <c:pt idx="16">
                  <c:v>5.0361976707585781E-3</c:v>
                </c:pt>
                <c:pt idx="17">
                  <c:v>5.3509600251809893E-3</c:v>
                </c:pt>
                <c:pt idx="18">
                  <c:v>5.6657223796034006E-3</c:v>
                </c:pt>
                <c:pt idx="19">
                  <c:v>5.9804847340258118E-3</c:v>
                </c:pt>
                <c:pt idx="20">
                  <c:v>6.295247088448223E-3</c:v>
                </c:pt>
                <c:pt idx="21">
                  <c:v>6.6100094428706343E-3</c:v>
                </c:pt>
                <c:pt idx="22">
                  <c:v>6.9247717972930455E-3</c:v>
                </c:pt>
                <c:pt idx="23">
                  <c:v>7.2395341517154568E-3</c:v>
                </c:pt>
                <c:pt idx="24">
                  <c:v>7.554296506137868E-3</c:v>
                </c:pt>
                <c:pt idx="25">
                  <c:v>7.8690588605602792E-3</c:v>
                </c:pt>
                <c:pt idx="26">
                  <c:v>8.1838212149826905E-3</c:v>
                </c:pt>
                <c:pt idx="27">
                  <c:v>8.4985835694051017E-3</c:v>
                </c:pt>
                <c:pt idx="28">
                  <c:v>8.813345923827513E-3</c:v>
                </c:pt>
                <c:pt idx="29">
                  <c:v>9.1281082782499242E-3</c:v>
                </c:pt>
                <c:pt idx="30">
                  <c:v>9.4428706326723354E-3</c:v>
                </c:pt>
                <c:pt idx="31">
                  <c:v>9.7576329870947467E-3</c:v>
                </c:pt>
                <c:pt idx="32">
                  <c:v>1.0072395341517158E-2</c:v>
                </c:pt>
                <c:pt idx="33">
                  <c:v>1.0387157695939569E-2</c:v>
                </c:pt>
                <c:pt idx="34">
                  <c:v>1.070192005036198E-2</c:v>
                </c:pt>
                <c:pt idx="35">
                  <c:v>1.1016682404784392E-2</c:v>
                </c:pt>
                <c:pt idx="36">
                  <c:v>1.1331444759206803E-2</c:v>
                </c:pt>
                <c:pt idx="37">
                  <c:v>1.1646207113629214E-2</c:v>
                </c:pt>
                <c:pt idx="38">
                  <c:v>1.1960969468051625E-2</c:v>
                </c:pt>
                <c:pt idx="39">
                  <c:v>1.2275731822474037E-2</c:v>
                </c:pt>
                <c:pt idx="40">
                  <c:v>1.2590494176896448E-2</c:v>
                </c:pt>
                <c:pt idx="41">
                  <c:v>1.2905256531318859E-2</c:v>
                </c:pt>
                <c:pt idx="42">
                  <c:v>1.322001888574127E-2</c:v>
                </c:pt>
                <c:pt idx="43">
                  <c:v>1.3534781240163682E-2</c:v>
                </c:pt>
                <c:pt idx="44">
                  <c:v>1.3849543594586093E-2</c:v>
                </c:pt>
                <c:pt idx="45">
                  <c:v>1.4164305949008504E-2</c:v>
                </c:pt>
                <c:pt idx="46">
                  <c:v>1.4479068303430915E-2</c:v>
                </c:pt>
                <c:pt idx="47">
                  <c:v>1.4793830657853327E-2</c:v>
                </c:pt>
                <c:pt idx="48">
                  <c:v>1.5108593012275738E-2</c:v>
                </c:pt>
                <c:pt idx="49">
                  <c:v>1.5423355366698149E-2</c:v>
                </c:pt>
                <c:pt idx="50">
                  <c:v>1.5738117721120558E-2</c:v>
                </c:pt>
                <c:pt idx="51">
                  <c:v>1.605288007554297E-2</c:v>
                </c:pt>
                <c:pt idx="52">
                  <c:v>1.6367642429965381E-2</c:v>
                </c:pt>
                <c:pt idx="53">
                  <c:v>1.6682404784387792E-2</c:v>
                </c:pt>
                <c:pt idx="54">
                  <c:v>1.6997167138810203E-2</c:v>
                </c:pt>
                <c:pt idx="55">
                  <c:v>1.7311929493232615E-2</c:v>
                </c:pt>
                <c:pt idx="56">
                  <c:v>1.7626691847655026E-2</c:v>
                </c:pt>
                <c:pt idx="57">
                  <c:v>1.7941454202077437E-2</c:v>
                </c:pt>
                <c:pt idx="58">
                  <c:v>1.8256216556499848E-2</c:v>
                </c:pt>
                <c:pt idx="59">
                  <c:v>1.857097891092226E-2</c:v>
                </c:pt>
                <c:pt idx="60">
                  <c:v>1.8885741265344671E-2</c:v>
                </c:pt>
                <c:pt idx="61">
                  <c:v>1.9200503619767082E-2</c:v>
                </c:pt>
                <c:pt idx="62">
                  <c:v>1.9515265974189493E-2</c:v>
                </c:pt>
                <c:pt idx="63">
                  <c:v>1.9830028328611905E-2</c:v>
                </c:pt>
                <c:pt idx="64">
                  <c:v>2.0144790683034316E-2</c:v>
                </c:pt>
                <c:pt idx="65">
                  <c:v>2.0459553037456727E-2</c:v>
                </c:pt>
                <c:pt idx="66">
                  <c:v>2.0774315391879138E-2</c:v>
                </c:pt>
                <c:pt idx="67">
                  <c:v>2.108907774630155E-2</c:v>
                </c:pt>
                <c:pt idx="68">
                  <c:v>2.1403840100723961E-2</c:v>
                </c:pt>
                <c:pt idx="69">
                  <c:v>2.1718602455146372E-2</c:v>
                </c:pt>
                <c:pt idx="70">
                  <c:v>2.2033364809568783E-2</c:v>
                </c:pt>
                <c:pt idx="71">
                  <c:v>2.2348127163991195E-2</c:v>
                </c:pt>
                <c:pt idx="72">
                  <c:v>2.2662889518413606E-2</c:v>
                </c:pt>
                <c:pt idx="73">
                  <c:v>2.2977651872836017E-2</c:v>
                </c:pt>
                <c:pt idx="74">
                  <c:v>2.3292414227258428E-2</c:v>
                </c:pt>
                <c:pt idx="75">
                  <c:v>2.3607176581680839E-2</c:v>
                </c:pt>
                <c:pt idx="76">
                  <c:v>2.3921938936103251E-2</c:v>
                </c:pt>
                <c:pt idx="77">
                  <c:v>2.4236701290525662E-2</c:v>
                </c:pt>
                <c:pt idx="78">
                  <c:v>2.4551463644948073E-2</c:v>
                </c:pt>
                <c:pt idx="79">
                  <c:v>2.4866225999370484E-2</c:v>
                </c:pt>
                <c:pt idx="80">
                  <c:v>2.5180988353792896E-2</c:v>
                </c:pt>
                <c:pt idx="81">
                  <c:v>2.5495750708215307E-2</c:v>
                </c:pt>
                <c:pt idx="82">
                  <c:v>2.5810513062637718E-2</c:v>
                </c:pt>
                <c:pt idx="83">
                  <c:v>2.6125275417060129E-2</c:v>
                </c:pt>
                <c:pt idx="84">
                  <c:v>2.6440037771482541E-2</c:v>
                </c:pt>
                <c:pt idx="85">
                  <c:v>2.6754800125904952E-2</c:v>
                </c:pt>
                <c:pt idx="86">
                  <c:v>2.7069562480327363E-2</c:v>
                </c:pt>
                <c:pt idx="87">
                  <c:v>2.7384324834749774E-2</c:v>
                </c:pt>
                <c:pt idx="88">
                  <c:v>2.7699087189172186E-2</c:v>
                </c:pt>
                <c:pt idx="89">
                  <c:v>2.8013849543594597E-2</c:v>
                </c:pt>
                <c:pt idx="90">
                  <c:v>2.8328611898017008E-2</c:v>
                </c:pt>
                <c:pt idx="91">
                  <c:v>2.8643374252439419E-2</c:v>
                </c:pt>
                <c:pt idx="92">
                  <c:v>2.8958136606861831E-2</c:v>
                </c:pt>
                <c:pt idx="93">
                  <c:v>2.9272898961284242E-2</c:v>
                </c:pt>
                <c:pt idx="94">
                  <c:v>2.9587661315706653E-2</c:v>
                </c:pt>
                <c:pt idx="95">
                  <c:v>2.9902423670129064E-2</c:v>
                </c:pt>
                <c:pt idx="96">
                  <c:v>3.0217186024551475E-2</c:v>
                </c:pt>
                <c:pt idx="97">
                  <c:v>3.0531948378973887E-2</c:v>
                </c:pt>
                <c:pt idx="98">
                  <c:v>3.0846710733396298E-2</c:v>
                </c:pt>
                <c:pt idx="99">
                  <c:v>3.1161473087818709E-2</c:v>
                </c:pt>
                <c:pt idx="100">
                  <c:v>3.1476235442241117E-2</c:v>
                </c:pt>
                <c:pt idx="101">
                  <c:v>3.1790997796663528E-2</c:v>
                </c:pt>
                <c:pt idx="102">
                  <c:v>3.2105760151085939E-2</c:v>
                </c:pt>
                <c:pt idx="103">
                  <c:v>3.2420522505508351E-2</c:v>
                </c:pt>
                <c:pt idx="104">
                  <c:v>3.2735284859930762E-2</c:v>
                </c:pt>
                <c:pt idx="105">
                  <c:v>3.3050047214353173E-2</c:v>
                </c:pt>
                <c:pt idx="106">
                  <c:v>3.3364809568775584E-2</c:v>
                </c:pt>
                <c:pt idx="107">
                  <c:v>3.3679571923197996E-2</c:v>
                </c:pt>
                <c:pt idx="108">
                  <c:v>3.3994334277620407E-2</c:v>
                </c:pt>
                <c:pt idx="109">
                  <c:v>3.4309096632042818E-2</c:v>
                </c:pt>
                <c:pt idx="110">
                  <c:v>3.4623858986465229E-2</c:v>
                </c:pt>
                <c:pt idx="111">
                  <c:v>3.4938621340887641E-2</c:v>
                </c:pt>
                <c:pt idx="112">
                  <c:v>3.5253383695310052E-2</c:v>
                </c:pt>
                <c:pt idx="113">
                  <c:v>3.5568146049732463E-2</c:v>
                </c:pt>
                <c:pt idx="114">
                  <c:v>3.5882908404154874E-2</c:v>
                </c:pt>
                <c:pt idx="115">
                  <c:v>3.6197670758577286E-2</c:v>
                </c:pt>
                <c:pt idx="116">
                  <c:v>3.6512433112999697E-2</c:v>
                </c:pt>
                <c:pt idx="117">
                  <c:v>3.6827195467422108E-2</c:v>
                </c:pt>
                <c:pt idx="118">
                  <c:v>3.7141957821844519E-2</c:v>
                </c:pt>
                <c:pt idx="119">
                  <c:v>3.7456720176266931E-2</c:v>
                </c:pt>
                <c:pt idx="120">
                  <c:v>3.7771482530689342E-2</c:v>
                </c:pt>
                <c:pt idx="121">
                  <c:v>3.8086244885111753E-2</c:v>
                </c:pt>
                <c:pt idx="122">
                  <c:v>3.8401007239534164E-2</c:v>
                </c:pt>
                <c:pt idx="123">
                  <c:v>3.8715769593956575E-2</c:v>
                </c:pt>
                <c:pt idx="124">
                  <c:v>3.9030531948378987E-2</c:v>
                </c:pt>
                <c:pt idx="125">
                  <c:v>3.9345294302801398E-2</c:v>
                </c:pt>
                <c:pt idx="126">
                  <c:v>3.9660056657223809E-2</c:v>
                </c:pt>
                <c:pt idx="127">
                  <c:v>3.997481901164622E-2</c:v>
                </c:pt>
                <c:pt idx="128">
                  <c:v>4.0289581366068632E-2</c:v>
                </c:pt>
                <c:pt idx="129">
                  <c:v>4.0604343720491043E-2</c:v>
                </c:pt>
                <c:pt idx="130">
                  <c:v>4.0919106074913454E-2</c:v>
                </c:pt>
                <c:pt idx="131">
                  <c:v>4.1233868429335865E-2</c:v>
                </c:pt>
                <c:pt idx="132">
                  <c:v>4.1548630783758277E-2</c:v>
                </c:pt>
                <c:pt idx="133">
                  <c:v>4.1863393138180688E-2</c:v>
                </c:pt>
                <c:pt idx="134">
                  <c:v>4.2178155492603099E-2</c:v>
                </c:pt>
                <c:pt idx="135">
                  <c:v>4.249291784702551E-2</c:v>
                </c:pt>
                <c:pt idx="136">
                  <c:v>4.2807680201447922E-2</c:v>
                </c:pt>
                <c:pt idx="137">
                  <c:v>4.3122442555870333E-2</c:v>
                </c:pt>
                <c:pt idx="138">
                  <c:v>4.3437204910292744E-2</c:v>
                </c:pt>
                <c:pt idx="139">
                  <c:v>4.3751967264715155E-2</c:v>
                </c:pt>
                <c:pt idx="140">
                  <c:v>4.4066729619137567E-2</c:v>
                </c:pt>
                <c:pt idx="141">
                  <c:v>4.4381491973559978E-2</c:v>
                </c:pt>
                <c:pt idx="142">
                  <c:v>4.4696254327982389E-2</c:v>
                </c:pt>
                <c:pt idx="143">
                  <c:v>4.50110166824048E-2</c:v>
                </c:pt>
                <c:pt idx="144">
                  <c:v>4.5325779036827211E-2</c:v>
                </c:pt>
                <c:pt idx="145">
                  <c:v>4.5640541391249623E-2</c:v>
                </c:pt>
                <c:pt idx="146">
                  <c:v>4.5955303745672034E-2</c:v>
                </c:pt>
                <c:pt idx="147">
                  <c:v>4.6270066100094445E-2</c:v>
                </c:pt>
                <c:pt idx="148">
                  <c:v>4.6584828454516856E-2</c:v>
                </c:pt>
                <c:pt idx="149">
                  <c:v>4.6899590808939268E-2</c:v>
                </c:pt>
                <c:pt idx="150">
                  <c:v>4.7214353163361679E-2</c:v>
                </c:pt>
                <c:pt idx="151">
                  <c:v>4.752911551778409E-2</c:v>
                </c:pt>
                <c:pt idx="152">
                  <c:v>4.7843877872206501E-2</c:v>
                </c:pt>
                <c:pt idx="153">
                  <c:v>4.8158640226628913E-2</c:v>
                </c:pt>
                <c:pt idx="154">
                  <c:v>4.8473402581051324E-2</c:v>
                </c:pt>
                <c:pt idx="155">
                  <c:v>4.8788164935473735E-2</c:v>
                </c:pt>
                <c:pt idx="156">
                  <c:v>4.9102927289896146E-2</c:v>
                </c:pt>
                <c:pt idx="157">
                  <c:v>4.9417689644318558E-2</c:v>
                </c:pt>
                <c:pt idx="158">
                  <c:v>4.9732451998740969E-2</c:v>
                </c:pt>
                <c:pt idx="159">
                  <c:v>5.004721435316338E-2</c:v>
                </c:pt>
                <c:pt idx="160">
                  <c:v>5.0361976707585791E-2</c:v>
                </c:pt>
                <c:pt idx="161">
                  <c:v>5.0676739062008203E-2</c:v>
                </c:pt>
                <c:pt idx="162">
                  <c:v>5.0991501416430614E-2</c:v>
                </c:pt>
                <c:pt idx="163">
                  <c:v>5.1306263770853025E-2</c:v>
                </c:pt>
                <c:pt idx="164">
                  <c:v>5.1621026125275436E-2</c:v>
                </c:pt>
                <c:pt idx="165">
                  <c:v>5.1935788479697848E-2</c:v>
                </c:pt>
                <c:pt idx="166">
                  <c:v>5.2250550834120259E-2</c:v>
                </c:pt>
                <c:pt idx="167">
                  <c:v>5.256531318854267E-2</c:v>
                </c:pt>
                <c:pt idx="168">
                  <c:v>5.2880075542965081E-2</c:v>
                </c:pt>
                <c:pt idx="169">
                  <c:v>5.3194837897387492E-2</c:v>
                </c:pt>
                <c:pt idx="170">
                  <c:v>5.3509600251809904E-2</c:v>
                </c:pt>
                <c:pt idx="171">
                  <c:v>5.3824362606232315E-2</c:v>
                </c:pt>
                <c:pt idx="172">
                  <c:v>5.4139124960654726E-2</c:v>
                </c:pt>
                <c:pt idx="173">
                  <c:v>5.4453887315077137E-2</c:v>
                </c:pt>
                <c:pt idx="174">
                  <c:v>5.4768649669499549E-2</c:v>
                </c:pt>
                <c:pt idx="175">
                  <c:v>5.508341202392196E-2</c:v>
                </c:pt>
                <c:pt idx="176">
                  <c:v>5.5398174378344371E-2</c:v>
                </c:pt>
                <c:pt idx="177">
                  <c:v>5.5712936732766782E-2</c:v>
                </c:pt>
                <c:pt idx="178">
                  <c:v>5.6027699087189194E-2</c:v>
                </c:pt>
                <c:pt idx="179">
                  <c:v>5.6342461441611605E-2</c:v>
                </c:pt>
                <c:pt idx="180">
                  <c:v>5.6657223796034016E-2</c:v>
                </c:pt>
                <c:pt idx="181">
                  <c:v>5.6971986150456427E-2</c:v>
                </c:pt>
                <c:pt idx="182">
                  <c:v>5.7286748504878839E-2</c:v>
                </c:pt>
                <c:pt idx="183">
                  <c:v>5.760151085930125E-2</c:v>
                </c:pt>
                <c:pt idx="184">
                  <c:v>5.7916273213723661E-2</c:v>
                </c:pt>
                <c:pt idx="185">
                  <c:v>5.8231035568146072E-2</c:v>
                </c:pt>
                <c:pt idx="186">
                  <c:v>5.8545797922568484E-2</c:v>
                </c:pt>
                <c:pt idx="187">
                  <c:v>5.8860560276990895E-2</c:v>
                </c:pt>
                <c:pt idx="188">
                  <c:v>5.9175322631413306E-2</c:v>
                </c:pt>
                <c:pt idx="189">
                  <c:v>5.9490084985835717E-2</c:v>
                </c:pt>
                <c:pt idx="190">
                  <c:v>5.9804847340258128E-2</c:v>
                </c:pt>
                <c:pt idx="191">
                  <c:v>6.011960969468054E-2</c:v>
                </c:pt>
                <c:pt idx="192">
                  <c:v>6.0434372049102951E-2</c:v>
                </c:pt>
                <c:pt idx="193">
                  <c:v>6.0749134403525362E-2</c:v>
                </c:pt>
                <c:pt idx="194">
                  <c:v>6.1063896757947773E-2</c:v>
                </c:pt>
                <c:pt idx="195">
                  <c:v>6.1378659112370185E-2</c:v>
                </c:pt>
                <c:pt idx="196">
                  <c:v>6.1693421466792596E-2</c:v>
                </c:pt>
                <c:pt idx="197">
                  <c:v>6.2008183821215007E-2</c:v>
                </c:pt>
                <c:pt idx="198">
                  <c:v>6.2322946175637418E-2</c:v>
                </c:pt>
                <c:pt idx="199">
                  <c:v>6.263770853005983E-2</c:v>
                </c:pt>
                <c:pt idx="200">
                  <c:v>6.2952470884482234E-2</c:v>
                </c:pt>
                <c:pt idx="201">
                  <c:v>6.3267233238904638E-2</c:v>
                </c:pt>
                <c:pt idx="202">
                  <c:v>6.3581995593327043E-2</c:v>
                </c:pt>
                <c:pt idx="203">
                  <c:v>6.3896757947749447E-2</c:v>
                </c:pt>
                <c:pt idx="204">
                  <c:v>6.4211520302171851E-2</c:v>
                </c:pt>
                <c:pt idx="205">
                  <c:v>6.4526282656594255E-2</c:v>
                </c:pt>
                <c:pt idx="206">
                  <c:v>6.484104501101666E-2</c:v>
                </c:pt>
                <c:pt idx="207">
                  <c:v>6.5155807365439064E-2</c:v>
                </c:pt>
                <c:pt idx="208">
                  <c:v>6.5470569719861468E-2</c:v>
                </c:pt>
                <c:pt idx="209">
                  <c:v>6.5785332074283873E-2</c:v>
                </c:pt>
                <c:pt idx="210">
                  <c:v>6.6100094428706277E-2</c:v>
                </c:pt>
                <c:pt idx="211">
                  <c:v>6.6414856783128681E-2</c:v>
                </c:pt>
                <c:pt idx="212">
                  <c:v>6.6729619137551086E-2</c:v>
                </c:pt>
                <c:pt idx="213">
                  <c:v>6.704438149197349E-2</c:v>
                </c:pt>
                <c:pt idx="214">
                  <c:v>6.7359143846395894E-2</c:v>
                </c:pt>
                <c:pt idx="215">
                  <c:v>6.7673906200818298E-2</c:v>
                </c:pt>
                <c:pt idx="216">
                  <c:v>6.7988668555240703E-2</c:v>
                </c:pt>
                <c:pt idx="217">
                  <c:v>6.8303430909663107E-2</c:v>
                </c:pt>
                <c:pt idx="218">
                  <c:v>6.8618193264085511E-2</c:v>
                </c:pt>
                <c:pt idx="219">
                  <c:v>6.8932955618507916E-2</c:v>
                </c:pt>
                <c:pt idx="220">
                  <c:v>6.924771797293032E-2</c:v>
                </c:pt>
                <c:pt idx="221">
                  <c:v>6.9562480327352724E-2</c:v>
                </c:pt>
                <c:pt idx="222">
                  <c:v>6.9877242681775129E-2</c:v>
                </c:pt>
                <c:pt idx="223">
                  <c:v>7.0192005036197533E-2</c:v>
                </c:pt>
                <c:pt idx="224">
                  <c:v>7.0506767390619937E-2</c:v>
                </c:pt>
                <c:pt idx="225">
                  <c:v>7.0821529745042341E-2</c:v>
                </c:pt>
                <c:pt idx="226">
                  <c:v>7.1136292099464746E-2</c:v>
                </c:pt>
                <c:pt idx="227">
                  <c:v>7.145105445388715E-2</c:v>
                </c:pt>
                <c:pt idx="228">
                  <c:v>7.1765816808309554E-2</c:v>
                </c:pt>
                <c:pt idx="229">
                  <c:v>7.2080579162731959E-2</c:v>
                </c:pt>
                <c:pt idx="230">
                  <c:v>7.2395341517154363E-2</c:v>
                </c:pt>
                <c:pt idx="231">
                  <c:v>7.2710103871576767E-2</c:v>
                </c:pt>
                <c:pt idx="232">
                  <c:v>7.3024866225999172E-2</c:v>
                </c:pt>
                <c:pt idx="233">
                  <c:v>7.3339628580421576E-2</c:v>
                </c:pt>
                <c:pt idx="234">
                  <c:v>7.365439093484398E-2</c:v>
                </c:pt>
                <c:pt idx="235">
                  <c:v>7.3969153289266384E-2</c:v>
                </c:pt>
                <c:pt idx="236">
                  <c:v>7.4283915643688789E-2</c:v>
                </c:pt>
                <c:pt idx="237">
                  <c:v>7.4598677998111193E-2</c:v>
                </c:pt>
                <c:pt idx="238">
                  <c:v>7.4913440352533597E-2</c:v>
                </c:pt>
                <c:pt idx="239">
                  <c:v>7.5228202706956002E-2</c:v>
                </c:pt>
                <c:pt idx="240">
                  <c:v>7.5542965061378406E-2</c:v>
                </c:pt>
                <c:pt idx="241">
                  <c:v>7.585772741580081E-2</c:v>
                </c:pt>
                <c:pt idx="242">
                  <c:v>7.6172489770223215E-2</c:v>
                </c:pt>
                <c:pt idx="243">
                  <c:v>7.6487252124645619E-2</c:v>
                </c:pt>
                <c:pt idx="244">
                  <c:v>7.6802014479068023E-2</c:v>
                </c:pt>
                <c:pt idx="245">
                  <c:v>7.7116776833490427E-2</c:v>
                </c:pt>
                <c:pt idx="246">
                  <c:v>7.7431539187912832E-2</c:v>
                </c:pt>
                <c:pt idx="247">
                  <c:v>7.7746301542335236E-2</c:v>
                </c:pt>
                <c:pt idx="248">
                  <c:v>7.806106389675764E-2</c:v>
                </c:pt>
                <c:pt idx="249">
                  <c:v>7.8375826251180045E-2</c:v>
                </c:pt>
                <c:pt idx="250">
                  <c:v>7.8690588605602449E-2</c:v>
                </c:pt>
                <c:pt idx="251">
                  <c:v>7.9005350960024853E-2</c:v>
                </c:pt>
                <c:pt idx="252">
                  <c:v>7.9320113314447258E-2</c:v>
                </c:pt>
                <c:pt idx="253">
                  <c:v>7.9634875668869662E-2</c:v>
                </c:pt>
                <c:pt idx="254">
                  <c:v>7.9949638023292066E-2</c:v>
                </c:pt>
                <c:pt idx="255">
                  <c:v>8.026440037771447E-2</c:v>
                </c:pt>
                <c:pt idx="256">
                  <c:v>8.0579162732136875E-2</c:v>
                </c:pt>
                <c:pt idx="257">
                  <c:v>8.0893925086559279E-2</c:v>
                </c:pt>
                <c:pt idx="258">
                  <c:v>8.1208687440981683E-2</c:v>
                </c:pt>
                <c:pt idx="259">
                  <c:v>8.1523449795404088E-2</c:v>
                </c:pt>
                <c:pt idx="260">
                  <c:v>8.1838212149826492E-2</c:v>
                </c:pt>
                <c:pt idx="261">
                  <c:v>8.2152974504248896E-2</c:v>
                </c:pt>
                <c:pt idx="262">
                  <c:v>8.2467736858671301E-2</c:v>
                </c:pt>
                <c:pt idx="263">
                  <c:v>8.2782499213093705E-2</c:v>
                </c:pt>
                <c:pt idx="264">
                  <c:v>8.3097261567516109E-2</c:v>
                </c:pt>
                <c:pt idx="265">
                  <c:v>8.3412023921938513E-2</c:v>
                </c:pt>
                <c:pt idx="266">
                  <c:v>8.3726786276360918E-2</c:v>
                </c:pt>
                <c:pt idx="267">
                  <c:v>8.4041548630783322E-2</c:v>
                </c:pt>
                <c:pt idx="268">
                  <c:v>8.4356310985205726E-2</c:v>
                </c:pt>
                <c:pt idx="269">
                  <c:v>8.4671073339628131E-2</c:v>
                </c:pt>
                <c:pt idx="270">
                  <c:v>8.4985835694050535E-2</c:v>
                </c:pt>
                <c:pt idx="271">
                  <c:v>8.5300598048472939E-2</c:v>
                </c:pt>
                <c:pt idx="272">
                  <c:v>8.5615360402895344E-2</c:v>
                </c:pt>
                <c:pt idx="273">
                  <c:v>8.5930122757317748E-2</c:v>
                </c:pt>
                <c:pt idx="274">
                  <c:v>8.6244885111740152E-2</c:v>
                </c:pt>
                <c:pt idx="275">
                  <c:v>8.6559647466162556E-2</c:v>
                </c:pt>
                <c:pt idx="276">
                  <c:v>8.6874409820584961E-2</c:v>
                </c:pt>
                <c:pt idx="277">
                  <c:v>8.7189172175007365E-2</c:v>
                </c:pt>
                <c:pt idx="278">
                  <c:v>8.7503934529429769E-2</c:v>
                </c:pt>
                <c:pt idx="279">
                  <c:v>8.7818696883852174E-2</c:v>
                </c:pt>
                <c:pt idx="280">
                  <c:v>8.8133459238274578E-2</c:v>
                </c:pt>
                <c:pt idx="281">
                  <c:v>8.8448221592696982E-2</c:v>
                </c:pt>
                <c:pt idx="282">
                  <c:v>8.8762983947119387E-2</c:v>
                </c:pt>
                <c:pt idx="283">
                  <c:v>8.9077746301541791E-2</c:v>
                </c:pt>
                <c:pt idx="284">
                  <c:v>8.9392508655964195E-2</c:v>
                </c:pt>
                <c:pt idx="285">
                  <c:v>8.9707271010386599E-2</c:v>
                </c:pt>
                <c:pt idx="286">
                  <c:v>9.0022033364809004E-2</c:v>
                </c:pt>
                <c:pt idx="287">
                  <c:v>9.0336795719231408E-2</c:v>
                </c:pt>
                <c:pt idx="288">
                  <c:v>9.0651558073653812E-2</c:v>
                </c:pt>
                <c:pt idx="289">
                  <c:v>9.0966320428076217E-2</c:v>
                </c:pt>
                <c:pt idx="290">
                  <c:v>9.1281082782498621E-2</c:v>
                </c:pt>
                <c:pt idx="291">
                  <c:v>9.1595845136921025E-2</c:v>
                </c:pt>
                <c:pt idx="292">
                  <c:v>9.191060749134343E-2</c:v>
                </c:pt>
                <c:pt idx="293">
                  <c:v>9.2225369845765834E-2</c:v>
                </c:pt>
                <c:pt idx="294">
                  <c:v>9.2540132200188238E-2</c:v>
                </c:pt>
                <c:pt idx="295">
                  <c:v>9.2854894554610642E-2</c:v>
                </c:pt>
                <c:pt idx="296">
                  <c:v>9.3169656909033047E-2</c:v>
                </c:pt>
                <c:pt idx="297">
                  <c:v>9.3484419263455451E-2</c:v>
                </c:pt>
                <c:pt idx="298">
                  <c:v>9.3799181617877855E-2</c:v>
                </c:pt>
                <c:pt idx="299">
                  <c:v>9.411394397230026E-2</c:v>
                </c:pt>
                <c:pt idx="300">
                  <c:v>9.4428706326722664E-2</c:v>
                </c:pt>
                <c:pt idx="301">
                  <c:v>9.4743468681145068E-2</c:v>
                </c:pt>
                <c:pt idx="302">
                  <c:v>9.5058231035567473E-2</c:v>
                </c:pt>
                <c:pt idx="303">
                  <c:v>9.5372993389989877E-2</c:v>
                </c:pt>
                <c:pt idx="304">
                  <c:v>9.5687755744412281E-2</c:v>
                </c:pt>
                <c:pt idx="305">
                  <c:v>9.6002518098834685E-2</c:v>
                </c:pt>
                <c:pt idx="306">
                  <c:v>9.631728045325709E-2</c:v>
                </c:pt>
                <c:pt idx="307">
                  <c:v>9.6632042807679494E-2</c:v>
                </c:pt>
                <c:pt idx="308">
                  <c:v>9.6946805162101898E-2</c:v>
                </c:pt>
                <c:pt idx="309">
                  <c:v>9.7261567516524303E-2</c:v>
                </c:pt>
                <c:pt idx="310">
                  <c:v>9.7576329870946707E-2</c:v>
                </c:pt>
                <c:pt idx="311">
                  <c:v>9.7891092225369111E-2</c:v>
                </c:pt>
                <c:pt idx="312">
                  <c:v>9.8205854579791516E-2</c:v>
                </c:pt>
                <c:pt idx="313">
                  <c:v>9.852061693421392E-2</c:v>
                </c:pt>
                <c:pt idx="314">
                  <c:v>9.8835379288636324E-2</c:v>
                </c:pt>
                <c:pt idx="315">
                  <c:v>9.9150141643058728E-2</c:v>
                </c:pt>
                <c:pt idx="316">
                  <c:v>9.9464903997481133E-2</c:v>
                </c:pt>
                <c:pt idx="317">
                  <c:v>9.9779666351903537E-2</c:v>
                </c:pt>
                <c:pt idx="318">
                  <c:v>0.10009442870632594</c:v>
                </c:pt>
                <c:pt idx="319">
                  <c:v>0.10040919106074835</c:v>
                </c:pt>
                <c:pt idx="320">
                  <c:v>0.10072395341517075</c:v>
                </c:pt>
                <c:pt idx="321">
                  <c:v>0.10103871576959315</c:v>
                </c:pt>
                <c:pt idx="322">
                  <c:v>0.10135347812401556</c:v>
                </c:pt>
                <c:pt idx="323">
                  <c:v>0.10166824047843796</c:v>
                </c:pt>
                <c:pt idx="324">
                  <c:v>0.10198300283286037</c:v>
                </c:pt>
                <c:pt idx="325">
                  <c:v>0.10229776518728277</c:v>
                </c:pt>
                <c:pt idx="326">
                  <c:v>0.10261252754170518</c:v>
                </c:pt>
                <c:pt idx="327">
                  <c:v>0.10292728989612758</c:v>
                </c:pt>
                <c:pt idx="328">
                  <c:v>0.10324205225054998</c:v>
                </c:pt>
                <c:pt idx="329">
                  <c:v>0.10355681460497239</c:v>
                </c:pt>
                <c:pt idx="330">
                  <c:v>0.10387157695939479</c:v>
                </c:pt>
                <c:pt idx="331">
                  <c:v>0.1041863393138172</c:v>
                </c:pt>
                <c:pt idx="332">
                  <c:v>0.1045011016682396</c:v>
                </c:pt>
                <c:pt idx="333">
                  <c:v>0.10481586402266201</c:v>
                </c:pt>
                <c:pt idx="334">
                  <c:v>0.10513062637708441</c:v>
                </c:pt>
                <c:pt idx="335">
                  <c:v>0.10544538873150681</c:v>
                </c:pt>
                <c:pt idx="336">
                  <c:v>0.10576015108592922</c:v>
                </c:pt>
                <c:pt idx="337">
                  <c:v>0.10607491344035162</c:v>
                </c:pt>
                <c:pt idx="338">
                  <c:v>0.10638967579477403</c:v>
                </c:pt>
                <c:pt idx="339">
                  <c:v>0.10670443814919643</c:v>
                </c:pt>
                <c:pt idx="340">
                  <c:v>0.10701920050361884</c:v>
                </c:pt>
                <c:pt idx="341">
                  <c:v>0.10733396285804124</c:v>
                </c:pt>
                <c:pt idx="342">
                  <c:v>0.10764872521246364</c:v>
                </c:pt>
                <c:pt idx="343">
                  <c:v>0.10796348756688605</c:v>
                </c:pt>
                <c:pt idx="344">
                  <c:v>0.10827824992130845</c:v>
                </c:pt>
                <c:pt idx="345">
                  <c:v>0.10859301227573086</c:v>
                </c:pt>
                <c:pt idx="346">
                  <c:v>0.10890777463015326</c:v>
                </c:pt>
                <c:pt idx="347">
                  <c:v>0.10922253698457567</c:v>
                </c:pt>
                <c:pt idx="348">
                  <c:v>0.10953729933899807</c:v>
                </c:pt>
                <c:pt idx="349">
                  <c:v>0.10985206169342047</c:v>
                </c:pt>
                <c:pt idx="350">
                  <c:v>0.11016682404784288</c:v>
                </c:pt>
                <c:pt idx="351">
                  <c:v>0.11048158640226528</c:v>
                </c:pt>
                <c:pt idx="352">
                  <c:v>0.11079634875668769</c:v>
                </c:pt>
                <c:pt idx="353">
                  <c:v>0.11111111111111009</c:v>
                </c:pt>
                <c:pt idx="354">
                  <c:v>0.1114258734655325</c:v>
                </c:pt>
                <c:pt idx="355">
                  <c:v>0.1117406358199549</c:v>
                </c:pt>
                <c:pt idx="356">
                  <c:v>0.1120553981743773</c:v>
                </c:pt>
                <c:pt idx="357">
                  <c:v>0.11237016052879971</c:v>
                </c:pt>
                <c:pt idx="358">
                  <c:v>0.11268492288322211</c:v>
                </c:pt>
                <c:pt idx="359">
                  <c:v>0.11299968523764452</c:v>
                </c:pt>
                <c:pt idx="360">
                  <c:v>0.11331444759206692</c:v>
                </c:pt>
                <c:pt idx="361">
                  <c:v>0.11362920994648933</c:v>
                </c:pt>
                <c:pt idx="362">
                  <c:v>0.11394397230091173</c:v>
                </c:pt>
                <c:pt idx="363">
                  <c:v>0.11425873465533413</c:v>
                </c:pt>
                <c:pt idx="364">
                  <c:v>0.11457349700975654</c:v>
                </c:pt>
                <c:pt idx="365">
                  <c:v>0.11488825936417894</c:v>
                </c:pt>
                <c:pt idx="366">
                  <c:v>0.11520302171860135</c:v>
                </c:pt>
                <c:pt idx="367">
                  <c:v>0.11551778407302375</c:v>
                </c:pt>
                <c:pt idx="368">
                  <c:v>0.11583254642744616</c:v>
                </c:pt>
                <c:pt idx="369">
                  <c:v>0.11614730878186856</c:v>
                </c:pt>
                <c:pt idx="370">
                  <c:v>0.11646207113629096</c:v>
                </c:pt>
                <c:pt idx="371">
                  <c:v>0.11677683349071337</c:v>
                </c:pt>
                <c:pt idx="372">
                  <c:v>0.11709159584513577</c:v>
                </c:pt>
                <c:pt idx="373">
                  <c:v>0.11740635819955818</c:v>
                </c:pt>
                <c:pt idx="374">
                  <c:v>0.11772112055398058</c:v>
                </c:pt>
                <c:pt idx="375">
                  <c:v>0.11803588290840299</c:v>
                </c:pt>
                <c:pt idx="376">
                  <c:v>0.11835064526282539</c:v>
                </c:pt>
                <c:pt idx="377">
                  <c:v>0.1186654076172478</c:v>
                </c:pt>
                <c:pt idx="378">
                  <c:v>0.1189801699716702</c:v>
                </c:pt>
                <c:pt idx="379">
                  <c:v>0.1192949323260926</c:v>
                </c:pt>
                <c:pt idx="380">
                  <c:v>0.11960969468051501</c:v>
                </c:pt>
                <c:pt idx="381">
                  <c:v>0.11992445703493741</c:v>
                </c:pt>
                <c:pt idx="382">
                  <c:v>0.12023921938935982</c:v>
                </c:pt>
                <c:pt idx="383">
                  <c:v>0.12055398174378222</c:v>
                </c:pt>
                <c:pt idx="384">
                  <c:v>0.12086874409820463</c:v>
                </c:pt>
                <c:pt idx="385">
                  <c:v>0.12118350645262703</c:v>
                </c:pt>
                <c:pt idx="386">
                  <c:v>0.12149826880704943</c:v>
                </c:pt>
                <c:pt idx="387">
                  <c:v>0.12181303116147184</c:v>
                </c:pt>
                <c:pt idx="388">
                  <c:v>0.12212779351589424</c:v>
                </c:pt>
                <c:pt idx="389">
                  <c:v>0.12244255587031665</c:v>
                </c:pt>
                <c:pt idx="390">
                  <c:v>0.12275731822473905</c:v>
                </c:pt>
                <c:pt idx="391">
                  <c:v>0.12307208057916146</c:v>
                </c:pt>
                <c:pt idx="392">
                  <c:v>0.12338684293358386</c:v>
                </c:pt>
                <c:pt idx="393">
                  <c:v>0.12370160528800626</c:v>
                </c:pt>
                <c:pt idx="394">
                  <c:v>0.12401636764242867</c:v>
                </c:pt>
                <c:pt idx="395">
                  <c:v>0.12433112999685107</c:v>
                </c:pt>
                <c:pt idx="396">
                  <c:v>0.12464589235127348</c:v>
                </c:pt>
                <c:pt idx="397">
                  <c:v>0.12496065470569588</c:v>
                </c:pt>
                <c:pt idx="398">
                  <c:v>0.1252754170601183</c:v>
                </c:pt>
                <c:pt idx="399">
                  <c:v>0.1255901794145407</c:v>
                </c:pt>
                <c:pt idx="400">
                  <c:v>0.12590494176896311</c:v>
                </c:pt>
                <c:pt idx="401">
                  <c:v>0.12621970412338551</c:v>
                </c:pt>
                <c:pt idx="402">
                  <c:v>0.12653446647780792</c:v>
                </c:pt>
                <c:pt idx="403">
                  <c:v>0.12684922883223032</c:v>
                </c:pt>
                <c:pt idx="404">
                  <c:v>0.12716399118665273</c:v>
                </c:pt>
                <c:pt idx="405">
                  <c:v>0.12747875354107513</c:v>
                </c:pt>
                <c:pt idx="406">
                  <c:v>0.12779351589549753</c:v>
                </c:pt>
                <c:pt idx="407">
                  <c:v>0.12810827824991994</c:v>
                </c:pt>
                <c:pt idx="408">
                  <c:v>0.12842304060434234</c:v>
                </c:pt>
                <c:pt idx="409">
                  <c:v>0.12873780295876475</c:v>
                </c:pt>
                <c:pt idx="410">
                  <c:v>0.12905256531318715</c:v>
                </c:pt>
                <c:pt idx="411">
                  <c:v>0.12936732766760956</c:v>
                </c:pt>
                <c:pt idx="412">
                  <c:v>0.12968209002203196</c:v>
                </c:pt>
                <c:pt idx="413">
                  <c:v>0.12999685237645436</c:v>
                </c:pt>
                <c:pt idx="414">
                  <c:v>0.13031161473087677</c:v>
                </c:pt>
                <c:pt idx="415">
                  <c:v>0.13062637708529917</c:v>
                </c:pt>
                <c:pt idx="416">
                  <c:v>0.13094113943972158</c:v>
                </c:pt>
                <c:pt idx="417">
                  <c:v>0.13125590179414398</c:v>
                </c:pt>
                <c:pt idx="418">
                  <c:v>0.13157066414856639</c:v>
                </c:pt>
                <c:pt idx="419">
                  <c:v>0.13188542650298879</c:v>
                </c:pt>
                <c:pt idx="420">
                  <c:v>0.13220018885741119</c:v>
                </c:pt>
                <c:pt idx="421">
                  <c:v>0.1325149512118336</c:v>
                </c:pt>
                <c:pt idx="422">
                  <c:v>0.132829713566256</c:v>
                </c:pt>
                <c:pt idx="423">
                  <c:v>0.13314447592067841</c:v>
                </c:pt>
                <c:pt idx="424">
                  <c:v>0.13345923827510081</c:v>
                </c:pt>
                <c:pt idx="425">
                  <c:v>0.13377400062952322</c:v>
                </c:pt>
                <c:pt idx="426">
                  <c:v>0.13408876298394562</c:v>
                </c:pt>
                <c:pt idx="427">
                  <c:v>0.13440352533836802</c:v>
                </c:pt>
                <c:pt idx="428">
                  <c:v>0.13471828769279043</c:v>
                </c:pt>
                <c:pt idx="429">
                  <c:v>0.13503305004721283</c:v>
                </c:pt>
                <c:pt idx="430">
                  <c:v>0.13534781240163524</c:v>
                </c:pt>
                <c:pt idx="431">
                  <c:v>0.13566257475605764</c:v>
                </c:pt>
                <c:pt idx="432">
                  <c:v>0.13597733711048005</c:v>
                </c:pt>
                <c:pt idx="433">
                  <c:v>0.13629209946490245</c:v>
                </c:pt>
                <c:pt idx="434">
                  <c:v>0.13660686181932485</c:v>
                </c:pt>
                <c:pt idx="435">
                  <c:v>0.13692162417374726</c:v>
                </c:pt>
                <c:pt idx="436">
                  <c:v>0.13723638652816966</c:v>
                </c:pt>
                <c:pt idx="437">
                  <c:v>0.13755114888259207</c:v>
                </c:pt>
                <c:pt idx="438">
                  <c:v>0.13786591123701447</c:v>
                </c:pt>
                <c:pt idx="439">
                  <c:v>0.13818067359143688</c:v>
                </c:pt>
                <c:pt idx="440">
                  <c:v>0.13849543594585928</c:v>
                </c:pt>
                <c:pt idx="441">
                  <c:v>0.13881019830028168</c:v>
                </c:pt>
                <c:pt idx="442">
                  <c:v>0.13912496065470409</c:v>
                </c:pt>
                <c:pt idx="443">
                  <c:v>0.13943972300912649</c:v>
                </c:pt>
                <c:pt idx="444">
                  <c:v>0.1397544853635489</c:v>
                </c:pt>
                <c:pt idx="445">
                  <c:v>0.1400692477179713</c:v>
                </c:pt>
                <c:pt idx="446">
                  <c:v>0.14038401007239371</c:v>
                </c:pt>
                <c:pt idx="447">
                  <c:v>0.14069877242681611</c:v>
                </c:pt>
                <c:pt idx="448">
                  <c:v>0.14101353478123851</c:v>
                </c:pt>
                <c:pt idx="449">
                  <c:v>0.14132829713566092</c:v>
                </c:pt>
                <c:pt idx="450">
                  <c:v>0.14164305949008332</c:v>
                </c:pt>
                <c:pt idx="451">
                  <c:v>0.14195782184450573</c:v>
                </c:pt>
                <c:pt idx="452">
                  <c:v>0.14227258419892813</c:v>
                </c:pt>
                <c:pt idx="453">
                  <c:v>0.14258734655335054</c:v>
                </c:pt>
                <c:pt idx="454">
                  <c:v>0.14290210890777294</c:v>
                </c:pt>
                <c:pt idx="455">
                  <c:v>0.14321687126219534</c:v>
                </c:pt>
                <c:pt idx="456">
                  <c:v>0.14353163361661775</c:v>
                </c:pt>
                <c:pt idx="457">
                  <c:v>0.14384639597104015</c:v>
                </c:pt>
                <c:pt idx="458">
                  <c:v>0.14416115832546256</c:v>
                </c:pt>
                <c:pt idx="459">
                  <c:v>0.14447592067988496</c:v>
                </c:pt>
                <c:pt idx="460">
                  <c:v>0.14479068303430737</c:v>
                </c:pt>
                <c:pt idx="461">
                  <c:v>0.14510544538872977</c:v>
                </c:pt>
                <c:pt idx="462">
                  <c:v>0.14542020774315217</c:v>
                </c:pt>
                <c:pt idx="463">
                  <c:v>0.14573497009757458</c:v>
                </c:pt>
                <c:pt idx="464">
                  <c:v>0.14604973245199698</c:v>
                </c:pt>
                <c:pt idx="465">
                  <c:v>0.14636449480641939</c:v>
                </c:pt>
                <c:pt idx="466">
                  <c:v>0.14667925716084179</c:v>
                </c:pt>
                <c:pt idx="467">
                  <c:v>0.1469940195152642</c:v>
                </c:pt>
                <c:pt idx="468">
                  <c:v>0.1473087818696866</c:v>
                </c:pt>
                <c:pt idx="469">
                  <c:v>0.147623544224109</c:v>
                </c:pt>
                <c:pt idx="470">
                  <c:v>0.14793830657853141</c:v>
                </c:pt>
                <c:pt idx="471">
                  <c:v>0.14825306893295381</c:v>
                </c:pt>
                <c:pt idx="472">
                  <c:v>0.14856783128737622</c:v>
                </c:pt>
                <c:pt idx="473">
                  <c:v>0.14888259364179862</c:v>
                </c:pt>
                <c:pt idx="474">
                  <c:v>0.14919735599622103</c:v>
                </c:pt>
                <c:pt idx="475">
                  <c:v>0.14951211835064343</c:v>
                </c:pt>
                <c:pt idx="476">
                  <c:v>0.14982688070506583</c:v>
                </c:pt>
                <c:pt idx="477">
                  <c:v>0.15014164305948824</c:v>
                </c:pt>
                <c:pt idx="478">
                  <c:v>0.15045640541391064</c:v>
                </c:pt>
                <c:pt idx="479">
                  <c:v>0.15077116776833305</c:v>
                </c:pt>
                <c:pt idx="480">
                  <c:v>0.15108593012275545</c:v>
                </c:pt>
                <c:pt idx="481">
                  <c:v>0.15140069247717786</c:v>
                </c:pt>
                <c:pt idx="482">
                  <c:v>0.15171545483160026</c:v>
                </c:pt>
                <c:pt idx="483">
                  <c:v>0.15203021718602266</c:v>
                </c:pt>
                <c:pt idx="484">
                  <c:v>0.15234497954044507</c:v>
                </c:pt>
                <c:pt idx="485">
                  <c:v>0.15265974189486747</c:v>
                </c:pt>
                <c:pt idx="486">
                  <c:v>0.15297450424928988</c:v>
                </c:pt>
                <c:pt idx="487">
                  <c:v>0.15328926660371228</c:v>
                </c:pt>
                <c:pt idx="488">
                  <c:v>0.15360402895813469</c:v>
                </c:pt>
                <c:pt idx="489">
                  <c:v>0.15391879131255709</c:v>
                </c:pt>
                <c:pt idx="490">
                  <c:v>0.15423355366697949</c:v>
                </c:pt>
                <c:pt idx="491">
                  <c:v>0.1545483160214019</c:v>
                </c:pt>
                <c:pt idx="492">
                  <c:v>0.1548630783758243</c:v>
                </c:pt>
                <c:pt idx="493">
                  <c:v>0.15517784073024671</c:v>
                </c:pt>
                <c:pt idx="494">
                  <c:v>0.15549260308466911</c:v>
                </c:pt>
                <c:pt idx="495">
                  <c:v>0.15580736543909152</c:v>
                </c:pt>
                <c:pt idx="496">
                  <c:v>0.15612212779351392</c:v>
                </c:pt>
                <c:pt idx="497">
                  <c:v>0.15643689014793632</c:v>
                </c:pt>
                <c:pt idx="498">
                  <c:v>0.15675165250235873</c:v>
                </c:pt>
                <c:pt idx="499">
                  <c:v>0.15706641485678113</c:v>
                </c:pt>
                <c:pt idx="500">
                  <c:v>0.15738117721120354</c:v>
                </c:pt>
                <c:pt idx="501">
                  <c:v>0.15769593956562594</c:v>
                </c:pt>
                <c:pt idx="502">
                  <c:v>0.15801070192004835</c:v>
                </c:pt>
                <c:pt idx="503">
                  <c:v>0.15832546427447075</c:v>
                </c:pt>
                <c:pt idx="504">
                  <c:v>0.15864022662889316</c:v>
                </c:pt>
                <c:pt idx="505">
                  <c:v>0.15895498898331556</c:v>
                </c:pt>
                <c:pt idx="506">
                  <c:v>0.15926975133773796</c:v>
                </c:pt>
                <c:pt idx="507">
                  <c:v>0.15958451369216037</c:v>
                </c:pt>
                <c:pt idx="508">
                  <c:v>0.15989927604658277</c:v>
                </c:pt>
                <c:pt idx="509">
                  <c:v>0.16021403840100518</c:v>
                </c:pt>
                <c:pt idx="510">
                  <c:v>0.16052880075542758</c:v>
                </c:pt>
                <c:pt idx="511">
                  <c:v>0.16084356310984999</c:v>
                </c:pt>
                <c:pt idx="512">
                  <c:v>0.16115832546427239</c:v>
                </c:pt>
                <c:pt idx="513">
                  <c:v>0.16147308781869479</c:v>
                </c:pt>
                <c:pt idx="514">
                  <c:v>0.1617878501731172</c:v>
                </c:pt>
                <c:pt idx="515">
                  <c:v>0.1621026125275396</c:v>
                </c:pt>
                <c:pt idx="516">
                  <c:v>0.16241737488196201</c:v>
                </c:pt>
                <c:pt idx="517">
                  <c:v>0.16273213723638441</c:v>
                </c:pt>
                <c:pt idx="518">
                  <c:v>0.16304689959080682</c:v>
                </c:pt>
                <c:pt idx="519">
                  <c:v>0.16336166194522922</c:v>
                </c:pt>
                <c:pt idx="520">
                  <c:v>0.16367642429965162</c:v>
                </c:pt>
                <c:pt idx="521">
                  <c:v>0.16399118665407403</c:v>
                </c:pt>
                <c:pt idx="522">
                  <c:v>0.16430594900849643</c:v>
                </c:pt>
                <c:pt idx="523">
                  <c:v>0.16462071136291884</c:v>
                </c:pt>
                <c:pt idx="524">
                  <c:v>0.16493547371734124</c:v>
                </c:pt>
                <c:pt idx="525">
                  <c:v>0.16525023607176365</c:v>
                </c:pt>
                <c:pt idx="526">
                  <c:v>0.16556499842618605</c:v>
                </c:pt>
                <c:pt idx="527">
                  <c:v>0.16587976078060845</c:v>
                </c:pt>
                <c:pt idx="528">
                  <c:v>0.16619452313503086</c:v>
                </c:pt>
                <c:pt idx="529">
                  <c:v>0.16650928548945326</c:v>
                </c:pt>
                <c:pt idx="530">
                  <c:v>0.16682404784387567</c:v>
                </c:pt>
                <c:pt idx="531">
                  <c:v>0.16713881019829807</c:v>
                </c:pt>
                <c:pt idx="532">
                  <c:v>0.16745357255272048</c:v>
                </c:pt>
                <c:pt idx="533">
                  <c:v>0.16776833490714288</c:v>
                </c:pt>
                <c:pt idx="534">
                  <c:v>0.16808309726156528</c:v>
                </c:pt>
                <c:pt idx="535">
                  <c:v>0.16839785961598769</c:v>
                </c:pt>
                <c:pt idx="536">
                  <c:v>0.16871262197041009</c:v>
                </c:pt>
                <c:pt idx="537">
                  <c:v>0.1690273843248325</c:v>
                </c:pt>
                <c:pt idx="538">
                  <c:v>0.1693421466792549</c:v>
                </c:pt>
                <c:pt idx="539">
                  <c:v>0.16965690903367731</c:v>
                </c:pt>
                <c:pt idx="540">
                  <c:v>0.16997167138809971</c:v>
                </c:pt>
                <c:pt idx="541">
                  <c:v>0.17028643374252211</c:v>
                </c:pt>
                <c:pt idx="542">
                  <c:v>0.17060119609694452</c:v>
                </c:pt>
                <c:pt idx="543">
                  <c:v>0.17091595845136692</c:v>
                </c:pt>
                <c:pt idx="544">
                  <c:v>0.17123072080578933</c:v>
                </c:pt>
                <c:pt idx="545">
                  <c:v>0.17154548316021173</c:v>
                </c:pt>
                <c:pt idx="546">
                  <c:v>0.17186024551463414</c:v>
                </c:pt>
                <c:pt idx="547">
                  <c:v>0.17217500786905654</c:v>
                </c:pt>
                <c:pt idx="548">
                  <c:v>0.17248977022347894</c:v>
                </c:pt>
                <c:pt idx="549">
                  <c:v>0.17280453257790135</c:v>
                </c:pt>
                <c:pt idx="550">
                  <c:v>0.17311929493232375</c:v>
                </c:pt>
                <c:pt idx="551">
                  <c:v>0.17343405728674616</c:v>
                </c:pt>
                <c:pt idx="552">
                  <c:v>0.17374881964116856</c:v>
                </c:pt>
                <c:pt idx="553">
                  <c:v>0.17406358199559097</c:v>
                </c:pt>
                <c:pt idx="554">
                  <c:v>0.17437834435001337</c:v>
                </c:pt>
                <c:pt idx="555">
                  <c:v>0.17469310670443577</c:v>
                </c:pt>
                <c:pt idx="556">
                  <c:v>0.17500786905885818</c:v>
                </c:pt>
                <c:pt idx="557">
                  <c:v>0.17532263141328058</c:v>
                </c:pt>
                <c:pt idx="558">
                  <c:v>0.17563739376770299</c:v>
                </c:pt>
                <c:pt idx="559">
                  <c:v>0.17595215612212539</c:v>
                </c:pt>
                <c:pt idx="560">
                  <c:v>0.1762669184765478</c:v>
                </c:pt>
                <c:pt idx="561">
                  <c:v>0.1765816808309702</c:v>
                </c:pt>
                <c:pt idx="562">
                  <c:v>0.1768964431853926</c:v>
                </c:pt>
                <c:pt idx="563">
                  <c:v>0.17721120553981501</c:v>
                </c:pt>
                <c:pt idx="564">
                  <c:v>0.17752596789423741</c:v>
                </c:pt>
                <c:pt idx="565">
                  <c:v>0.17784073024865982</c:v>
                </c:pt>
                <c:pt idx="566">
                  <c:v>0.17815549260308222</c:v>
                </c:pt>
                <c:pt idx="567">
                  <c:v>0.17847025495750463</c:v>
                </c:pt>
                <c:pt idx="568">
                  <c:v>0.17878501731192703</c:v>
                </c:pt>
                <c:pt idx="569">
                  <c:v>0.17909977966634943</c:v>
                </c:pt>
                <c:pt idx="570">
                  <c:v>0.17941454202077184</c:v>
                </c:pt>
                <c:pt idx="571">
                  <c:v>0.17972930437519424</c:v>
                </c:pt>
                <c:pt idx="572">
                  <c:v>0.18004406672961665</c:v>
                </c:pt>
                <c:pt idx="573">
                  <c:v>0.18035882908403905</c:v>
                </c:pt>
                <c:pt idx="574">
                  <c:v>0.18067359143846146</c:v>
                </c:pt>
                <c:pt idx="575">
                  <c:v>0.18098835379288386</c:v>
                </c:pt>
                <c:pt idx="576">
                  <c:v>0.18130311614730626</c:v>
                </c:pt>
                <c:pt idx="577">
                  <c:v>0.18161787850172867</c:v>
                </c:pt>
                <c:pt idx="578">
                  <c:v>0.18193264085615107</c:v>
                </c:pt>
                <c:pt idx="579">
                  <c:v>0.18224740321057348</c:v>
                </c:pt>
                <c:pt idx="580">
                  <c:v>0.18256216556499588</c:v>
                </c:pt>
                <c:pt idx="581">
                  <c:v>0.18287692791941829</c:v>
                </c:pt>
                <c:pt idx="582">
                  <c:v>0.18319169027384069</c:v>
                </c:pt>
                <c:pt idx="583">
                  <c:v>0.18350645262826309</c:v>
                </c:pt>
                <c:pt idx="584">
                  <c:v>0.1838212149826855</c:v>
                </c:pt>
                <c:pt idx="585">
                  <c:v>0.1841359773371079</c:v>
                </c:pt>
                <c:pt idx="586">
                  <c:v>0.18445073969153031</c:v>
                </c:pt>
                <c:pt idx="587">
                  <c:v>0.18476550204595271</c:v>
                </c:pt>
                <c:pt idx="588">
                  <c:v>0.18508026440037512</c:v>
                </c:pt>
                <c:pt idx="589">
                  <c:v>0.18539502675479752</c:v>
                </c:pt>
                <c:pt idx="590">
                  <c:v>0.18570978910921992</c:v>
                </c:pt>
                <c:pt idx="591">
                  <c:v>0.18602455146364233</c:v>
                </c:pt>
                <c:pt idx="592">
                  <c:v>0.18633931381806473</c:v>
                </c:pt>
                <c:pt idx="593">
                  <c:v>0.18665407617248714</c:v>
                </c:pt>
                <c:pt idx="594">
                  <c:v>0.18696883852690954</c:v>
                </c:pt>
                <c:pt idx="595">
                  <c:v>0.18728360088133195</c:v>
                </c:pt>
                <c:pt idx="596">
                  <c:v>0.18759836323575435</c:v>
                </c:pt>
                <c:pt idx="597">
                  <c:v>0.18791312559017675</c:v>
                </c:pt>
                <c:pt idx="598">
                  <c:v>0.18822788794459916</c:v>
                </c:pt>
                <c:pt idx="599">
                  <c:v>0.18854265029902156</c:v>
                </c:pt>
                <c:pt idx="600">
                  <c:v>0.18885741265344397</c:v>
                </c:pt>
                <c:pt idx="601">
                  <c:v>0.18917217500786637</c:v>
                </c:pt>
                <c:pt idx="602">
                  <c:v>0.18948693736228878</c:v>
                </c:pt>
                <c:pt idx="603">
                  <c:v>0.18980169971671118</c:v>
                </c:pt>
                <c:pt idx="604">
                  <c:v>0.19011646207113359</c:v>
                </c:pt>
                <c:pt idx="605">
                  <c:v>0.19043122442555599</c:v>
                </c:pt>
                <c:pt idx="606">
                  <c:v>0.19074598677997839</c:v>
                </c:pt>
                <c:pt idx="607">
                  <c:v>0.1910607491344008</c:v>
                </c:pt>
                <c:pt idx="608">
                  <c:v>0.1913755114888232</c:v>
                </c:pt>
                <c:pt idx="609">
                  <c:v>0.19169027384324561</c:v>
                </c:pt>
                <c:pt idx="610">
                  <c:v>0.19200503619766801</c:v>
                </c:pt>
                <c:pt idx="611">
                  <c:v>0.19231979855209042</c:v>
                </c:pt>
                <c:pt idx="612">
                  <c:v>0.19263456090651282</c:v>
                </c:pt>
                <c:pt idx="613">
                  <c:v>0.19294932326093522</c:v>
                </c:pt>
                <c:pt idx="614">
                  <c:v>0.19326408561535763</c:v>
                </c:pt>
                <c:pt idx="615">
                  <c:v>0.19357884796978003</c:v>
                </c:pt>
                <c:pt idx="616">
                  <c:v>0.19389361032420244</c:v>
                </c:pt>
                <c:pt idx="617">
                  <c:v>0.19420837267862484</c:v>
                </c:pt>
                <c:pt idx="618">
                  <c:v>0.19452313503304725</c:v>
                </c:pt>
                <c:pt idx="619">
                  <c:v>0.19483789738746965</c:v>
                </c:pt>
                <c:pt idx="620">
                  <c:v>0.19515265974189205</c:v>
                </c:pt>
                <c:pt idx="621">
                  <c:v>0.19546742209631446</c:v>
                </c:pt>
                <c:pt idx="622">
                  <c:v>0.19578218445073686</c:v>
                </c:pt>
                <c:pt idx="623">
                  <c:v>0.19609694680515927</c:v>
                </c:pt>
                <c:pt idx="624">
                  <c:v>0.19641170915958167</c:v>
                </c:pt>
                <c:pt idx="625">
                  <c:v>0.19672647151400408</c:v>
                </c:pt>
                <c:pt idx="626">
                  <c:v>0.19704123386842648</c:v>
                </c:pt>
                <c:pt idx="627">
                  <c:v>0.19735599622284888</c:v>
                </c:pt>
                <c:pt idx="628">
                  <c:v>0.19767075857727129</c:v>
                </c:pt>
                <c:pt idx="629">
                  <c:v>0.19798552093169369</c:v>
                </c:pt>
                <c:pt idx="630">
                  <c:v>0.1983002832861161</c:v>
                </c:pt>
                <c:pt idx="631">
                  <c:v>0.1986150456405385</c:v>
                </c:pt>
                <c:pt idx="632">
                  <c:v>0.19892980799496091</c:v>
                </c:pt>
                <c:pt idx="633">
                  <c:v>0.19924457034938331</c:v>
                </c:pt>
                <c:pt idx="634">
                  <c:v>0.19955933270380571</c:v>
                </c:pt>
                <c:pt idx="635">
                  <c:v>0.19987409505822812</c:v>
                </c:pt>
                <c:pt idx="636">
                  <c:v>0.20018885741265052</c:v>
                </c:pt>
                <c:pt idx="637">
                  <c:v>0.20050361976707293</c:v>
                </c:pt>
                <c:pt idx="638">
                  <c:v>0.20081838212149533</c:v>
                </c:pt>
                <c:pt idx="639">
                  <c:v>0.20113314447591774</c:v>
                </c:pt>
                <c:pt idx="640">
                  <c:v>0.20144790683034014</c:v>
                </c:pt>
                <c:pt idx="641">
                  <c:v>0.20176266918476254</c:v>
                </c:pt>
                <c:pt idx="642">
                  <c:v>0.20207743153918495</c:v>
                </c:pt>
                <c:pt idx="643">
                  <c:v>0.20239219389360735</c:v>
                </c:pt>
                <c:pt idx="644">
                  <c:v>0.20270695624802976</c:v>
                </c:pt>
                <c:pt idx="645">
                  <c:v>0.20302171860245216</c:v>
                </c:pt>
                <c:pt idx="646">
                  <c:v>0.20333648095687457</c:v>
                </c:pt>
                <c:pt idx="647">
                  <c:v>0.20365124331129697</c:v>
                </c:pt>
                <c:pt idx="648">
                  <c:v>0.20396600566571937</c:v>
                </c:pt>
                <c:pt idx="649">
                  <c:v>0.20428076802014178</c:v>
                </c:pt>
                <c:pt idx="650">
                  <c:v>0.20459553037456418</c:v>
                </c:pt>
                <c:pt idx="651">
                  <c:v>0.20491029272898659</c:v>
                </c:pt>
                <c:pt idx="652">
                  <c:v>0.20522505508340899</c:v>
                </c:pt>
                <c:pt idx="653">
                  <c:v>0.2055398174378314</c:v>
                </c:pt>
                <c:pt idx="654">
                  <c:v>0.2058545797922538</c:v>
                </c:pt>
                <c:pt idx="655">
                  <c:v>0.2061693421466762</c:v>
                </c:pt>
                <c:pt idx="656">
                  <c:v>0.20648410450109861</c:v>
                </c:pt>
                <c:pt idx="657">
                  <c:v>0.20679886685552101</c:v>
                </c:pt>
                <c:pt idx="658">
                  <c:v>0.20711362920994342</c:v>
                </c:pt>
                <c:pt idx="659">
                  <c:v>0.20742839156436582</c:v>
                </c:pt>
                <c:pt idx="660">
                  <c:v>0.20774315391878823</c:v>
                </c:pt>
                <c:pt idx="661">
                  <c:v>0.20805791627321063</c:v>
                </c:pt>
                <c:pt idx="662">
                  <c:v>0.20837267862763303</c:v>
                </c:pt>
                <c:pt idx="663">
                  <c:v>0.20868744098205544</c:v>
                </c:pt>
                <c:pt idx="664">
                  <c:v>0.20900220333647784</c:v>
                </c:pt>
                <c:pt idx="665">
                  <c:v>0.20931696569090025</c:v>
                </c:pt>
                <c:pt idx="666">
                  <c:v>0.20963172804532265</c:v>
                </c:pt>
                <c:pt idx="667">
                  <c:v>0.20994649039974506</c:v>
                </c:pt>
                <c:pt idx="668">
                  <c:v>0.21026125275416746</c:v>
                </c:pt>
                <c:pt idx="669">
                  <c:v>0.21057601510858986</c:v>
                </c:pt>
                <c:pt idx="670">
                  <c:v>0.21089077746301227</c:v>
                </c:pt>
                <c:pt idx="671">
                  <c:v>0.21120553981743467</c:v>
                </c:pt>
                <c:pt idx="672">
                  <c:v>0.21152030217185708</c:v>
                </c:pt>
                <c:pt idx="673">
                  <c:v>0.21183506452627948</c:v>
                </c:pt>
                <c:pt idx="674">
                  <c:v>0.21214982688070189</c:v>
                </c:pt>
                <c:pt idx="675">
                  <c:v>0.21246458923512429</c:v>
                </c:pt>
                <c:pt idx="676">
                  <c:v>0.21277935158954669</c:v>
                </c:pt>
                <c:pt idx="677">
                  <c:v>0.2130941139439691</c:v>
                </c:pt>
                <c:pt idx="678">
                  <c:v>0.2134088762983915</c:v>
                </c:pt>
                <c:pt idx="679">
                  <c:v>0.21372363865281391</c:v>
                </c:pt>
                <c:pt idx="680">
                  <c:v>0.21403840100723631</c:v>
                </c:pt>
                <c:pt idx="681">
                  <c:v>0.21435316336165872</c:v>
                </c:pt>
                <c:pt idx="682">
                  <c:v>0.21466792571608112</c:v>
                </c:pt>
                <c:pt idx="683">
                  <c:v>0.21498268807050352</c:v>
                </c:pt>
                <c:pt idx="684">
                  <c:v>0.21529745042492593</c:v>
                </c:pt>
                <c:pt idx="685">
                  <c:v>0.21561221277934833</c:v>
                </c:pt>
                <c:pt idx="686">
                  <c:v>0.21592697513377074</c:v>
                </c:pt>
                <c:pt idx="687">
                  <c:v>0.21624173748819314</c:v>
                </c:pt>
                <c:pt idx="688">
                  <c:v>0.21655649984261555</c:v>
                </c:pt>
                <c:pt idx="689">
                  <c:v>0.21687126219703795</c:v>
                </c:pt>
                <c:pt idx="690">
                  <c:v>0.21718602455146035</c:v>
                </c:pt>
                <c:pt idx="691">
                  <c:v>0.21750078690588276</c:v>
                </c:pt>
                <c:pt idx="692">
                  <c:v>0.21781554926030516</c:v>
                </c:pt>
                <c:pt idx="693">
                  <c:v>0.21813031161472757</c:v>
                </c:pt>
                <c:pt idx="694">
                  <c:v>0.21844507396914997</c:v>
                </c:pt>
                <c:pt idx="695">
                  <c:v>0.21875983632357238</c:v>
                </c:pt>
                <c:pt idx="696">
                  <c:v>0.21907459867799478</c:v>
                </c:pt>
                <c:pt idx="697">
                  <c:v>0.21938936103241719</c:v>
                </c:pt>
                <c:pt idx="698">
                  <c:v>0.21970412338683959</c:v>
                </c:pt>
                <c:pt idx="699">
                  <c:v>0.22001888574126199</c:v>
                </c:pt>
                <c:pt idx="700">
                  <c:v>0.2203336480956844</c:v>
                </c:pt>
                <c:pt idx="701">
                  <c:v>0.2206484104501068</c:v>
                </c:pt>
                <c:pt idx="702">
                  <c:v>0.22096317280452921</c:v>
                </c:pt>
                <c:pt idx="703">
                  <c:v>0.22127793515895161</c:v>
                </c:pt>
                <c:pt idx="704">
                  <c:v>0.22159269751337402</c:v>
                </c:pt>
                <c:pt idx="705">
                  <c:v>0.22190745986779642</c:v>
                </c:pt>
                <c:pt idx="706">
                  <c:v>0.22222222222221882</c:v>
                </c:pt>
                <c:pt idx="707">
                  <c:v>0.22253698457664123</c:v>
                </c:pt>
                <c:pt idx="708">
                  <c:v>0.22285174693106363</c:v>
                </c:pt>
                <c:pt idx="709">
                  <c:v>0.22316650928548604</c:v>
                </c:pt>
                <c:pt idx="710">
                  <c:v>0.22348127163990844</c:v>
                </c:pt>
                <c:pt idx="711">
                  <c:v>0.22379603399433085</c:v>
                </c:pt>
                <c:pt idx="712">
                  <c:v>0.22411079634875325</c:v>
                </c:pt>
                <c:pt idx="713">
                  <c:v>0.22442555870317565</c:v>
                </c:pt>
                <c:pt idx="714">
                  <c:v>0.22474032105759806</c:v>
                </c:pt>
                <c:pt idx="715">
                  <c:v>0.22505508341202046</c:v>
                </c:pt>
                <c:pt idx="716">
                  <c:v>0.22536984576644287</c:v>
                </c:pt>
                <c:pt idx="717">
                  <c:v>0.22568460812086527</c:v>
                </c:pt>
                <c:pt idx="718">
                  <c:v>0.22599937047528768</c:v>
                </c:pt>
                <c:pt idx="719">
                  <c:v>0.22631413282971008</c:v>
                </c:pt>
                <c:pt idx="720">
                  <c:v>0.22662889518413248</c:v>
                </c:pt>
                <c:pt idx="721">
                  <c:v>0.22694365753855489</c:v>
                </c:pt>
                <c:pt idx="722">
                  <c:v>0.22725841989297729</c:v>
                </c:pt>
                <c:pt idx="723">
                  <c:v>0.2275731822473997</c:v>
                </c:pt>
                <c:pt idx="724">
                  <c:v>0.2278879446018221</c:v>
                </c:pt>
                <c:pt idx="725">
                  <c:v>0.22820270695624451</c:v>
                </c:pt>
                <c:pt idx="726">
                  <c:v>0.22851746931066691</c:v>
                </c:pt>
                <c:pt idx="727">
                  <c:v>0.22883223166508931</c:v>
                </c:pt>
                <c:pt idx="728">
                  <c:v>0.22914699401951172</c:v>
                </c:pt>
                <c:pt idx="729">
                  <c:v>0.22946175637393412</c:v>
                </c:pt>
                <c:pt idx="730">
                  <c:v>0.22977651872835653</c:v>
                </c:pt>
                <c:pt idx="731">
                  <c:v>0.23009128108277893</c:v>
                </c:pt>
                <c:pt idx="732">
                  <c:v>0.23040604343720134</c:v>
                </c:pt>
                <c:pt idx="733">
                  <c:v>0.23072080579162374</c:v>
                </c:pt>
                <c:pt idx="734">
                  <c:v>0.23103556814604614</c:v>
                </c:pt>
                <c:pt idx="735">
                  <c:v>0.23135033050046855</c:v>
                </c:pt>
                <c:pt idx="736">
                  <c:v>0.23166509285489095</c:v>
                </c:pt>
                <c:pt idx="737">
                  <c:v>0.23197985520931336</c:v>
                </c:pt>
                <c:pt idx="738">
                  <c:v>0.23229461756373576</c:v>
                </c:pt>
                <c:pt idx="739">
                  <c:v>0.23260937991815817</c:v>
                </c:pt>
                <c:pt idx="740">
                  <c:v>0.23292414227258057</c:v>
                </c:pt>
                <c:pt idx="741">
                  <c:v>0.23323890462700297</c:v>
                </c:pt>
                <c:pt idx="742">
                  <c:v>0.23355366698142538</c:v>
                </c:pt>
                <c:pt idx="743">
                  <c:v>0.23386842933584778</c:v>
                </c:pt>
                <c:pt idx="744">
                  <c:v>0.23418319169027019</c:v>
                </c:pt>
                <c:pt idx="745">
                  <c:v>0.23449795404469259</c:v>
                </c:pt>
                <c:pt idx="746">
                  <c:v>0.234812716399115</c:v>
                </c:pt>
                <c:pt idx="747">
                  <c:v>0.2351274787535374</c:v>
                </c:pt>
                <c:pt idx="748">
                  <c:v>0.2354422411079598</c:v>
                </c:pt>
                <c:pt idx="749">
                  <c:v>0.23575700346238221</c:v>
                </c:pt>
                <c:pt idx="750">
                  <c:v>0.23607176581680461</c:v>
                </c:pt>
                <c:pt idx="751">
                  <c:v>0.23638652817122702</c:v>
                </c:pt>
                <c:pt idx="752">
                  <c:v>0.23670129052564942</c:v>
                </c:pt>
                <c:pt idx="753">
                  <c:v>0.23701605288007183</c:v>
                </c:pt>
                <c:pt idx="754">
                  <c:v>0.23733081523449423</c:v>
                </c:pt>
                <c:pt idx="755">
                  <c:v>0.23764557758891663</c:v>
                </c:pt>
                <c:pt idx="756">
                  <c:v>0.23796033994333904</c:v>
                </c:pt>
                <c:pt idx="757">
                  <c:v>0.23827510229776144</c:v>
                </c:pt>
                <c:pt idx="758">
                  <c:v>0.23858986465218385</c:v>
                </c:pt>
                <c:pt idx="759">
                  <c:v>0.23890462700660625</c:v>
                </c:pt>
                <c:pt idx="760">
                  <c:v>0.23921938936102866</c:v>
                </c:pt>
                <c:pt idx="761">
                  <c:v>0.23953415171545106</c:v>
                </c:pt>
                <c:pt idx="762">
                  <c:v>0.23984891406987346</c:v>
                </c:pt>
                <c:pt idx="763">
                  <c:v>0.24016367642429587</c:v>
                </c:pt>
                <c:pt idx="764">
                  <c:v>0.24047843877871827</c:v>
                </c:pt>
                <c:pt idx="765">
                  <c:v>0.24079320113314068</c:v>
                </c:pt>
                <c:pt idx="766">
                  <c:v>0.24110796348756308</c:v>
                </c:pt>
                <c:pt idx="767">
                  <c:v>0.24142272584198549</c:v>
                </c:pt>
                <c:pt idx="768">
                  <c:v>0.24173748819640789</c:v>
                </c:pt>
                <c:pt idx="769">
                  <c:v>0.24205225055083029</c:v>
                </c:pt>
                <c:pt idx="770">
                  <c:v>0.2423670129052527</c:v>
                </c:pt>
                <c:pt idx="771">
                  <c:v>0.2426817752596751</c:v>
                </c:pt>
                <c:pt idx="772">
                  <c:v>0.24299653761409751</c:v>
                </c:pt>
                <c:pt idx="773">
                  <c:v>0.24331129996851991</c:v>
                </c:pt>
                <c:pt idx="774">
                  <c:v>0.24362606232294232</c:v>
                </c:pt>
                <c:pt idx="775">
                  <c:v>0.24394082467736472</c:v>
                </c:pt>
                <c:pt idx="776">
                  <c:v>0.24425558703178712</c:v>
                </c:pt>
                <c:pt idx="777">
                  <c:v>0.24457034938620953</c:v>
                </c:pt>
                <c:pt idx="778">
                  <c:v>0.24488511174063193</c:v>
                </c:pt>
                <c:pt idx="779">
                  <c:v>0.24519987409505434</c:v>
                </c:pt>
                <c:pt idx="780">
                  <c:v>0.24551463644947674</c:v>
                </c:pt>
                <c:pt idx="781">
                  <c:v>0.24582939880389915</c:v>
                </c:pt>
                <c:pt idx="782">
                  <c:v>0.24614416115832155</c:v>
                </c:pt>
                <c:pt idx="783">
                  <c:v>0.24645892351274395</c:v>
                </c:pt>
                <c:pt idx="784">
                  <c:v>0.24677368586716636</c:v>
                </c:pt>
                <c:pt idx="785">
                  <c:v>0.24708844822158876</c:v>
                </c:pt>
                <c:pt idx="786">
                  <c:v>0.24740321057601117</c:v>
                </c:pt>
                <c:pt idx="787">
                  <c:v>0.24771797293043357</c:v>
                </c:pt>
                <c:pt idx="788">
                  <c:v>0.24803273528485598</c:v>
                </c:pt>
                <c:pt idx="789">
                  <c:v>0.24834749763927838</c:v>
                </c:pt>
                <c:pt idx="790">
                  <c:v>0.24866225999370078</c:v>
                </c:pt>
                <c:pt idx="791">
                  <c:v>0.24897702234812319</c:v>
                </c:pt>
                <c:pt idx="792">
                  <c:v>0.24929178470254559</c:v>
                </c:pt>
                <c:pt idx="793">
                  <c:v>0.249606547056968</c:v>
                </c:pt>
                <c:pt idx="794">
                  <c:v>0.2499213094113904</c:v>
                </c:pt>
                <c:pt idx="795">
                  <c:v>0.25023607176581281</c:v>
                </c:pt>
                <c:pt idx="796">
                  <c:v>0.25055083412023521</c:v>
                </c:pt>
                <c:pt idx="797">
                  <c:v>0.25086559647465762</c:v>
                </c:pt>
                <c:pt idx="798">
                  <c:v>0.25118035882908002</c:v>
                </c:pt>
                <c:pt idx="799">
                  <c:v>0.25149512118350242</c:v>
                </c:pt>
                <c:pt idx="800">
                  <c:v>0.25180988353792483</c:v>
                </c:pt>
                <c:pt idx="801">
                  <c:v>0.25212464589234723</c:v>
                </c:pt>
                <c:pt idx="802">
                  <c:v>0.25243940824676964</c:v>
                </c:pt>
                <c:pt idx="803">
                  <c:v>0.25275417060119204</c:v>
                </c:pt>
                <c:pt idx="804">
                  <c:v>0.25306893295561445</c:v>
                </c:pt>
                <c:pt idx="805">
                  <c:v>0.25338369531003685</c:v>
                </c:pt>
                <c:pt idx="806">
                  <c:v>0.25369845766445925</c:v>
                </c:pt>
                <c:pt idx="807">
                  <c:v>0.25401322001888166</c:v>
                </c:pt>
                <c:pt idx="808">
                  <c:v>0.25432798237330406</c:v>
                </c:pt>
                <c:pt idx="809">
                  <c:v>0.25464274472772647</c:v>
                </c:pt>
                <c:pt idx="810">
                  <c:v>0.25495750708214887</c:v>
                </c:pt>
                <c:pt idx="811">
                  <c:v>0.25527226943657128</c:v>
                </c:pt>
                <c:pt idx="812">
                  <c:v>0.25558703179099368</c:v>
                </c:pt>
                <c:pt idx="813">
                  <c:v>0.25590179414541608</c:v>
                </c:pt>
                <c:pt idx="814">
                  <c:v>0.25621655649983849</c:v>
                </c:pt>
                <c:pt idx="815">
                  <c:v>0.25653131885426089</c:v>
                </c:pt>
                <c:pt idx="816">
                  <c:v>0.2568460812086833</c:v>
                </c:pt>
                <c:pt idx="817">
                  <c:v>0.2571608435631057</c:v>
                </c:pt>
                <c:pt idx="818">
                  <c:v>0.25747560591752811</c:v>
                </c:pt>
                <c:pt idx="819">
                  <c:v>0.25779036827195051</c:v>
                </c:pt>
                <c:pt idx="820">
                  <c:v>0.25810513062637291</c:v>
                </c:pt>
                <c:pt idx="821">
                  <c:v>0.25841989298079532</c:v>
                </c:pt>
                <c:pt idx="822">
                  <c:v>0.25873465533521772</c:v>
                </c:pt>
                <c:pt idx="823">
                  <c:v>0.25904941768964013</c:v>
                </c:pt>
                <c:pt idx="824">
                  <c:v>0.25936418004406253</c:v>
                </c:pt>
                <c:pt idx="825">
                  <c:v>0.25967894239848494</c:v>
                </c:pt>
                <c:pt idx="826">
                  <c:v>0.25999370475290734</c:v>
                </c:pt>
                <c:pt idx="827">
                  <c:v>0.26030846710732974</c:v>
                </c:pt>
                <c:pt idx="828">
                  <c:v>0.26062322946175215</c:v>
                </c:pt>
                <c:pt idx="829">
                  <c:v>0.26093799181617455</c:v>
                </c:pt>
                <c:pt idx="830">
                  <c:v>0.26125275417059696</c:v>
                </c:pt>
                <c:pt idx="831">
                  <c:v>0.26156751652501936</c:v>
                </c:pt>
                <c:pt idx="832">
                  <c:v>0.26188227887944177</c:v>
                </c:pt>
                <c:pt idx="833">
                  <c:v>0.26219704123386417</c:v>
                </c:pt>
                <c:pt idx="834">
                  <c:v>0.26251180358828657</c:v>
                </c:pt>
                <c:pt idx="835">
                  <c:v>0.26282656594270898</c:v>
                </c:pt>
                <c:pt idx="836">
                  <c:v>0.26314132829713138</c:v>
                </c:pt>
                <c:pt idx="837">
                  <c:v>0.26345609065155379</c:v>
                </c:pt>
                <c:pt idx="838">
                  <c:v>0.26377085300597619</c:v>
                </c:pt>
                <c:pt idx="839">
                  <c:v>0.2640856153603986</c:v>
                </c:pt>
                <c:pt idx="840">
                  <c:v>0.264400377714821</c:v>
                </c:pt>
                <c:pt idx="841">
                  <c:v>0.2647151400692434</c:v>
                </c:pt>
                <c:pt idx="842">
                  <c:v>0.26502990242366581</c:v>
                </c:pt>
                <c:pt idx="843">
                  <c:v>0.26534466477808821</c:v>
                </c:pt>
                <c:pt idx="844">
                  <c:v>0.26565942713251062</c:v>
                </c:pt>
                <c:pt idx="845">
                  <c:v>0.26597418948693302</c:v>
                </c:pt>
                <c:pt idx="846">
                  <c:v>0.26628895184135543</c:v>
                </c:pt>
                <c:pt idx="847">
                  <c:v>0.26660371419577783</c:v>
                </c:pt>
                <c:pt idx="848">
                  <c:v>0.26691847655020023</c:v>
                </c:pt>
                <c:pt idx="849">
                  <c:v>0.26723323890462264</c:v>
                </c:pt>
                <c:pt idx="850">
                  <c:v>0.26754800125904504</c:v>
                </c:pt>
                <c:pt idx="851">
                  <c:v>0.26786276361346745</c:v>
                </c:pt>
                <c:pt idx="852">
                  <c:v>0.26817752596788985</c:v>
                </c:pt>
                <c:pt idx="853">
                  <c:v>0.26849228832231226</c:v>
                </c:pt>
                <c:pt idx="854">
                  <c:v>0.26880705067673466</c:v>
                </c:pt>
                <c:pt idx="855">
                  <c:v>0.26912181303115706</c:v>
                </c:pt>
                <c:pt idx="856">
                  <c:v>0.26943657538557947</c:v>
                </c:pt>
                <c:pt idx="857">
                  <c:v>0.26975133774000187</c:v>
                </c:pt>
                <c:pt idx="858">
                  <c:v>0.27006610009442428</c:v>
                </c:pt>
                <c:pt idx="859">
                  <c:v>0.27038086244884668</c:v>
                </c:pt>
                <c:pt idx="860">
                  <c:v>0.27069562480326909</c:v>
                </c:pt>
                <c:pt idx="861">
                  <c:v>0.27101038715769149</c:v>
                </c:pt>
                <c:pt idx="862">
                  <c:v>0.27132514951211389</c:v>
                </c:pt>
                <c:pt idx="863">
                  <c:v>0.2716399118665363</c:v>
                </c:pt>
                <c:pt idx="864">
                  <c:v>0.2719546742209587</c:v>
                </c:pt>
                <c:pt idx="865">
                  <c:v>0.27226943657538111</c:v>
                </c:pt>
                <c:pt idx="866">
                  <c:v>0.27258419892980351</c:v>
                </c:pt>
                <c:pt idx="867">
                  <c:v>0.27289896128422592</c:v>
                </c:pt>
                <c:pt idx="868">
                  <c:v>0.27321372363864832</c:v>
                </c:pt>
                <c:pt idx="869">
                  <c:v>0.27352848599307072</c:v>
                </c:pt>
                <c:pt idx="870">
                  <c:v>0.27384324834749313</c:v>
                </c:pt>
                <c:pt idx="871">
                  <c:v>0.27415801070191553</c:v>
                </c:pt>
                <c:pt idx="872">
                  <c:v>0.27447277305633794</c:v>
                </c:pt>
                <c:pt idx="873">
                  <c:v>0.27478753541076034</c:v>
                </c:pt>
                <c:pt idx="874">
                  <c:v>0.27510229776518275</c:v>
                </c:pt>
                <c:pt idx="875">
                  <c:v>0.27541706011960515</c:v>
                </c:pt>
                <c:pt idx="876">
                  <c:v>0.27573182247402755</c:v>
                </c:pt>
                <c:pt idx="877">
                  <c:v>0.27604658482844996</c:v>
                </c:pt>
                <c:pt idx="878">
                  <c:v>0.27636134718287236</c:v>
                </c:pt>
                <c:pt idx="879">
                  <c:v>0.27667610953729477</c:v>
                </c:pt>
                <c:pt idx="880">
                  <c:v>0.27699087189171717</c:v>
                </c:pt>
                <c:pt idx="881">
                  <c:v>0.27730563424613958</c:v>
                </c:pt>
                <c:pt idx="882">
                  <c:v>0.27762039660056198</c:v>
                </c:pt>
                <c:pt idx="883">
                  <c:v>0.27793515895498438</c:v>
                </c:pt>
                <c:pt idx="884">
                  <c:v>0.27824992130940679</c:v>
                </c:pt>
                <c:pt idx="885">
                  <c:v>0.27856468366382919</c:v>
                </c:pt>
                <c:pt idx="886">
                  <c:v>0.2788794460182516</c:v>
                </c:pt>
                <c:pt idx="887">
                  <c:v>0.279194208372674</c:v>
                </c:pt>
                <c:pt idx="888">
                  <c:v>0.27950897072709641</c:v>
                </c:pt>
                <c:pt idx="889">
                  <c:v>0.27982373308151881</c:v>
                </c:pt>
                <c:pt idx="890">
                  <c:v>0.28013849543594121</c:v>
                </c:pt>
                <c:pt idx="891">
                  <c:v>0.28045325779036362</c:v>
                </c:pt>
                <c:pt idx="892">
                  <c:v>0.28076802014478602</c:v>
                </c:pt>
                <c:pt idx="893">
                  <c:v>0.28108278249920843</c:v>
                </c:pt>
                <c:pt idx="894">
                  <c:v>0.28139754485363083</c:v>
                </c:pt>
                <c:pt idx="895">
                  <c:v>0.28171230720805324</c:v>
                </c:pt>
                <c:pt idx="896">
                  <c:v>0.28202706956247564</c:v>
                </c:pt>
                <c:pt idx="897">
                  <c:v>0.28234183191689805</c:v>
                </c:pt>
                <c:pt idx="898">
                  <c:v>0.28265659427132045</c:v>
                </c:pt>
                <c:pt idx="899">
                  <c:v>0.28297135662574285</c:v>
                </c:pt>
                <c:pt idx="900">
                  <c:v>0.28328611898016526</c:v>
                </c:pt>
                <c:pt idx="901">
                  <c:v>0.28360088133458766</c:v>
                </c:pt>
                <c:pt idx="902">
                  <c:v>0.28391564368901007</c:v>
                </c:pt>
                <c:pt idx="903">
                  <c:v>0.28423040604343247</c:v>
                </c:pt>
                <c:pt idx="904">
                  <c:v>0.28454516839785488</c:v>
                </c:pt>
                <c:pt idx="905">
                  <c:v>0.28485993075227728</c:v>
                </c:pt>
                <c:pt idx="906">
                  <c:v>0.28517469310669968</c:v>
                </c:pt>
                <c:pt idx="907">
                  <c:v>0.28548945546112209</c:v>
                </c:pt>
                <c:pt idx="908">
                  <c:v>0.28580421781554449</c:v>
                </c:pt>
                <c:pt idx="909">
                  <c:v>0.2861189801699669</c:v>
                </c:pt>
                <c:pt idx="910">
                  <c:v>0.2864337425243893</c:v>
                </c:pt>
                <c:pt idx="911">
                  <c:v>0.28674850487881171</c:v>
                </c:pt>
                <c:pt idx="912">
                  <c:v>0.28706326723323411</c:v>
                </c:pt>
                <c:pt idx="913">
                  <c:v>0.28737802958765651</c:v>
                </c:pt>
                <c:pt idx="914">
                  <c:v>0.28769279194207892</c:v>
                </c:pt>
                <c:pt idx="915">
                  <c:v>0.28800755429650132</c:v>
                </c:pt>
                <c:pt idx="916">
                  <c:v>0.28832231665092373</c:v>
                </c:pt>
                <c:pt idx="917">
                  <c:v>0.28863707900534613</c:v>
                </c:pt>
                <c:pt idx="918">
                  <c:v>0.28895184135976854</c:v>
                </c:pt>
                <c:pt idx="919">
                  <c:v>0.28926660371419094</c:v>
                </c:pt>
                <c:pt idx="920">
                  <c:v>0.28958136606861334</c:v>
                </c:pt>
                <c:pt idx="921">
                  <c:v>0.28989612842303575</c:v>
                </c:pt>
                <c:pt idx="922">
                  <c:v>0.29021089077745815</c:v>
                </c:pt>
                <c:pt idx="923">
                  <c:v>0.29052565313188056</c:v>
                </c:pt>
                <c:pt idx="924">
                  <c:v>0.29084041548630296</c:v>
                </c:pt>
                <c:pt idx="925">
                  <c:v>0.29115517784072537</c:v>
                </c:pt>
                <c:pt idx="926">
                  <c:v>0.29146994019514777</c:v>
                </c:pt>
                <c:pt idx="927">
                  <c:v>0.29178470254957017</c:v>
                </c:pt>
                <c:pt idx="928">
                  <c:v>0.29209946490399258</c:v>
                </c:pt>
                <c:pt idx="929">
                  <c:v>0.29241422725841498</c:v>
                </c:pt>
                <c:pt idx="930">
                  <c:v>0.29272898961283739</c:v>
                </c:pt>
                <c:pt idx="931">
                  <c:v>0.29304375196725979</c:v>
                </c:pt>
                <c:pt idx="932">
                  <c:v>0.2933585143216822</c:v>
                </c:pt>
                <c:pt idx="933">
                  <c:v>0.2936732766761046</c:v>
                </c:pt>
                <c:pt idx="934">
                  <c:v>0.293988039030527</c:v>
                </c:pt>
                <c:pt idx="935">
                  <c:v>0.29430280138494941</c:v>
                </c:pt>
                <c:pt idx="936">
                  <c:v>0.29461756373937181</c:v>
                </c:pt>
                <c:pt idx="937">
                  <c:v>0.29493232609379422</c:v>
                </c:pt>
                <c:pt idx="938">
                  <c:v>0.29524708844821662</c:v>
                </c:pt>
                <c:pt idx="939">
                  <c:v>0.29556185080263903</c:v>
                </c:pt>
                <c:pt idx="940">
                  <c:v>0.29587661315706143</c:v>
                </c:pt>
                <c:pt idx="941">
                  <c:v>0.29619137551148383</c:v>
                </c:pt>
                <c:pt idx="942">
                  <c:v>0.29650613786590624</c:v>
                </c:pt>
                <c:pt idx="943">
                  <c:v>0.29682090022032864</c:v>
                </c:pt>
                <c:pt idx="944">
                  <c:v>0.29713566257475105</c:v>
                </c:pt>
                <c:pt idx="945">
                  <c:v>0.29745042492917345</c:v>
                </c:pt>
                <c:pt idx="946">
                  <c:v>0.29776518728359586</c:v>
                </c:pt>
                <c:pt idx="947">
                  <c:v>0.29807994963801826</c:v>
                </c:pt>
                <c:pt idx="948">
                  <c:v>0.29839471199244066</c:v>
                </c:pt>
                <c:pt idx="949">
                  <c:v>0.29870947434686307</c:v>
                </c:pt>
                <c:pt idx="950">
                  <c:v>0.29902423670128547</c:v>
                </c:pt>
                <c:pt idx="951">
                  <c:v>0.29933899905570788</c:v>
                </c:pt>
                <c:pt idx="952">
                  <c:v>0.29965376141013028</c:v>
                </c:pt>
                <c:pt idx="953">
                  <c:v>0.29996852376455269</c:v>
                </c:pt>
                <c:pt idx="954">
                  <c:v>0.30028328611897509</c:v>
                </c:pt>
                <c:pt idx="955">
                  <c:v>0.30059804847339749</c:v>
                </c:pt>
                <c:pt idx="956">
                  <c:v>0.3009128108278199</c:v>
                </c:pt>
                <c:pt idx="957">
                  <c:v>0.3012275731822423</c:v>
                </c:pt>
                <c:pt idx="958">
                  <c:v>0.30154233553666471</c:v>
                </c:pt>
                <c:pt idx="959">
                  <c:v>0.30185709789108711</c:v>
                </c:pt>
                <c:pt idx="960">
                  <c:v>0.30217186024550952</c:v>
                </c:pt>
                <c:pt idx="961">
                  <c:v>0.30248662259993192</c:v>
                </c:pt>
                <c:pt idx="962">
                  <c:v>0.30280138495435432</c:v>
                </c:pt>
                <c:pt idx="963">
                  <c:v>0.30311614730877673</c:v>
                </c:pt>
                <c:pt idx="964">
                  <c:v>0.30343090966319913</c:v>
                </c:pt>
                <c:pt idx="965">
                  <c:v>0.30374567201762154</c:v>
                </c:pt>
                <c:pt idx="966">
                  <c:v>0.30406043437204394</c:v>
                </c:pt>
                <c:pt idx="967">
                  <c:v>0.30437519672646635</c:v>
                </c:pt>
                <c:pt idx="968">
                  <c:v>0.30468995908088875</c:v>
                </c:pt>
                <c:pt idx="969">
                  <c:v>0.30500472143531115</c:v>
                </c:pt>
                <c:pt idx="970">
                  <c:v>0.30531948378973356</c:v>
                </c:pt>
                <c:pt idx="971">
                  <c:v>0.30563424614415596</c:v>
                </c:pt>
                <c:pt idx="972">
                  <c:v>0.30594900849857837</c:v>
                </c:pt>
                <c:pt idx="973">
                  <c:v>0.30626377085300077</c:v>
                </c:pt>
                <c:pt idx="974">
                  <c:v>0.30657853320742318</c:v>
                </c:pt>
                <c:pt idx="975">
                  <c:v>0.30689329556184558</c:v>
                </c:pt>
                <c:pt idx="976">
                  <c:v>0.30720805791626798</c:v>
                </c:pt>
                <c:pt idx="977">
                  <c:v>0.30752282027069039</c:v>
                </c:pt>
                <c:pt idx="978">
                  <c:v>0.30783758262511279</c:v>
                </c:pt>
                <c:pt idx="979">
                  <c:v>0.3081523449795352</c:v>
                </c:pt>
                <c:pt idx="980">
                  <c:v>0.3084671073339576</c:v>
                </c:pt>
                <c:pt idx="981">
                  <c:v>0.30878186968838001</c:v>
                </c:pt>
                <c:pt idx="982">
                  <c:v>0.30909663204280241</c:v>
                </c:pt>
                <c:pt idx="983">
                  <c:v>0.30941139439722481</c:v>
                </c:pt>
                <c:pt idx="984">
                  <c:v>0.30972615675164722</c:v>
                </c:pt>
                <c:pt idx="985">
                  <c:v>0.31004091910606962</c:v>
                </c:pt>
                <c:pt idx="986">
                  <c:v>0.31035568146049203</c:v>
                </c:pt>
                <c:pt idx="987">
                  <c:v>0.31067044381491443</c:v>
                </c:pt>
                <c:pt idx="988">
                  <c:v>0.31098520616933684</c:v>
                </c:pt>
                <c:pt idx="989">
                  <c:v>0.31129996852375924</c:v>
                </c:pt>
                <c:pt idx="990">
                  <c:v>0.31161473087818164</c:v>
                </c:pt>
                <c:pt idx="991">
                  <c:v>0.31192949323260405</c:v>
                </c:pt>
                <c:pt idx="992">
                  <c:v>0.31224425558702645</c:v>
                </c:pt>
                <c:pt idx="993">
                  <c:v>0.31255901794144886</c:v>
                </c:pt>
                <c:pt idx="994">
                  <c:v>0.31287378029587126</c:v>
                </c:pt>
                <c:pt idx="995">
                  <c:v>0.31318854265029367</c:v>
                </c:pt>
                <c:pt idx="996">
                  <c:v>0.31350330500471607</c:v>
                </c:pt>
                <c:pt idx="997">
                  <c:v>0.31381806735913848</c:v>
                </c:pt>
                <c:pt idx="998">
                  <c:v>0.31413282971356088</c:v>
                </c:pt>
                <c:pt idx="999">
                  <c:v>0.31444759206798328</c:v>
                </c:pt>
                <c:pt idx="1000">
                  <c:v>0.31476235442240569</c:v>
                </c:pt>
                <c:pt idx="1001">
                  <c:v>0.31507711677682809</c:v>
                </c:pt>
                <c:pt idx="1002">
                  <c:v>0.3153918791312505</c:v>
                </c:pt>
                <c:pt idx="1003">
                  <c:v>0.3157066414856729</c:v>
                </c:pt>
                <c:pt idx="1004">
                  <c:v>0.31602140384009531</c:v>
                </c:pt>
                <c:pt idx="1005">
                  <c:v>0.31633616619451771</c:v>
                </c:pt>
                <c:pt idx="1006">
                  <c:v>0.31665092854894011</c:v>
                </c:pt>
                <c:pt idx="1007">
                  <c:v>0.31696569090336252</c:v>
                </c:pt>
                <c:pt idx="1008">
                  <c:v>0.31728045325778492</c:v>
                </c:pt>
                <c:pt idx="1009">
                  <c:v>0.31759521561220733</c:v>
                </c:pt>
                <c:pt idx="1010">
                  <c:v>0.31790997796662973</c:v>
                </c:pt>
                <c:pt idx="1011">
                  <c:v>0.31822474032105214</c:v>
                </c:pt>
                <c:pt idx="1012">
                  <c:v>0.31853950267547454</c:v>
                </c:pt>
                <c:pt idx="1013">
                  <c:v>0.31885426502989694</c:v>
                </c:pt>
                <c:pt idx="1014">
                  <c:v>0.31916902738431935</c:v>
                </c:pt>
                <c:pt idx="1015">
                  <c:v>0.31948378973874175</c:v>
                </c:pt>
                <c:pt idx="1016">
                  <c:v>0.31979855209316416</c:v>
                </c:pt>
                <c:pt idx="1017">
                  <c:v>0.32011331444758656</c:v>
                </c:pt>
                <c:pt idx="1018">
                  <c:v>0.32042807680200897</c:v>
                </c:pt>
                <c:pt idx="1019">
                  <c:v>0.32074283915643137</c:v>
                </c:pt>
                <c:pt idx="1020">
                  <c:v>0.32105760151085377</c:v>
                </c:pt>
                <c:pt idx="1021">
                  <c:v>0.32137236386527618</c:v>
                </c:pt>
                <c:pt idx="1022">
                  <c:v>0.32168712621969858</c:v>
                </c:pt>
                <c:pt idx="1023">
                  <c:v>0.32200188857412099</c:v>
                </c:pt>
                <c:pt idx="1024">
                  <c:v>0.32231665092854339</c:v>
                </c:pt>
                <c:pt idx="1025">
                  <c:v>0.3226314132829658</c:v>
                </c:pt>
                <c:pt idx="1026">
                  <c:v>0.3229461756373882</c:v>
                </c:pt>
                <c:pt idx="1027">
                  <c:v>0.3232609379918106</c:v>
                </c:pt>
                <c:pt idx="1028">
                  <c:v>0.32357570034623301</c:v>
                </c:pt>
                <c:pt idx="1029">
                  <c:v>0.32389046270065541</c:v>
                </c:pt>
                <c:pt idx="1030">
                  <c:v>0.32420522505507782</c:v>
                </c:pt>
                <c:pt idx="1031">
                  <c:v>0.32451998740950022</c:v>
                </c:pt>
                <c:pt idx="1032">
                  <c:v>0.32483474976392263</c:v>
                </c:pt>
                <c:pt idx="1033">
                  <c:v>0.32514951211834503</c:v>
                </c:pt>
                <c:pt idx="1034">
                  <c:v>0.32546427447276743</c:v>
                </c:pt>
                <c:pt idx="1035">
                  <c:v>0.32577903682718984</c:v>
                </c:pt>
                <c:pt idx="1036">
                  <c:v>0.32609379918161224</c:v>
                </c:pt>
                <c:pt idx="1037">
                  <c:v>0.32640856153603465</c:v>
                </c:pt>
                <c:pt idx="1038">
                  <c:v>0.32672332389045705</c:v>
                </c:pt>
                <c:pt idx="1039">
                  <c:v>0.32703808624487946</c:v>
                </c:pt>
                <c:pt idx="1040">
                  <c:v>0.32735284859930186</c:v>
                </c:pt>
                <c:pt idx="1041">
                  <c:v>0.32766761095372426</c:v>
                </c:pt>
                <c:pt idx="1042">
                  <c:v>0.32798237330814667</c:v>
                </c:pt>
                <c:pt idx="1043">
                  <c:v>0.32829713566256907</c:v>
                </c:pt>
                <c:pt idx="1044">
                  <c:v>0.32861189801699148</c:v>
                </c:pt>
                <c:pt idx="1045">
                  <c:v>0.32892666037141388</c:v>
                </c:pt>
                <c:pt idx="1046">
                  <c:v>0.32924142272583629</c:v>
                </c:pt>
                <c:pt idx="1047">
                  <c:v>0.32955618508025869</c:v>
                </c:pt>
                <c:pt idx="1048">
                  <c:v>0.32987094743468109</c:v>
                </c:pt>
                <c:pt idx="1049">
                  <c:v>0.3301857097891035</c:v>
                </c:pt>
                <c:pt idx="1050">
                  <c:v>0.3305004721435259</c:v>
                </c:pt>
                <c:pt idx="1051">
                  <c:v>0.33081523449794831</c:v>
                </c:pt>
                <c:pt idx="1052">
                  <c:v>0.33112999685237071</c:v>
                </c:pt>
                <c:pt idx="1053">
                  <c:v>0.33144475920679312</c:v>
                </c:pt>
                <c:pt idx="1054">
                  <c:v>0.33175952156121552</c:v>
                </c:pt>
                <c:pt idx="1055">
                  <c:v>0.33207428391563792</c:v>
                </c:pt>
                <c:pt idx="1056">
                  <c:v>0.33238904627006033</c:v>
                </c:pt>
                <c:pt idx="1057">
                  <c:v>0.33270380862448273</c:v>
                </c:pt>
                <c:pt idx="1058">
                  <c:v>0.33301857097890514</c:v>
                </c:pt>
                <c:pt idx="1059">
                  <c:v>0.33333333333332754</c:v>
                </c:pt>
                <c:pt idx="1060">
                  <c:v>0.33364809568774995</c:v>
                </c:pt>
                <c:pt idx="1061">
                  <c:v>0.33396285804217235</c:v>
                </c:pt>
                <c:pt idx="1062">
                  <c:v>0.33427762039659475</c:v>
                </c:pt>
                <c:pt idx="1063">
                  <c:v>0.33459238275101716</c:v>
                </c:pt>
                <c:pt idx="1064">
                  <c:v>0.33490714510543956</c:v>
                </c:pt>
                <c:pt idx="1065">
                  <c:v>0.33522190745986197</c:v>
                </c:pt>
                <c:pt idx="1066">
                  <c:v>0.33553666981428437</c:v>
                </c:pt>
                <c:pt idx="1067">
                  <c:v>0.33585143216870678</c:v>
                </c:pt>
                <c:pt idx="1068">
                  <c:v>0.33616619452312918</c:v>
                </c:pt>
                <c:pt idx="1069">
                  <c:v>0.33648095687755158</c:v>
                </c:pt>
                <c:pt idx="1070">
                  <c:v>0.33679571923197399</c:v>
                </c:pt>
                <c:pt idx="1071">
                  <c:v>0.33711048158639639</c:v>
                </c:pt>
                <c:pt idx="1072">
                  <c:v>0.3374252439408188</c:v>
                </c:pt>
                <c:pt idx="1073">
                  <c:v>0.3377400062952412</c:v>
                </c:pt>
                <c:pt idx="1074">
                  <c:v>0.33805476864966361</c:v>
                </c:pt>
                <c:pt idx="1075">
                  <c:v>0.33836953100408601</c:v>
                </c:pt>
                <c:pt idx="1076">
                  <c:v>0.33868429335850841</c:v>
                </c:pt>
                <c:pt idx="1077">
                  <c:v>0.33899905571293082</c:v>
                </c:pt>
                <c:pt idx="1078">
                  <c:v>0.33931381806735322</c:v>
                </c:pt>
                <c:pt idx="1079">
                  <c:v>0.33962858042177563</c:v>
                </c:pt>
                <c:pt idx="1080">
                  <c:v>0.33994334277619803</c:v>
                </c:pt>
                <c:pt idx="1081">
                  <c:v>0.34025810513062044</c:v>
                </c:pt>
                <c:pt idx="1082">
                  <c:v>0.34057286748504284</c:v>
                </c:pt>
                <c:pt idx="1083">
                  <c:v>0.34088762983946524</c:v>
                </c:pt>
                <c:pt idx="1084">
                  <c:v>0.34120239219388765</c:v>
                </c:pt>
                <c:pt idx="1085">
                  <c:v>0.34151715454831005</c:v>
                </c:pt>
                <c:pt idx="1086">
                  <c:v>0.34183191690273246</c:v>
                </c:pt>
                <c:pt idx="1087">
                  <c:v>0.34214667925715486</c:v>
                </c:pt>
                <c:pt idx="1088">
                  <c:v>0.34246144161157727</c:v>
                </c:pt>
                <c:pt idx="1089">
                  <c:v>0.34277620396599967</c:v>
                </c:pt>
                <c:pt idx="1090">
                  <c:v>0.34309096632042207</c:v>
                </c:pt>
                <c:pt idx="1091">
                  <c:v>0.34340572867484448</c:v>
                </c:pt>
                <c:pt idx="1092">
                  <c:v>0.34372049102926688</c:v>
                </c:pt>
                <c:pt idx="1093">
                  <c:v>0.34403525338368929</c:v>
                </c:pt>
                <c:pt idx="1094">
                  <c:v>0.34435001573811169</c:v>
                </c:pt>
                <c:pt idx="1095">
                  <c:v>0.3446647780925341</c:v>
                </c:pt>
                <c:pt idx="1096">
                  <c:v>0.3449795404469565</c:v>
                </c:pt>
                <c:pt idx="1097">
                  <c:v>0.34529430280137891</c:v>
                </c:pt>
                <c:pt idx="1098">
                  <c:v>0.34560906515580131</c:v>
                </c:pt>
                <c:pt idx="1099">
                  <c:v>0.34592382751022371</c:v>
                </c:pt>
                <c:pt idx="1100">
                  <c:v>0.34623858986464612</c:v>
                </c:pt>
                <c:pt idx="1101">
                  <c:v>0.34655335221906852</c:v>
                </c:pt>
                <c:pt idx="1102">
                  <c:v>0.34686811457349093</c:v>
                </c:pt>
                <c:pt idx="1103">
                  <c:v>0.34718287692791333</c:v>
                </c:pt>
                <c:pt idx="1104">
                  <c:v>0.34749763928233574</c:v>
                </c:pt>
                <c:pt idx="1105">
                  <c:v>0.34781240163675814</c:v>
                </c:pt>
                <c:pt idx="1106">
                  <c:v>0.34812716399118054</c:v>
                </c:pt>
                <c:pt idx="1107">
                  <c:v>0.34844192634560295</c:v>
                </c:pt>
                <c:pt idx="1108">
                  <c:v>0.34875668870002535</c:v>
                </c:pt>
                <c:pt idx="1109">
                  <c:v>0.34907145105444776</c:v>
                </c:pt>
                <c:pt idx="1110">
                  <c:v>0.34938621340887016</c:v>
                </c:pt>
                <c:pt idx="1111">
                  <c:v>0.34970097576329257</c:v>
                </c:pt>
                <c:pt idx="1112">
                  <c:v>0.35001573811771497</c:v>
                </c:pt>
                <c:pt idx="1113">
                  <c:v>0.35033050047213737</c:v>
                </c:pt>
                <c:pt idx="1114">
                  <c:v>0.35064526282655978</c:v>
                </c:pt>
                <c:pt idx="1115">
                  <c:v>0.35096002518098218</c:v>
                </c:pt>
                <c:pt idx="1116">
                  <c:v>0.35127478753540459</c:v>
                </c:pt>
                <c:pt idx="1117">
                  <c:v>0.35158954988982699</c:v>
                </c:pt>
                <c:pt idx="1118">
                  <c:v>0.3519043122442494</c:v>
                </c:pt>
                <c:pt idx="1119">
                  <c:v>0.3522190745986718</c:v>
                </c:pt>
                <c:pt idx="1120">
                  <c:v>0.3525338369530942</c:v>
                </c:pt>
                <c:pt idx="1121">
                  <c:v>0.35284859930751661</c:v>
                </c:pt>
                <c:pt idx="1122">
                  <c:v>0.35316336166193901</c:v>
                </c:pt>
                <c:pt idx="1123">
                  <c:v>0.35347812401636142</c:v>
                </c:pt>
                <c:pt idx="1124">
                  <c:v>0.35379288637078382</c:v>
                </c:pt>
                <c:pt idx="1125">
                  <c:v>0.35410764872520623</c:v>
                </c:pt>
                <c:pt idx="1126">
                  <c:v>0.35442241107962863</c:v>
                </c:pt>
                <c:pt idx="1127">
                  <c:v>0.35473717343405103</c:v>
                </c:pt>
                <c:pt idx="1128">
                  <c:v>0.35505193578847344</c:v>
                </c:pt>
                <c:pt idx="1129">
                  <c:v>0.35536669814289584</c:v>
                </c:pt>
                <c:pt idx="1130">
                  <c:v>0.35568146049731825</c:v>
                </c:pt>
                <c:pt idx="1131">
                  <c:v>0.35599622285174065</c:v>
                </c:pt>
                <c:pt idx="1132">
                  <c:v>0.35631098520616306</c:v>
                </c:pt>
                <c:pt idx="1133">
                  <c:v>0.35662574756058546</c:v>
                </c:pt>
                <c:pt idx="1134">
                  <c:v>0.35694050991500786</c:v>
                </c:pt>
                <c:pt idx="1135">
                  <c:v>0.35725527226943027</c:v>
                </c:pt>
                <c:pt idx="1136">
                  <c:v>0.35757003462385267</c:v>
                </c:pt>
                <c:pt idx="1137">
                  <c:v>0.35788479697827508</c:v>
                </c:pt>
                <c:pt idx="1138">
                  <c:v>0.35819955933269748</c:v>
                </c:pt>
                <c:pt idx="1139">
                  <c:v>0.35851432168711989</c:v>
                </c:pt>
                <c:pt idx="1140">
                  <c:v>0.35882908404154229</c:v>
                </c:pt>
                <c:pt idx="1141">
                  <c:v>0.35914384639596469</c:v>
                </c:pt>
                <c:pt idx="1142">
                  <c:v>0.3594586087503871</c:v>
                </c:pt>
                <c:pt idx="1143">
                  <c:v>0.3597733711048095</c:v>
                </c:pt>
                <c:pt idx="1144">
                  <c:v>0.36008813345923191</c:v>
                </c:pt>
                <c:pt idx="1145">
                  <c:v>0.36040289581365431</c:v>
                </c:pt>
                <c:pt idx="1146">
                  <c:v>0.36071765816807672</c:v>
                </c:pt>
                <c:pt idx="1147">
                  <c:v>0.36103242052249912</c:v>
                </c:pt>
                <c:pt idx="1148">
                  <c:v>0.36134718287692152</c:v>
                </c:pt>
                <c:pt idx="1149">
                  <c:v>0.36166194523134393</c:v>
                </c:pt>
                <c:pt idx="1150">
                  <c:v>0.36197670758576633</c:v>
                </c:pt>
                <c:pt idx="1151">
                  <c:v>0.36229146994018874</c:v>
                </c:pt>
                <c:pt idx="1152">
                  <c:v>0.36260623229461114</c:v>
                </c:pt>
                <c:pt idx="1153">
                  <c:v>0.36292099464903355</c:v>
                </c:pt>
                <c:pt idx="1154">
                  <c:v>0.36323575700345595</c:v>
                </c:pt>
                <c:pt idx="1155">
                  <c:v>0.36355051935787835</c:v>
                </c:pt>
                <c:pt idx="1156">
                  <c:v>0.36386528171230076</c:v>
                </c:pt>
                <c:pt idx="1157">
                  <c:v>0.36418004406672316</c:v>
                </c:pt>
                <c:pt idx="1158">
                  <c:v>0.36449480642114557</c:v>
                </c:pt>
                <c:pt idx="1159">
                  <c:v>0.36480956877556797</c:v>
                </c:pt>
                <c:pt idx="1160">
                  <c:v>0.36512433112999038</c:v>
                </c:pt>
                <c:pt idx="1161">
                  <c:v>0.36543909348441278</c:v>
                </c:pt>
                <c:pt idx="1162">
                  <c:v>0.36575385583883518</c:v>
                </c:pt>
                <c:pt idx="1163">
                  <c:v>0.36606861819325759</c:v>
                </c:pt>
                <c:pt idx="1164">
                  <c:v>0.36638338054767999</c:v>
                </c:pt>
                <c:pt idx="1165">
                  <c:v>0.3666981429021024</c:v>
                </c:pt>
                <c:pt idx="1166">
                  <c:v>0.3670129052565248</c:v>
                </c:pt>
                <c:pt idx="1167">
                  <c:v>0.36732766761094721</c:v>
                </c:pt>
                <c:pt idx="1168">
                  <c:v>0.36764242996536961</c:v>
                </c:pt>
                <c:pt idx="1169">
                  <c:v>0.36795719231979201</c:v>
                </c:pt>
                <c:pt idx="1170">
                  <c:v>0.36827195467421442</c:v>
                </c:pt>
                <c:pt idx="1171">
                  <c:v>0.36858671702863682</c:v>
                </c:pt>
                <c:pt idx="1172">
                  <c:v>0.36890147938305923</c:v>
                </c:pt>
                <c:pt idx="1173">
                  <c:v>0.36921624173748163</c:v>
                </c:pt>
                <c:pt idx="1174">
                  <c:v>0.36953100409190404</c:v>
                </c:pt>
                <c:pt idx="1175">
                  <c:v>0.36984576644632644</c:v>
                </c:pt>
                <c:pt idx="1176">
                  <c:v>0.37016052880074884</c:v>
                </c:pt>
                <c:pt idx="1177">
                  <c:v>0.37047529115517125</c:v>
                </c:pt>
                <c:pt idx="1178">
                  <c:v>0.37079005350959365</c:v>
                </c:pt>
                <c:pt idx="1179">
                  <c:v>0.37110481586401606</c:v>
                </c:pt>
                <c:pt idx="1180">
                  <c:v>0.37141957821843846</c:v>
                </c:pt>
                <c:pt idx="1181">
                  <c:v>0.37173434057286087</c:v>
                </c:pt>
                <c:pt idx="1182">
                  <c:v>0.37204910292728327</c:v>
                </c:pt>
                <c:pt idx="1183">
                  <c:v>0.37236386528170567</c:v>
                </c:pt>
                <c:pt idx="1184">
                  <c:v>0.37267862763612808</c:v>
                </c:pt>
                <c:pt idx="1185">
                  <c:v>0.37299338999055048</c:v>
                </c:pt>
                <c:pt idx="1186">
                  <c:v>0.37330815234497289</c:v>
                </c:pt>
                <c:pt idx="1187">
                  <c:v>0.37362291469939529</c:v>
                </c:pt>
                <c:pt idx="1188">
                  <c:v>0.3739376770538177</c:v>
                </c:pt>
                <c:pt idx="1189">
                  <c:v>0.3742524394082401</c:v>
                </c:pt>
                <c:pt idx="1190">
                  <c:v>0.3745672017626625</c:v>
                </c:pt>
                <c:pt idx="1191">
                  <c:v>0.37488196411708491</c:v>
                </c:pt>
                <c:pt idx="1192">
                  <c:v>0.37519672647150731</c:v>
                </c:pt>
                <c:pt idx="1193">
                  <c:v>0.37551148882592972</c:v>
                </c:pt>
                <c:pt idx="1194">
                  <c:v>0.37582625118035212</c:v>
                </c:pt>
                <c:pt idx="1195">
                  <c:v>0.37614101353477453</c:v>
                </c:pt>
                <c:pt idx="1196">
                  <c:v>0.37645577588919693</c:v>
                </c:pt>
                <c:pt idx="1197">
                  <c:v>0.37677053824361934</c:v>
                </c:pt>
                <c:pt idx="1198">
                  <c:v>0.37708530059804174</c:v>
                </c:pt>
                <c:pt idx="1199">
                  <c:v>0.37740006295246414</c:v>
                </c:pt>
                <c:pt idx="1200">
                  <c:v>0.37771482530688655</c:v>
                </c:pt>
                <c:pt idx="1201">
                  <c:v>0.37802958766130895</c:v>
                </c:pt>
                <c:pt idx="1202">
                  <c:v>0.37834435001573136</c:v>
                </c:pt>
                <c:pt idx="1203">
                  <c:v>0.37865911237015376</c:v>
                </c:pt>
                <c:pt idx="1204">
                  <c:v>0.37897387472457617</c:v>
                </c:pt>
                <c:pt idx="1205">
                  <c:v>0.37928863707899857</c:v>
                </c:pt>
                <c:pt idx="1206">
                  <c:v>0.37960339943342097</c:v>
                </c:pt>
                <c:pt idx="1207">
                  <c:v>0.37991816178784338</c:v>
                </c:pt>
                <c:pt idx="1208">
                  <c:v>0.38023292414226578</c:v>
                </c:pt>
                <c:pt idx="1209">
                  <c:v>0.38054768649668819</c:v>
                </c:pt>
                <c:pt idx="1210">
                  <c:v>0.38086244885111059</c:v>
                </c:pt>
                <c:pt idx="1211">
                  <c:v>0.381177211205533</c:v>
                </c:pt>
                <c:pt idx="1212">
                  <c:v>0.3814919735599554</c:v>
                </c:pt>
                <c:pt idx="1213">
                  <c:v>0.3818067359143778</c:v>
                </c:pt>
                <c:pt idx="1214">
                  <c:v>0.38212149826880021</c:v>
                </c:pt>
                <c:pt idx="1215">
                  <c:v>0.38243626062322261</c:v>
                </c:pt>
                <c:pt idx="1216">
                  <c:v>0.38275102297764502</c:v>
                </c:pt>
                <c:pt idx="1217">
                  <c:v>0.38306578533206742</c:v>
                </c:pt>
                <c:pt idx="1218">
                  <c:v>0.38338054768648983</c:v>
                </c:pt>
                <c:pt idx="1219">
                  <c:v>0.38369531004091223</c:v>
                </c:pt>
                <c:pt idx="1220">
                  <c:v>0.38401007239533463</c:v>
                </c:pt>
                <c:pt idx="1221">
                  <c:v>0.38432483474975704</c:v>
                </c:pt>
                <c:pt idx="1222">
                  <c:v>0.38463959710417944</c:v>
                </c:pt>
                <c:pt idx="1223">
                  <c:v>0.38495435945860185</c:v>
                </c:pt>
                <c:pt idx="1224">
                  <c:v>0.38526912181302425</c:v>
                </c:pt>
                <c:pt idx="1225">
                  <c:v>0.38558388416744666</c:v>
                </c:pt>
                <c:pt idx="1226">
                  <c:v>0.38589864652186906</c:v>
                </c:pt>
                <c:pt idx="1227">
                  <c:v>0.38621340887629146</c:v>
                </c:pt>
                <c:pt idx="1228">
                  <c:v>0.38652817123071387</c:v>
                </c:pt>
                <c:pt idx="1229">
                  <c:v>0.38684293358513627</c:v>
                </c:pt>
                <c:pt idx="1230">
                  <c:v>0.38715769593955868</c:v>
                </c:pt>
                <c:pt idx="1231">
                  <c:v>0.38747245829398108</c:v>
                </c:pt>
                <c:pt idx="1232">
                  <c:v>0.38778722064840349</c:v>
                </c:pt>
                <c:pt idx="1233">
                  <c:v>0.38810198300282589</c:v>
                </c:pt>
                <c:pt idx="1234">
                  <c:v>0.38841674535724829</c:v>
                </c:pt>
                <c:pt idx="1235">
                  <c:v>0.3887315077116707</c:v>
                </c:pt>
                <c:pt idx="1236">
                  <c:v>0.3890462700660931</c:v>
                </c:pt>
                <c:pt idx="1237">
                  <c:v>0.38936103242051551</c:v>
                </c:pt>
                <c:pt idx="1238">
                  <c:v>0.38967579477493791</c:v>
                </c:pt>
                <c:pt idx="1239">
                  <c:v>0.38999055712936032</c:v>
                </c:pt>
                <c:pt idx="1240">
                  <c:v>0.39030531948378272</c:v>
                </c:pt>
                <c:pt idx="1241">
                  <c:v>0.39062008183820512</c:v>
                </c:pt>
                <c:pt idx="1242">
                  <c:v>0.39093484419262753</c:v>
                </c:pt>
                <c:pt idx="1243">
                  <c:v>0.39124960654704993</c:v>
                </c:pt>
                <c:pt idx="1244">
                  <c:v>0.39156436890147234</c:v>
                </c:pt>
                <c:pt idx="1245">
                  <c:v>0.39187913125589474</c:v>
                </c:pt>
                <c:pt idx="1246">
                  <c:v>0.39219389361031715</c:v>
                </c:pt>
                <c:pt idx="1247">
                  <c:v>0.39250865596473955</c:v>
                </c:pt>
                <c:pt idx="1248">
                  <c:v>0.39282341831916195</c:v>
                </c:pt>
                <c:pt idx="1249">
                  <c:v>0.39313818067358436</c:v>
                </c:pt>
                <c:pt idx="1250">
                  <c:v>0.39345294302800676</c:v>
                </c:pt>
                <c:pt idx="1251">
                  <c:v>0.39376770538242917</c:v>
                </c:pt>
                <c:pt idx="1252">
                  <c:v>0.39408246773685157</c:v>
                </c:pt>
                <c:pt idx="1253">
                  <c:v>0.39439723009127398</c:v>
                </c:pt>
                <c:pt idx="1254">
                  <c:v>0.39471199244569638</c:v>
                </c:pt>
                <c:pt idx="1255">
                  <c:v>0.39502675480011878</c:v>
                </c:pt>
                <c:pt idx="1256">
                  <c:v>0.39534151715454119</c:v>
                </c:pt>
                <c:pt idx="1257">
                  <c:v>0.39565627950896359</c:v>
                </c:pt>
                <c:pt idx="1258">
                  <c:v>0.395971041863386</c:v>
                </c:pt>
                <c:pt idx="1259">
                  <c:v>0.3962858042178084</c:v>
                </c:pt>
                <c:pt idx="1260">
                  <c:v>0.39660056657223081</c:v>
                </c:pt>
                <c:pt idx="1261">
                  <c:v>0.39691532892665321</c:v>
                </c:pt>
                <c:pt idx="1262">
                  <c:v>0.39723009128107561</c:v>
                </c:pt>
                <c:pt idx="1263">
                  <c:v>0.39754485363549802</c:v>
                </c:pt>
                <c:pt idx="1264">
                  <c:v>0.39785961598992042</c:v>
                </c:pt>
                <c:pt idx="1265">
                  <c:v>0.39817437834434283</c:v>
                </c:pt>
                <c:pt idx="1266">
                  <c:v>0.39848914069876523</c:v>
                </c:pt>
                <c:pt idx="1267">
                  <c:v>0.39880390305318764</c:v>
                </c:pt>
                <c:pt idx="1268">
                  <c:v>0.39911866540761004</c:v>
                </c:pt>
                <c:pt idx="1269">
                  <c:v>0.39943342776203244</c:v>
                </c:pt>
                <c:pt idx="1270">
                  <c:v>0.39974819011645485</c:v>
                </c:pt>
                <c:pt idx="1271">
                  <c:v>0.40006295247087725</c:v>
                </c:pt>
                <c:pt idx="1272">
                  <c:v>0.40037771482529966</c:v>
                </c:pt>
                <c:pt idx="1273">
                  <c:v>0.40069247717972206</c:v>
                </c:pt>
                <c:pt idx="1274">
                  <c:v>0.40100723953414447</c:v>
                </c:pt>
                <c:pt idx="1275">
                  <c:v>0.40132200188856687</c:v>
                </c:pt>
                <c:pt idx="1276">
                  <c:v>0.40163676424298927</c:v>
                </c:pt>
                <c:pt idx="1277">
                  <c:v>0.40195152659741168</c:v>
                </c:pt>
                <c:pt idx="1278">
                  <c:v>0.40226628895183408</c:v>
                </c:pt>
                <c:pt idx="1279">
                  <c:v>0.40258105130625649</c:v>
                </c:pt>
                <c:pt idx="1280">
                  <c:v>0.40289581366067889</c:v>
                </c:pt>
                <c:pt idx="1281">
                  <c:v>0.4032105760151013</c:v>
                </c:pt>
                <c:pt idx="1282">
                  <c:v>0.4035253383695237</c:v>
                </c:pt>
                <c:pt idx="1283">
                  <c:v>0.4038401007239461</c:v>
                </c:pt>
                <c:pt idx="1284">
                  <c:v>0.40415486307836851</c:v>
                </c:pt>
                <c:pt idx="1285">
                  <c:v>0.40446962543279091</c:v>
                </c:pt>
                <c:pt idx="1286">
                  <c:v>0.40478438778721332</c:v>
                </c:pt>
                <c:pt idx="1287">
                  <c:v>0.40509915014163572</c:v>
                </c:pt>
                <c:pt idx="1288">
                  <c:v>0.40541391249605813</c:v>
                </c:pt>
                <c:pt idx="1289">
                  <c:v>0.40572867485048053</c:v>
                </c:pt>
                <c:pt idx="1290">
                  <c:v>0.40604343720490294</c:v>
                </c:pt>
                <c:pt idx="1291">
                  <c:v>0.40635819955932534</c:v>
                </c:pt>
                <c:pt idx="1292">
                  <c:v>0.40667296191374774</c:v>
                </c:pt>
                <c:pt idx="1293">
                  <c:v>0.40698772426817015</c:v>
                </c:pt>
                <c:pt idx="1294">
                  <c:v>0.40730248662259255</c:v>
                </c:pt>
                <c:pt idx="1295">
                  <c:v>0.40761724897701496</c:v>
                </c:pt>
                <c:pt idx="1296">
                  <c:v>0.40793201133143736</c:v>
                </c:pt>
                <c:pt idx="1297">
                  <c:v>0.40824677368585977</c:v>
                </c:pt>
                <c:pt idx="1298">
                  <c:v>0.40856153604028217</c:v>
                </c:pt>
                <c:pt idx="1299">
                  <c:v>0.40887629839470457</c:v>
                </c:pt>
                <c:pt idx="1300">
                  <c:v>0.40919106074912698</c:v>
                </c:pt>
                <c:pt idx="1301">
                  <c:v>0.40950582310354938</c:v>
                </c:pt>
                <c:pt idx="1302">
                  <c:v>0.40982058545797179</c:v>
                </c:pt>
                <c:pt idx="1303">
                  <c:v>0.41013534781239419</c:v>
                </c:pt>
                <c:pt idx="1304">
                  <c:v>0.4104501101668166</c:v>
                </c:pt>
                <c:pt idx="1305">
                  <c:v>0.410764872521239</c:v>
                </c:pt>
                <c:pt idx="1306">
                  <c:v>0.4110796348756614</c:v>
                </c:pt>
                <c:pt idx="1307">
                  <c:v>0.41139439723008381</c:v>
                </c:pt>
                <c:pt idx="1308">
                  <c:v>0.41170915958450621</c:v>
                </c:pt>
                <c:pt idx="1309">
                  <c:v>0.41202392193892862</c:v>
                </c:pt>
                <c:pt idx="1310">
                  <c:v>0.41233868429335102</c:v>
                </c:pt>
                <c:pt idx="1311">
                  <c:v>0.41265344664777343</c:v>
                </c:pt>
                <c:pt idx="1312">
                  <c:v>0.41296820900219583</c:v>
                </c:pt>
                <c:pt idx="1313">
                  <c:v>0.41328297135661823</c:v>
                </c:pt>
                <c:pt idx="1314">
                  <c:v>0.41359773371104064</c:v>
                </c:pt>
                <c:pt idx="1315">
                  <c:v>0.41391249606546304</c:v>
                </c:pt>
                <c:pt idx="1316">
                  <c:v>0.41422725841988545</c:v>
                </c:pt>
                <c:pt idx="1317">
                  <c:v>0.41454202077430785</c:v>
                </c:pt>
                <c:pt idx="1318">
                  <c:v>0.41485678312873026</c:v>
                </c:pt>
                <c:pt idx="1319">
                  <c:v>0.41517154548315266</c:v>
                </c:pt>
                <c:pt idx="1320">
                  <c:v>0.41548630783757506</c:v>
                </c:pt>
                <c:pt idx="1321">
                  <c:v>0.41580107019199747</c:v>
                </c:pt>
                <c:pt idx="1322">
                  <c:v>0.41611583254641987</c:v>
                </c:pt>
                <c:pt idx="1323">
                  <c:v>0.41643059490084228</c:v>
                </c:pt>
                <c:pt idx="1324">
                  <c:v>0.41674535725526468</c:v>
                </c:pt>
                <c:pt idx="1325">
                  <c:v>0.41706011960968709</c:v>
                </c:pt>
                <c:pt idx="1326">
                  <c:v>0.41737488196410949</c:v>
                </c:pt>
                <c:pt idx="1327">
                  <c:v>0.41768964431853189</c:v>
                </c:pt>
                <c:pt idx="1328">
                  <c:v>0.4180044066729543</c:v>
                </c:pt>
                <c:pt idx="1329">
                  <c:v>0.4183191690273767</c:v>
                </c:pt>
                <c:pt idx="1330">
                  <c:v>0.41863393138179911</c:v>
                </c:pt>
                <c:pt idx="1331">
                  <c:v>0.41894869373622151</c:v>
                </c:pt>
                <c:pt idx="1332">
                  <c:v>0.41926345609064392</c:v>
                </c:pt>
                <c:pt idx="1333">
                  <c:v>0.41957821844506632</c:v>
                </c:pt>
                <c:pt idx="1334">
                  <c:v>0.41989298079948872</c:v>
                </c:pt>
                <c:pt idx="1335">
                  <c:v>0.42020774315391113</c:v>
                </c:pt>
                <c:pt idx="1336">
                  <c:v>0.42052250550833353</c:v>
                </c:pt>
                <c:pt idx="1337">
                  <c:v>0.42083726786275594</c:v>
                </c:pt>
                <c:pt idx="1338">
                  <c:v>0.42115203021717834</c:v>
                </c:pt>
                <c:pt idx="1339">
                  <c:v>0.42146679257160075</c:v>
                </c:pt>
                <c:pt idx="1340">
                  <c:v>0.42178155492602315</c:v>
                </c:pt>
                <c:pt idx="1341">
                  <c:v>0.42209631728044555</c:v>
                </c:pt>
                <c:pt idx="1342">
                  <c:v>0.42241107963486796</c:v>
                </c:pt>
                <c:pt idx="1343">
                  <c:v>0.42272584198929036</c:v>
                </c:pt>
                <c:pt idx="1344">
                  <c:v>0.42304060434371277</c:v>
                </c:pt>
                <c:pt idx="1345">
                  <c:v>0.42335536669813517</c:v>
                </c:pt>
                <c:pt idx="1346">
                  <c:v>0.42367012905255758</c:v>
                </c:pt>
                <c:pt idx="1347">
                  <c:v>0.42398489140697998</c:v>
                </c:pt>
                <c:pt idx="1348">
                  <c:v>0.42429965376140238</c:v>
                </c:pt>
                <c:pt idx="1349">
                  <c:v>0.42461441611582479</c:v>
                </c:pt>
                <c:pt idx="1350">
                  <c:v>0.42492917847024719</c:v>
                </c:pt>
                <c:pt idx="1351">
                  <c:v>0.4252439408246696</c:v>
                </c:pt>
                <c:pt idx="1352">
                  <c:v>0.425558703179092</c:v>
                </c:pt>
                <c:pt idx="1353">
                  <c:v>0.42587346553351441</c:v>
                </c:pt>
                <c:pt idx="1354">
                  <c:v>0.42618822788793681</c:v>
                </c:pt>
                <c:pt idx="1355">
                  <c:v>0.42650299024235921</c:v>
                </c:pt>
                <c:pt idx="1356">
                  <c:v>0.42681775259678162</c:v>
                </c:pt>
                <c:pt idx="1357">
                  <c:v>0.42713251495120402</c:v>
                </c:pt>
                <c:pt idx="1358">
                  <c:v>0.42744727730562643</c:v>
                </c:pt>
                <c:pt idx="1359">
                  <c:v>0.42776203966004883</c:v>
                </c:pt>
                <c:pt idx="1360">
                  <c:v>0.42807680201447124</c:v>
                </c:pt>
                <c:pt idx="1361">
                  <c:v>0.42839156436889364</c:v>
                </c:pt>
                <c:pt idx="1362">
                  <c:v>0.42870632672331604</c:v>
                </c:pt>
                <c:pt idx="1363">
                  <c:v>0.42902108907773845</c:v>
                </c:pt>
                <c:pt idx="1364">
                  <c:v>0.42933585143216085</c:v>
                </c:pt>
                <c:pt idx="1365">
                  <c:v>0.42965061378658326</c:v>
                </c:pt>
                <c:pt idx="1366">
                  <c:v>0.42996537614100566</c:v>
                </c:pt>
                <c:pt idx="1367">
                  <c:v>0.43028013849542807</c:v>
                </c:pt>
                <c:pt idx="1368">
                  <c:v>0.43059490084985047</c:v>
                </c:pt>
                <c:pt idx="1369">
                  <c:v>0.43090966320427287</c:v>
                </c:pt>
                <c:pt idx="1370">
                  <c:v>0.43122442555869528</c:v>
                </c:pt>
                <c:pt idx="1371">
                  <c:v>0.43153918791311768</c:v>
                </c:pt>
                <c:pt idx="1372">
                  <c:v>0.43185395026754009</c:v>
                </c:pt>
                <c:pt idx="1373">
                  <c:v>0.43216871262196249</c:v>
                </c:pt>
                <c:pt idx="1374">
                  <c:v>0.4324834749763849</c:v>
                </c:pt>
                <c:pt idx="1375">
                  <c:v>0.4327982373308073</c:v>
                </c:pt>
                <c:pt idx="1376">
                  <c:v>0.4331129996852297</c:v>
                </c:pt>
                <c:pt idx="1377">
                  <c:v>0.43342776203965211</c:v>
                </c:pt>
                <c:pt idx="1378">
                  <c:v>0.43374252439407451</c:v>
                </c:pt>
                <c:pt idx="1379">
                  <c:v>0.43405728674849692</c:v>
                </c:pt>
                <c:pt idx="1380">
                  <c:v>0.43437204910291932</c:v>
                </c:pt>
                <c:pt idx="1381">
                  <c:v>0.43468681145734173</c:v>
                </c:pt>
                <c:pt idx="1382">
                  <c:v>0.43500157381176413</c:v>
                </c:pt>
                <c:pt idx="1383">
                  <c:v>0.43531633616618653</c:v>
                </c:pt>
                <c:pt idx="1384">
                  <c:v>0.43563109852060894</c:v>
                </c:pt>
                <c:pt idx="1385">
                  <c:v>0.43594586087503134</c:v>
                </c:pt>
                <c:pt idx="1386">
                  <c:v>0.43626062322945375</c:v>
                </c:pt>
                <c:pt idx="1387">
                  <c:v>0.43657538558387615</c:v>
                </c:pt>
                <c:pt idx="1388">
                  <c:v>0.43689014793829856</c:v>
                </c:pt>
                <c:pt idx="1389">
                  <c:v>0.43720491029272096</c:v>
                </c:pt>
                <c:pt idx="1390">
                  <c:v>0.43751967264714337</c:v>
                </c:pt>
                <c:pt idx="1391">
                  <c:v>0.43783443500156577</c:v>
                </c:pt>
                <c:pt idx="1392">
                  <c:v>0.43814919735598817</c:v>
                </c:pt>
                <c:pt idx="1393">
                  <c:v>0.43846395971041058</c:v>
                </c:pt>
                <c:pt idx="1394">
                  <c:v>0.43877872206483298</c:v>
                </c:pt>
                <c:pt idx="1395">
                  <c:v>0.43909348441925539</c:v>
                </c:pt>
                <c:pt idx="1396">
                  <c:v>0.43940824677367779</c:v>
                </c:pt>
                <c:pt idx="1397">
                  <c:v>0.4397230091281002</c:v>
                </c:pt>
                <c:pt idx="1398">
                  <c:v>0.4400377714825226</c:v>
                </c:pt>
                <c:pt idx="1399">
                  <c:v>0.440352533836945</c:v>
                </c:pt>
                <c:pt idx="1400">
                  <c:v>0.44066729619136741</c:v>
                </c:pt>
                <c:pt idx="1401">
                  <c:v>0.44098205854578981</c:v>
                </c:pt>
                <c:pt idx="1402">
                  <c:v>0.44129682090021222</c:v>
                </c:pt>
                <c:pt idx="1403">
                  <c:v>0.44161158325463462</c:v>
                </c:pt>
                <c:pt idx="1404">
                  <c:v>0.44192634560905703</c:v>
                </c:pt>
                <c:pt idx="1405">
                  <c:v>0.44224110796347943</c:v>
                </c:pt>
                <c:pt idx="1406">
                  <c:v>0.44255587031790183</c:v>
                </c:pt>
                <c:pt idx="1407">
                  <c:v>0.44287063267232424</c:v>
                </c:pt>
                <c:pt idx="1408">
                  <c:v>0.44318539502674664</c:v>
                </c:pt>
                <c:pt idx="1409">
                  <c:v>0.44350015738116905</c:v>
                </c:pt>
                <c:pt idx="1410">
                  <c:v>0.44381491973559145</c:v>
                </c:pt>
                <c:pt idx="1411">
                  <c:v>0.44412968209001386</c:v>
                </c:pt>
                <c:pt idx="1412">
                  <c:v>0.44444444444443626</c:v>
                </c:pt>
                <c:pt idx="1413">
                  <c:v>0.44475920679885866</c:v>
                </c:pt>
                <c:pt idx="1414">
                  <c:v>0.44507396915328107</c:v>
                </c:pt>
                <c:pt idx="1415">
                  <c:v>0.44538873150770347</c:v>
                </c:pt>
                <c:pt idx="1416">
                  <c:v>0.44570349386212588</c:v>
                </c:pt>
                <c:pt idx="1417">
                  <c:v>0.44601825621654828</c:v>
                </c:pt>
                <c:pt idx="1418">
                  <c:v>0.44633301857097069</c:v>
                </c:pt>
                <c:pt idx="1419">
                  <c:v>0.44664778092539309</c:v>
                </c:pt>
                <c:pt idx="1420">
                  <c:v>0.44696254327981549</c:v>
                </c:pt>
                <c:pt idx="1421">
                  <c:v>0.4472773056342379</c:v>
                </c:pt>
                <c:pt idx="1422">
                  <c:v>0.4475920679886603</c:v>
                </c:pt>
                <c:pt idx="1423">
                  <c:v>0.44790683034308271</c:v>
                </c:pt>
                <c:pt idx="1424">
                  <c:v>0.44822159269750511</c:v>
                </c:pt>
                <c:pt idx="1425">
                  <c:v>0.44853635505192752</c:v>
                </c:pt>
                <c:pt idx="1426">
                  <c:v>0.44885111740634992</c:v>
                </c:pt>
                <c:pt idx="1427">
                  <c:v>0.44916587976077232</c:v>
                </c:pt>
                <c:pt idx="1428">
                  <c:v>0.44948064211519473</c:v>
                </c:pt>
                <c:pt idx="1429">
                  <c:v>0.44979540446961713</c:v>
                </c:pt>
                <c:pt idx="1430">
                  <c:v>0.45011016682403954</c:v>
                </c:pt>
                <c:pt idx="1431">
                  <c:v>0.45042492917846194</c:v>
                </c:pt>
                <c:pt idx="1432">
                  <c:v>0.45073969153288435</c:v>
                </c:pt>
                <c:pt idx="1433">
                  <c:v>0.45105445388730675</c:v>
                </c:pt>
                <c:pt idx="1434">
                  <c:v>0.45136921624172915</c:v>
                </c:pt>
                <c:pt idx="1435">
                  <c:v>0.45168397859615156</c:v>
                </c:pt>
                <c:pt idx="1436">
                  <c:v>0.45199874095057396</c:v>
                </c:pt>
                <c:pt idx="1437">
                  <c:v>0.45231350330499637</c:v>
                </c:pt>
                <c:pt idx="1438">
                  <c:v>0.45262826565941877</c:v>
                </c:pt>
                <c:pt idx="1439">
                  <c:v>0.45294302801384118</c:v>
                </c:pt>
                <c:pt idx="1440">
                  <c:v>0.45325779036826358</c:v>
                </c:pt>
                <c:pt idx="1441">
                  <c:v>0.45357255272268598</c:v>
                </c:pt>
                <c:pt idx="1442">
                  <c:v>0.45388731507710839</c:v>
                </c:pt>
                <c:pt idx="1443">
                  <c:v>0.45420207743153079</c:v>
                </c:pt>
                <c:pt idx="1444">
                  <c:v>0.4545168397859532</c:v>
                </c:pt>
                <c:pt idx="1445">
                  <c:v>0.4548316021403756</c:v>
                </c:pt>
                <c:pt idx="1446">
                  <c:v>0.45514636449479801</c:v>
                </c:pt>
                <c:pt idx="1447">
                  <c:v>0.45546112684922041</c:v>
                </c:pt>
                <c:pt idx="1448">
                  <c:v>0.45577588920364281</c:v>
                </c:pt>
                <c:pt idx="1449">
                  <c:v>0.45609065155806522</c:v>
                </c:pt>
                <c:pt idx="1450">
                  <c:v>0.45640541391248762</c:v>
                </c:pt>
                <c:pt idx="1451">
                  <c:v>0.45672017626691003</c:v>
                </c:pt>
                <c:pt idx="1452">
                  <c:v>0.45703493862133243</c:v>
                </c:pt>
                <c:pt idx="1453">
                  <c:v>0.45734970097575484</c:v>
                </c:pt>
                <c:pt idx="1454">
                  <c:v>0.45766446333017724</c:v>
                </c:pt>
                <c:pt idx="1455">
                  <c:v>0.45797922568459964</c:v>
                </c:pt>
                <c:pt idx="1456">
                  <c:v>0.45829398803902205</c:v>
                </c:pt>
                <c:pt idx="1457">
                  <c:v>0.45860875039344445</c:v>
                </c:pt>
                <c:pt idx="1458">
                  <c:v>0.45892351274786686</c:v>
                </c:pt>
                <c:pt idx="1459">
                  <c:v>0.45923827510228926</c:v>
                </c:pt>
                <c:pt idx="1460">
                  <c:v>0.45955303745671167</c:v>
                </c:pt>
                <c:pt idx="1461">
                  <c:v>0.45986779981113407</c:v>
                </c:pt>
                <c:pt idx="1462">
                  <c:v>0.46018256216555647</c:v>
                </c:pt>
                <c:pt idx="1463">
                  <c:v>0.46049732451997888</c:v>
                </c:pt>
                <c:pt idx="1464">
                  <c:v>0.46081208687440128</c:v>
                </c:pt>
                <c:pt idx="1465">
                  <c:v>0.46112684922882369</c:v>
                </c:pt>
                <c:pt idx="1466">
                  <c:v>0.46144161158324609</c:v>
                </c:pt>
                <c:pt idx="1467">
                  <c:v>0.4617563739376685</c:v>
                </c:pt>
                <c:pt idx="1468">
                  <c:v>0.4620711362920909</c:v>
                </c:pt>
                <c:pt idx="1469">
                  <c:v>0.4623858986465133</c:v>
                </c:pt>
                <c:pt idx="1470">
                  <c:v>0.46270066100093571</c:v>
                </c:pt>
                <c:pt idx="1471">
                  <c:v>0.46301542335535811</c:v>
                </c:pt>
                <c:pt idx="1472">
                  <c:v>0.46333018570978052</c:v>
                </c:pt>
                <c:pt idx="1473">
                  <c:v>0.46364494806420292</c:v>
                </c:pt>
                <c:pt idx="1474">
                  <c:v>0.46395971041862533</c:v>
                </c:pt>
                <c:pt idx="1475">
                  <c:v>0.46427447277304773</c:v>
                </c:pt>
                <c:pt idx="1476">
                  <c:v>0.46458923512747013</c:v>
                </c:pt>
                <c:pt idx="1477">
                  <c:v>0.46490399748189254</c:v>
                </c:pt>
                <c:pt idx="1478">
                  <c:v>0.46521875983631494</c:v>
                </c:pt>
                <c:pt idx="1479">
                  <c:v>0.46553352219073735</c:v>
                </c:pt>
                <c:pt idx="1480">
                  <c:v>0.46584828454515975</c:v>
                </c:pt>
                <c:pt idx="1481">
                  <c:v>0.46616304689958216</c:v>
                </c:pt>
                <c:pt idx="1482">
                  <c:v>0.46647780925400456</c:v>
                </c:pt>
                <c:pt idx="1483">
                  <c:v>0.46679257160842696</c:v>
                </c:pt>
                <c:pt idx="1484">
                  <c:v>0.46710733396284937</c:v>
                </c:pt>
                <c:pt idx="1485">
                  <c:v>0.46742209631727177</c:v>
                </c:pt>
                <c:pt idx="1486">
                  <c:v>0.46773685867169418</c:v>
                </c:pt>
                <c:pt idx="1487">
                  <c:v>0.46805162102611658</c:v>
                </c:pt>
                <c:pt idx="1488">
                  <c:v>0.46836638338053899</c:v>
                </c:pt>
                <c:pt idx="1489">
                  <c:v>0.46868114573496139</c:v>
                </c:pt>
                <c:pt idx="1490">
                  <c:v>0.4689959080893838</c:v>
                </c:pt>
                <c:pt idx="1491">
                  <c:v>0.4693106704438062</c:v>
                </c:pt>
                <c:pt idx="1492">
                  <c:v>0.4696254327982286</c:v>
                </c:pt>
                <c:pt idx="1493">
                  <c:v>0.46994019515265101</c:v>
                </c:pt>
                <c:pt idx="1494">
                  <c:v>0.47025495750707341</c:v>
                </c:pt>
                <c:pt idx="1495">
                  <c:v>0.47056971986149582</c:v>
                </c:pt>
                <c:pt idx="1496">
                  <c:v>0.47088448221591822</c:v>
                </c:pt>
                <c:pt idx="1497">
                  <c:v>0.47119924457034063</c:v>
                </c:pt>
                <c:pt idx="1498">
                  <c:v>0.47151400692476303</c:v>
                </c:pt>
                <c:pt idx="1499">
                  <c:v>0.47182876927918543</c:v>
                </c:pt>
                <c:pt idx="1500">
                  <c:v>0.47214353163360784</c:v>
                </c:pt>
                <c:pt idx="1501">
                  <c:v>0.47245829398803024</c:v>
                </c:pt>
                <c:pt idx="1502">
                  <c:v>0.47277305634245265</c:v>
                </c:pt>
                <c:pt idx="1503">
                  <c:v>0.47308781869687505</c:v>
                </c:pt>
                <c:pt idx="1504">
                  <c:v>0.47340258105129746</c:v>
                </c:pt>
                <c:pt idx="1505">
                  <c:v>0.47371734340571986</c:v>
                </c:pt>
                <c:pt idx="1506">
                  <c:v>0.47403210576014226</c:v>
                </c:pt>
                <c:pt idx="1507">
                  <c:v>0.47434686811456467</c:v>
                </c:pt>
                <c:pt idx="1508">
                  <c:v>0.47466163046898707</c:v>
                </c:pt>
                <c:pt idx="1509">
                  <c:v>0.47497639282340948</c:v>
                </c:pt>
                <c:pt idx="1510">
                  <c:v>0.47529115517783188</c:v>
                </c:pt>
                <c:pt idx="1511">
                  <c:v>0.47560591753225429</c:v>
                </c:pt>
                <c:pt idx="1512">
                  <c:v>0.47592067988667669</c:v>
                </c:pt>
                <c:pt idx="1513">
                  <c:v>0.47623544224109909</c:v>
                </c:pt>
                <c:pt idx="1514">
                  <c:v>0.4765502045955215</c:v>
                </c:pt>
                <c:pt idx="1515">
                  <c:v>0.4768649669499439</c:v>
                </c:pt>
                <c:pt idx="1516">
                  <c:v>0.47717972930436631</c:v>
                </c:pt>
                <c:pt idx="1517">
                  <c:v>0.47749449165878871</c:v>
                </c:pt>
                <c:pt idx="1518">
                  <c:v>0.47780925401321112</c:v>
                </c:pt>
                <c:pt idx="1519">
                  <c:v>0.47812401636763352</c:v>
                </c:pt>
                <c:pt idx="1520">
                  <c:v>0.47843877872205592</c:v>
                </c:pt>
                <c:pt idx="1521">
                  <c:v>0.47875354107647833</c:v>
                </c:pt>
                <c:pt idx="1522">
                  <c:v>0.47906830343090073</c:v>
                </c:pt>
                <c:pt idx="1523">
                  <c:v>0.47938306578532314</c:v>
                </c:pt>
                <c:pt idx="1524">
                  <c:v>0.47969782813974554</c:v>
                </c:pt>
                <c:pt idx="1525">
                  <c:v>0.48001259049416795</c:v>
                </c:pt>
                <c:pt idx="1526">
                  <c:v>0.48032735284859035</c:v>
                </c:pt>
                <c:pt idx="1527">
                  <c:v>0.48064211520301275</c:v>
                </c:pt>
                <c:pt idx="1528">
                  <c:v>0.48095687755743516</c:v>
                </c:pt>
                <c:pt idx="1529">
                  <c:v>0.48127163991185756</c:v>
                </c:pt>
                <c:pt idx="1530">
                  <c:v>0.48158640226627997</c:v>
                </c:pt>
                <c:pt idx="1531">
                  <c:v>0.48190116462070237</c:v>
                </c:pt>
                <c:pt idx="1532">
                  <c:v>0.48221592697512478</c:v>
                </c:pt>
                <c:pt idx="1533">
                  <c:v>0.48253068932954718</c:v>
                </c:pt>
                <c:pt idx="1534">
                  <c:v>0.48284545168396958</c:v>
                </c:pt>
                <c:pt idx="1535">
                  <c:v>0.48316021403839199</c:v>
                </c:pt>
                <c:pt idx="1536">
                  <c:v>0.48347497639281439</c:v>
                </c:pt>
                <c:pt idx="1537">
                  <c:v>0.4837897387472368</c:v>
                </c:pt>
                <c:pt idx="1538">
                  <c:v>0.4841045011016592</c:v>
                </c:pt>
                <c:pt idx="1539">
                  <c:v>0.48441926345608161</c:v>
                </c:pt>
                <c:pt idx="1540">
                  <c:v>0.48473402581050401</c:v>
                </c:pt>
                <c:pt idx="1541">
                  <c:v>0.48504878816492641</c:v>
                </c:pt>
                <c:pt idx="1542">
                  <c:v>0.48536355051934882</c:v>
                </c:pt>
                <c:pt idx="1543">
                  <c:v>0.48567831287377122</c:v>
                </c:pt>
                <c:pt idx="1544">
                  <c:v>0.48599307522819363</c:v>
                </c:pt>
                <c:pt idx="1545">
                  <c:v>0.48630783758261603</c:v>
                </c:pt>
                <c:pt idx="1546">
                  <c:v>0.48662259993703844</c:v>
                </c:pt>
                <c:pt idx="1547">
                  <c:v>0.48693736229146084</c:v>
                </c:pt>
                <c:pt idx="1548">
                  <c:v>0.48725212464588324</c:v>
                </c:pt>
                <c:pt idx="1549">
                  <c:v>0.48756688700030565</c:v>
                </c:pt>
                <c:pt idx="1550">
                  <c:v>0.48788164935472805</c:v>
                </c:pt>
                <c:pt idx="1551">
                  <c:v>0.48819641170915046</c:v>
                </c:pt>
                <c:pt idx="1552">
                  <c:v>0.48851117406357286</c:v>
                </c:pt>
                <c:pt idx="1553">
                  <c:v>0.48882593641799527</c:v>
                </c:pt>
                <c:pt idx="1554">
                  <c:v>0.48914069877241767</c:v>
                </c:pt>
                <c:pt idx="1555">
                  <c:v>0.48945546112684007</c:v>
                </c:pt>
                <c:pt idx="1556">
                  <c:v>0.48977022348126248</c:v>
                </c:pt>
                <c:pt idx="1557">
                  <c:v>0.49008498583568488</c:v>
                </c:pt>
                <c:pt idx="1558">
                  <c:v>0.49039974819010729</c:v>
                </c:pt>
                <c:pt idx="1559">
                  <c:v>0.49071451054452969</c:v>
                </c:pt>
                <c:pt idx="1560">
                  <c:v>0.4910292728989521</c:v>
                </c:pt>
                <c:pt idx="1561">
                  <c:v>0.4913440352533745</c:v>
                </c:pt>
                <c:pt idx="1562">
                  <c:v>0.4916587976077969</c:v>
                </c:pt>
                <c:pt idx="1563">
                  <c:v>0.49197355996221931</c:v>
                </c:pt>
                <c:pt idx="1564">
                  <c:v>0.49228832231664171</c:v>
                </c:pt>
                <c:pt idx="1565">
                  <c:v>0.49260308467106412</c:v>
                </c:pt>
                <c:pt idx="1566">
                  <c:v>0.49291784702548652</c:v>
                </c:pt>
                <c:pt idx="1567">
                  <c:v>0.49323260937990893</c:v>
                </c:pt>
                <c:pt idx="1568">
                  <c:v>0.49354737173433133</c:v>
                </c:pt>
                <c:pt idx="1569">
                  <c:v>0.49386213408875373</c:v>
                </c:pt>
                <c:pt idx="1570">
                  <c:v>0.49417689644317614</c:v>
                </c:pt>
                <c:pt idx="1571">
                  <c:v>0.49449165879759854</c:v>
                </c:pt>
                <c:pt idx="1572">
                  <c:v>0.49480642115202095</c:v>
                </c:pt>
                <c:pt idx="1573">
                  <c:v>0.49512118350644335</c:v>
                </c:pt>
                <c:pt idx="1574">
                  <c:v>0.49543594586086576</c:v>
                </c:pt>
                <c:pt idx="1575">
                  <c:v>0.49575070821528816</c:v>
                </c:pt>
                <c:pt idx="1576">
                  <c:v>0.49606547056971056</c:v>
                </c:pt>
                <c:pt idx="1577">
                  <c:v>0.49638023292413297</c:v>
                </c:pt>
                <c:pt idx="1578">
                  <c:v>0.49669499527855537</c:v>
                </c:pt>
                <c:pt idx="1579">
                  <c:v>0.49700975763297778</c:v>
                </c:pt>
                <c:pt idx="1580">
                  <c:v>0.49732451998740018</c:v>
                </c:pt>
                <c:pt idx="1581">
                  <c:v>0.49763928234182259</c:v>
                </c:pt>
                <c:pt idx="1582">
                  <c:v>0.49795404469624499</c:v>
                </c:pt>
                <c:pt idx="1583">
                  <c:v>0.49826880705066739</c:v>
                </c:pt>
                <c:pt idx="1584">
                  <c:v>0.4985835694050898</c:v>
                </c:pt>
                <c:pt idx="1585">
                  <c:v>0.4988983317595122</c:v>
                </c:pt>
                <c:pt idx="1586">
                  <c:v>0.49921309411393461</c:v>
                </c:pt>
                <c:pt idx="1587">
                  <c:v>0.49952785646835701</c:v>
                </c:pt>
                <c:pt idx="1588">
                  <c:v>0.49984261882277942</c:v>
                </c:pt>
                <c:pt idx="1589">
                  <c:v>0.50015738117720188</c:v>
                </c:pt>
                <c:pt idx="1590">
                  <c:v>0.50047214353162428</c:v>
                </c:pt>
                <c:pt idx="1591">
                  <c:v>0.50078690588604668</c:v>
                </c:pt>
                <c:pt idx="1592">
                  <c:v>0.50110166824046909</c:v>
                </c:pt>
                <c:pt idx="1593">
                  <c:v>0.50141643059489149</c:v>
                </c:pt>
                <c:pt idx="1594">
                  <c:v>0.5017311929493139</c:v>
                </c:pt>
                <c:pt idx="1595">
                  <c:v>0.5020459553037363</c:v>
                </c:pt>
                <c:pt idx="1596">
                  <c:v>0.50236071765815871</c:v>
                </c:pt>
                <c:pt idx="1597">
                  <c:v>0.50267548001258111</c:v>
                </c:pt>
                <c:pt idx="1598">
                  <c:v>0.50299024236700351</c:v>
                </c:pt>
                <c:pt idx="1599">
                  <c:v>0.50330500472142592</c:v>
                </c:pt>
                <c:pt idx="1600">
                  <c:v>0.50361976707584832</c:v>
                </c:pt>
                <c:pt idx="1601">
                  <c:v>0.50393452943027073</c:v>
                </c:pt>
                <c:pt idx="1602">
                  <c:v>0.50424929178469313</c:v>
                </c:pt>
                <c:pt idx="1603">
                  <c:v>0.50456405413911554</c:v>
                </c:pt>
                <c:pt idx="1604">
                  <c:v>0.50487881649353794</c:v>
                </c:pt>
                <c:pt idx="1605">
                  <c:v>0.50519357884796035</c:v>
                </c:pt>
                <c:pt idx="1606">
                  <c:v>0.50550834120238275</c:v>
                </c:pt>
                <c:pt idx="1607">
                  <c:v>0.50582310355680515</c:v>
                </c:pt>
                <c:pt idx="1608">
                  <c:v>0.50613786591122756</c:v>
                </c:pt>
                <c:pt idx="1609">
                  <c:v>0.50645262826564996</c:v>
                </c:pt>
                <c:pt idx="1610">
                  <c:v>0.50676739062007237</c:v>
                </c:pt>
                <c:pt idx="1611">
                  <c:v>0.50708215297449477</c:v>
                </c:pt>
                <c:pt idx="1612">
                  <c:v>0.50739691532891718</c:v>
                </c:pt>
                <c:pt idx="1613">
                  <c:v>0.50771167768333958</c:v>
                </c:pt>
                <c:pt idx="1614">
                  <c:v>0.50802644003776198</c:v>
                </c:pt>
                <c:pt idx="1615">
                  <c:v>0.50834120239218439</c:v>
                </c:pt>
                <c:pt idx="1616">
                  <c:v>0.50865596474660679</c:v>
                </c:pt>
                <c:pt idx="1617">
                  <c:v>0.5089707271010292</c:v>
                </c:pt>
                <c:pt idx="1618">
                  <c:v>0.5092854894554516</c:v>
                </c:pt>
                <c:pt idx="1619">
                  <c:v>0.50960025180987401</c:v>
                </c:pt>
                <c:pt idx="1620">
                  <c:v>0.50991501416429641</c:v>
                </c:pt>
                <c:pt idx="1621">
                  <c:v>0.51022977651871881</c:v>
                </c:pt>
                <c:pt idx="1622">
                  <c:v>0.51054453887314122</c:v>
                </c:pt>
                <c:pt idx="1623">
                  <c:v>0.51085930122756362</c:v>
                </c:pt>
                <c:pt idx="1624">
                  <c:v>0.51117406358198603</c:v>
                </c:pt>
                <c:pt idx="1625">
                  <c:v>0.51148882593640843</c:v>
                </c:pt>
                <c:pt idx="1626">
                  <c:v>0.51180358829083084</c:v>
                </c:pt>
                <c:pt idx="1627">
                  <c:v>0.51211835064525324</c:v>
                </c:pt>
                <c:pt idx="1628">
                  <c:v>0.51243311299967564</c:v>
                </c:pt>
                <c:pt idx="1629">
                  <c:v>0.51274787535409805</c:v>
                </c:pt>
                <c:pt idx="1630">
                  <c:v>0.51306263770852045</c:v>
                </c:pt>
                <c:pt idx="1631">
                  <c:v>0.51337740006294286</c:v>
                </c:pt>
                <c:pt idx="1632">
                  <c:v>0.51369216241736526</c:v>
                </c:pt>
                <c:pt idx="1633">
                  <c:v>0.51400692477178767</c:v>
                </c:pt>
                <c:pt idx="1634">
                  <c:v>0.51432168712621007</c:v>
                </c:pt>
                <c:pt idx="1635">
                  <c:v>0.51463644948063247</c:v>
                </c:pt>
                <c:pt idx="1636">
                  <c:v>0.51495121183505488</c:v>
                </c:pt>
                <c:pt idx="1637">
                  <c:v>0.51526597418947728</c:v>
                </c:pt>
                <c:pt idx="1638">
                  <c:v>0.51558073654389969</c:v>
                </c:pt>
                <c:pt idx="1639">
                  <c:v>0.51589549889832209</c:v>
                </c:pt>
                <c:pt idx="1640">
                  <c:v>0.5162102612527445</c:v>
                </c:pt>
                <c:pt idx="1641">
                  <c:v>0.5165250236071669</c:v>
                </c:pt>
                <c:pt idx="1642">
                  <c:v>0.5168397859615893</c:v>
                </c:pt>
                <c:pt idx="1643">
                  <c:v>0.51715454831601171</c:v>
                </c:pt>
                <c:pt idx="1644">
                  <c:v>0.51746931067043411</c:v>
                </c:pt>
                <c:pt idx="1645">
                  <c:v>0.51778407302485652</c:v>
                </c:pt>
                <c:pt idx="1646">
                  <c:v>0.51809883537927892</c:v>
                </c:pt>
                <c:pt idx="1647">
                  <c:v>0.51841359773370133</c:v>
                </c:pt>
                <c:pt idx="1648">
                  <c:v>0.51872836008812373</c:v>
                </c:pt>
                <c:pt idx="1649">
                  <c:v>0.51904312244254613</c:v>
                </c:pt>
                <c:pt idx="1650">
                  <c:v>0.51935788479696854</c:v>
                </c:pt>
                <c:pt idx="1651">
                  <c:v>0.51967264715139094</c:v>
                </c:pt>
                <c:pt idx="1652">
                  <c:v>0.51998740950581335</c:v>
                </c:pt>
                <c:pt idx="1653">
                  <c:v>0.52030217186023575</c:v>
                </c:pt>
                <c:pt idx="1654">
                  <c:v>0.52061693421465816</c:v>
                </c:pt>
                <c:pt idx="1655">
                  <c:v>0.52093169656908056</c:v>
                </c:pt>
                <c:pt idx="1656">
                  <c:v>0.52124645892350296</c:v>
                </c:pt>
                <c:pt idx="1657">
                  <c:v>0.52156122127792537</c:v>
                </c:pt>
                <c:pt idx="1658">
                  <c:v>0.52187598363234777</c:v>
                </c:pt>
                <c:pt idx="1659">
                  <c:v>0.52219074598677018</c:v>
                </c:pt>
                <c:pt idx="1660">
                  <c:v>0.52250550834119258</c:v>
                </c:pt>
                <c:pt idx="1661">
                  <c:v>0.52282027069561499</c:v>
                </c:pt>
                <c:pt idx="1662">
                  <c:v>0.52313503305003739</c:v>
                </c:pt>
                <c:pt idx="1663">
                  <c:v>0.52344979540445979</c:v>
                </c:pt>
                <c:pt idx="1664">
                  <c:v>0.5237645577588822</c:v>
                </c:pt>
                <c:pt idx="1665">
                  <c:v>0.5240793201133046</c:v>
                </c:pt>
                <c:pt idx="1666">
                  <c:v>0.52439408246772701</c:v>
                </c:pt>
                <c:pt idx="1667">
                  <c:v>0.52470884482214941</c:v>
                </c:pt>
                <c:pt idx="1668">
                  <c:v>0.52502360717657182</c:v>
                </c:pt>
                <c:pt idx="1669">
                  <c:v>0.52533836953099422</c:v>
                </c:pt>
                <c:pt idx="1670">
                  <c:v>0.52565313188541662</c:v>
                </c:pt>
                <c:pt idx="1671">
                  <c:v>0.52596789423983903</c:v>
                </c:pt>
                <c:pt idx="1672">
                  <c:v>0.52628265659426143</c:v>
                </c:pt>
                <c:pt idx="1673">
                  <c:v>0.52659741894868384</c:v>
                </c:pt>
                <c:pt idx="1674">
                  <c:v>0.52691218130310624</c:v>
                </c:pt>
                <c:pt idx="1675">
                  <c:v>0.52722694365752865</c:v>
                </c:pt>
                <c:pt idx="1676">
                  <c:v>0.52754170601195105</c:v>
                </c:pt>
                <c:pt idx="1677">
                  <c:v>0.52785646836637345</c:v>
                </c:pt>
                <c:pt idx="1678">
                  <c:v>0.52817123072079586</c:v>
                </c:pt>
                <c:pt idx="1679">
                  <c:v>0.52848599307521826</c:v>
                </c:pt>
                <c:pt idx="1680">
                  <c:v>0.52880075542964067</c:v>
                </c:pt>
                <c:pt idx="1681">
                  <c:v>0.52911551778406307</c:v>
                </c:pt>
                <c:pt idx="1682">
                  <c:v>0.52943028013848548</c:v>
                </c:pt>
                <c:pt idx="1683">
                  <c:v>0.52974504249290788</c:v>
                </c:pt>
                <c:pt idx="1684">
                  <c:v>0.53005980484733028</c:v>
                </c:pt>
                <c:pt idx="1685">
                  <c:v>0.53037456720175269</c:v>
                </c:pt>
                <c:pt idx="1686">
                  <c:v>0.53068932955617509</c:v>
                </c:pt>
                <c:pt idx="1687">
                  <c:v>0.5310040919105975</c:v>
                </c:pt>
                <c:pt idx="1688">
                  <c:v>0.5313188542650199</c:v>
                </c:pt>
                <c:pt idx="1689">
                  <c:v>0.53163361661944231</c:v>
                </c:pt>
                <c:pt idx="1690">
                  <c:v>0.53194837897386471</c:v>
                </c:pt>
                <c:pt idx="1691">
                  <c:v>0.53226314132828711</c:v>
                </c:pt>
                <c:pt idx="1692">
                  <c:v>0.53257790368270952</c:v>
                </c:pt>
                <c:pt idx="1693">
                  <c:v>0.53289266603713192</c:v>
                </c:pt>
                <c:pt idx="1694">
                  <c:v>0.53320742839155433</c:v>
                </c:pt>
                <c:pt idx="1695">
                  <c:v>0.53352219074597673</c:v>
                </c:pt>
                <c:pt idx="1696">
                  <c:v>0.53383695310039914</c:v>
                </c:pt>
                <c:pt idx="1697">
                  <c:v>0.53415171545482154</c:v>
                </c:pt>
                <c:pt idx="1698">
                  <c:v>0.53446647780924394</c:v>
                </c:pt>
                <c:pt idx="1699">
                  <c:v>0.53478124016366635</c:v>
                </c:pt>
                <c:pt idx="1700">
                  <c:v>0.53509600251808875</c:v>
                </c:pt>
                <c:pt idx="1701">
                  <c:v>0.53541076487251116</c:v>
                </c:pt>
                <c:pt idx="1702">
                  <c:v>0.53572552722693356</c:v>
                </c:pt>
                <c:pt idx="1703">
                  <c:v>0.53604028958135597</c:v>
                </c:pt>
                <c:pt idx="1704">
                  <c:v>0.53635505193577837</c:v>
                </c:pt>
                <c:pt idx="1705">
                  <c:v>0.53666981429020078</c:v>
                </c:pt>
                <c:pt idx="1706">
                  <c:v>0.53698457664462318</c:v>
                </c:pt>
                <c:pt idx="1707">
                  <c:v>0.53729933899904558</c:v>
                </c:pt>
                <c:pt idx="1708">
                  <c:v>0.53761410135346799</c:v>
                </c:pt>
                <c:pt idx="1709">
                  <c:v>0.53792886370789039</c:v>
                </c:pt>
                <c:pt idx="1710">
                  <c:v>0.5382436260623128</c:v>
                </c:pt>
                <c:pt idx="1711">
                  <c:v>0.5385583884167352</c:v>
                </c:pt>
                <c:pt idx="1712">
                  <c:v>0.53887315077115761</c:v>
                </c:pt>
                <c:pt idx="1713">
                  <c:v>0.53918791312558001</c:v>
                </c:pt>
                <c:pt idx="1714">
                  <c:v>0.53950267548000241</c:v>
                </c:pt>
                <c:pt idx="1715">
                  <c:v>0.53981743783442482</c:v>
                </c:pt>
                <c:pt idx="1716">
                  <c:v>0.54013220018884722</c:v>
                </c:pt>
                <c:pt idx="1717">
                  <c:v>0.54044696254326963</c:v>
                </c:pt>
                <c:pt idx="1718">
                  <c:v>0.54076172489769203</c:v>
                </c:pt>
                <c:pt idx="1719">
                  <c:v>0.54107648725211444</c:v>
                </c:pt>
                <c:pt idx="1720">
                  <c:v>0.54139124960653684</c:v>
                </c:pt>
                <c:pt idx="1721">
                  <c:v>0.54170601196095924</c:v>
                </c:pt>
                <c:pt idx="1722">
                  <c:v>0.54202077431538165</c:v>
                </c:pt>
                <c:pt idx="1723">
                  <c:v>0.54233553666980405</c:v>
                </c:pt>
                <c:pt idx="1724">
                  <c:v>0.54265029902422646</c:v>
                </c:pt>
                <c:pt idx="1725">
                  <c:v>0.54296506137864886</c:v>
                </c:pt>
                <c:pt idx="1726">
                  <c:v>0.54327982373307127</c:v>
                </c:pt>
                <c:pt idx="1727">
                  <c:v>0.54359458608749367</c:v>
                </c:pt>
                <c:pt idx="1728">
                  <c:v>0.54390934844191607</c:v>
                </c:pt>
                <c:pt idx="1729">
                  <c:v>0.54422411079633848</c:v>
                </c:pt>
                <c:pt idx="1730">
                  <c:v>0.54453887315076088</c:v>
                </c:pt>
                <c:pt idx="1731">
                  <c:v>0.54485363550518329</c:v>
                </c:pt>
                <c:pt idx="1732">
                  <c:v>0.54516839785960569</c:v>
                </c:pt>
                <c:pt idx="1733">
                  <c:v>0.5454831602140281</c:v>
                </c:pt>
                <c:pt idx="1734">
                  <c:v>0.5457979225684505</c:v>
                </c:pt>
                <c:pt idx="1735">
                  <c:v>0.5461126849228729</c:v>
                </c:pt>
                <c:pt idx="1736">
                  <c:v>0.54642744727729531</c:v>
                </c:pt>
                <c:pt idx="1737">
                  <c:v>0.54674220963171771</c:v>
                </c:pt>
                <c:pt idx="1738">
                  <c:v>0.54705697198614012</c:v>
                </c:pt>
                <c:pt idx="1739">
                  <c:v>0.54737173434056252</c:v>
                </c:pt>
                <c:pt idx="1740">
                  <c:v>0.54768649669498493</c:v>
                </c:pt>
                <c:pt idx="1741">
                  <c:v>0.54800125904940733</c:v>
                </c:pt>
                <c:pt idx="1742">
                  <c:v>0.54831602140382973</c:v>
                </c:pt>
                <c:pt idx="1743">
                  <c:v>0.54863078375825214</c:v>
                </c:pt>
                <c:pt idx="1744">
                  <c:v>0.54894554611267454</c:v>
                </c:pt>
                <c:pt idx="1745">
                  <c:v>0.54926030846709695</c:v>
                </c:pt>
                <c:pt idx="1746">
                  <c:v>0.54957507082151935</c:v>
                </c:pt>
                <c:pt idx="1747">
                  <c:v>0.54988983317594176</c:v>
                </c:pt>
                <c:pt idx="1748">
                  <c:v>0.55020459553036416</c:v>
                </c:pt>
                <c:pt idx="1749">
                  <c:v>0.55051935788478656</c:v>
                </c:pt>
                <c:pt idx="1750">
                  <c:v>0.55083412023920897</c:v>
                </c:pt>
                <c:pt idx="1751">
                  <c:v>0.55114888259363137</c:v>
                </c:pt>
                <c:pt idx="1752">
                  <c:v>0.55146364494805378</c:v>
                </c:pt>
                <c:pt idx="1753">
                  <c:v>0.55177840730247618</c:v>
                </c:pt>
                <c:pt idx="1754">
                  <c:v>0.55209316965689859</c:v>
                </c:pt>
                <c:pt idx="1755">
                  <c:v>0.55240793201132099</c:v>
                </c:pt>
                <c:pt idx="1756">
                  <c:v>0.55272269436574339</c:v>
                </c:pt>
                <c:pt idx="1757">
                  <c:v>0.5530374567201658</c:v>
                </c:pt>
                <c:pt idx="1758">
                  <c:v>0.5533522190745882</c:v>
                </c:pt>
                <c:pt idx="1759">
                  <c:v>0.55366698142901061</c:v>
                </c:pt>
                <c:pt idx="1760">
                  <c:v>0.55398174378343301</c:v>
                </c:pt>
                <c:pt idx="1761">
                  <c:v>0.55429650613785542</c:v>
                </c:pt>
                <c:pt idx="1762">
                  <c:v>0.55461126849227782</c:v>
                </c:pt>
                <c:pt idx="1763">
                  <c:v>0.55492603084670022</c:v>
                </c:pt>
                <c:pt idx="1764">
                  <c:v>0.55524079320112263</c:v>
                </c:pt>
                <c:pt idx="1765">
                  <c:v>0.55555555555554503</c:v>
                </c:pt>
                <c:pt idx="1766">
                  <c:v>0.55587031790996744</c:v>
                </c:pt>
                <c:pt idx="1767">
                  <c:v>0.55618508026438984</c:v>
                </c:pt>
                <c:pt idx="1768">
                  <c:v>0.55649984261881225</c:v>
                </c:pt>
                <c:pt idx="1769">
                  <c:v>0.55681460497323465</c:v>
                </c:pt>
                <c:pt idx="1770">
                  <c:v>0.55712936732765705</c:v>
                </c:pt>
                <c:pt idx="1771">
                  <c:v>0.55744412968207946</c:v>
                </c:pt>
                <c:pt idx="1772">
                  <c:v>0.55775889203650186</c:v>
                </c:pt>
                <c:pt idx="1773">
                  <c:v>0.55807365439092427</c:v>
                </c:pt>
                <c:pt idx="1774">
                  <c:v>0.55838841674534667</c:v>
                </c:pt>
                <c:pt idx="1775">
                  <c:v>0.55870317909976908</c:v>
                </c:pt>
                <c:pt idx="1776">
                  <c:v>0.55901794145419148</c:v>
                </c:pt>
                <c:pt idx="1777">
                  <c:v>0.55933270380861388</c:v>
                </c:pt>
                <c:pt idx="1778">
                  <c:v>0.55964746616303629</c:v>
                </c:pt>
                <c:pt idx="1779">
                  <c:v>0.55996222851745869</c:v>
                </c:pt>
                <c:pt idx="1780">
                  <c:v>0.5602769908718811</c:v>
                </c:pt>
                <c:pt idx="1781">
                  <c:v>0.5605917532263035</c:v>
                </c:pt>
                <c:pt idx="1782">
                  <c:v>0.56090651558072591</c:v>
                </c:pt>
                <c:pt idx="1783">
                  <c:v>0.56122127793514831</c:v>
                </c:pt>
                <c:pt idx="1784">
                  <c:v>0.56153604028957071</c:v>
                </c:pt>
                <c:pt idx="1785">
                  <c:v>0.56185080264399312</c:v>
                </c:pt>
                <c:pt idx="1786">
                  <c:v>0.56216556499841552</c:v>
                </c:pt>
                <c:pt idx="1787">
                  <c:v>0.56248032735283793</c:v>
                </c:pt>
                <c:pt idx="1788">
                  <c:v>0.56279508970726033</c:v>
                </c:pt>
                <c:pt idx="1789">
                  <c:v>0.56310985206168274</c:v>
                </c:pt>
                <c:pt idx="1790">
                  <c:v>0.56342461441610514</c:v>
                </c:pt>
                <c:pt idx="1791">
                  <c:v>0.56373937677052754</c:v>
                </c:pt>
                <c:pt idx="1792">
                  <c:v>0.56405413912494995</c:v>
                </c:pt>
                <c:pt idx="1793">
                  <c:v>0.56436890147937235</c:v>
                </c:pt>
                <c:pt idx="1794">
                  <c:v>0.56468366383379476</c:v>
                </c:pt>
                <c:pt idx="1795">
                  <c:v>0.56499842618821716</c:v>
                </c:pt>
                <c:pt idx="1796">
                  <c:v>0.56531318854263957</c:v>
                </c:pt>
                <c:pt idx="1797">
                  <c:v>0.56562795089706197</c:v>
                </c:pt>
                <c:pt idx="1798">
                  <c:v>0.56594271325148438</c:v>
                </c:pt>
                <c:pt idx="1799">
                  <c:v>0.56625747560590678</c:v>
                </c:pt>
                <c:pt idx="1800">
                  <c:v>0.56657223796032918</c:v>
                </c:pt>
                <c:pt idx="1801">
                  <c:v>0.56688700031475159</c:v>
                </c:pt>
                <c:pt idx="1802">
                  <c:v>0.56720176266917399</c:v>
                </c:pt>
                <c:pt idx="1803">
                  <c:v>0.5675165250235964</c:v>
                </c:pt>
                <c:pt idx="1804">
                  <c:v>0.5678312873780188</c:v>
                </c:pt>
                <c:pt idx="1805">
                  <c:v>0.56814604973244121</c:v>
                </c:pt>
                <c:pt idx="1806">
                  <c:v>0.56846081208686361</c:v>
                </c:pt>
                <c:pt idx="1807">
                  <c:v>0.56877557444128601</c:v>
                </c:pt>
                <c:pt idx="1808">
                  <c:v>0.56909033679570842</c:v>
                </c:pt>
                <c:pt idx="1809">
                  <c:v>0.56940509915013082</c:v>
                </c:pt>
                <c:pt idx="1810">
                  <c:v>0.56971986150455323</c:v>
                </c:pt>
                <c:pt idx="1811">
                  <c:v>0.57003462385897563</c:v>
                </c:pt>
                <c:pt idx="1812">
                  <c:v>0.57034938621339804</c:v>
                </c:pt>
                <c:pt idx="1813">
                  <c:v>0.57066414856782044</c:v>
                </c:pt>
                <c:pt idx="1814">
                  <c:v>0.57097891092224284</c:v>
                </c:pt>
                <c:pt idx="1815">
                  <c:v>0.57129367327666525</c:v>
                </c:pt>
                <c:pt idx="1816">
                  <c:v>0.57160843563108765</c:v>
                </c:pt>
                <c:pt idx="1817">
                  <c:v>0.57192319798551006</c:v>
                </c:pt>
                <c:pt idx="1818">
                  <c:v>0.57223796033993246</c:v>
                </c:pt>
                <c:pt idx="1819">
                  <c:v>0.57255272269435487</c:v>
                </c:pt>
                <c:pt idx="1820">
                  <c:v>0.57286748504877727</c:v>
                </c:pt>
                <c:pt idx="1821">
                  <c:v>0.57318224740319967</c:v>
                </c:pt>
                <c:pt idx="1822">
                  <c:v>0.57349700975762208</c:v>
                </c:pt>
                <c:pt idx="1823">
                  <c:v>0.57381177211204448</c:v>
                </c:pt>
                <c:pt idx="1824">
                  <c:v>0.57412653446646689</c:v>
                </c:pt>
                <c:pt idx="1825">
                  <c:v>0.57444129682088929</c:v>
                </c:pt>
                <c:pt idx="1826">
                  <c:v>0.5747560591753117</c:v>
                </c:pt>
                <c:pt idx="1827">
                  <c:v>0.5750708215297341</c:v>
                </c:pt>
                <c:pt idx="1828">
                  <c:v>0.5753855838841565</c:v>
                </c:pt>
                <c:pt idx="1829">
                  <c:v>0.57570034623857891</c:v>
                </c:pt>
                <c:pt idx="1830">
                  <c:v>0.57601510859300131</c:v>
                </c:pt>
                <c:pt idx="1831">
                  <c:v>0.57632987094742372</c:v>
                </c:pt>
                <c:pt idx="1832">
                  <c:v>0.57664463330184612</c:v>
                </c:pt>
                <c:pt idx="1833">
                  <c:v>0.57695939565626853</c:v>
                </c:pt>
                <c:pt idx="1834">
                  <c:v>0.57727415801069093</c:v>
                </c:pt>
                <c:pt idx="1835">
                  <c:v>0.57758892036511333</c:v>
                </c:pt>
                <c:pt idx="1836">
                  <c:v>0.57790368271953574</c:v>
                </c:pt>
                <c:pt idx="1837">
                  <c:v>0.57821844507395814</c:v>
                </c:pt>
                <c:pt idx="1838">
                  <c:v>0.57853320742838055</c:v>
                </c:pt>
                <c:pt idx="1839">
                  <c:v>0.57884796978280295</c:v>
                </c:pt>
                <c:pt idx="1840">
                  <c:v>0.57916273213722536</c:v>
                </c:pt>
                <c:pt idx="1841">
                  <c:v>0.57947749449164776</c:v>
                </c:pt>
                <c:pt idx="1842">
                  <c:v>0.57979225684607016</c:v>
                </c:pt>
                <c:pt idx="1843">
                  <c:v>0.58010701920049257</c:v>
                </c:pt>
                <c:pt idx="1844">
                  <c:v>0.58042178155491497</c:v>
                </c:pt>
                <c:pt idx="1845">
                  <c:v>0.58073654390933738</c:v>
                </c:pt>
                <c:pt idx="1846">
                  <c:v>0.58105130626375978</c:v>
                </c:pt>
                <c:pt idx="1847">
                  <c:v>0.58136606861818219</c:v>
                </c:pt>
                <c:pt idx="1848">
                  <c:v>0.58168083097260459</c:v>
                </c:pt>
                <c:pt idx="1849">
                  <c:v>0.58199559332702699</c:v>
                </c:pt>
                <c:pt idx="1850">
                  <c:v>0.5823103556814494</c:v>
                </c:pt>
                <c:pt idx="1851">
                  <c:v>0.5826251180358718</c:v>
                </c:pt>
                <c:pt idx="1852">
                  <c:v>0.58293988039029421</c:v>
                </c:pt>
                <c:pt idx="1853">
                  <c:v>0.58325464274471661</c:v>
                </c:pt>
                <c:pt idx="1854">
                  <c:v>0.58356940509913902</c:v>
                </c:pt>
                <c:pt idx="1855">
                  <c:v>0.58388416745356142</c:v>
                </c:pt>
                <c:pt idx="1856">
                  <c:v>0.58419892980798382</c:v>
                </c:pt>
                <c:pt idx="1857">
                  <c:v>0.58451369216240623</c:v>
                </c:pt>
                <c:pt idx="1858">
                  <c:v>0.58482845451682863</c:v>
                </c:pt>
                <c:pt idx="1859">
                  <c:v>0.58514321687125104</c:v>
                </c:pt>
                <c:pt idx="1860">
                  <c:v>0.58545797922567344</c:v>
                </c:pt>
                <c:pt idx="1861">
                  <c:v>0.58577274158009585</c:v>
                </c:pt>
                <c:pt idx="1862">
                  <c:v>0.58608750393451825</c:v>
                </c:pt>
                <c:pt idx="1863">
                  <c:v>0.58640226628894065</c:v>
                </c:pt>
                <c:pt idx="1864">
                  <c:v>0.58671702864336306</c:v>
                </c:pt>
                <c:pt idx="1865">
                  <c:v>0.58703179099778546</c:v>
                </c:pt>
                <c:pt idx="1866">
                  <c:v>0.58734655335220787</c:v>
                </c:pt>
                <c:pt idx="1867">
                  <c:v>0.58766131570663027</c:v>
                </c:pt>
                <c:pt idx="1868">
                  <c:v>0.58797607806105268</c:v>
                </c:pt>
                <c:pt idx="1869">
                  <c:v>0.58829084041547508</c:v>
                </c:pt>
                <c:pt idx="1870">
                  <c:v>0.58860560276989748</c:v>
                </c:pt>
                <c:pt idx="1871">
                  <c:v>0.58892036512431989</c:v>
                </c:pt>
                <c:pt idx="1872">
                  <c:v>0.58923512747874229</c:v>
                </c:pt>
                <c:pt idx="1873">
                  <c:v>0.5895498898331647</c:v>
                </c:pt>
                <c:pt idx="1874">
                  <c:v>0.5898646521875871</c:v>
                </c:pt>
                <c:pt idx="1875">
                  <c:v>0.59017941454200951</c:v>
                </c:pt>
                <c:pt idx="1876">
                  <c:v>0.59049417689643191</c:v>
                </c:pt>
                <c:pt idx="1877">
                  <c:v>0.59080893925085431</c:v>
                </c:pt>
                <c:pt idx="1878">
                  <c:v>0.59112370160527672</c:v>
                </c:pt>
                <c:pt idx="1879">
                  <c:v>0.59143846395969912</c:v>
                </c:pt>
                <c:pt idx="1880">
                  <c:v>0.59175322631412153</c:v>
                </c:pt>
                <c:pt idx="1881">
                  <c:v>0.59206798866854393</c:v>
                </c:pt>
                <c:pt idx="1882">
                  <c:v>0.59238275102296634</c:v>
                </c:pt>
                <c:pt idx="1883">
                  <c:v>0.59269751337738874</c:v>
                </c:pt>
                <c:pt idx="1884">
                  <c:v>0.59301227573181114</c:v>
                </c:pt>
                <c:pt idx="1885">
                  <c:v>0.59332703808623355</c:v>
                </c:pt>
                <c:pt idx="1886">
                  <c:v>0.59364180044065595</c:v>
                </c:pt>
                <c:pt idx="1887">
                  <c:v>0.59395656279507836</c:v>
                </c:pt>
                <c:pt idx="1888">
                  <c:v>0.59427132514950076</c:v>
                </c:pt>
                <c:pt idx="1889">
                  <c:v>0.59458608750392317</c:v>
                </c:pt>
                <c:pt idx="1890">
                  <c:v>0.59490084985834557</c:v>
                </c:pt>
                <c:pt idx="1891">
                  <c:v>0.59521561221276797</c:v>
                </c:pt>
                <c:pt idx="1892">
                  <c:v>0.59553037456719038</c:v>
                </c:pt>
                <c:pt idx="1893">
                  <c:v>0.59584513692161278</c:v>
                </c:pt>
                <c:pt idx="1894">
                  <c:v>0.59615989927603519</c:v>
                </c:pt>
                <c:pt idx="1895">
                  <c:v>0.59647466163045759</c:v>
                </c:pt>
                <c:pt idx="1896">
                  <c:v>0.59678942398488</c:v>
                </c:pt>
                <c:pt idx="1897">
                  <c:v>0.5971041863393024</c:v>
                </c:pt>
                <c:pt idx="1898">
                  <c:v>0.59741894869372481</c:v>
                </c:pt>
                <c:pt idx="1899">
                  <c:v>0.59773371104814721</c:v>
                </c:pt>
                <c:pt idx="1900">
                  <c:v>0.59804847340256961</c:v>
                </c:pt>
                <c:pt idx="1901">
                  <c:v>0.59836323575699202</c:v>
                </c:pt>
                <c:pt idx="1902">
                  <c:v>0.59867799811141442</c:v>
                </c:pt>
                <c:pt idx="1903">
                  <c:v>0.59899276046583683</c:v>
                </c:pt>
                <c:pt idx="1904">
                  <c:v>0.59930752282025923</c:v>
                </c:pt>
                <c:pt idx="1905">
                  <c:v>0.59962228517468164</c:v>
                </c:pt>
                <c:pt idx="1906">
                  <c:v>0.59993704752910404</c:v>
                </c:pt>
                <c:pt idx="1907">
                  <c:v>0.60025180988352644</c:v>
                </c:pt>
                <c:pt idx="1908">
                  <c:v>0.60056657223794885</c:v>
                </c:pt>
                <c:pt idx="1909">
                  <c:v>0.60088133459237125</c:v>
                </c:pt>
                <c:pt idx="1910">
                  <c:v>0.60119609694679366</c:v>
                </c:pt>
                <c:pt idx="1911">
                  <c:v>0.60151085930121606</c:v>
                </c:pt>
                <c:pt idx="1912">
                  <c:v>0.60182562165563847</c:v>
                </c:pt>
                <c:pt idx="1913">
                  <c:v>0.60214038401006087</c:v>
                </c:pt>
                <c:pt idx="1914">
                  <c:v>0.60245514636448327</c:v>
                </c:pt>
                <c:pt idx="1915">
                  <c:v>0.60276990871890568</c:v>
                </c:pt>
                <c:pt idx="1916">
                  <c:v>0.60308467107332808</c:v>
                </c:pt>
                <c:pt idx="1917">
                  <c:v>0.60339943342775049</c:v>
                </c:pt>
                <c:pt idx="1918">
                  <c:v>0.60371419578217289</c:v>
                </c:pt>
                <c:pt idx="1919">
                  <c:v>0.6040289581365953</c:v>
                </c:pt>
                <c:pt idx="1920">
                  <c:v>0.6043437204910177</c:v>
                </c:pt>
                <c:pt idx="1921">
                  <c:v>0.6046584828454401</c:v>
                </c:pt>
                <c:pt idx="1922">
                  <c:v>0.60497324519986251</c:v>
                </c:pt>
                <c:pt idx="1923">
                  <c:v>0.60528800755428491</c:v>
                </c:pt>
                <c:pt idx="1924">
                  <c:v>0.60560276990870732</c:v>
                </c:pt>
                <c:pt idx="1925">
                  <c:v>0.60591753226312972</c:v>
                </c:pt>
                <c:pt idx="1926">
                  <c:v>0.60623229461755213</c:v>
                </c:pt>
                <c:pt idx="1927">
                  <c:v>0.60654705697197453</c:v>
                </c:pt>
                <c:pt idx="1928">
                  <c:v>0.60686181932639693</c:v>
                </c:pt>
                <c:pt idx="1929">
                  <c:v>0.60717658168081934</c:v>
                </c:pt>
                <c:pt idx="1930">
                  <c:v>0.60749134403524174</c:v>
                </c:pt>
                <c:pt idx="1931">
                  <c:v>0.60780610638966415</c:v>
                </c:pt>
                <c:pt idx="1932">
                  <c:v>0.60812086874408655</c:v>
                </c:pt>
                <c:pt idx="1933">
                  <c:v>0.60843563109850896</c:v>
                </c:pt>
                <c:pt idx="1934">
                  <c:v>0.60875039345293136</c:v>
                </c:pt>
                <c:pt idx="1935">
                  <c:v>0.60906515580735376</c:v>
                </c:pt>
                <c:pt idx="1936">
                  <c:v>0.60937991816177617</c:v>
                </c:pt>
                <c:pt idx="1937">
                  <c:v>0.60969468051619857</c:v>
                </c:pt>
                <c:pt idx="1938">
                  <c:v>0.61000944287062098</c:v>
                </c:pt>
                <c:pt idx="1939">
                  <c:v>0.61032420522504338</c:v>
                </c:pt>
                <c:pt idx="1940">
                  <c:v>0.61063896757946579</c:v>
                </c:pt>
                <c:pt idx="1941">
                  <c:v>0.61095372993388819</c:v>
                </c:pt>
                <c:pt idx="1942">
                  <c:v>0.61126849228831059</c:v>
                </c:pt>
                <c:pt idx="1943">
                  <c:v>0.611583254642733</c:v>
                </c:pt>
                <c:pt idx="1944">
                  <c:v>0.6118980169971554</c:v>
                </c:pt>
                <c:pt idx="1945">
                  <c:v>0.61221277935157781</c:v>
                </c:pt>
                <c:pt idx="1946">
                  <c:v>0.61252754170600021</c:v>
                </c:pt>
                <c:pt idx="1947">
                  <c:v>0.61284230406042262</c:v>
                </c:pt>
                <c:pt idx="1948">
                  <c:v>0.61315706641484502</c:v>
                </c:pt>
                <c:pt idx="1949">
                  <c:v>0.61347182876926742</c:v>
                </c:pt>
                <c:pt idx="1950">
                  <c:v>0.61378659112368983</c:v>
                </c:pt>
                <c:pt idx="1951">
                  <c:v>0.61410135347811223</c:v>
                </c:pt>
                <c:pt idx="1952">
                  <c:v>0.61441611583253464</c:v>
                </c:pt>
                <c:pt idx="1953">
                  <c:v>0.61473087818695704</c:v>
                </c:pt>
                <c:pt idx="1954">
                  <c:v>0.61504564054137945</c:v>
                </c:pt>
                <c:pt idx="1955">
                  <c:v>0.61536040289580185</c:v>
                </c:pt>
                <c:pt idx="1956">
                  <c:v>0.61567516525022425</c:v>
                </c:pt>
                <c:pt idx="1957">
                  <c:v>0.61598992760464666</c:v>
                </c:pt>
                <c:pt idx="1958">
                  <c:v>0.61630468995906906</c:v>
                </c:pt>
                <c:pt idx="1959">
                  <c:v>0.61661945231349147</c:v>
                </c:pt>
                <c:pt idx="1960">
                  <c:v>0.61693421466791387</c:v>
                </c:pt>
                <c:pt idx="1961">
                  <c:v>0.61724897702233628</c:v>
                </c:pt>
                <c:pt idx="1962">
                  <c:v>0.61756373937675868</c:v>
                </c:pt>
                <c:pt idx="1963">
                  <c:v>0.61787850173118108</c:v>
                </c:pt>
                <c:pt idx="1964">
                  <c:v>0.61819326408560349</c:v>
                </c:pt>
                <c:pt idx="1965">
                  <c:v>0.61850802644002589</c:v>
                </c:pt>
                <c:pt idx="1966">
                  <c:v>0.6188227887944483</c:v>
                </c:pt>
                <c:pt idx="1967">
                  <c:v>0.6191375511488707</c:v>
                </c:pt>
                <c:pt idx="1968">
                  <c:v>0.61945231350329311</c:v>
                </c:pt>
                <c:pt idx="1969">
                  <c:v>0.61976707585771551</c:v>
                </c:pt>
                <c:pt idx="1970">
                  <c:v>0.62008183821213791</c:v>
                </c:pt>
                <c:pt idx="1971">
                  <c:v>0.62039660056656032</c:v>
                </c:pt>
                <c:pt idx="1972">
                  <c:v>0.62071136292098272</c:v>
                </c:pt>
                <c:pt idx="1973">
                  <c:v>0.62102612527540513</c:v>
                </c:pt>
                <c:pt idx="1974">
                  <c:v>0.62134088762982753</c:v>
                </c:pt>
                <c:pt idx="1975">
                  <c:v>0.62165564998424994</c:v>
                </c:pt>
                <c:pt idx="1976">
                  <c:v>0.62197041233867234</c:v>
                </c:pt>
                <c:pt idx="1977">
                  <c:v>0.62228517469309474</c:v>
                </c:pt>
                <c:pt idx="1978">
                  <c:v>0.62259993704751715</c:v>
                </c:pt>
                <c:pt idx="1979">
                  <c:v>0.62291469940193955</c:v>
                </c:pt>
                <c:pt idx="1980">
                  <c:v>0.62322946175636196</c:v>
                </c:pt>
                <c:pt idx="1981">
                  <c:v>0.62354422411078436</c:v>
                </c:pt>
                <c:pt idx="1982">
                  <c:v>0.62385898646520677</c:v>
                </c:pt>
                <c:pt idx="1983">
                  <c:v>0.62417374881962917</c:v>
                </c:pt>
                <c:pt idx="1984">
                  <c:v>0.62448851117405157</c:v>
                </c:pt>
                <c:pt idx="1985">
                  <c:v>0.62480327352847398</c:v>
                </c:pt>
                <c:pt idx="1986">
                  <c:v>0.62511803588289638</c:v>
                </c:pt>
                <c:pt idx="1987">
                  <c:v>0.62543279823731879</c:v>
                </c:pt>
                <c:pt idx="1988">
                  <c:v>0.62574756059174119</c:v>
                </c:pt>
                <c:pt idx="1989">
                  <c:v>0.6260623229461636</c:v>
                </c:pt>
                <c:pt idx="1990">
                  <c:v>0.626377085300586</c:v>
                </c:pt>
                <c:pt idx="1991">
                  <c:v>0.6266918476550084</c:v>
                </c:pt>
                <c:pt idx="1992">
                  <c:v>0.62700661000943081</c:v>
                </c:pt>
                <c:pt idx="1993">
                  <c:v>0.62732137236385321</c:v>
                </c:pt>
                <c:pt idx="1994">
                  <c:v>0.62763613471827562</c:v>
                </c:pt>
                <c:pt idx="1995">
                  <c:v>0.62795089707269802</c:v>
                </c:pt>
                <c:pt idx="1996">
                  <c:v>0.62826565942712043</c:v>
                </c:pt>
                <c:pt idx="1997">
                  <c:v>0.62858042178154283</c:v>
                </c:pt>
                <c:pt idx="1998">
                  <c:v>0.62889518413596524</c:v>
                </c:pt>
                <c:pt idx="1999">
                  <c:v>0.62920994649038764</c:v>
                </c:pt>
                <c:pt idx="2000">
                  <c:v>0.62952470884481004</c:v>
                </c:pt>
                <c:pt idx="2001">
                  <c:v>0.62983947119923245</c:v>
                </c:pt>
                <c:pt idx="2002">
                  <c:v>0.63015423355365485</c:v>
                </c:pt>
                <c:pt idx="2003">
                  <c:v>0.63046899590807726</c:v>
                </c:pt>
                <c:pt idx="2004">
                  <c:v>0.63078375826249966</c:v>
                </c:pt>
                <c:pt idx="2005">
                  <c:v>0.63109852061692207</c:v>
                </c:pt>
                <c:pt idx="2006">
                  <c:v>0.63141328297134447</c:v>
                </c:pt>
                <c:pt idx="2007">
                  <c:v>0.63172804532576687</c:v>
                </c:pt>
                <c:pt idx="2008">
                  <c:v>0.63204280768018928</c:v>
                </c:pt>
                <c:pt idx="2009">
                  <c:v>0.63235757003461168</c:v>
                </c:pt>
                <c:pt idx="2010">
                  <c:v>0.63267233238903409</c:v>
                </c:pt>
                <c:pt idx="2011">
                  <c:v>0.63298709474345649</c:v>
                </c:pt>
                <c:pt idx="2012">
                  <c:v>0.6333018570978789</c:v>
                </c:pt>
                <c:pt idx="2013">
                  <c:v>0.6336166194523013</c:v>
                </c:pt>
                <c:pt idx="2014">
                  <c:v>0.6339313818067237</c:v>
                </c:pt>
                <c:pt idx="2015">
                  <c:v>0.63424614416114611</c:v>
                </c:pt>
                <c:pt idx="2016">
                  <c:v>0.63456090651556851</c:v>
                </c:pt>
                <c:pt idx="2017">
                  <c:v>0.63487566886999092</c:v>
                </c:pt>
                <c:pt idx="2018">
                  <c:v>0.63519043122441332</c:v>
                </c:pt>
                <c:pt idx="2019">
                  <c:v>0.63550519357883573</c:v>
                </c:pt>
                <c:pt idx="2020">
                  <c:v>0.63581995593325813</c:v>
                </c:pt>
                <c:pt idx="2021">
                  <c:v>0.63613471828768053</c:v>
                </c:pt>
                <c:pt idx="2022">
                  <c:v>0.63644948064210294</c:v>
                </c:pt>
                <c:pt idx="2023">
                  <c:v>0.63676424299652534</c:v>
                </c:pt>
                <c:pt idx="2024">
                  <c:v>0.63707900535094775</c:v>
                </c:pt>
                <c:pt idx="2025">
                  <c:v>0.63739376770537015</c:v>
                </c:pt>
                <c:pt idx="2026">
                  <c:v>0.63770853005979256</c:v>
                </c:pt>
                <c:pt idx="2027">
                  <c:v>0.63802329241421496</c:v>
                </c:pt>
                <c:pt idx="2028">
                  <c:v>0.63833805476863736</c:v>
                </c:pt>
                <c:pt idx="2029">
                  <c:v>0.63865281712305977</c:v>
                </c:pt>
                <c:pt idx="2030">
                  <c:v>0.63896757947748217</c:v>
                </c:pt>
                <c:pt idx="2031">
                  <c:v>0.63928234183190458</c:v>
                </c:pt>
                <c:pt idx="2032">
                  <c:v>0.63959710418632698</c:v>
                </c:pt>
                <c:pt idx="2033">
                  <c:v>0.63991186654074939</c:v>
                </c:pt>
                <c:pt idx="2034">
                  <c:v>0.64022662889517179</c:v>
                </c:pt>
                <c:pt idx="2035">
                  <c:v>0.64054139124959419</c:v>
                </c:pt>
                <c:pt idx="2036">
                  <c:v>0.6408561536040166</c:v>
                </c:pt>
                <c:pt idx="2037">
                  <c:v>0.641170915958439</c:v>
                </c:pt>
                <c:pt idx="2038">
                  <c:v>0.64148567831286141</c:v>
                </c:pt>
                <c:pt idx="2039">
                  <c:v>0.64180044066728381</c:v>
                </c:pt>
                <c:pt idx="2040">
                  <c:v>0.64211520302170622</c:v>
                </c:pt>
                <c:pt idx="2041">
                  <c:v>0.64242996537612862</c:v>
                </c:pt>
                <c:pt idx="2042">
                  <c:v>0.64274472773055102</c:v>
                </c:pt>
                <c:pt idx="2043">
                  <c:v>0.64305949008497343</c:v>
                </c:pt>
                <c:pt idx="2044">
                  <c:v>0.64337425243939583</c:v>
                </c:pt>
                <c:pt idx="2045">
                  <c:v>0.64368901479381824</c:v>
                </c:pt>
                <c:pt idx="2046">
                  <c:v>0.64400377714824064</c:v>
                </c:pt>
                <c:pt idx="2047">
                  <c:v>0.64431853950266305</c:v>
                </c:pt>
                <c:pt idx="2048">
                  <c:v>0.64463330185708545</c:v>
                </c:pt>
                <c:pt idx="2049">
                  <c:v>0.64494806421150785</c:v>
                </c:pt>
                <c:pt idx="2050">
                  <c:v>0.64526282656593026</c:v>
                </c:pt>
                <c:pt idx="2051">
                  <c:v>0.64557758892035266</c:v>
                </c:pt>
                <c:pt idx="2052">
                  <c:v>0.64589235127477507</c:v>
                </c:pt>
                <c:pt idx="2053">
                  <c:v>0.64620711362919747</c:v>
                </c:pt>
                <c:pt idx="2054">
                  <c:v>0.64652187598361988</c:v>
                </c:pt>
                <c:pt idx="2055">
                  <c:v>0.64683663833804228</c:v>
                </c:pt>
                <c:pt idx="2056">
                  <c:v>0.64715140069246468</c:v>
                </c:pt>
                <c:pt idx="2057">
                  <c:v>0.64746616304688709</c:v>
                </c:pt>
                <c:pt idx="2058">
                  <c:v>0.64778092540130949</c:v>
                </c:pt>
                <c:pt idx="2059">
                  <c:v>0.6480956877557319</c:v>
                </c:pt>
                <c:pt idx="2060">
                  <c:v>0.6484104501101543</c:v>
                </c:pt>
                <c:pt idx="2061">
                  <c:v>0.64872521246457671</c:v>
                </c:pt>
                <c:pt idx="2062">
                  <c:v>0.64903997481899911</c:v>
                </c:pt>
                <c:pt idx="2063">
                  <c:v>0.64935473717342151</c:v>
                </c:pt>
                <c:pt idx="2064">
                  <c:v>0.64966949952784392</c:v>
                </c:pt>
                <c:pt idx="2065">
                  <c:v>0.64998426188226632</c:v>
                </c:pt>
                <c:pt idx="2066">
                  <c:v>0.65029902423668873</c:v>
                </c:pt>
                <c:pt idx="2067">
                  <c:v>0.65061378659111113</c:v>
                </c:pt>
                <c:pt idx="2068">
                  <c:v>0.65092854894553354</c:v>
                </c:pt>
                <c:pt idx="2069">
                  <c:v>0.65124331129995594</c:v>
                </c:pt>
                <c:pt idx="2070">
                  <c:v>0.65155807365437834</c:v>
                </c:pt>
                <c:pt idx="2071">
                  <c:v>0.65187283600880075</c:v>
                </c:pt>
                <c:pt idx="2072">
                  <c:v>0.65218759836322315</c:v>
                </c:pt>
                <c:pt idx="2073">
                  <c:v>0.65250236071764556</c:v>
                </c:pt>
                <c:pt idx="2074">
                  <c:v>0.65281712307206796</c:v>
                </c:pt>
                <c:pt idx="2075">
                  <c:v>0.65313188542649037</c:v>
                </c:pt>
                <c:pt idx="2076">
                  <c:v>0.65344664778091277</c:v>
                </c:pt>
                <c:pt idx="2077">
                  <c:v>0.65376141013533517</c:v>
                </c:pt>
                <c:pt idx="2078">
                  <c:v>0.65407617248975758</c:v>
                </c:pt>
                <c:pt idx="2079">
                  <c:v>0.65439093484417998</c:v>
                </c:pt>
                <c:pt idx="2080">
                  <c:v>0.65470569719860239</c:v>
                </c:pt>
                <c:pt idx="2081">
                  <c:v>0.65502045955302479</c:v>
                </c:pt>
                <c:pt idx="2082">
                  <c:v>0.6553352219074472</c:v>
                </c:pt>
                <c:pt idx="2083">
                  <c:v>0.6556499842618696</c:v>
                </c:pt>
                <c:pt idx="2084">
                  <c:v>0.655964746616292</c:v>
                </c:pt>
                <c:pt idx="2085">
                  <c:v>0.65627950897071441</c:v>
                </c:pt>
                <c:pt idx="2086">
                  <c:v>0.65659427132513681</c:v>
                </c:pt>
                <c:pt idx="2087">
                  <c:v>0.65690903367955922</c:v>
                </c:pt>
                <c:pt idx="2088">
                  <c:v>0.65722379603398162</c:v>
                </c:pt>
                <c:pt idx="2089">
                  <c:v>0.65753855838840403</c:v>
                </c:pt>
                <c:pt idx="2090">
                  <c:v>0.65785332074282643</c:v>
                </c:pt>
                <c:pt idx="2091">
                  <c:v>0.65816808309724883</c:v>
                </c:pt>
                <c:pt idx="2092">
                  <c:v>0.65848284545167124</c:v>
                </c:pt>
                <c:pt idx="2093">
                  <c:v>0.65879760780609364</c:v>
                </c:pt>
                <c:pt idx="2094">
                  <c:v>0.65911237016051605</c:v>
                </c:pt>
                <c:pt idx="2095">
                  <c:v>0.65942713251493845</c:v>
                </c:pt>
                <c:pt idx="2096">
                  <c:v>0.65974189486936086</c:v>
                </c:pt>
                <c:pt idx="2097">
                  <c:v>0.66005665722378326</c:v>
                </c:pt>
                <c:pt idx="2098">
                  <c:v>0.66037141957820567</c:v>
                </c:pt>
                <c:pt idx="2099">
                  <c:v>0.66068618193262807</c:v>
                </c:pt>
                <c:pt idx="2100">
                  <c:v>0.66100094428705047</c:v>
                </c:pt>
                <c:pt idx="2101">
                  <c:v>0.66131570664147288</c:v>
                </c:pt>
                <c:pt idx="2102">
                  <c:v>0.66163046899589528</c:v>
                </c:pt>
                <c:pt idx="2103">
                  <c:v>0.66194523135031769</c:v>
                </c:pt>
                <c:pt idx="2104">
                  <c:v>0.66225999370474009</c:v>
                </c:pt>
                <c:pt idx="2105">
                  <c:v>0.6625747560591625</c:v>
                </c:pt>
                <c:pt idx="2106">
                  <c:v>0.6628895184135849</c:v>
                </c:pt>
                <c:pt idx="2107">
                  <c:v>0.6632042807680073</c:v>
                </c:pt>
                <c:pt idx="2108">
                  <c:v>0.66351904312242971</c:v>
                </c:pt>
                <c:pt idx="2109">
                  <c:v>0.66383380547685211</c:v>
                </c:pt>
                <c:pt idx="2110">
                  <c:v>0.66414856783127452</c:v>
                </c:pt>
                <c:pt idx="2111">
                  <c:v>0.66446333018569692</c:v>
                </c:pt>
                <c:pt idx="2112">
                  <c:v>0.66477809254011933</c:v>
                </c:pt>
                <c:pt idx="2113">
                  <c:v>0.66509285489454173</c:v>
                </c:pt>
                <c:pt idx="2114">
                  <c:v>0.66540761724896413</c:v>
                </c:pt>
                <c:pt idx="2115">
                  <c:v>0.66572237960338654</c:v>
                </c:pt>
                <c:pt idx="2116">
                  <c:v>0.66603714195780894</c:v>
                </c:pt>
                <c:pt idx="2117">
                  <c:v>0.66635190431223135</c:v>
                </c:pt>
                <c:pt idx="2118">
                  <c:v>0.66666666666665375</c:v>
                </c:pt>
                <c:pt idx="2119">
                  <c:v>0.66698142902107616</c:v>
                </c:pt>
                <c:pt idx="2120">
                  <c:v>0.66729619137549856</c:v>
                </c:pt>
                <c:pt idx="2121">
                  <c:v>0.66761095372992096</c:v>
                </c:pt>
                <c:pt idx="2122">
                  <c:v>0.66792571608434337</c:v>
                </c:pt>
                <c:pt idx="2123">
                  <c:v>0.66824047843876577</c:v>
                </c:pt>
                <c:pt idx="2124">
                  <c:v>0.66855524079318818</c:v>
                </c:pt>
                <c:pt idx="2125">
                  <c:v>0.66887000314761058</c:v>
                </c:pt>
                <c:pt idx="2126">
                  <c:v>0.66918476550203299</c:v>
                </c:pt>
                <c:pt idx="2127">
                  <c:v>0.66949952785645539</c:v>
                </c:pt>
                <c:pt idx="2128">
                  <c:v>0.66981429021087779</c:v>
                </c:pt>
                <c:pt idx="2129">
                  <c:v>0.6701290525653002</c:v>
                </c:pt>
                <c:pt idx="2130">
                  <c:v>0.6704438149197226</c:v>
                </c:pt>
                <c:pt idx="2131">
                  <c:v>0.67075857727414501</c:v>
                </c:pt>
                <c:pt idx="2132">
                  <c:v>0.67107333962856741</c:v>
                </c:pt>
                <c:pt idx="2133">
                  <c:v>0.67138810198298982</c:v>
                </c:pt>
                <c:pt idx="2134">
                  <c:v>0.67170286433741222</c:v>
                </c:pt>
                <c:pt idx="2135">
                  <c:v>0.67201762669183462</c:v>
                </c:pt>
                <c:pt idx="2136">
                  <c:v>0.67233238904625703</c:v>
                </c:pt>
                <c:pt idx="2137">
                  <c:v>0.67264715140067943</c:v>
                </c:pt>
                <c:pt idx="2138">
                  <c:v>0.67296191375510184</c:v>
                </c:pt>
                <c:pt idx="2139">
                  <c:v>0.67327667610952424</c:v>
                </c:pt>
                <c:pt idx="2140">
                  <c:v>0.67359143846394665</c:v>
                </c:pt>
                <c:pt idx="2141">
                  <c:v>0.67390620081836905</c:v>
                </c:pt>
                <c:pt idx="2142">
                  <c:v>0.67422096317279145</c:v>
                </c:pt>
                <c:pt idx="2143">
                  <c:v>0.67453572552721386</c:v>
                </c:pt>
                <c:pt idx="2144">
                  <c:v>0.67485048788163626</c:v>
                </c:pt>
                <c:pt idx="2145">
                  <c:v>0.67516525023605867</c:v>
                </c:pt>
                <c:pt idx="2146">
                  <c:v>0.67548001259048107</c:v>
                </c:pt>
                <c:pt idx="2147">
                  <c:v>0.67579477494490348</c:v>
                </c:pt>
                <c:pt idx="2148">
                  <c:v>0.67610953729932588</c:v>
                </c:pt>
                <c:pt idx="2149">
                  <c:v>0.67642429965374828</c:v>
                </c:pt>
                <c:pt idx="2150">
                  <c:v>0.67673906200817069</c:v>
                </c:pt>
                <c:pt idx="2151">
                  <c:v>0.67705382436259309</c:v>
                </c:pt>
                <c:pt idx="2152">
                  <c:v>0.6773685867170155</c:v>
                </c:pt>
                <c:pt idx="2153">
                  <c:v>0.6776833490714379</c:v>
                </c:pt>
                <c:pt idx="2154">
                  <c:v>0.67799811142586031</c:v>
                </c:pt>
                <c:pt idx="2155">
                  <c:v>0.67831287378028271</c:v>
                </c:pt>
                <c:pt idx="2156">
                  <c:v>0.67862763613470511</c:v>
                </c:pt>
                <c:pt idx="2157">
                  <c:v>0.67894239848912752</c:v>
                </c:pt>
                <c:pt idx="2158">
                  <c:v>0.67925716084354992</c:v>
                </c:pt>
                <c:pt idx="2159">
                  <c:v>0.67957192319797233</c:v>
                </c:pt>
                <c:pt idx="2160">
                  <c:v>0.67988668555239473</c:v>
                </c:pt>
                <c:pt idx="2161">
                  <c:v>0.68020144790681714</c:v>
                </c:pt>
                <c:pt idx="2162">
                  <c:v>0.68051621026123954</c:v>
                </c:pt>
                <c:pt idx="2163">
                  <c:v>0.68083097261566194</c:v>
                </c:pt>
                <c:pt idx="2164">
                  <c:v>0.68114573497008435</c:v>
                </c:pt>
                <c:pt idx="2165">
                  <c:v>0.68146049732450675</c:v>
                </c:pt>
                <c:pt idx="2166">
                  <c:v>0.68177525967892916</c:v>
                </c:pt>
                <c:pt idx="2167">
                  <c:v>0.68209002203335156</c:v>
                </c:pt>
                <c:pt idx="2168">
                  <c:v>0.68240478438777397</c:v>
                </c:pt>
                <c:pt idx="2169">
                  <c:v>0.68271954674219637</c:v>
                </c:pt>
                <c:pt idx="2170">
                  <c:v>0.68303430909661877</c:v>
                </c:pt>
                <c:pt idx="2171">
                  <c:v>0.68334907145104118</c:v>
                </c:pt>
                <c:pt idx="2172">
                  <c:v>0.68366383380546358</c:v>
                </c:pt>
                <c:pt idx="2173">
                  <c:v>0.68397859615988599</c:v>
                </c:pt>
                <c:pt idx="2174">
                  <c:v>0.68429335851430839</c:v>
                </c:pt>
                <c:pt idx="2175">
                  <c:v>0.6846081208687308</c:v>
                </c:pt>
                <c:pt idx="2176">
                  <c:v>0.6849228832231532</c:v>
                </c:pt>
                <c:pt idx="2177">
                  <c:v>0.6852376455775756</c:v>
                </c:pt>
                <c:pt idx="2178">
                  <c:v>0.68555240793199801</c:v>
                </c:pt>
                <c:pt idx="2179">
                  <c:v>0.68586717028642041</c:v>
                </c:pt>
                <c:pt idx="2180">
                  <c:v>0.68618193264084282</c:v>
                </c:pt>
                <c:pt idx="2181">
                  <c:v>0.68649669499526522</c:v>
                </c:pt>
                <c:pt idx="2182">
                  <c:v>0.68681145734968763</c:v>
                </c:pt>
                <c:pt idx="2183">
                  <c:v>0.68712621970411003</c:v>
                </c:pt>
                <c:pt idx="2184">
                  <c:v>0.68744098205853243</c:v>
                </c:pt>
                <c:pt idx="2185">
                  <c:v>0.68775574441295484</c:v>
                </c:pt>
                <c:pt idx="2186">
                  <c:v>0.68807050676737724</c:v>
                </c:pt>
                <c:pt idx="2187">
                  <c:v>0.68838526912179965</c:v>
                </c:pt>
                <c:pt idx="2188">
                  <c:v>0.68870003147622205</c:v>
                </c:pt>
                <c:pt idx="2189">
                  <c:v>0.68901479383064446</c:v>
                </c:pt>
                <c:pt idx="2190">
                  <c:v>0.68932955618506686</c:v>
                </c:pt>
                <c:pt idx="2191">
                  <c:v>0.68964431853948926</c:v>
                </c:pt>
                <c:pt idx="2192">
                  <c:v>0.68995908089391167</c:v>
                </c:pt>
                <c:pt idx="2193">
                  <c:v>0.69027384324833407</c:v>
                </c:pt>
                <c:pt idx="2194">
                  <c:v>0.69058860560275648</c:v>
                </c:pt>
                <c:pt idx="2195">
                  <c:v>0.69090336795717888</c:v>
                </c:pt>
                <c:pt idx="2196">
                  <c:v>0.69121813031160129</c:v>
                </c:pt>
                <c:pt idx="2197">
                  <c:v>0.69153289266602369</c:v>
                </c:pt>
                <c:pt idx="2198">
                  <c:v>0.6918476550204461</c:v>
                </c:pt>
                <c:pt idx="2199">
                  <c:v>0.6921624173748685</c:v>
                </c:pt>
                <c:pt idx="2200">
                  <c:v>0.6924771797292909</c:v>
                </c:pt>
                <c:pt idx="2201">
                  <c:v>0.69279194208371331</c:v>
                </c:pt>
                <c:pt idx="2202">
                  <c:v>0.69310670443813571</c:v>
                </c:pt>
                <c:pt idx="2203">
                  <c:v>0.69342146679255812</c:v>
                </c:pt>
                <c:pt idx="2204">
                  <c:v>0.69373622914698052</c:v>
                </c:pt>
                <c:pt idx="2205">
                  <c:v>0.69405099150140293</c:v>
                </c:pt>
                <c:pt idx="2206">
                  <c:v>0.69436575385582533</c:v>
                </c:pt>
                <c:pt idx="2207">
                  <c:v>0.69468051621024773</c:v>
                </c:pt>
                <c:pt idx="2208">
                  <c:v>0.69499527856467014</c:v>
                </c:pt>
                <c:pt idx="2209">
                  <c:v>0.69531004091909254</c:v>
                </c:pt>
                <c:pt idx="2210">
                  <c:v>0.69562480327351495</c:v>
                </c:pt>
                <c:pt idx="2211">
                  <c:v>0.69593956562793735</c:v>
                </c:pt>
                <c:pt idx="2212">
                  <c:v>0.69625432798235976</c:v>
                </c:pt>
                <c:pt idx="2213">
                  <c:v>0.69656909033678216</c:v>
                </c:pt>
                <c:pt idx="2214">
                  <c:v>0.69688385269120456</c:v>
                </c:pt>
                <c:pt idx="2215">
                  <c:v>0.69719861504562697</c:v>
                </c:pt>
                <c:pt idx="2216">
                  <c:v>0.69751337740004937</c:v>
                </c:pt>
                <c:pt idx="2217">
                  <c:v>0.69782813975447178</c:v>
                </c:pt>
                <c:pt idx="2218">
                  <c:v>0.69814290210889418</c:v>
                </c:pt>
                <c:pt idx="2219">
                  <c:v>0.69845766446331659</c:v>
                </c:pt>
                <c:pt idx="2220">
                  <c:v>0.69877242681773899</c:v>
                </c:pt>
                <c:pt idx="2221">
                  <c:v>0.69908718917216139</c:v>
                </c:pt>
                <c:pt idx="2222">
                  <c:v>0.6994019515265838</c:v>
                </c:pt>
                <c:pt idx="2223">
                  <c:v>0.6997167138810062</c:v>
                </c:pt>
                <c:pt idx="2224">
                  <c:v>0.70003147623542861</c:v>
                </c:pt>
                <c:pt idx="2225">
                  <c:v>0.70034623858985101</c:v>
                </c:pt>
                <c:pt idx="2226">
                  <c:v>0.70066100094427342</c:v>
                </c:pt>
                <c:pt idx="2227">
                  <c:v>0.70097576329869582</c:v>
                </c:pt>
                <c:pt idx="2228">
                  <c:v>0.70129052565311822</c:v>
                </c:pt>
                <c:pt idx="2229">
                  <c:v>0.70160528800754063</c:v>
                </c:pt>
                <c:pt idx="2230">
                  <c:v>0.70192005036196303</c:v>
                </c:pt>
                <c:pt idx="2231">
                  <c:v>0.70223481271638544</c:v>
                </c:pt>
                <c:pt idx="2232">
                  <c:v>0.70254957507080784</c:v>
                </c:pt>
                <c:pt idx="2233">
                  <c:v>0.70286433742523025</c:v>
                </c:pt>
                <c:pt idx="2234">
                  <c:v>0.70317909977965265</c:v>
                </c:pt>
                <c:pt idx="2235">
                  <c:v>0.70349386213407505</c:v>
                </c:pt>
                <c:pt idx="2236">
                  <c:v>0.70380862448849746</c:v>
                </c:pt>
                <c:pt idx="2237">
                  <c:v>0.70412338684291986</c:v>
                </c:pt>
                <c:pt idx="2238">
                  <c:v>0.70443814919734227</c:v>
                </c:pt>
                <c:pt idx="2239">
                  <c:v>0.70475291155176467</c:v>
                </c:pt>
                <c:pt idx="2240">
                  <c:v>0.70506767390618708</c:v>
                </c:pt>
                <c:pt idx="2241">
                  <c:v>0.70538243626060948</c:v>
                </c:pt>
                <c:pt idx="2242">
                  <c:v>0.70569719861503188</c:v>
                </c:pt>
                <c:pt idx="2243">
                  <c:v>0.70601196096945429</c:v>
                </c:pt>
                <c:pt idx="2244">
                  <c:v>0.70632672332387669</c:v>
                </c:pt>
                <c:pt idx="2245">
                  <c:v>0.7066414856782991</c:v>
                </c:pt>
                <c:pt idx="2246">
                  <c:v>0.7069562480327215</c:v>
                </c:pt>
                <c:pt idx="2247">
                  <c:v>0.70727101038714391</c:v>
                </c:pt>
                <c:pt idx="2248">
                  <c:v>0.70758577274156631</c:v>
                </c:pt>
                <c:pt idx="2249">
                  <c:v>0.70790053509598871</c:v>
                </c:pt>
                <c:pt idx="2250">
                  <c:v>0.70821529745041112</c:v>
                </c:pt>
                <c:pt idx="2251">
                  <c:v>0.70853005980483352</c:v>
                </c:pt>
                <c:pt idx="2252">
                  <c:v>0.70884482215925593</c:v>
                </c:pt>
                <c:pt idx="2253">
                  <c:v>0.70915958451367833</c:v>
                </c:pt>
                <c:pt idx="2254">
                  <c:v>0.70947434686810074</c:v>
                </c:pt>
                <c:pt idx="2255">
                  <c:v>0.70978910922252314</c:v>
                </c:pt>
                <c:pt idx="2256">
                  <c:v>0.71010387157694554</c:v>
                </c:pt>
                <c:pt idx="2257">
                  <c:v>0.71041863393136795</c:v>
                </c:pt>
                <c:pt idx="2258">
                  <c:v>0.71073339628579035</c:v>
                </c:pt>
                <c:pt idx="2259">
                  <c:v>0.71104815864021276</c:v>
                </c:pt>
                <c:pt idx="2260">
                  <c:v>0.71136292099463516</c:v>
                </c:pt>
                <c:pt idx="2261">
                  <c:v>0.71167768334905757</c:v>
                </c:pt>
                <c:pt idx="2262">
                  <c:v>0.71199244570347997</c:v>
                </c:pt>
                <c:pt idx="2263">
                  <c:v>0.71230720805790237</c:v>
                </c:pt>
                <c:pt idx="2264">
                  <c:v>0.71262197041232478</c:v>
                </c:pt>
                <c:pt idx="2265">
                  <c:v>0.71293673276674718</c:v>
                </c:pt>
                <c:pt idx="2266">
                  <c:v>0.71325149512116959</c:v>
                </c:pt>
                <c:pt idx="2267">
                  <c:v>0.71356625747559199</c:v>
                </c:pt>
                <c:pt idx="2268">
                  <c:v>0.7138810198300144</c:v>
                </c:pt>
                <c:pt idx="2269">
                  <c:v>0.7141957821844368</c:v>
                </c:pt>
                <c:pt idx="2270">
                  <c:v>0.7145105445388592</c:v>
                </c:pt>
                <c:pt idx="2271">
                  <c:v>0.71482530689328161</c:v>
                </c:pt>
                <c:pt idx="2272">
                  <c:v>0.71514006924770401</c:v>
                </c:pt>
                <c:pt idx="2273">
                  <c:v>0.71545483160212642</c:v>
                </c:pt>
                <c:pt idx="2274">
                  <c:v>0.71576959395654882</c:v>
                </c:pt>
                <c:pt idx="2275">
                  <c:v>0.71608435631097123</c:v>
                </c:pt>
                <c:pt idx="2276">
                  <c:v>0.71639911866539363</c:v>
                </c:pt>
                <c:pt idx="2277">
                  <c:v>0.71671388101981603</c:v>
                </c:pt>
                <c:pt idx="2278">
                  <c:v>0.71702864337423844</c:v>
                </c:pt>
                <c:pt idx="2279">
                  <c:v>0.71734340572866084</c:v>
                </c:pt>
                <c:pt idx="2280">
                  <c:v>0.71765816808308325</c:v>
                </c:pt>
                <c:pt idx="2281">
                  <c:v>0.71797293043750565</c:v>
                </c:pt>
                <c:pt idx="2282">
                  <c:v>0.71828769279192806</c:v>
                </c:pt>
                <c:pt idx="2283">
                  <c:v>0.71860245514635046</c:v>
                </c:pt>
                <c:pt idx="2284">
                  <c:v>0.71891721750077286</c:v>
                </c:pt>
                <c:pt idx="2285">
                  <c:v>0.71923197985519527</c:v>
                </c:pt>
                <c:pt idx="2286">
                  <c:v>0.71954674220961767</c:v>
                </c:pt>
                <c:pt idx="2287">
                  <c:v>0.71986150456404008</c:v>
                </c:pt>
                <c:pt idx="2288">
                  <c:v>0.72017626691846248</c:v>
                </c:pt>
                <c:pt idx="2289">
                  <c:v>0.72049102927288489</c:v>
                </c:pt>
                <c:pt idx="2290">
                  <c:v>0.72080579162730729</c:v>
                </c:pt>
                <c:pt idx="2291">
                  <c:v>0.7211205539817297</c:v>
                </c:pt>
                <c:pt idx="2292">
                  <c:v>0.7214353163361521</c:v>
                </c:pt>
                <c:pt idx="2293">
                  <c:v>0.7217500786905745</c:v>
                </c:pt>
                <c:pt idx="2294">
                  <c:v>0.72206484104499691</c:v>
                </c:pt>
                <c:pt idx="2295">
                  <c:v>0.72237960339941931</c:v>
                </c:pt>
                <c:pt idx="2296">
                  <c:v>0.72269436575384172</c:v>
                </c:pt>
                <c:pt idx="2297">
                  <c:v>0.72300912810826412</c:v>
                </c:pt>
                <c:pt idx="2298">
                  <c:v>0.72332389046268653</c:v>
                </c:pt>
                <c:pt idx="2299">
                  <c:v>0.72363865281710893</c:v>
                </c:pt>
                <c:pt idx="2300">
                  <c:v>0.72395341517153133</c:v>
                </c:pt>
                <c:pt idx="2301">
                  <c:v>0.72426817752595374</c:v>
                </c:pt>
                <c:pt idx="2302">
                  <c:v>0.72458293988037614</c:v>
                </c:pt>
                <c:pt idx="2303">
                  <c:v>0.72489770223479855</c:v>
                </c:pt>
                <c:pt idx="2304">
                  <c:v>0.72521246458922095</c:v>
                </c:pt>
                <c:pt idx="2305">
                  <c:v>0.72552722694364336</c:v>
                </c:pt>
                <c:pt idx="2306">
                  <c:v>0.72584198929806576</c:v>
                </c:pt>
                <c:pt idx="2307">
                  <c:v>0.72615675165248816</c:v>
                </c:pt>
                <c:pt idx="2308">
                  <c:v>0.72647151400691057</c:v>
                </c:pt>
                <c:pt idx="2309">
                  <c:v>0.72678627636133297</c:v>
                </c:pt>
                <c:pt idx="2310">
                  <c:v>0.72710103871575538</c:v>
                </c:pt>
                <c:pt idx="2311">
                  <c:v>0.72741580107017778</c:v>
                </c:pt>
                <c:pt idx="2312">
                  <c:v>0.72773056342460019</c:v>
                </c:pt>
                <c:pt idx="2313">
                  <c:v>0.72804532577902259</c:v>
                </c:pt>
                <c:pt idx="2314">
                  <c:v>0.72836008813344499</c:v>
                </c:pt>
                <c:pt idx="2315">
                  <c:v>0.7286748504878674</c:v>
                </c:pt>
                <c:pt idx="2316">
                  <c:v>0.7289896128422898</c:v>
                </c:pt>
                <c:pt idx="2317">
                  <c:v>0.72930437519671221</c:v>
                </c:pt>
                <c:pt idx="2318">
                  <c:v>0.72961913755113461</c:v>
                </c:pt>
                <c:pt idx="2319">
                  <c:v>0.72993389990555702</c:v>
                </c:pt>
                <c:pt idx="2320">
                  <c:v>0.73024866225997942</c:v>
                </c:pt>
                <c:pt idx="2321">
                  <c:v>0.73056342461440182</c:v>
                </c:pt>
                <c:pt idx="2322">
                  <c:v>0.73087818696882423</c:v>
                </c:pt>
                <c:pt idx="2323">
                  <c:v>0.73119294932324663</c:v>
                </c:pt>
                <c:pt idx="2324">
                  <c:v>0.73150771167766904</c:v>
                </c:pt>
                <c:pt idx="2325">
                  <c:v>0.73182247403209144</c:v>
                </c:pt>
                <c:pt idx="2326">
                  <c:v>0.73213723638651385</c:v>
                </c:pt>
                <c:pt idx="2327">
                  <c:v>0.73245199874093625</c:v>
                </c:pt>
                <c:pt idx="2328">
                  <c:v>0.73276676109535865</c:v>
                </c:pt>
                <c:pt idx="2329">
                  <c:v>0.73308152344978106</c:v>
                </c:pt>
                <c:pt idx="2330">
                  <c:v>0.73339628580420346</c:v>
                </c:pt>
                <c:pt idx="2331">
                  <c:v>0.73371104815862587</c:v>
                </c:pt>
                <c:pt idx="2332">
                  <c:v>0.73402581051304827</c:v>
                </c:pt>
                <c:pt idx="2333">
                  <c:v>0.73434057286747068</c:v>
                </c:pt>
                <c:pt idx="2334">
                  <c:v>0.73465533522189308</c:v>
                </c:pt>
                <c:pt idx="2335">
                  <c:v>0.73497009757631548</c:v>
                </c:pt>
                <c:pt idx="2336">
                  <c:v>0.73528485993073789</c:v>
                </c:pt>
                <c:pt idx="2337">
                  <c:v>0.73559962228516029</c:v>
                </c:pt>
                <c:pt idx="2338">
                  <c:v>0.7359143846395827</c:v>
                </c:pt>
                <c:pt idx="2339">
                  <c:v>0.7362291469940051</c:v>
                </c:pt>
                <c:pt idx="2340">
                  <c:v>0.73654390934842751</c:v>
                </c:pt>
                <c:pt idx="2341">
                  <c:v>0.73685867170284991</c:v>
                </c:pt>
                <c:pt idx="2342">
                  <c:v>0.73717343405727231</c:v>
                </c:pt>
                <c:pt idx="2343">
                  <c:v>0.73748819641169472</c:v>
                </c:pt>
                <c:pt idx="2344">
                  <c:v>0.73780295876611712</c:v>
                </c:pt>
                <c:pt idx="2345">
                  <c:v>0.73811772112053953</c:v>
                </c:pt>
                <c:pt idx="2346">
                  <c:v>0.73843248347496193</c:v>
                </c:pt>
                <c:pt idx="2347">
                  <c:v>0.73874724582938434</c:v>
                </c:pt>
                <c:pt idx="2348">
                  <c:v>0.73906200818380674</c:v>
                </c:pt>
                <c:pt idx="2349">
                  <c:v>0.73937677053822914</c:v>
                </c:pt>
                <c:pt idx="2350">
                  <c:v>0.73969153289265155</c:v>
                </c:pt>
                <c:pt idx="2351">
                  <c:v>0.74000629524707395</c:v>
                </c:pt>
                <c:pt idx="2352">
                  <c:v>0.74032105760149636</c:v>
                </c:pt>
                <c:pt idx="2353">
                  <c:v>0.74063581995591876</c:v>
                </c:pt>
                <c:pt idx="2354">
                  <c:v>0.74095058231034117</c:v>
                </c:pt>
                <c:pt idx="2355">
                  <c:v>0.74126534466476357</c:v>
                </c:pt>
                <c:pt idx="2356">
                  <c:v>0.74158010701918597</c:v>
                </c:pt>
                <c:pt idx="2357">
                  <c:v>0.74189486937360838</c:v>
                </c:pt>
                <c:pt idx="2358">
                  <c:v>0.74220963172803078</c:v>
                </c:pt>
                <c:pt idx="2359">
                  <c:v>0.74252439408245319</c:v>
                </c:pt>
                <c:pt idx="2360">
                  <c:v>0.74283915643687559</c:v>
                </c:pt>
                <c:pt idx="2361">
                  <c:v>0.743153918791298</c:v>
                </c:pt>
                <c:pt idx="2362">
                  <c:v>0.7434686811457204</c:v>
                </c:pt>
                <c:pt idx="2363">
                  <c:v>0.7437834435001428</c:v>
                </c:pt>
                <c:pt idx="2364">
                  <c:v>0.74409820585456521</c:v>
                </c:pt>
                <c:pt idx="2365">
                  <c:v>0.74441296820898761</c:v>
                </c:pt>
                <c:pt idx="2366">
                  <c:v>0.74472773056341002</c:v>
                </c:pt>
                <c:pt idx="2367">
                  <c:v>0.74504249291783242</c:v>
                </c:pt>
                <c:pt idx="2368">
                  <c:v>0.74535725527225483</c:v>
                </c:pt>
                <c:pt idx="2369">
                  <c:v>0.74567201762667723</c:v>
                </c:pt>
                <c:pt idx="2370">
                  <c:v>0.74598677998109963</c:v>
                </c:pt>
                <c:pt idx="2371">
                  <c:v>0.74630154233552204</c:v>
                </c:pt>
                <c:pt idx="2372">
                  <c:v>0.74661630468994444</c:v>
                </c:pt>
                <c:pt idx="2373">
                  <c:v>0.74693106704436685</c:v>
                </c:pt>
                <c:pt idx="2374">
                  <c:v>0.74724582939878925</c:v>
                </c:pt>
                <c:pt idx="2375">
                  <c:v>0.74756059175321166</c:v>
                </c:pt>
                <c:pt idx="2376">
                  <c:v>0.74787535410763406</c:v>
                </c:pt>
                <c:pt idx="2377">
                  <c:v>0.74819011646205646</c:v>
                </c:pt>
                <c:pt idx="2378">
                  <c:v>0.74850487881647887</c:v>
                </c:pt>
                <c:pt idx="2379">
                  <c:v>0.74881964117090127</c:v>
                </c:pt>
                <c:pt idx="2380">
                  <c:v>0.74913440352532368</c:v>
                </c:pt>
                <c:pt idx="2381">
                  <c:v>0.74944916587974608</c:v>
                </c:pt>
                <c:pt idx="2382">
                  <c:v>0.74976392823416849</c:v>
                </c:pt>
                <c:pt idx="2383">
                  <c:v>0.75007869058859089</c:v>
                </c:pt>
                <c:pt idx="2384">
                  <c:v>0.75039345294301329</c:v>
                </c:pt>
                <c:pt idx="2385">
                  <c:v>0.7507082152974357</c:v>
                </c:pt>
                <c:pt idx="2386">
                  <c:v>0.7510229776518581</c:v>
                </c:pt>
                <c:pt idx="2387">
                  <c:v>0.75133774000628051</c:v>
                </c:pt>
                <c:pt idx="2388">
                  <c:v>0.75165250236070291</c:v>
                </c:pt>
                <c:pt idx="2389">
                  <c:v>0.75196726471512532</c:v>
                </c:pt>
                <c:pt idx="2390">
                  <c:v>0.75228202706954772</c:v>
                </c:pt>
                <c:pt idx="2391">
                  <c:v>0.75259678942397013</c:v>
                </c:pt>
                <c:pt idx="2392">
                  <c:v>0.75291155177839253</c:v>
                </c:pt>
                <c:pt idx="2393">
                  <c:v>0.75322631413281493</c:v>
                </c:pt>
                <c:pt idx="2394">
                  <c:v>0.75354107648723734</c:v>
                </c:pt>
                <c:pt idx="2395">
                  <c:v>0.75385583884165974</c:v>
                </c:pt>
                <c:pt idx="2396">
                  <c:v>0.75417060119608215</c:v>
                </c:pt>
                <c:pt idx="2397">
                  <c:v>0.75448536355050455</c:v>
                </c:pt>
                <c:pt idx="2398">
                  <c:v>0.75480012590492696</c:v>
                </c:pt>
                <c:pt idx="2399">
                  <c:v>0.75511488825934936</c:v>
                </c:pt>
                <c:pt idx="2400">
                  <c:v>0.75542965061377176</c:v>
                </c:pt>
                <c:pt idx="2401">
                  <c:v>0.75574441296819417</c:v>
                </c:pt>
                <c:pt idx="2402">
                  <c:v>0.75605917532261657</c:v>
                </c:pt>
                <c:pt idx="2403">
                  <c:v>0.75637393767703898</c:v>
                </c:pt>
                <c:pt idx="2404">
                  <c:v>0.75668870003146138</c:v>
                </c:pt>
                <c:pt idx="2405">
                  <c:v>0.75700346238588379</c:v>
                </c:pt>
                <c:pt idx="2406">
                  <c:v>0.75731822474030619</c:v>
                </c:pt>
                <c:pt idx="2407">
                  <c:v>0.75763298709472859</c:v>
                </c:pt>
                <c:pt idx="2408">
                  <c:v>0.757947749449151</c:v>
                </c:pt>
                <c:pt idx="2409">
                  <c:v>0.7582625118035734</c:v>
                </c:pt>
                <c:pt idx="2410">
                  <c:v>0.75857727415799581</c:v>
                </c:pt>
                <c:pt idx="2411">
                  <c:v>0.75889203651241821</c:v>
                </c:pt>
                <c:pt idx="2412">
                  <c:v>0.75920679886684062</c:v>
                </c:pt>
                <c:pt idx="2413">
                  <c:v>0.75952156122126302</c:v>
                </c:pt>
                <c:pt idx="2414">
                  <c:v>0.75983632357568542</c:v>
                </c:pt>
                <c:pt idx="2415">
                  <c:v>0.76015108593010783</c:v>
                </c:pt>
                <c:pt idx="2416">
                  <c:v>0.76046584828453023</c:v>
                </c:pt>
                <c:pt idx="2417">
                  <c:v>0.76078061063895264</c:v>
                </c:pt>
                <c:pt idx="2418">
                  <c:v>0.76109537299337504</c:v>
                </c:pt>
                <c:pt idx="2419">
                  <c:v>0.76141013534779745</c:v>
                </c:pt>
                <c:pt idx="2420">
                  <c:v>0.76172489770221985</c:v>
                </c:pt>
                <c:pt idx="2421">
                  <c:v>0.76203966005664225</c:v>
                </c:pt>
                <c:pt idx="2422">
                  <c:v>0.76235442241106466</c:v>
                </c:pt>
                <c:pt idx="2423">
                  <c:v>0.76266918476548706</c:v>
                </c:pt>
                <c:pt idx="2424">
                  <c:v>0.76298394711990947</c:v>
                </c:pt>
                <c:pt idx="2425">
                  <c:v>0.76329870947433187</c:v>
                </c:pt>
                <c:pt idx="2426">
                  <c:v>0.76361347182875428</c:v>
                </c:pt>
                <c:pt idx="2427">
                  <c:v>0.76392823418317668</c:v>
                </c:pt>
                <c:pt idx="2428">
                  <c:v>0.76424299653759908</c:v>
                </c:pt>
                <c:pt idx="2429">
                  <c:v>0.76455775889202149</c:v>
                </c:pt>
                <c:pt idx="2430">
                  <c:v>0.76487252124644389</c:v>
                </c:pt>
                <c:pt idx="2431">
                  <c:v>0.7651872836008663</c:v>
                </c:pt>
                <c:pt idx="2432">
                  <c:v>0.7655020459552887</c:v>
                </c:pt>
                <c:pt idx="2433">
                  <c:v>0.76581680830971111</c:v>
                </c:pt>
                <c:pt idx="2434">
                  <c:v>0.76613157066413351</c:v>
                </c:pt>
                <c:pt idx="2435">
                  <c:v>0.76644633301855591</c:v>
                </c:pt>
                <c:pt idx="2436">
                  <c:v>0.76676109537297832</c:v>
                </c:pt>
                <c:pt idx="2437">
                  <c:v>0.76707585772740072</c:v>
                </c:pt>
                <c:pt idx="2438">
                  <c:v>0.76739062008182313</c:v>
                </c:pt>
                <c:pt idx="2439">
                  <c:v>0.76770538243624553</c:v>
                </c:pt>
                <c:pt idx="2440">
                  <c:v>0.76802014479066794</c:v>
                </c:pt>
                <c:pt idx="2441">
                  <c:v>0.76833490714509034</c:v>
                </c:pt>
                <c:pt idx="2442">
                  <c:v>0.76864966949951274</c:v>
                </c:pt>
                <c:pt idx="2443">
                  <c:v>0.76896443185393515</c:v>
                </c:pt>
                <c:pt idx="2444">
                  <c:v>0.76927919420835755</c:v>
                </c:pt>
                <c:pt idx="2445">
                  <c:v>0.76959395656277996</c:v>
                </c:pt>
                <c:pt idx="2446">
                  <c:v>0.76990871891720236</c:v>
                </c:pt>
                <c:pt idx="2447">
                  <c:v>0.77022348127162477</c:v>
                </c:pt>
                <c:pt idx="2448">
                  <c:v>0.77053824362604717</c:v>
                </c:pt>
                <c:pt idx="2449">
                  <c:v>0.77085300598046957</c:v>
                </c:pt>
                <c:pt idx="2450">
                  <c:v>0.77116776833489198</c:v>
                </c:pt>
                <c:pt idx="2451">
                  <c:v>0.77148253068931438</c:v>
                </c:pt>
                <c:pt idx="2452">
                  <c:v>0.77179729304373679</c:v>
                </c:pt>
                <c:pt idx="2453">
                  <c:v>0.77211205539815919</c:v>
                </c:pt>
                <c:pt idx="2454">
                  <c:v>0.7724268177525816</c:v>
                </c:pt>
                <c:pt idx="2455">
                  <c:v>0.772741580107004</c:v>
                </c:pt>
                <c:pt idx="2456">
                  <c:v>0.7730563424614264</c:v>
                </c:pt>
                <c:pt idx="2457">
                  <c:v>0.77337110481584881</c:v>
                </c:pt>
                <c:pt idx="2458">
                  <c:v>0.77368586717027121</c:v>
                </c:pt>
                <c:pt idx="2459">
                  <c:v>0.77400062952469362</c:v>
                </c:pt>
                <c:pt idx="2460">
                  <c:v>0.77431539187911602</c:v>
                </c:pt>
                <c:pt idx="2461">
                  <c:v>0.77463015423353843</c:v>
                </c:pt>
                <c:pt idx="2462">
                  <c:v>0.77494491658796083</c:v>
                </c:pt>
                <c:pt idx="2463">
                  <c:v>0.77525967894238323</c:v>
                </c:pt>
                <c:pt idx="2464">
                  <c:v>0.77557444129680564</c:v>
                </c:pt>
                <c:pt idx="2465">
                  <c:v>0.77588920365122804</c:v>
                </c:pt>
                <c:pt idx="2466">
                  <c:v>0.77620396600565045</c:v>
                </c:pt>
                <c:pt idx="2467">
                  <c:v>0.77651872836007285</c:v>
                </c:pt>
                <c:pt idx="2468">
                  <c:v>0.77683349071449526</c:v>
                </c:pt>
                <c:pt idx="2469">
                  <c:v>0.77714825306891766</c:v>
                </c:pt>
                <c:pt idx="2470">
                  <c:v>0.77746301542334006</c:v>
                </c:pt>
                <c:pt idx="2471">
                  <c:v>0.77777777777776247</c:v>
                </c:pt>
                <c:pt idx="2472">
                  <c:v>0.77809254013218487</c:v>
                </c:pt>
                <c:pt idx="2473">
                  <c:v>0.77840730248660728</c:v>
                </c:pt>
                <c:pt idx="2474">
                  <c:v>0.77872206484102968</c:v>
                </c:pt>
                <c:pt idx="2475">
                  <c:v>0.77903682719545209</c:v>
                </c:pt>
                <c:pt idx="2476">
                  <c:v>0.77935158954987449</c:v>
                </c:pt>
                <c:pt idx="2477">
                  <c:v>0.77966635190429689</c:v>
                </c:pt>
                <c:pt idx="2478">
                  <c:v>0.7799811142587193</c:v>
                </c:pt>
                <c:pt idx="2479">
                  <c:v>0.7802958766131417</c:v>
                </c:pt>
                <c:pt idx="2480">
                  <c:v>0.78061063896756411</c:v>
                </c:pt>
                <c:pt idx="2481">
                  <c:v>0.78092540132198651</c:v>
                </c:pt>
                <c:pt idx="2482">
                  <c:v>0.78124016367640892</c:v>
                </c:pt>
                <c:pt idx="2483">
                  <c:v>0.78155492603083132</c:v>
                </c:pt>
                <c:pt idx="2484">
                  <c:v>0.78186968838525372</c:v>
                </c:pt>
                <c:pt idx="2485">
                  <c:v>0.78218445073967613</c:v>
                </c:pt>
                <c:pt idx="2486">
                  <c:v>0.78249921309409853</c:v>
                </c:pt>
                <c:pt idx="2487">
                  <c:v>0.78281397544852094</c:v>
                </c:pt>
                <c:pt idx="2488">
                  <c:v>0.78312873780294334</c:v>
                </c:pt>
                <c:pt idx="2489">
                  <c:v>0.78344350015736575</c:v>
                </c:pt>
                <c:pt idx="2490">
                  <c:v>0.78375826251178815</c:v>
                </c:pt>
                <c:pt idx="2491">
                  <c:v>0.78407302486621056</c:v>
                </c:pt>
                <c:pt idx="2492">
                  <c:v>0.78438778722063296</c:v>
                </c:pt>
                <c:pt idx="2493">
                  <c:v>0.78470254957505536</c:v>
                </c:pt>
                <c:pt idx="2494">
                  <c:v>0.78501731192947777</c:v>
                </c:pt>
                <c:pt idx="2495">
                  <c:v>0.78533207428390017</c:v>
                </c:pt>
                <c:pt idx="2496">
                  <c:v>0.78564683663832258</c:v>
                </c:pt>
                <c:pt idx="2497">
                  <c:v>0.78596159899274498</c:v>
                </c:pt>
                <c:pt idx="2498">
                  <c:v>0.78627636134716739</c:v>
                </c:pt>
                <c:pt idx="2499">
                  <c:v>0.78659112370158979</c:v>
                </c:pt>
                <c:pt idx="2500">
                  <c:v>0.78690588605601219</c:v>
                </c:pt>
                <c:pt idx="2501">
                  <c:v>0.7872206484104346</c:v>
                </c:pt>
                <c:pt idx="2502">
                  <c:v>0.787535410764857</c:v>
                </c:pt>
                <c:pt idx="2503">
                  <c:v>0.78785017311927941</c:v>
                </c:pt>
                <c:pt idx="2504">
                  <c:v>0.78816493547370181</c:v>
                </c:pt>
                <c:pt idx="2505">
                  <c:v>0.78847969782812422</c:v>
                </c:pt>
                <c:pt idx="2506">
                  <c:v>0.78879446018254662</c:v>
                </c:pt>
                <c:pt idx="2507">
                  <c:v>0.78910922253696902</c:v>
                </c:pt>
                <c:pt idx="2508">
                  <c:v>0.78942398489139143</c:v>
                </c:pt>
                <c:pt idx="2509">
                  <c:v>0.78973874724581383</c:v>
                </c:pt>
                <c:pt idx="2510">
                  <c:v>0.79005350960023624</c:v>
                </c:pt>
                <c:pt idx="2511">
                  <c:v>0.79036827195465864</c:v>
                </c:pt>
                <c:pt idx="2512">
                  <c:v>0.79068303430908105</c:v>
                </c:pt>
                <c:pt idx="2513">
                  <c:v>0.79099779666350345</c:v>
                </c:pt>
                <c:pt idx="2514">
                  <c:v>0.79131255901792585</c:v>
                </c:pt>
                <c:pt idx="2515">
                  <c:v>0.79162732137234826</c:v>
                </c:pt>
                <c:pt idx="2516">
                  <c:v>0.79194208372677066</c:v>
                </c:pt>
                <c:pt idx="2517">
                  <c:v>0.79225684608119307</c:v>
                </c:pt>
                <c:pt idx="2518">
                  <c:v>0.79257160843561547</c:v>
                </c:pt>
                <c:pt idx="2519">
                  <c:v>0.79288637079003788</c:v>
                </c:pt>
                <c:pt idx="2520">
                  <c:v>0.79320113314446028</c:v>
                </c:pt>
                <c:pt idx="2521">
                  <c:v>0.79351589549888268</c:v>
                </c:pt>
                <c:pt idx="2522">
                  <c:v>0.79383065785330509</c:v>
                </c:pt>
                <c:pt idx="2523">
                  <c:v>0.79414542020772749</c:v>
                </c:pt>
                <c:pt idx="2524">
                  <c:v>0.7944601825621499</c:v>
                </c:pt>
                <c:pt idx="2525">
                  <c:v>0.7947749449165723</c:v>
                </c:pt>
                <c:pt idx="2526">
                  <c:v>0.79508970727099471</c:v>
                </c:pt>
                <c:pt idx="2527">
                  <c:v>0.79540446962541711</c:v>
                </c:pt>
                <c:pt idx="2528">
                  <c:v>0.79571923197983951</c:v>
                </c:pt>
                <c:pt idx="2529">
                  <c:v>0.79603399433426192</c:v>
                </c:pt>
                <c:pt idx="2530">
                  <c:v>0.79634875668868432</c:v>
                </c:pt>
                <c:pt idx="2531">
                  <c:v>0.79666351904310673</c:v>
                </c:pt>
                <c:pt idx="2532">
                  <c:v>0.79697828139752913</c:v>
                </c:pt>
                <c:pt idx="2533">
                  <c:v>0.79729304375195154</c:v>
                </c:pt>
                <c:pt idx="2534">
                  <c:v>0.79760780610637394</c:v>
                </c:pt>
                <c:pt idx="2535">
                  <c:v>0.79792256846079634</c:v>
                </c:pt>
                <c:pt idx="2536">
                  <c:v>0.79823733081521875</c:v>
                </c:pt>
                <c:pt idx="2537">
                  <c:v>0.79855209316964115</c:v>
                </c:pt>
                <c:pt idx="2538">
                  <c:v>0.79886685552406356</c:v>
                </c:pt>
                <c:pt idx="2539">
                  <c:v>0.79918161787848596</c:v>
                </c:pt>
                <c:pt idx="2540">
                  <c:v>0.79949638023290837</c:v>
                </c:pt>
                <c:pt idx="2541">
                  <c:v>0.79981114258733077</c:v>
                </c:pt>
                <c:pt idx="2542">
                  <c:v>0.80012590494175317</c:v>
                </c:pt>
                <c:pt idx="2543">
                  <c:v>0.80044066729617558</c:v>
                </c:pt>
                <c:pt idx="2544">
                  <c:v>0.80075542965059798</c:v>
                </c:pt>
                <c:pt idx="2545">
                  <c:v>0.80107019200502039</c:v>
                </c:pt>
                <c:pt idx="2546">
                  <c:v>0.80138495435944279</c:v>
                </c:pt>
                <c:pt idx="2547">
                  <c:v>0.8016997167138652</c:v>
                </c:pt>
                <c:pt idx="2548">
                  <c:v>0.8020144790682876</c:v>
                </c:pt>
                <c:pt idx="2549">
                  <c:v>0.80232924142271</c:v>
                </c:pt>
                <c:pt idx="2550">
                  <c:v>0.80264400377713241</c:v>
                </c:pt>
                <c:pt idx="2551">
                  <c:v>0.80295876613155481</c:v>
                </c:pt>
                <c:pt idx="2552">
                  <c:v>0.80327352848597722</c:v>
                </c:pt>
                <c:pt idx="2553">
                  <c:v>0.80358829084039962</c:v>
                </c:pt>
                <c:pt idx="2554">
                  <c:v>0.80390305319482203</c:v>
                </c:pt>
                <c:pt idx="2555">
                  <c:v>0.80421781554924443</c:v>
                </c:pt>
                <c:pt idx="2556">
                  <c:v>0.80453257790366683</c:v>
                </c:pt>
                <c:pt idx="2557">
                  <c:v>0.80484734025808924</c:v>
                </c:pt>
                <c:pt idx="2558">
                  <c:v>0.80516210261251164</c:v>
                </c:pt>
                <c:pt idx="2559">
                  <c:v>0.80547686496693405</c:v>
                </c:pt>
                <c:pt idx="2560">
                  <c:v>0.80579162732135645</c:v>
                </c:pt>
                <c:pt idx="2561">
                  <c:v>0.80610638967577886</c:v>
                </c:pt>
                <c:pt idx="2562">
                  <c:v>0.80642115203020126</c:v>
                </c:pt>
                <c:pt idx="2563">
                  <c:v>0.80673591438462366</c:v>
                </c:pt>
                <c:pt idx="2564">
                  <c:v>0.80705067673904607</c:v>
                </c:pt>
                <c:pt idx="2565">
                  <c:v>0.80736543909346847</c:v>
                </c:pt>
                <c:pt idx="2566">
                  <c:v>0.80768020144789088</c:v>
                </c:pt>
                <c:pt idx="2567">
                  <c:v>0.80799496380231328</c:v>
                </c:pt>
                <c:pt idx="2568">
                  <c:v>0.80830972615673569</c:v>
                </c:pt>
                <c:pt idx="2569">
                  <c:v>0.80862448851115809</c:v>
                </c:pt>
                <c:pt idx="2570">
                  <c:v>0.80893925086558049</c:v>
                </c:pt>
                <c:pt idx="2571">
                  <c:v>0.8092540132200029</c:v>
                </c:pt>
                <c:pt idx="2572">
                  <c:v>0.8095687755744253</c:v>
                </c:pt>
                <c:pt idx="2573">
                  <c:v>0.80988353792884771</c:v>
                </c:pt>
                <c:pt idx="2574">
                  <c:v>0.81019830028327011</c:v>
                </c:pt>
                <c:pt idx="2575">
                  <c:v>0.81051306263769252</c:v>
                </c:pt>
                <c:pt idx="2576">
                  <c:v>0.81082782499211492</c:v>
                </c:pt>
                <c:pt idx="2577">
                  <c:v>0.81114258734653732</c:v>
                </c:pt>
                <c:pt idx="2578">
                  <c:v>0.81145734970095973</c:v>
                </c:pt>
                <c:pt idx="2579">
                  <c:v>0.81177211205538213</c:v>
                </c:pt>
                <c:pt idx="2580">
                  <c:v>0.81208687440980454</c:v>
                </c:pt>
                <c:pt idx="2581">
                  <c:v>0.81240163676422694</c:v>
                </c:pt>
                <c:pt idx="2582">
                  <c:v>0.81271639911864935</c:v>
                </c:pt>
                <c:pt idx="2583">
                  <c:v>0.81303116147307175</c:v>
                </c:pt>
                <c:pt idx="2584">
                  <c:v>0.81334592382749415</c:v>
                </c:pt>
                <c:pt idx="2585">
                  <c:v>0.81366068618191656</c:v>
                </c:pt>
                <c:pt idx="2586">
                  <c:v>0.81397544853633896</c:v>
                </c:pt>
                <c:pt idx="2587">
                  <c:v>0.81429021089076137</c:v>
                </c:pt>
                <c:pt idx="2588">
                  <c:v>0.81460497324518377</c:v>
                </c:pt>
                <c:pt idx="2589">
                  <c:v>0.81491973559960618</c:v>
                </c:pt>
                <c:pt idx="2590">
                  <c:v>0.81523449795402858</c:v>
                </c:pt>
                <c:pt idx="2591">
                  <c:v>0.81554926030845099</c:v>
                </c:pt>
                <c:pt idx="2592">
                  <c:v>0.81586402266287339</c:v>
                </c:pt>
                <c:pt idx="2593">
                  <c:v>0.81617878501729579</c:v>
                </c:pt>
                <c:pt idx="2594">
                  <c:v>0.8164935473717182</c:v>
                </c:pt>
                <c:pt idx="2595">
                  <c:v>0.8168083097261406</c:v>
                </c:pt>
                <c:pt idx="2596">
                  <c:v>0.81712307208056301</c:v>
                </c:pt>
                <c:pt idx="2597">
                  <c:v>0.81743783443498541</c:v>
                </c:pt>
                <c:pt idx="2598">
                  <c:v>0.81775259678940782</c:v>
                </c:pt>
                <c:pt idx="2599">
                  <c:v>0.81806735914383022</c:v>
                </c:pt>
                <c:pt idx="2600">
                  <c:v>0.81838212149825262</c:v>
                </c:pt>
                <c:pt idx="2601">
                  <c:v>0.81869688385267503</c:v>
                </c:pt>
                <c:pt idx="2602">
                  <c:v>0.81901164620709743</c:v>
                </c:pt>
                <c:pt idx="2603">
                  <c:v>0.81932640856151984</c:v>
                </c:pt>
                <c:pt idx="2604">
                  <c:v>0.81964117091594224</c:v>
                </c:pt>
                <c:pt idx="2605">
                  <c:v>0.81995593327036465</c:v>
                </c:pt>
                <c:pt idx="2606">
                  <c:v>0.82027069562478705</c:v>
                </c:pt>
                <c:pt idx="2607">
                  <c:v>0.82058545797920945</c:v>
                </c:pt>
                <c:pt idx="2608">
                  <c:v>0.82090022033363186</c:v>
                </c:pt>
                <c:pt idx="2609">
                  <c:v>0.82121498268805426</c:v>
                </c:pt>
                <c:pt idx="2610">
                  <c:v>0.82152974504247667</c:v>
                </c:pt>
                <c:pt idx="2611">
                  <c:v>0.82184450739689907</c:v>
                </c:pt>
                <c:pt idx="2612">
                  <c:v>0.82215926975132148</c:v>
                </c:pt>
                <c:pt idx="2613">
                  <c:v>0.82247403210574388</c:v>
                </c:pt>
                <c:pt idx="2614">
                  <c:v>0.82278879446016628</c:v>
                </c:pt>
                <c:pt idx="2615">
                  <c:v>0.82310355681458869</c:v>
                </c:pt>
                <c:pt idx="2616">
                  <c:v>0.82341831916901109</c:v>
                </c:pt>
                <c:pt idx="2617">
                  <c:v>0.8237330815234335</c:v>
                </c:pt>
                <c:pt idx="2618">
                  <c:v>0.8240478438778559</c:v>
                </c:pt>
                <c:pt idx="2619">
                  <c:v>0.82436260623227831</c:v>
                </c:pt>
                <c:pt idx="2620">
                  <c:v>0.82467736858670071</c:v>
                </c:pt>
                <c:pt idx="2621">
                  <c:v>0.82499213094112311</c:v>
                </c:pt>
                <c:pt idx="2622">
                  <c:v>0.82530689329554552</c:v>
                </c:pt>
                <c:pt idx="2623">
                  <c:v>0.82562165564996792</c:v>
                </c:pt>
                <c:pt idx="2624">
                  <c:v>0.82593641800439033</c:v>
                </c:pt>
                <c:pt idx="2625">
                  <c:v>0.82625118035881273</c:v>
                </c:pt>
                <c:pt idx="2626">
                  <c:v>0.82656594271323514</c:v>
                </c:pt>
                <c:pt idx="2627">
                  <c:v>0.82688070506765754</c:v>
                </c:pt>
                <c:pt idx="2628">
                  <c:v>0.82719546742207994</c:v>
                </c:pt>
                <c:pt idx="2629">
                  <c:v>0.82751022977650235</c:v>
                </c:pt>
                <c:pt idx="2630">
                  <c:v>0.82782499213092475</c:v>
                </c:pt>
                <c:pt idx="2631">
                  <c:v>0.82813975448534716</c:v>
                </c:pt>
                <c:pt idx="2632">
                  <c:v>0.82845451683976956</c:v>
                </c:pt>
                <c:pt idx="2633">
                  <c:v>0.82876927919419197</c:v>
                </c:pt>
                <c:pt idx="2634">
                  <c:v>0.82908404154861437</c:v>
                </c:pt>
                <c:pt idx="2635">
                  <c:v>0.82939880390303677</c:v>
                </c:pt>
                <c:pt idx="2636">
                  <c:v>0.82971356625745918</c:v>
                </c:pt>
                <c:pt idx="2637">
                  <c:v>0.83002832861188158</c:v>
                </c:pt>
                <c:pt idx="2638">
                  <c:v>0.83034309096630399</c:v>
                </c:pt>
                <c:pt idx="2639">
                  <c:v>0.83065785332072639</c:v>
                </c:pt>
                <c:pt idx="2640">
                  <c:v>0.8309726156751488</c:v>
                </c:pt>
                <c:pt idx="2641">
                  <c:v>0.8312873780295712</c:v>
                </c:pt>
                <c:pt idx="2642">
                  <c:v>0.8316021403839936</c:v>
                </c:pt>
                <c:pt idx="2643">
                  <c:v>0.83191690273841601</c:v>
                </c:pt>
                <c:pt idx="2644">
                  <c:v>0.83223166509283841</c:v>
                </c:pt>
                <c:pt idx="2645">
                  <c:v>0.83254642744726082</c:v>
                </c:pt>
                <c:pt idx="2646">
                  <c:v>0.83286118980168322</c:v>
                </c:pt>
                <c:pt idx="2647">
                  <c:v>0.83317595215610563</c:v>
                </c:pt>
                <c:pt idx="2648">
                  <c:v>0.83349071451052803</c:v>
                </c:pt>
                <c:pt idx="2649">
                  <c:v>0.83380547686495043</c:v>
                </c:pt>
                <c:pt idx="2650">
                  <c:v>0.83412023921937284</c:v>
                </c:pt>
                <c:pt idx="2651">
                  <c:v>0.83443500157379524</c:v>
                </c:pt>
                <c:pt idx="2652">
                  <c:v>0.83474976392821765</c:v>
                </c:pt>
                <c:pt idx="2653">
                  <c:v>0.83506452628264005</c:v>
                </c:pt>
                <c:pt idx="2654">
                  <c:v>0.83537928863706246</c:v>
                </c:pt>
                <c:pt idx="2655">
                  <c:v>0.83569405099148486</c:v>
                </c:pt>
                <c:pt idx="2656">
                  <c:v>0.83600881334590726</c:v>
                </c:pt>
                <c:pt idx="2657">
                  <c:v>0.83632357570032967</c:v>
                </c:pt>
                <c:pt idx="2658">
                  <c:v>0.83663833805475207</c:v>
                </c:pt>
                <c:pt idx="2659">
                  <c:v>0.83695310040917448</c:v>
                </c:pt>
                <c:pt idx="2660">
                  <c:v>0.83726786276359688</c:v>
                </c:pt>
                <c:pt idx="2661">
                  <c:v>0.83758262511801929</c:v>
                </c:pt>
                <c:pt idx="2662">
                  <c:v>0.83789738747244169</c:v>
                </c:pt>
                <c:pt idx="2663">
                  <c:v>0.83821214982686409</c:v>
                </c:pt>
                <c:pt idx="2664">
                  <c:v>0.8385269121812865</c:v>
                </c:pt>
                <c:pt idx="2665">
                  <c:v>0.8388416745357089</c:v>
                </c:pt>
                <c:pt idx="2666">
                  <c:v>0.83915643689013131</c:v>
                </c:pt>
                <c:pt idx="2667">
                  <c:v>0.83947119924455371</c:v>
                </c:pt>
                <c:pt idx="2668">
                  <c:v>0.83978596159897612</c:v>
                </c:pt>
                <c:pt idx="2669">
                  <c:v>0.84010072395339852</c:v>
                </c:pt>
                <c:pt idx="2670">
                  <c:v>0.84041548630782092</c:v>
                </c:pt>
                <c:pt idx="2671">
                  <c:v>0.84073024866224333</c:v>
                </c:pt>
                <c:pt idx="2672">
                  <c:v>0.84104501101666573</c:v>
                </c:pt>
                <c:pt idx="2673">
                  <c:v>0.84135977337108814</c:v>
                </c:pt>
                <c:pt idx="2674">
                  <c:v>0.84167453572551054</c:v>
                </c:pt>
                <c:pt idx="2675">
                  <c:v>0.84198929807993295</c:v>
                </c:pt>
                <c:pt idx="2676">
                  <c:v>0.84230406043435535</c:v>
                </c:pt>
                <c:pt idx="2677">
                  <c:v>0.84261882278877775</c:v>
                </c:pt>
                <c:pt idx="2678">
                  <c:v>0.84293358514320016</c:v>
                </c:pt>
                <c:pt idx="2679">
                  <c:v>0.84324834749762256</c:v>
                </c:pt>
                <c:pt idx="2680">
                  <c:v>0.84356310985204497</c:v>
                </c:pt>
                <c:pt idx="2681">
                  <c:v>0.84387787220646737</c:v>
                </c:pt>
                <c:pt idx="2682">
                  <c:v>0.84419263456088978</c:v>
                </c:pt>
                <c:pt idx="2683">
                  <c:v>0.84450739691531218</c:v>
                </c:pt>
                <c:pt idx="2684">
                  <c:v>0.84482215926973458</c:v>
                </c:pt>
                <c:pt idx="2685">
                  <c:v>0.84513692162415699</c:v>
                </c:pt>
                <c:pt idx="2686">
                  <c:v>0.84545168397857939</c:v>
                </c:pt>
                <c:pt idx="2687">
                  <c:v>0.8457664463330018</c:v>
                </c:pt>
                <c:pt idx="2688">
                  <c:v>0.8460812086874242</c:v>
                </c:pt>
                <c:pt idx="2689">
                  <c:v>0.84639597104184661</c:v>
                </c:pt>
                <c:pt idx="2690">
                  <c:v>0.84671073339626901</c:v>
                </c:pt>
                <c:pt idx="2691">
                  <c:v>0.84702549575069142</c:v>
                </c:pt>
                <c:pt idx="2692">
                  <c:v>0.84734025810511382</c:v>
                </c:pt>
                <c:pt idx="2693">
                  <c:v>0.84765502045953622</c:v>
                </c:pt>
                <c:pt idx="2694">
                  <c:v>0.84796978281395863</c:v>
                </c:pt>
                <c:pt idx="2695">
                  <c:v>0.84828454516838103</c:v>
                </c:pt>
                <c:pt idx="2696">
                  <c:v>0.84859930752280344</c:v>
                </c:pt>
                <c:pt idx="2697">
                  <c:v>0.84891406987722584</c:v>
                </c:pt>
                <c:pt idx="2698">
                  <c:v>0.84922883223164825</c:v>
                </c:pt>
                <c:pt idx="2699">
                  <c:v>0.84954359458607065</c:v>
                </c:pt>
                <c:pt idx="2700">
                  <c:v>0.84985835694049305</c:v>
                </c:pt>
                <c:pt idx="2701">
                  <c:v>0.85017311929491546</c:v>
                </c:pt>
                <c:pt idx="2702">
                  <c:v>0.85048788164933786</c:v>
                </c:pt>
                <c:pt idx="2703">
                  <c:v>0.85080264400376027</c:v>
                </c:pt>
                <c:pt idx="2704">
                  <c:v>0.85111740635818267</c:v>
                </c:pt>
                <c:pt idx="2705">
                  <c:v>0.85143216871260508</c:v>
                </c:pt>
                <c:pt idx="2706">
                  <c:v>0.85174693106702748</c:v>
                </c:pt>
                <c:pt idx="2707">
                  <c:v>0.85206169342144988</c:v>
                </c:pt>
                <c:pt idx="2708">
                  <c:v>0.85237645577587229</c:v>
                </c:pt>
                <c:pt idx="2709">
                  <c:v>0.85269121813029469</c:v>
                </c:pt>
                <c:pt idx="2710">
                  <c:v>0.8530059804847171</c:v>
                </c:pt>
                <c:pt idx="2711">
                  <c:v>0.8533207428391395</c:v>
                </c:pt>
                <c:pt idx="2712">
                  <c:v>0.85363550519356191</c:v>
                </c:pt>
                <c:pt idx="2713">
                  <c:v>0.85395026754798431</c:v>
                </c:pt>
                <c:pt idx="2714">
                  <c:v>0.85426502990240671</c:v>
                </c:pt>
                <c:pt idx="2715">
                  <c:v>0.85457979225682912</c:v>
                </c:pt>
                <c:pt idx="2716">
                  <c:v>0.85489455461125152</c:v>
                </c:pt>
                <c:pt idx="2717">
                  <c:v>0.85520931696567393</c:v>
                </c:pt>
                <c:pt idx="2718">
                  <c:v>0.85552407932009633</c:v>
                </c:pt>
                <c:pt idx="2719">
                  <c:v>0.85583884167451874</c:v>
                </c:pt>
                <c:pt idx="2720">
                  <c:v>0.85615360402894114</c:v>
                </c:pt>
                <c:pt idx="2721">
                  <c:v>0.85646836638336354</c:v>
                </c:pt>
                <c:pt idx="2722">
                  <c:v>0.85678312873778595</c:v>
                </c:pt>
                <c:pt idx="2723">
                  <c:v>0.85709789109220835</c:v>
                </c:pt>
                <c:pt idx="2724">
                  <c:v>0.85741265344663076</c:v>
                </c:pt>
                <c:pt idx="2725">
                  <c:v>0.85772741580105316</c:v>
                </c:pt>
                <c:pt idx="2726">
                  <c:v>0.85804217815547557</c:v>
                </c:pt>
                <c:pt idx="2727">
                  <c:v>0.85835694050989797</c:v>
                </c:pt>
                <c:pt idx="2728">
                  <c:v>0.85867170286432037</c:v>
                </c:pt>
                <c:pt idx="2729">
                  <c:v>0.85898646521874278</c:v>
                </c:pt>
                <c:pt idx="2730">
                  <c:v>0.85930122757316518</c:v>
                </c:pt>
                <c:pt idx="2731">
                  <c:v>0.85961598992758759</c:v>
                </c:pt>
                <c:pt idx="2732">
                  <c:v>0.85993075228200999</c:v>
                </c:pt>
                <c:pt idx="2733">
                  <c:v>0.8602455146364324</c:v>
                </c:pt>
                <c:pt idx="2734">
                  <c:v>0.8605602769908548</c:v>
                </c:pt>
                <c:pt idx="2735">
                  <c:v>0.8608750393452772</c:v>
                </c:pt>
                <c:pt idx="2736">
                  <c:v>0.86118980169969961</c:v>
                </c:pt>
                <c:pt idx="2737">
                  <c:v>0.86150456405412201</c:v>
                </c:pt>
                <c:pt idx="2738">
                  <c:v>0.86181932640854442</c:v>
                </c:pt>
                <c:pt idx="2739">
                  <c:v>0.86213408876296682</c:v>
                </c:pt>
                <c:pt idx="2740">
                  <c:v>0.86244885111738923</c:v>
                </c:pt>
                <c:pt idx="2741">
                  <c:v>0.86276361347181163</c:v>
                </c:pt>
                <c:pt idx="2742">
                  <c:v>0.86307837582623403</c:v>
                </c:pt>
                <c:pt idx="2743">
                  <c:v>0.86339313818065644</c:v>
                </c:pt>
                <c:pt idx="2744">
                  <c:v>0.86370790053507884</c:v>
                </c:pt>
                <c:pt idx="2745">
                  <c:v>0.86402266288950125</c:v>
                </c:pt>
                <c:pt idx="2746">
                  <c:v>0.86433742524392365</c:v>
                </c:pt>
                <c:pt idx="2747">
                  <c:v>0.86465218759834606</c:v>
                </c:pt>
                <c:pt idx="2748">
                  <c:v>0.86496694995276846</c:v>
                </c:pt>
                <c:pt idx="2749">
                  <c:v>0.86528171230719086</c:v>
                </c:pt>
                <c:pt idx="2750">
                  <c:v>0.86559647466161327</c:v>
                </c:pt>
                <c:pt idx="2751">
                  <c:v>0.86591123701603567</c:v>
                </c:pt>
                <c:pt idx="2752">
                  <c:v>0.86622599937045808</c:v>
                </c:pt>
                <c:pt idx="2753">
                  <c:v>0.86654076172488048</c:v>
                </c:pt>
                <c:pt idx="2754">
                  <c:v>0.86685552407930289</c:v>
                </c:pt>
                <c:pt idx="2755">
                  <c:v>0.86717028643372529</c:v>
                </c:pt>
                <c:pt idx="2756">
                  <c:v>0.86748504878814769</c:v>
                </c:pt>
                <c:pt idx="2757">
                  <c:v>0.8677998111425701</c:v>
                </c:pt>
                <c:pt idx="2758">
                  <c:v>0.8681145734969925</c:v>
                </c:pt>
                <c:pt idx="2759">
                  <c:v>0.86842933585141491</c:v>
                </c:pt>
                <c:pt idx="2760">
                  <c:v>0.86874409820583731</c:v>
                </c:pt>
                <c:pt idx="2761">
                  <c:v>0.86905886056025972</c:v>
                </c:pt>
                <c:pt idx="2762">
                  <c:v>0.86937362291468212</c:v>
                </c:pt>
                <c:pt idx="2763">
                  <c:v>0.86968838526910452</c:v>
                </c:pt>
                <c:pt idx="2764">
                  <c:v>0.87000314762352693</c:v>
                </c:pt>
                <c:pt idx="2765">
                  <c:v>0.87031790997794933</c:v>
                </c:pt>
                <c:pt idx="2766">
                  <c:v>0.87063267233237174</c:v>
                </c:pt>
                <c:pt idx="2767">
                  <c:v>0.87094743468679414</c:v>
                </c:pt>
                <c:pt idx="2768">
                  <c:v>0.87126219704121655</c:v>
                </c:pt>
                <c:pt idx="2769">
                  <c:v>0.87157695939563895</c:v>
                </c:pt>
                <c:pt idx="2770">
                  <c:v>0.87189172175006135</c:v>
                </c:pt>
                <c:pt idx="2771">
                  <c:v>0.87220648410448376</c:v>
                </c:pt>
                <c:pt idx="2772">
                  <c:v>0.87252124645890616</c:v>
                </c:pt>
                <c:pt idx="2773">
                  <c:v>0.87283600881332857</c:v>
                </c:pt>
                <c:pt idx="2774">
                  <c:v>0.87315077116775097</c:v>
                </c:pt>
                <c:pt idx="2775">
                  <c:v>0.87346553352217338</c:v>
                </c:pt>
                <c:pt idx="2776">
                  <c:v>0.87378029587659578</c:v>
                </c:pt>
                <c:pt idx="2777">
                  <c:v>0.87409505823101818</c:v>
                </c:pt>
                <c:pt idx="2778">
                  <c:v>0.87440982058544059</c:v>
                </c:pt>
                <c:pt idx="2779">
                  <c:v>0.87472458293986299</c:v>
                </c:pt>
                <c:pt idx="2780">
                  <c:v>0.8750393452942854</c:v>
                </c:pt>
                <c:pt idx="2781">
                  <c:v>0.8753541076487078</c:v>
                </c:pt>
                <c:pt idx="2782">
                  <c:v>0.87566887000313021</c:v>
                </c:pt>
                <c:pt idx="2783">
                  <c:v>0.87598363235755261</c:v>
                </c:pt>
                <c:pt idx="2784">
                  <c:v>0.87629839471197501</c:v>
                </c:pt>
                <c:pt idx="2785">
                  <c:v>0.87661315706639742</c:v>
                </c:pt>
                <c:pt idx="2786">
                  <c:v>0.87692791942081982</c:v>
                </c:pt>
                <c:pt idx="2787">
                  <c:v>0.87724268177524223</c:v>
                </c:pt>
                <c:pt idx="2788">
                  <c:v>0.87755744412966463</c:v>
                </c:pt>
                <c:pt idx="2789">
                  <c:v>0.87787220648408704</c:v>
                </c:pt>
                <c:pt idx="2790">
                  <c:v>0.87818696883850944</c:v>
                </c:pt>
                <c:pt idx="2791">
                  <c:v>0.87850173119293185</c:v>
                </c:pt>
                <c:pt idx="2792">
                  <c:v>0.87881649354735425</c:v>
                </c:pt>
                <c:pt idx="2793">
                  <c:v>0.87913125590177665</c:v>
                </c:pt>
                <c:pt idx="2794">
                  <c:v>0.87944601825619906</c:v>
                </c:pt>
                <c:pt idx="2795">
                  <c:v>0.87976078061062146</c:v>
                </c:pt>
                <c:pt idx="2796">
                  <c:v>0.88007554296504387</c:v>
                </c:pt>
                <c:pt idx="2797">
                  <c:v>0.88039030531946627</c:v>
                </c:pt>
                <c:pt idx="2798">
                  <c:v>0.88070506767388868</c:v>
                </c:pt>
                <c:pt idx="2799">
                  <c:v>0.88101983002831108</c:v>
                </c:pt>
                <c:pt idx="2800">
                  <c:v>0.88133459238273348</c:v>
                </c:pt>
                <c:pt idx="2801">
                  <c:v>0.88164935473715589</c:v>
                </c:pt>
                <c:pt idx="2802">
                  <c:v>0.88196411709157829</c:v>
                </c:pt>
                <c:pt idx="2803">
                  <c:v>0.8822788794460007</c:v>
                </c:pt>
                <c:pt idx="2804">
                  <c:v>0.8825936418004231</c:v>
                </c:pt>
                <c:pt idx="2805">
                  <c:v>0.88290840415484551</c:v>
                </c:pt>
                <c:pt idx="2806">
                  <c:v>0.88322316650926791</c:v>
                </c:pt>
                <c:pt idx="2807">
                  <c:v>0.88353792886369031</c:v>
                </c:pt>
                <c:pt idx="2808">
                  <c:v>0.88385269121811272</c:v>
                </c:pt>
                <c:pt idx="2809">
                  <c:v>0.88416745357253512</c:v>
                </c:pt>
                <c:pt idx="2810">
                  <c:v>0.88448221592695753</c:v>
                </c:pt>
                <c:pt idx="2811">
                  <c:v>0.88479697828137993</c:v>
                </c:pt>
                <c:pt idx="2812">
                  <c:v>0.88511174063580234</c:v>
                </c:pt>
                <c:pt idx="2813">
                  <c:v>0.88542650299022474</c:v>
                </c:pt>
                <c:pt idx="2814">
                  <c:v>0.88574126534464714</c:v>
                </c:pt>
                <c:pt idx="2815">
                  <c:v>0.88605602769906955</c:v>
                </c:pt>
                <c:pt idx="2816">
                  <c:v>0.88637079005349195</c:v>
                </c:pt>
                <c:pt idx="2817">
                  <c:v>0.88668555240791436</c:v>
                </c:pt>
                <c:pt idx="2818">
                  <c:v>0.88700031476233676</c:v>
                </c:pt>
                <c:pt idx="2819">
                  <c:v>0.88731507711675917</c:v>
                </c:pt>
                <c:pt idx="2820">
                  <c:v>0.88762983947118157</c:v>
                </c:pt>
                <c:pt idx="2821">
                  <c:v>0.88794460182560397</c:v>
                </c:pt>
                <c:pt idx="2822">
                  <c:v>0.88825936418002638</c:v>
                </c:pt>
                <c:pt idx="2823">
                  <c:v>0.88857412653444878</c:v>
                </c:pt>
                <c:pt idx="2824">
                  <c:v>0.88888888888887119</c:v>
                </c:pt>
                <c:pt idx="2825">
                  <c:v>0.88920365124329359</c:v>
                </c:pt>
                <c:pt idx="2826">
                  <c:v>0.889518413597716</c:v>
                </c:pt>
                <c:pt idx="2827">
                  <c:v>0.8898331759521384</c:v>
                </c:pt>
                <c:pt idx="2828">
                  <c:v>0.8901479383065608</c:v>
                </c:pt>
                <c:pt idx="2829">
                  <c:v>0.89046270066098321</c:v>
                </c:pt>
                <c:pt idx="2830">
                  <c:v>0.89077746301540561</c:v>
                </c:pt>
                <c:pt idx="2831">
                  <c:v>0.89109222536982802</c:v>
                </c:pt>
                <c:pt idx="2832">
                  <c:v>0.89140698772425042</c:v>
                </c:pt>
                <c:pt idx="2833">
                  <c:v>0.89172175007867283</c:v>
                </c:pt>
                <c:pt idx="2834">
                  <c:v>0.89203651243309523</c:v>
                </c:pt>
                <c:pt idx="2835">
                  <c:v>0.89235127478751763</c:v>
                </c:pt>
                <c:pt idx="2836">
                  <c:v>0.89266603714194004</c:v>
                </c:pt>
                <c:pt idx="2837">
                  <c:v>0.89298079949636244</c:v>
                </c:pt>
                <c:pt idx="2838">
                  <c:v>0.89329556185078485</c:v>
                </c:pt>
                <c:pt idx="2839">
                  <c:v>0.89361032420520725</c:v>
                </c:pt>
                <c:pt idx="2840">
                  <c:v>0.89392508655962966</c:v>
                </c:pt>
                <c:pt idx="2841">
                  <c:v>0.89423984891405206</c:v>
                </c:pt>
                <c:pt idx="2842">
                  <c:v>0.89455461126847446</c:v>
                </c:pt>
                <c:pt idx="2843">
                  <c:v>0.89486937362289687</c:v>
                </c:pt>
                <c:pt idx="2844">
                  <c:v>0.89518413597731927</c:v>
                </c:pt>
                <c:pt idx="2845">
                  <c:v>0.89549889833174168</c:v>
                </c:pt>
                <c:pt idx="2846">
                  <c:v>0.89581366068616408</c:v>
                </c:pt>
                <c:pt idx="2847">
                  <c:v>0.89612842304058649</c:v>
                </c:pt>
                <c:pt idx="2848">
                  <c:v>0.89644318539500889</c:v>
                </c:pt>
                <c:pt idx="2849">
                  <c:v>0.89675794774943129</c:v>
                </c:pt>
                <c:pt idx="2850">
                  <c:v>0.8970727101038537</c:v>
                </c:pt>
                <c:pt idx="2851">
                  <c:v>0.8973874724582761</c:v>
                </c:pt>
                <c:pt idx="2852">
                  <c:v>0.89770223481269851</c:v>
                </c:pt>
                <c:pt idx="2853">
                  <c:v>0.89801699716712091</c:v>
                </c:pt>
                <c:pt idx="2854">
                  <c:v>0.89833175952154332</c:v>
                </c:pt>
                <c:pt idx="2855">
                  <c:v>0.89864652187596572</c:v>
                </c:pt>
                <c:pt idx="2856">
                  <c:v>0.89896128423038812</c:v>
                </c:pt>
                <c:pt idx="2857">
                  <c:v>0.89927604658481053</c:v>
                </c:pt>
                <c:pt idx="2858">
                  <c:v>0.89959080893923293</c:v>
                </c:pt>
                <c:pt idx="2859">
                  <c:v>0.89990557129365534</c:v>
                </c:pt>
                <c:pt idx="2860">
                  <c:v>0.90022033364807774</c:v>
                </c:pt>
                <c:pt idx="2861">
                  <c:v>0.90053509600250015</c:v>
                </c:pt>
                <c:pt idx="2862">
                  <c:v>0.90084985835692255</c:v>
                </c:pt>
                <c:pt idx="2863">
                  <c:v>0.90116462071134495</c:v>
                </c:pt>
                <c:pt idx="2864">
                  <c:v>0.90147938306576736</c:v>
                </c:pt>
                <c:pt idx="2865">
                  <c:v>0.90179414542018976</c:v>
                </c:pt>
                <c:pt idx="2866">
                  <c:v>0.90210890777461217</c:v>
                </c:pt>
                <c:pt idx="2867">
                  <c:v>0.90242367012903457</c:v>
                </c:pt>
                <c:pt idx="2868">
                  <c:v>0.90273843248345698</c:v>
                </c:pt>
                <c:pt idx="2869">
                  <c:v>0.90305319483787938</c:v>
                </c:pt>
                <c:pt idx="2870">
                  <c:v>0.90336795719230178</c:v>
                </c:pt>
                <c:pt idx="2871">
                  <c:v>0.90368271954672419</c:v>
                </c:pt>
                <c:pt idx="2872">
                  <c:v>0.90399748190114659</c:v>
                </c:pt>
                <c:pt idx="2873">
                  <c:v>0.904312244255569</c:v>
                </c:pt>
                <c:pt idx="2874">
                  <c:v>0.9046270066099914</c:v>
                </c:pt>
                <c:pt idx="2875">
                  <c:v>0.90494176896441381</c:v>
                </c:pt>
                <c:pt idx="2876">
                  <c:v>0.90525653131883621</c:v>
                </c:pt>
                <c:pt idx="2877">
                  <c:v>0.90557129367325861</c:v>
                </c:pt>
                <c:pt idx="2878">
                  <c:v>0.90588605602768102</c:v>
                </c:pt>
                <c:pt idx="2879">
                  <c:v>0.90620081838210342</c:v>
                </c:pt>
                <c:pt idx="2880">
                  <c:v>0.90651558073652583</c:v>
                </c:pt>
                <c:pt idx="2881">
                  <c:v>0.90683034309094823</c:v>
                </c:pt>
                <c:pt idx="2882">
                  <c:v>0.90714510544537064</c:v>
                </c:pt>
                <c:pt idx="2883">
                  <c:v>0.90745986779979304</c:v>
                </c:pt>
                <c:pt idx="2884">
                  <c:v>0.90777463015421545</c:v>
                </c:pt>
                <c:pt idx="2885">
                  <c:v>0.90808939250863785</c:v>
                </c:pt>
                <c:pt idx="2886">
                  <c:v>0.90840415486306025</c:v>
                </c:pt>
                <c:pt idx="2887">
                  <c:v>0.90871891721748266</c:v>
                </c:pt>
                <c:pt idx="2888">
                  <c:v>0.90903367957190506</c:v>
                </c:pt>
                <c:pt idx="2889">
                  <c:v>0.90934844192632747</c:v>
                </c:pt>
                <c:pt idx="2890">
                  <c:v>0.90966320428074987</c:v>
                </c:pt>
                <c:pt idx="2891">
                  <c:v>0.90997796663517228</c:v>
                </c:pt>
                <c:pt idx="2892">
                  <c:v>0.91029272898959468</c:v>
                </c:pt>
                <c:pt idx="2893">
                  <c:v>0.91060749134401708</c:v>
                </c:pt>
                <c:pt idx="2894">
                  <c:v>0.91092225369843949</c:v>
                </c:pt>
                <c:pt idx="2895">
                  <c:v>0.91123701605286189</c:v>
                </c:pt>
                <c:pt idx="2896">
                  <c:v>0.9115517784072843</c:v>
                </c:pt>
                <c:pt idx="2897">
                  <c:v>0.9118665407617067</c:v>
                </c:pt>
                <c:pt idx="2898">
                  <c:v>0.91218130311612911</c:v>
                </c:pt>
                <c:pt idx="2899">
                  <c:v>0.91249606547055151</c:v>
                </c:pt>
                <c:pt idx="2900">
                  <c:v>0.91281082782497391</c:v>
                </c:pt>
                <c:pt idx="2901">
                  <c:v>0.91312559017939632</c:v>
                </c:pt>
                <c:pt idx="2902">
                  <c:v>0.91344035253381872</c:v>
                </c:pt>
                <c:pt idx="2903">
                  <c:v>0.91375511488824113</c:v>
                </c:pt>
                <c:pt idx="2904">
                  <c:v>0.91406987724266353</c:v>
                </c:pt>
                <c:pt idx="2905">
                  <c:v>0.91438463959708594</c:v>
                </c:pt>
                <c:pt idx="2906">
                  <c:v>0.91469940195150834</c:v>
                </c:pt>
                <c:pt idx="2907">
                  <c:v>0.91501416430593074</c:v>
                </c:pt>
                <c:pt idx="2908">
                  <c:v>0.91532892666035315</c:v>
                </c:pt>
                <c:pt idx="2909">
                  <c:v>0.91564368901477555</c:v>
                </c:pt>
                <c:pt idx="2910">
                  <c:v>0.91595845136919796</c:v>
                </c:pt>
                <c:pt idx="2911">
                  <c:v>0.91627321372362036</c:v>
                </c:pt>
                <c:pt idx="2912">
                  <c:v>0.91658797607804277</c:v>
                </c:pt>
                <c:pt idx="2913">
                  <c:v>0.91690273843246517</c:v>
                </c:pt>
                <c:pt idx="2914">
                  <c:v>0.91721750078688757</c:v>
                </c:pt>
                <c:pt idx="2915">
                  <c:v>0.91753226314130998</c:v>
                </c:pt>
                <c:pt idx="2916">
                  <c:v>0.91784702549573238</c:v>
                </c:pt>
                <c:pt idx="2917">
                  <c:v>0.91816178785015479</c:v>
                </c:pt>
                <c:pt idx="2918">
                  <c:v>0.91847655020457719</c:v>
                </c:pt>
                <c:pt idx="2919">
                  <c:v>0.9187913125589996</c:v>
                </c:pt>
                <c:pt idx="2920">
                  <c:v>0.919106074913422</c:v>
                </c:pt>
                <c:pt idx="2921">
                  <c:v>0.9194208372678444</c:v>
                </c:pt>
                <c:pt idx="2922">
                  <c:v>0.91973559962226681</c:v>
                </c:pt>
                <c:pt idx="2923">
                  <c:v>0.92005036197668921</c:v>
                </c:pt>
                <c:pt idx="2924">
                  <c:v>0.92036512433111162</c:v>
                </c:pt>
                <c:pt idx="2925">
                  <c:v>0.92067988668553402</c:v>
                </c:pt>
                <c:pt idx="2926">
                  <c:v>0.92099464903995643</c:v>
                </c:pt>
                <c:pt idx="2927">
                  <c:v>0.92130941139437883</c:v>
                </c:pt>
                <c:pt idx="2928">
                  <c:v>0.92162417374880123</c:v>
                </c:pt>
                <c:pt idx="2929">
                  <c:v>0.92193893610322364</c:v>
                </c:pt>
                <c:pt idx="2930">
                  <c:v>0.92225369845764604</c:v>
                </c:pt>
                <c:pt idx="2931">
                  <c:v>0.92256846081206845</c:v>
                </c:pt>
                <c:pt idx="2932">
                  <c:v>0.92288322316649085</c:v>
                </c:pt>
                <c:pt idx="2933">
                  <c:v>0.92319798552091326</c:v>
                </c:pt>
                <c:pt idx="2934">
                  <c:v>0.92351274787533566</c:v>
                </c:pt>
                <c:pt idx="2935">
                  <c:v>0.92382751022975806</c:v>
                </c:pt>
                <c:pt idx="2936">
                  <c:v>0.92414227258418047</c:v>
                </c:pt>
                <c:pt idx="2937">
                  <c:v>0.92445703493860287</c:v>
                </c:pt>
                <c:pt idx="2938">
                  <c:v>0.92477179729302528</c:v>
                </c:pt>
                <c:pt idx="2939">
                  <c:v>0.92508655964744768</c:v>
                </c:pt>
                <c:pt idx="2940">
                  <c:v>0.92540132200187009</c:v>
                </c:pt>
                <c:pt idx="2941">
                  <c:v>0.92571608435629249</c:v>
                </c:pt>
                <c:pt idx="2942">
                  <c:v>0.92603084671071489</c:v>
                </c:pt>
                <c:pt idx="2943">
                  <c:v>0.9263456090651373</c:v>
                </c:pt>
                <c:pt idx="2944">
                  <c:v>0.9266603714195597</c:v>
                </c:pt>
                <c:pt idx="2945">
                  <c:v>0.92697513377398211</c:v>
                </c:pt>
                <c:pt idx="2946">
                  <c:v>0.92728989612840451</c:v>
                </c:pt>
                <c:pt idx="2947">
                  <c:v>0.92760465848282692</c:v>
                </c:pt>
                <c:pt idx="2948">
                  <c:v>0.92791942083724932</c:v>
                </c:pt>
                <c:pt idx="2949">
                  <c:v>0.92823418319167172</c:v>
                </c:pt>
                <c:pt idx="2950">
                  <c:v>0.92854894554609413</c:v>
                </c:pt>
                <c:pt idx="2951">
                  <c:v>0.92886370790051653</c:v>
                </c:pt>
                <c:pt idx="2952">
                  <c:v>0.92917847025493894</c:v>
                </c:pt>
                <c:pt idx="2953">
                  <c:v>0.92949323260936134</c:v>
                </c:pt>
                <c:pt idx="2954">
                  <c:v>0.92980799496378375</c:v>
                </c:pt>
                <c:pt idx="2955">
                  <c:v>0.93012275731820615</c:v>
                </c:pt>
                <c:pt idx="2956">
                  <c:v>0.93043751967262855</c:v>
                </c:pt>
                <c:pt idx="2957">
                  <c:v>0.93075228202705096</c:v>
                </c:pt>
                <c:pt idx="2958">
                  <c:v>0.93106704438147336</c:v>
                </c:pt>
                <c:pt idx="2959">
                  <c:v>0.93138180673589577</c:v>
                </c:pt>
                <c:pt idx="2960">
                  <c:v>0.93169656909031817</c:v>
                </c:pt>
                <c:pt idx="2961">
                  <c:v>0.93201133144474058</c:v>
                </c:pt>
                <c:pt idx="2962">
                  <c:v>0.93232609379916298</c:v>
                </c:pt>
                <c:pt idx="2963">
                  <c:v>0.93264085615358538</c:v>
                </c:pt>
                <c:pt idx="2964">
                  <c:v>0.93295561850800779</c:v>
                </c:pt>
                <c:pt idx="2965">
                  <c:v>0.93327038086243019</c:v>
                </c:pt>
                <c:pt idx="2966">
                  <c:v>0.9335851432168526</c:v>
                </c:pt>
                <c:pt idx="2967">
                  <c:v>0.933899905571275</c:v>
                </c:pt>
                <c:pt idx="2968">
                  <c:v>0.93421466792569741</c:v>
                </c:pt>
                <c:pt idx="2969">
                  <c:v>0.93452943028011981</c:v>
                </c:pt>
                <c:pt idx="2970">
                  <c:v>0.93484419263454221</c:v>
                </c:pt>
                <c:pt idx="2971">
                  <c:v>0.93515895498896462</c:v>
                </c:pt>
                <c:pt idx="2972">
                  <c:v>0.93547371734338702</c:v>
                </c:pt>
                <c:pt idx="2973">
                  <c:v>0.93578847969780943</c:v>
                </c:pt>
                <c:pt idx="2974">
                  <c:v>0.93610324205223183</c:v>
                </c:pt>
                <c:pt idx="2975">
                  <c:v>0.93641800440665424</c:v>
                </c:pt>
                <c:pt idx="2976">
                  <c:v>0.93673276676107664</c:v>
                </c:pt>
                <c:pt idx="2977">
                  <c:v>0.93704752911549904</c:v>
                </c:pt>
                <c:pt idx="2978">
                  <c:v>0.93736229146992145</c:v>
                </c:pt>
                <c:pt idx="2979">
                  <c:v>0.93767705382434385</c:v>
                </c:pt>
                <c:pt idx="2980">
                  <c:v>0.93799181617876626</c:v>
                </c:pt>
                <c:pt idx="2981">
                  <c:v>0.93830657853318866</c:v>
                </c:pt>
                <c:pt idx="2982">
                  <c:v>0.93862134088761107</c:v>
                </c:pt>
                <c:pt idx="2983">
                  <c:v>0.93893610324203347</c:v>
                </c:pt>
                <c:pt idx="2984">
                  <c:v>0.93925086559645588</c:v>
                </c:pt>
                <c:pt idx="2985">
                  <c:v>0.93956562795087828</c:v>
                </c:pt>
                <c:pt idx="2986">
                  <c:v>0.93988039030530068</c:v>
                </c:pt>
                <c:pt idx="2987">
                  <c:v>0.94019515265972309</c:v>
                </c:pt>
                <c:pt idx="2988">
                  <c:v>0.94050991501414549</c:v>
                </c:pt>
                <c:pt idx="2989">
                  <c:v>0.9408246773685679</c:v>
                </c:pt>
                <c:pt idx="2990">
                  <c:v>0.9411394397229903</c:v>
                </c:pt>
                <c:pt idx="2991">
                  <c:v>0.94145420207741271</c:v>
                </c:pt>
                <c:pt idx="2992">
                  <c:v>0.94176896443183511</c:v>
                </c:pt>
                <c:pt idx="2993">
                  <c:v>0.94208372678625751</c:v>
                </c:pt>
                <c:pt idx="2994">
                  <c:v>0.94239848914067992</c:v>
                </c:pt>
                <c:pt idx="2995">
                  <c:v>0.94271325149510232</c:v>
                </c:pt>
                <c:pt idx="2996">
                  <c:v>0.94302801384952473</c:v>
                </c:pt>
                <c:pt idx="2997">
                  <c:v>0.94334277620394713</c:v>
                </c:pt>
                <c:pt idx="2998">
                  <c:v>0.94365753855836954</c:v>
                </c:pt>
                <c:pt idx="2999">
                  <c:v>0.94397230091279194</c:v>
                </c:pt>
                <c:pt idx="3000">
                  <c:v>0.94428706326721434</c:v>
                </c:pt>
                <c:pt idx="3001">
                  <c:v>0.94460182562163675</c:v>
                </c:pt>
                <c:pt idx="3002">
                  <c:v>0.94491658797605915</c:v>
                </c:pt>
                <c:pt idx="3003">
                  <c:v>0.94523135033048156</c:v>
                </c:pt>
                <c:pt idx="3004">
                  <c:v>0.94554611268490396</c:v>
                </c:pt>
                <c:pt idx="3005">
                  <c:v>0.94586087503932637</c:v>
                </c:pt>
                <c:pt idx="3006">
                  <c:v>0.94617563739374877</c:v>
                </c:pt>
                <c:pt idx="3007">
                  <c:v>0.94649039974817117</c:v>
                </c:pt>
                <c:pt idx="3008">
                  <c:v>0.94680516210259358</c:v>
                </c:pt>
                <c:pt idx="3009">
                  <c:v>0.94711992445701598</c:v>
                </c:pt>
                <c:pt idx="3010">
                  <c:v>0.94743468681143839</c:v>
                </c:pt>
                <c:pt idx="3011">
                  <c:v>0.94774944916586079</c:v>
                </c:pt>
                <c:pt idx="3012">
                  <c:v>0.9480642115202832</c:v>
                </c:pt>
                <c:pt idx="3013">
                  <c:v>0.9483789738747056</c:v>
                </c:pt>
                <c:pt idx="3014">
                  <c:v>0.948693736229128</c:v>
                </c:pt>
                <c:pt idx="3015">
                  <c:v>0.94900849858355041</c:v>
                </c:pt>
                <c:pt idx="3016">
                  <c:v>0.94932326093797281</c:v>
                </c:pt>
                <c:pt idx="3017">
                  <c:v>0.94963802329239522</c:v>
                </c:pt>
                <c:pt idx="3018">
                  <c:v>0.94995278564681762</c:v>
                </c:pt>
                <c:pt idx="3019">
                  <c:v>0.95026754800124003</c:v>
                </c:pt>
                <c:pt idx="3020">
                  <c:v>0.95058231035566243</c:v>
                </c:pt>
                <c:pt idx="3021">
                  <c:v>0.95089707271008483</c:v>
                </c:pt>
                <c:pt idx="3022">
                  <c:v>0.95121183506450724</c:v>
                </c:pt>
                <c:pt idx="3023">
                  <c:v>0.95152659741892964</c:v>
                </c:pt>
                <c:pt idx="3024">
                  <c:v>0.95184135977335205</c:v>
                </c:pt>
                <c:pt idx="3025">
                  <c:v>0.95215612212777445</c:v>
                </c:pt>
                <c:pt idx="3026">
                  <c:v>0.95247088448219686</c:v>
                </c:pt>
                <c:pt idx="3027">
                  <c:v>0.95278564683661926</c:v>
                </c:pt>
                <c:pt idx="3028">
                  <c:v>0.95310040919104166</c:v>
                </c:pt>
                <c:pt idx="3029">
                  <c:v>0.95341517154546407</c:v>
                </c:pt>
                <c:pt idx="3030">
                  <c:v>0.95372993389988647</c:v>
                </c:pt>
                <c:pt idx="3031">
                  <c:v>0.95404469625430888</c:v>
                </c:pt>
                <c:pt idx="3032">
                  <c:v>0.95435945860873128</c:v>
                </c:pt>
                <c:pt idx="3033">
                  <c:v>0.95467422096315369</c:v>
                </c:pt>
                <c:pt idx="3034">
                  <c:v>0.95498898331757609</c:v>
                </c:pt>
                <c:pt idx="3035">
                  <c:v>0.95530374567199849</c:v>
                </c:pt>
                <c:pt idx="3036">
                  <c:v>0.9556185080264209</c:v>
                </c:pt>
                <c:pt idx="3037">
                  <c:v>0.9559332703808433</c:v>
                </c:pt>
                <c:pt idx="3038">
                  <c:v>0.95624803273526571</c:v>
                </c:pt>
                <c:pt idx="3039">
                  <c:v>0.95656279508968811</c:v>
                </c:pt>
                <c:pt idx="3040">
                  <c:v>0.95687755744411052</c:v>
                </c:pt>
                <c:pt idx="3041">
                  <c:v>0.95719231979853292</c:v>
                </c:pt>
                <c:pt idx="3042">
                  <c:v>0.95750708215295532</c:v>
                </c:pt>
                <c:pt idx="3043">
                  <c:v>0.95782184450737773</c:v>
                </c:pt>
                <c:pt idx="3044">
                  <c:v>0.95813660686180013</c:v>
                </c:pt>
                <c:pt idx="3045">
                  <c:v>0.95845136921622254</c:v>
                </c:pt>
                <c:pt idx="3046">
                  <c:v>0.95876613157064494</c:v>
                </c:pt>
                <c:pt idx="3047">
                  <c:v>0.95908089392506735</c:v>
                </c:pt>
                <c:pt idx="3048">
                  <c:v>0.95939565627948975</c:v>
                </c:pt>
                <c:pt idx="3049">
                  <c:v>0.95971041863391215</c:v>
                </c:pt>
                <c:pt idx="3050">
                  <c:v>0.96002518098833456</c:v>
                </c:pt>
                <c:pt idx="3051">
                  <c:v>0.96033994334275696</c:v>
                </c:pt>
                <c:pt idx="3052">
                  <c:v>0.96065470569717937</c:v>
                </c:pt>
                <c:pt idx="3053">
                  <c:v>0.96096946805160177</c:v>
                </c:pt>
                <c:pt idx="3054">
                  <c:v>0.96128423040602418</c:v>
                </c:pt>
                <c:pt idx="3055">
                  <c:v>0.96159899276044658</c:v>
                </c:pt>
                <c:pt idx="3056">
                  <c:v>0.96191375511486898</c:v>
                </c:pt>
                <c:pt idx="3057">
                  <c:v>0.96222851746929139</c:v>
                </c:pt>
                <c:pt idx="3058">
                  <c:v>0.96254327982371379</c:v>
                </c:pt>
                <c:pt idx="3059">
                  <c:v>0.9628580421781362</c:v>
                </c:pt>
                <c:pt idx="3060">
                  <c:v>0.9631728045325586</c:v>
                </c:pt>
                <c:pt idx="3061">
                  <c:v>0.96348756688698101</c:v>
                </c:pt>
                <c:pt idx="3062">
                  <c:v>0.96380232924140341</c:v>
                </c:pt>
                <c:pt idx="3063">
                  <c:v>0.96411709159582581</c:v>
                </c:pt>
                <c:pt idx="3064">
                  <c:v>0.96443185395024822</c:v>
                </c:pt>
                <c:pt idx="3065">
                  <c:v>0.96474661630467062</c:v>
                </c:pt>
                <c:pt idx="3066">
                  <c:v>0.96506137865909303</c:v>
                </c:pt>
                <c:pt idx="3067">
                  <c:v>0.96537614101351543</c:v>
                </c:pt>
                <c:pt idx="3068">
                  <c:v>0.96569090336793784</c:v>
                </c:pt>
                <c:pt idx="3069">
                  <c:v>0.96600566572236024</c:v>
                </c:pt>
                <c:pt idx="3070">
                  <c:v>0.96632042807678264</c:v>
                </c:pt>
                <c:pt idx="3071">
                  <c:v>0.96663519043120505</c:v>
                </c:pt>
                <c:pt idx="3072">
                  <c:v>0.96694995278562745</c:v>
                </c:pt>
                <c:pt idx="3073">
                  <c:v>0.96726471514004986</c:v>
                </c:pt>
                <c:pt idx="3074">
                  <c:v>0.96757947749447226</c:v>
                </c:pt>
                <c:pt idx="3075">
                  <c:v>0.96789423984889467</c:v>
                </c:pt>
                <c:pt idx="3076">
                  <c:v>0.96820900220331707</c:v>
                </c:pt>
                <c:pt idx="3077">
                  <c:v>0.96852376455773947</c:v>
                </c:pt>
                <c:pt idx="3078">
                  <c:v>0.96883852691216188</c:v>
                </c:pt>
                <c:pt idx="3079">
                  <c:v>0.96915328926658428</c:v>
                </c:pt>
                <c:pt idx="3080">
                  <c:v>0.96946805162100669</c:v>
                </c:pt>
                <c:pt idx="3081">
                  <c:v>0.96978281397542909</c:v>
                </c:pt>
                <c:pt idx="3082">
                  <c:v>0.9700975763298515</c:v>
                </c:pt>
                <c:pt idx="3083">
                  <c:v>0.9704123386842739</c:v>
                </c:pt>
                <c:pt idx="3084">
                  <c:v>0.97072710103869631</c:v>
                </c:pt>
                <c:pt idx="3085">
                  <c:v>0.97104186339311871</c:v>
                </c:pt>
                <c:pt idx="3086">
                  <c:v>0.97135662574754111</c:v>
                </c:pt>
                <c:pt idx="3087">
                  <c:v>0.97167138810196352</c:v>
                </c:pt>
                <c:pt idx="3088">
                  <c:v>0.97198615045638592</c:v>
                </c:pt>
                <c:pt idx="3089">
                  <c:v>0.97230091281080833</c:v>
                </c:pt>
                <c:pt idx="3090">
                  <c:v>0.97261567516523073</c:v>
                </c:pt>
                <c:pt idx="3091">
                  <c:v>0.97293043751965314</c:v>
                </c:pt>
                <c:pt idx="3092">
                  <c:v>0.97324519987407554</c:v>
                </c:pt>
                <c:pt idx="3093">
                  <c:v>0.97355996222849794</c:v>
                </c:pt>
                <c:pt idx="3094">
                  <c:v>0.97387472458292035</c:v>
                </c:pt>
                <c:pt idx="3095">
                  <c:v>0.97418948693734275</c:v>
                </c:pt>
                <c:pt idx="3096">
                  <c:v>0.97450424929176516</c:v>
                </c:pt>
                <c:pt idx="3097">
                  <c:v>0.97481901164618756</c:v>
                </c:pt>
                <c:pt idx="3098">
                  <c:v>0.97513377400060997</c:v>
                </c:pt>
                <c:pt idx="3099">
                  <c:v>0.97544853635503237</c:v>
                </c:pt>
                <c:pt idx="3100">
                  <c:v>0.97576329870945477</c:v>
                </c:pt>
                <c:pt idx="3101">
                  <c:v>0.97607806106387718</c:v>
                </c:pt>
                <c:pt idx="3102">
                  <c:v>0.97639282341829958</c:v>
                </c:pt>
                <c:pt idx="3103">
                  <c:v>0.97670758577272199</c:v>
                </c:pt>
                <c:pt idx="3104">
                  <c:v>0.97702234812714439</c:v>
                </c:pt>
                <c:pt idx="3105">
                  <c:v>0.9773371104815668</c:v>
                </c:pt>
                <c:pt idx="3106">
                  <c:v>0.9776518728359892</c:v>
                </c:pt>
                <c:pt idx="3107">
                  <c:v>0.9779666351904116</c:v>
                </c:pt>
                <c:pt idx="3108">
                  <c:v>0.97828139754483401</c:v>
                </c:pt>
                <c:pt idx="3109">
                  <c:v>0.97859615989925641</c:v>
                </c:pt>
                <c:pt idx="3110">
                  <c:v>0.97891092225367882</c:v>
                </c:pt>
                <c:pt idx="3111">
                  <c:v>0.97922568460810122</c:v>
                </c:pt>
                <c:pt idx="3112">
                  <c:v>0.97954044696252363</c:v>
                </c:pt>
                <c:pt idx="3113">
                  <c:v>0.97985520931694603</c:v>
                </c:pt>
                <c:pt idx="3114">
                  <c:v>0.98016997167136843</c:v>
                </c:pt>
                <c:pt idx="3115">
                  <c:v>0.98048473402579084</c:v>
                </c:pt>
                <c:pt idx="3116">
                  <c:v>0.98079949638021324</c:v>
                </c:pt>
                <c:pt idx="3117">
                  <c:v>0.98111425873463565</c:v>
                </c:pt>
                <c:pt idx="3118">
                  <c:v>0.98142902108905805</c:v>
                </c:pt>
                <c:pt idx="3119">
                  <c:v>0.98174378344348046</c:v>
                </c:pt>
                <c:pt idx="3120">
                  <c:v>0.98205854579790286</c:v>
                </c:pt>
                <c:pt idx="3121">
                  <c:v>0.98237330815232526</c:v>
                </c:pt>
                <c:pt idx="3122">
                  <c:v>0.98268807050674767</c:v>
                </c:pt>
                <c:pt idx="3123">
                  <c:v>0.98300283286117007</c:v>
                </c:pt>
                <c:pt idx="3124">
                  <c:v>0.98331759521559248</c:v>
                </c:pt>
                <c:pt idx="3125">
                  <c:v>0.98363235757001488</c:v>
                </c:pt>
                <c:pt idx="3126">
                  <c:v>0.98394711992443729</c:v>
                </c:pt>
                <c:pt idx="3127">
                  <c:v>0.98426188227885969</c:v>
                </c:pt>
                <c:pt idx="3128">
                  <c:v>0.98457664463328209</c:v>
                </c:pt>
                <c:pt idx="3129">
                  <c:v>0.9848914069877045</c:v>
                </c:pt>
                <c:pt idx="3130">
                  <c:v>0.9852061693421269</c:v>
                </c:pt>
                <c:pt idx="3131">
                  <c:v>0.98552093169654931</c:v>
                </c:pt>
                <c:pt idx="3132">
                  <c:v>0.98583569405097171</c:v>
                </c:pt>
                <c:pt idx="3133">
                  <c:v>0.98615045640539412</c:v>
                </c:pt>
                <c:pt idx="3134">
                  <c:v>0.98646521875981652</c:v>
                </c:pt>
                <c:pt idx="3135">
                  <c:v>0.98677998111423892</c:v>
                </c:pt>
                <c:pt idx="3136">
                  <c:v>0.98709474346866133</c:v>
                </c:pt>
                <c:pt idx="3137">
                  <c:v>0.98740950582308373</c:v>
                </c:pt>
                <c:pt idx="3138">
                  <c:v>0.98772426817750614</c:v>
                </c:pt>
                <c:pt idx="3139">
                  <c:v>0.98803903053192854</c:v>
                </c:pt>
                <c:pt idx="3140">
                  <c:v>0.98835379288635095</c:v>
                </c:pt>
                <c:pt idx="3141">
                  <c:v>0.98866855524077335</c:v>
                </c:pt>
                <c:pt idx="3142">
                  <c:v>0.98898331759519575</c:v>
                </c:pt>
                <c:pt idx="3143">
                  <c:v>0.98929807994961816</c:v>
                </c:pt>
                <c:pt idx="3144">
                  <c:v>0.98961284230404056</c:v>
                </c:pt>
                <c:pt idx="3145">
                  <c:v>0.98992760465846297</c:v>
                </c:pt>
                <c:pt idx="3146">
                  <c:v>0.99024236701288537</c:v>
                </c:pt>
                <c:pt idx="3147">
                  <c:v>0.99055712936730778</c:v>
                </c:pt>
                <c:pt idx="3148">
                  <c:v>0.99087189172173018</c:v>
                </c:pt>
                <c:pt idx="3149">
                  <c:v>0.99118665407615258</c:v>
                </c:pt>
                <c:pt idx="3150">
                  <c:v>0.99150141643057499</c:v>
                </c:pt>
                <c:pt idx="3151">
                  <c:v>0.99181617878499739</c:v>
                </c:pt>
                <c:pt idx="3152">
                  <c:v>0.9921309411394198</c:v>
                </c:pt>
                <c:pt idx="3153">
                  <c:v>0.9924457034938422</c:v>
                </c:pt>
                <c:pt idx="3154">
                  <c:v>0.99276046584826461</c:v>
                </c:pt>
                <c:pt idx="3155">
                  <c:v>0.99307522820268701</c:v>
                </c:pt>
                <c:pt idx="3156">
                  <c:v>0.99338999055710941</c:v>
                </c:pt>
                <c:pt idx="3157">
                  <c:v>0.99370475291153182</c:v>
                </c:pt>
                <c:pt idx="3158">
                  <c:v>0.99401951526595422</c:v>
                </c:pt>
                <c:pt idx="3159">
                  <c:v>0.99433427762037663</c:v>
                </c:pt>
                <c:pt idx="3160">
                  <c:v>0.99464903997479903</c:v>
                </c:pt>
                <c:pt idx="3161">
                  <c:v>0.99496380232922144</c:v>
                </c:pt>
                <c:pt idx="3162">
                  <c:v>0.99527856468364384</c:v>
                </c:pt>
                <c:pt idx="3163">
                  <c:v>0.99559332703806624</c:v>
                </c:pt>
                <c:pt idx="3164">
                  <c:v>0.99590808939248865</c:v>
                </c:pt>
                <c:pt idx="3165">
                  <c:v>0.99622285174691105</c:v>
                </c:pt>
                <c:pt idx="3166">
                  <c:v>0.99653761410133346</c:v>
                </c:pt>
                <c:pt idx="3167">
                  <c:v>0.99685237645575586</c:v>
                </c:pt>
                <c:pt idx="3168">
                  <c:v>0.99716713881017827</c:v>
                </c:pt>
                <c:pt idx="3169">
                  <c:v>0.99748190116460067</c:v>
                </c:pt>
                <c:pt idx="3170">
                  <c:v>0.99779666351902307</c:v>
                </c:pt>
                <c:pt idx="3171">
                  <c:v>0.99811142587344548</c:v>
                </c:pt>
                <c:pt idx="3172">
                  <c:v>0.99842618822786788</c:v>
                </c:pt>
                <c:pt idx="3173">
                  <c:v>0.99874095058229029</c:v>
                </c:pt>
                <c:pt idx="3174">
                  <c:v>0.99905571293671269</c:v>
                </c:pt>
                <c:pt idx="3175">
                  <c:v>0.9993704752911351</c:v>
                </c:pt>
                <c:pt idx="3176">
                  <c:v>0.9996852376455575</c:v>
                </c:pt>
                <c:pt idx="3177">
                  <c:v>0.9999999999999799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5B-4138-9C65-C6DB0453B060}"/>
            </c:ext>
          </c:extLst>
        </c:ser>
        <c:ser>
          <c:idx val="2"/>
          <c:order val="2"/>
          <c:tx>
            <c:v>Átlagpont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chemeClr val="bg1"/>
              </a:solidFill>
              <a:ln>
                <a:solidFill>
                  <a:schemeClr val="tx2"/>
                </a:solidFill>
              </a:ln>
            </c:spPr>
          </c:marker>
          <c:dPt>
            <c:idx val="0"/>
            <c:marker>
              <c:spPr>
                <a:solidFill>
                  <a:schemeClr val="bg1"/>
                </a:solidFill>
                <a:ln w="15875">
                  <a:solidFill>
                    <a:schemeClr val="tx2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B5B-4138-9C65-C6DB0453B0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hu-HU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'E5.1'!$D$2719</c:f>
              <c:numCache>
                <c:formatCode>0.000%</c:formatCode>
                <c:ptCount val="1"/>
                <c:pt idx="0">
                  <c:v>0.8533207428391395</c:v>
                </c:pt>
              </c:numCache>
            </c:numRef>
          </c:xVal>
          <c:yVal>
            <c:numRef>
              <c:f>'E5.1'!$F$2719</c:f>
              <c:numCache>
                <c:formatCode>0.0000%</c:formatCode>
                <c:ptCount val="1"/>
                <c:pt idx="0">
                  <c:v>0.24381838800390218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B5B-4138-9C65-C6DB0453B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53680"/>
        <c:axId val="294353120"/>
      </c:scatterChart>
      <c:valAx>
        <c:axId val="294353680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0.94701686121919582"/>
              <c:y val="0.8805128160949247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120"/>
        <c:crosses val="autoZero"/>
        <c:crossBetween val="midCat"/>
        <c:majorUnit val="0.1"/>
      </c:valAx>
      <c:valAx>
        <c:axId val="29435312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Z'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2.4735234943881041E-2"/>
              <c:y val="6.6914159070365173E-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680"/>
        <c:crossesAt val="0"/>
        <c:crossBetween val="midCat"/>
      </c:valAx>
      <c:spPr>
        <a:solidFill>
          <a:srgbClr val="FFFFFF"/>
        </a:solidFill>
        <a:ln w="6350">
          <a:solidFill>
            <a:schemeClr val="bg1">
              <a:lumMod val="65000"/>
            </a:scheme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233" r="0.75000000000000233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Lorenz-görbék</a:t>
            </a:r>
          </a:p>
        </c:rich>
      </c:tx>
      <c:layout>
        <c:manualLayout>
          <c:xMode val="edge"/>
          <c:yMode val="edge"/>
          <c:x val="0.36832217619139074"/>
          <c:y val="2.51715375465707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892939859598038E-2"/>
          <c:y val="0.10526315789473686"/>
          <c:w val="0.85044735548548955"/>
          <c:h val="0.81464530892448972"/>
        </c:manualLayout>
      </c:layout>
      <c:scatterChart>
        <c:scatterStyle val="smoothMarker"/>
        <c:varyColors val="0"/>
        <c:ser>
          <c:idx val="4"/>
          <c:order val="0"/>
          <c:tx>
            <c:v>Egyenletes</c:v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'Gy2.28'!$B$28:$B$34</c:f>
              <c:numCache>
                <c:formatCode>0.000</c:formatCode>
                <c:ptCount val="7"/>
                <c:pt idx="0">
                  <c:v>0</c:v>
                </c:pt>
                <c:pt idx="1">
                  <c:v>0.06</c:v>
                </c:pt>
                <c:pt idx="2">
                  <c:v>0.23</c:v>
                </c:pt>
                <c:pt idx="3">
                  <c:v>0.45</c:v>
                </c:pt>
                <c:pt idx="4">
                  <c:v>0.77</c:v>
                </c:pt>
                <c:pt idx="5">
                  <c:v>0.98</c:v>
                </c:pt>
                <c:pt idx="6">
                  <c:v>1</c:v>
                </c:pt>
              </c:numCache>
            </c:numRef>
          </c:xVal>
          <c:yVal>
            <c:numRef>
              <c:f>'Gy2.28'!$B$28:$B$34</c:f>
              <c:numCache>
                <c:formatCode>0.000</c:formatCode>
                <c:ptCount val="7"/>
                <c:pt idx="0">
                  <c:v>0</c:v>
                </c:pt>
                <c:pt idx="1">
                  <c:v>0.06</c:v>
                </c:pt>
                <c:pt idx="2">
                  <c:v>0.23</c:v>
                </c:pt>
                <c:pt idx="3">
                  <c:v>0.45</c:v>
                </c:pt>
                <c:pt idx="4">
                  <c:v>0.77</c:v>
                </c:pt>
                <c:pt idx="5">
                  <c:v>0.98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0-4DCA-A918-96D9865CF2DD}"/>
            </c:ext>
          </c:extLst>
        </c:ser>
        <c:ser>
          <c:idx val="0"/>
          <c:order val="1"/>
          <c:tx>
            <c:strRef>
              <c:f>'Gy2.28'!$C$27</c:f>
              <c:strCache>
                <c:ptCount val="1"/>
                <c:pt idx="0">
                  <c:v>Foglalkoztatottak</c:v>
                </c:pt>
              </c:strCache>
            </c:strRef>
          </c:tx>
          <c:spPr>
            <a:ln w="25400">
              <a:solidFill>
                <a:srgbClr val="003366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CCFFFF"/>
              </a:solidFill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'Gy2.28'!$B$28:$B$34</c:f>
              <c:numCache>
                <c:formatCode>0.000</c:formatCode>
                <c:ptCount val="7"/>
                <c:pt idx="0">
                  <c:v>0</c:v>
                </c:pt>
                <c:pt idx="1">
                  <c:v>0.06</c:v>
                </c:pt>
                <c:pt idx="2">
                  <c:v>0.23</c:v>
                </c:pt>
                <c:pt idx="3">
                  <c:v>0.45</c:v>
                </c:pt>
                <c:pt idx="4">
                  <c:v>0.77</c:v>
                </c:pt>
                <c:pt idx="5">
                  <c:v>0.98</c:v>
                </c:pt>
                <c:pt idx="6">
                  <c:v>1</c:v>
                </c:pt>
              </c:numCache>
            </c:numRef>
          </c:xVal>
          <c:yVal>
            <c:numRef>
              <c:f>'Gy2.28'!$C$28:$C$34</c:f>
              <c:numCache>
                <c:formatCode>0.000</c:formatCode>
                <c:ptCount val="7"/>
                <c:pt idx="0">
                  <c:v>0</c:v>
                </c:pt>
                <c:pt idx="1">
                  <c:v>1.0513667768098528E-2</c:v>
                </c:pt>
                <c:pt idx="2">
                  <c:v>8.2607389606488446E-2</c:v>
                </c:pt>
                <c:pt idx="3">
                  <c:v>0.24992490237308501</c:v>
                </c:pt>
                <c:pt idx="4">
                  <c:v>0.67527786121958544</c:v>
                </c:pt>
                <c:pt idx="5">
                  <c:v>0.95764493841994591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10-4DCA-A918-96D9865CF2DD}"/>
            </c:ext>
          </c:extLst>
        </c:ser>
        <c:ser>
          <c:idx val="1"/>
          <c:order val="2"/>
          <c:tx>
            <c:strRef>
              <c:f>'Gy2.28'!$D$27</c:f>
              <c:strCache>
                <c:ptCount val="1"/>
                <c:pt idx="0">
                  <c:v>Árbevétel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CC99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'Gy2.28'!$B$28:$B$34</c:f>
              <c:numCache>
                <c:formatCode>0.000</c:formatCode>
                <c:ptCount val="7"/>
                <c:pt idx="0">
                  <c:v>0</c:v>
                </c:pt>
                <c:pt idx="1">
                  <c:v>0.06</c:v>
                </c:pt>
                <c:pt idx="2">
                  <c:v>0.23</c:v>
                </c:pt>
                <c:pt idx="3">
                  <c:v>0.45</c:v>
                </c:pt>
                <c:pt idx="4">
                  <c:v>0.77</c:v>
                </c:pt>
                <c:pt idx="5">
                  <c:v>0.98</c:v>
                </c:pt>
                <c:pt idx="6">
                  <c:v>1</c:v>
                </c:pt>
              </c:numCache>
            </c:numRef>
          </c:xVal>
          <c:yVal>
            <c:numRef>
              <c:f>'Gy2.28'!$D$28:$D$34</c:f>
              <c:numCache>
                <c:formatCode>0.000</c:formatCode>
                <c:ptCount val="7"/>
                <c:pt idx="0">
                  <c:v>0</c:v>
                </c:pt>
                <c:pt idx="1">
                  <c:v>2.9513888888888888E-3</c:v>
                </c:pt>
                <c:pt idx="2">
                  <c:v>4.0928819444444445E-2</c:v>
                </c:pt>
                <c:pt idx="3">
                  <c:v>0.15703125000000001</c:v>
                </c:pt>
                <c:pt idx="4">
                  <c:v>0.4994791666666667</c:v>
                </c:pt>
                <c:pt idx="5">
                  <c:v>0.92803819444444446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10-4DCA-A918-96D9865CF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326688"/>
        <c:axId val="318327248"/>
      </c:scatterChart>
      <c:valAx>
        <c:axId val="318326688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0.94866165166854144"/>
              <c:y val="0.8878718535469107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318327248"/>
        <c:crosses val="autoZero"/>
        <c:crossBetween val="midCat"/>
        <c:majorUnit val="0.1"/>
        <c:minorUnit val="0.05"/>
      </c:valAx>
      <c:valAx>
        <c:axId val="31832724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z'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1.372997711670480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318326688"/>
        <c:crosses val="autoZero"/>
        <c:crossBetween val="midCat"/>
        <c:majorUnit val="0.1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38395200599925"/>
          <c:y val="0.14874141876430205"/>
          <c:w val="0.32812546869141357"/>
          <c:h val="0.155606407322654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344" r="0.750000000000003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Lorenz-görbék</a:t>
            </a:r>
          </a:p>
        </c:rich>
      </c:tx>
      <c:layout>
        <c:manualLayout>
          <c:xMode val="edge"/>
          <c:yMode val="edge"/>
          <c:x val="0.39068825910931176"/>
          <c:y val="3.21888412017167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923076923076927E-2"/>
          <c:y val="0.12231772473272855"/>
          <c:w val="0.8502024291497976"/>
          <c:h val="0.80472187324163935"/>
        </c:manualLayout>
      </c:layout>
      <c:lineChart>
        <c:grouping val="standard"/>
        <c:varyColors val="0"/>
        <c:ser>
          <c:idx val="1"/>
          <c:order val="0"/>
          <c:tx>
            <c:strRef>
              <c:f>'Gy2.27'!$C$21</c:f>
              <c:strCache>
                <c:ptCount val="1"/>
                <c:pt idx="0">
                  <c:v>1977</c:v>
                </c:pt>
              </c:strCache>
            </c:strRef>
          </c:tx>
          <c:spPr>
            <a:ln w="25400">
              <a:solidFill>
                <a:srgbClr val="003366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CCFFFF"/>
              </a:solidFill>
              <a:ln>
                <a:solidFill>
                  <a:srgbClr val="003366"/>
                </a:solidFill>
                <a:prstDash val="solid"/>
              </a:ln>
            </c:spPr>
          </c:marker>
          <c:cat>
            <c:numRef>
              <c:f>'Gy2.27'!$B$22:$B$32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'Gy2.27'!$C$22:$C$32</c:f>
              <c:numCache>
                <c:formatCode>0.0</c:formatCode>
                <c:ptCount val="11"/>
                <c:pt idx="0" formatCode="General">
                  <c:v>0</c:v>
                </c:pt>
                <c:pt idx="1">
                  <c:v>4.5</c:v>
                </c:pt>
                <c:pt idx="2">
                  <c:v>10.8</c:v>
                </c:pt>
                <c:pt idx="3">
                  <c:v>18.100000000000001</c:v>
                </c:pt>
                <c:pt idx="4">
                  <c:v>26.200000000000003</c:v>
                </c:pt>
                <c:pt idx="5">
                  <c:v>35.1</c:v>
                </c:pt>
                <c:pt idx="6">
                  <c:v>44.900000000000006</c:v>
                </c:pt>
                <c:pt idx="7">
                  <c:v>55.7</c:v>
                </c:pt>
                <c:pt idx="8">
                  <c:v>67.7</c:v>
                </c:pt>
                <c:pt idx="9">
                  <c:v>81.400000000000006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49-4A25-A0E9-2B6C07BFE6E4}"/>
            </c:ext>
          </c:extLst>
        </c:ser>
        <c:ser>
          <c:idx val="2"/>
          <c:order val="1"/>
          <c:tx>
            <c:strRef>
              <c:f>'Gy2.27'!$D$21</c:f>
              <c:strCache>
                <c:ptCount val="1"/>
                <c:pt idx="0">
                  <c:v>1995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99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numRef>
              <c:f>'Gy2.27'!$B$22:$B$32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'Gy2.27'!$D$22:$D$32</c:f>
              <c:numCache>
                <c:formatCode>0.0</c:formatCode>
                <c:ptCount val="11"/>
                <c:pt idx="0" formatCode="General">
                  <c:v>0</c:v>
                </c:pt>
                <c:pt idx="1">
                  <c:v>3.3</c:v>
                </c:pt>
                <c:pt idx="2">
                  <c:v>8.3000000000000007</c:v>
                </c:pt>
                <c:pt idx="3">
                  <c:v>14.5</c:v>
                </c:pt>
                <c:pt idx="4">
                  <c:v>21.7</c:v>
                </c:pt>
                <c:pt idx="5">
                  <c:v>29.9</c:v>
                </c:pt>
                <c:pt idx="6">
                  <c:v>39</c:v>
                </c:pt>
                <c:pt idx="7">
                  <c:v>49.2</c:v>
                </c:pt>
                <c:pt idx="8">
                  <c:v>60.900000000000006</c:v>
                </c:pt>
                <c:pt idx="9">
                  <c:v>75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9-4A25-A0E9-2B6C07BFE6E4}"/>
            </c:ext>
          </c:extLst>
        </c:ser>
        <c:ser>
          <c:idx val="3"/>
          <c:order val="2"/>
          <c:tx>
            <c:strRef>
              <c:f>'Gy2.27'!$E$21</c:f>
              <c:strCache>
                <c:ptCount val="1"/>
                <c:pt idx="0">
                  <c:v>2010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CC99FF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cat>
            <c:numRef>
              <c:f>'Gy2.27'!$B$22:$B$32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'Gy2.27'!$E$22:$E$32</c:f>
              <c:numCache>
                <c:formatCode>0.0</c:formatCode>
                <c:ptCount val="11"/>
                <c:pt idx="0" formatCode="General">
                  <c:v>0</c:v>
                </c:pt>
                <c:pt idx="1">
                  <c:v>1.8</c:v>
                </c:pt>
                <c:pt idx="2">
                  <c:v>6</c:v>
                </c:pt>
                <c:pt idx="3">
                  <c:v>11.8</c:v>
                </c:pt>
                <c:pt idx="4">
                  <c:v>18.899999999999999</c:v>
                </c:pt>
                <c:pt idx="5">
                  <c:v>26.4</c:v>
                </c:pt>
                <c:pt idx="6">
                  <c:v>34.599999999999994</c:v>
                </c:pt>
                <c:pt idx="7">
                  <c:v>43.999999999999993</c:v>
                </c:pt>
                <c:pt idx="8">
                  <c:v>55.499999999999993</c:v>
                </c:pt>
                <c:pt idx="9">
                  <c:v>70.399999999999991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9-4A25-A0E9-2B6C07BFE6E4}"/>
            </c:ext>
          </c:extLst>
        </c:ser>
        <c:ser>
          <c:idx val="4"/>
          <c:order val="3"/>
          <c:tx>
            <c:v>Egyenletes</c:v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'Gy2.27'!$B$22:$B$32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'Gy2.27'!$B$22:$B$32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9-4A25-A0E9-2B6C07BFE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331728"/>
        <c:axId val="318332288"/>
      </c:lineChart>
      <c:catAx>
        <c:axId val="318331728"/>
        <c:scaling>
          <c:orientation val="minMax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(%)</a:t>
                </a:r>
              </a:p>
            </c:rich>
          </c:tx>
          <c:layout>
            <c:manualLayout>
              <c:xMode val="edge"/>
              <c:yMode val="edge"/>
              <c:x val="0.94183535762483128"/>
              <c:y val="0.8626609442060085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318332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1833228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z'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 </a:t>
                </a: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(%)</a:t>
                </a:r>
              </a:p>
            </c:rich>
          </c:tx>
          <c:layout>
            <c:manualLayout>
              <c:xMode val="edge"/>
              <c:yMode val="edge"/>
              <c:x val="1.417004048582996E-2"/>
              <c:y val="4.0772532188841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318331728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728744939271255"/>
          <c:y val="0.1609442060085837"/>
          <c:w val="0.19635627530364372"/>
          <c:h val="0.173819742489270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344" r="0.75000000000000344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 sz="1100" b="1"/>
              <a:t>A nyugdíjak koncentrációja</a:t>
            </a:r>
          </a:p>
        </c:rich>
      </c:tx>
      <c:layout>
        <c:manualLayout>
          <c:xMode val="edge"/>
          <c:yMode val="edge"/>
          <c:x val="0.23557073748134427"/>
          <c:y val="2.2346315698141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84618790121125E-2"/>
          <c:y val="0.12451790633608813"/>
          <c:w val="0.85349397590361442"/>
          <c:h val="0.800819667686167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2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tx2"/>
                </a:solidFill>
                <a:prstDash val="solid"/>
              </a:ln>
            </c:spPr>
          </c:marker>
          <c:xVal>
            <c:numRef>
              <c:f>'E5.2'!$B$29:$B$46</c:f>
              <c:numCache>
                <c:formatCode>0.0%</c:formatCode>
                <c:ptCount val="18"/>
                <c:pt idx="0">
                  <c:v>0</c:v>
                </c:pt>
                <c:pt idx="1">
                  <c:v>9.3585273943665847E-3</c:v>
                </c:pt>
                <c:pt idx="2">
                  <c:v>1.4745755339355363E-2</c:v>
                </c:pt>
                <c:pt idx="3">
                  <c:v>2.3555810431573204E-2</c:v>
                </c:pt>
                <c:pt idx="4">
                  <c:v>4.1729392665670384E-2</c:v>
                </c:pt>
                <c:pt idx="5">
                  <c:v>7.8549033273819679E-2</c:v>
                </c:pt>
                <c:pt idx="6">
                  <c:v>0.14682658525744452</c:v>
                </c:pt>
                <c:pt idx="7">
                  <c:v>0.23581759121164383</c:v>
                </c:pt>
                <c:pt idx="8">
                  <c:v>0.33509257782481988</c:v>
                </c:pt>
                <c:pt idx="9">
                  <c:v>0.43716442319662863</c:v>
                </c:pt>
                <c:pt idx="10">
                  <c:v>0.52345906531720154</c:v>
                </c:pt>
                <c:pt idx="11">
                  <c:v>0.59756382302693722</c:v>
                </c:pt>
                <c:pt idx="12">
                  <c:v>0.66096362133712261</c:v>
                </c:pt>
                <c:pt idx="13">
                  <c:v>0.71524338020929956</c:v>
                </c:pt>
                <c:pt idx="14">
                  <c:v>0.76181402839156631</c:v>
                </c:pt>
                <c:pt idx="15">
                  <c:v>0.90696819810599572</c:v>
                </c:pt>
                <c:pt idx="16">
                  <c:v>0.96274738125724657</c:v>
                </c:pt>
                <c:pt idx="17">
                  <c:v>1</c:v>
                </c:pt>
              </c:numCache>
            </c:numRef>
          </c:xVal>
          <c:yVal>
            <c:numRef>
              <c:f>'E5.2'!$C$29:$C$46</c:f>
              <c:numCache>
                <c:formatCode>0.0%</c:formatCode>
                <c:ptCount val="18"/>
                <c:pt idx="0">
                  <c:v>0</c:v>
                </c:pt>
                <c:pt idx="1">
                  <c:v>7.7720685401110967E-4</c:v>
                </c:pt>
                <c:pt idx="2">
                  <c:v>1.8957029342506794E-3</c:v>
                </c:pt>
                <c:pt idx="3">
                  <c:v>4.4565036026369478E-3</c:v>
                </c:pt>
                <c:pt idx="4">
                  <c:v>1.1248260933229115E-2</c:v>
                </c:pt>
                <c:pt idx="5">
                  <c:v>2.8066144463770346E-2</c:v>
                </c:pt>
                <c:pt idx="6">
                  <c:v>6.4923180235942776E-2</c:v>
                </c:pt>
                <c:pt idx="7">
                  <c:v>0.12035210900195334</c:v>
                </c:pt>
                <c:pt idx="8">
                  <c:v>0.19043110461717883</c:v>
                </c:pt>
                <c:pt idx="9">
                  <c:v>0.27096128608426662</c:v>
                </c:pt>
                <c:pt idx="10">
                  <c:v>0.34621054669866985</c:v>
                </c:pt>
                <c:pt idx="11">
                  <c:v>0.41698443200859042</c:v>
                </c:pt>
                <c:pt idx="12">
                  <c:v>0.48279975170736483</c:v>
                </c:pt>
                <c:pt idx="13">
                  <c:v>0.54365538470379438</c:v>
                </c:pt>
                <c:pt idx="14">
                  <c:v>0.59973556365154113</c:v>
                </c:pt>
                <c:pt idx="15">
                  <c:v>0.81069388963982403</c:v>
                </c:pt>
                <c:pt idx="16">
                  <c:v>0.91492173838809565</c:v>
                </c:pt>
                <c:pt idx="17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9D-4562-A927-DED1A8D66725}"/>
            </c:ext>
          </c:extLst>
        </c:ser>
        <c:ser>
          <c:idx val="1"/>
          <c:order val="1"/>
          <c:spPr>
            <a:ln w="1905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'E5.2'!$B$29:$B$46</c:f>
              <c:numCache>
                <c:formatCode>0.0%</c:formatCode>
                <c:ptCount val="18"/>
                <c:pt idx="0">
                  <c:v>0</c:v>
                </c:pt>
                <c:pt idx="1">
                  <c:v>9.3585273943665847E-3</c:v>
                </c:pt>
                <c:pt idx="2">
                  <c:v>1.4745755339355363E-2</c:v>
                </c:pt>
                <c:pt idx="3">
                  <c:v>2.3555810431573204E-2</c:v>
                </c:pt>
                <c:pt idx="4">
                  <c:v>4.1729392665670384E-2</c:v>
                </c:pt>
                <c:pt idx="5">
                  <c:v>7.8549033273819679E-2</c:v>
                </c:pt>
                <c:pt idx="6">
                  <c:v>0.14682658525744452</c:v>
                </c:pt>
                <c:pt idx="7">
                  <c:v>0.23581759121164383</c:v>
                </c:pt>
                <c:pt idx="8">
                  <c:v>0.33509257782481988</c:v>
                </c:pt>
                <c:pt idx="9">
                  <c:v>0.43716442319662863</c:v>
                </c:pt>
                <c:pt idx="10">
                  <c:v>0.52345906531720154</c:v>
                </c:pt>
                <c:pt idx="11">
                  <c:v>0.59756382302693722</c:v>
                </c:pt>
                <c:pt idx="12">
                  <c:v>0.66096362133712261</c:v>
                </c:pt>
                <c:pt idx="13">
                  <c:v>0.71524338020929956</c:v>
                </c:pt>
                <c:pt idx="14">
                  <c:v>0.76181402839156631</c:v>
                </c:pt>
                <c:pt idx="15">
                  <c:v>0.90696819810599572</c:v>
                </c:pt>
                <c:pt idx="16">
                  <c:v>0.96274738125724657</c:v>
                </c:pt>
                <c:pt idx="17">
                  <c:v>1</c:v>
                </c:pt>
              </c:numCache>
            </c:numRef>
          </c:xVal>
          <c:yVal>
            <c:numRef>
              <c:f>'E5.2'!$B$29:$B$46</c:f>
              <c:numCache>
                <c:formatCode>0.0%</c:formatCode>
                <c:ptCount val="18"/>
                <c:pt idx="0">
                  <c:v>0</c:v>
                </c:pt>
                <c:pt idx="1">
                  <c:v>9.3585273943665847E-3</c:v>
                </c:pt>
                <c:pt idx="2">
                  <c:v>1.4745755339355363E-2</c:v>
                </c:pt>
                <c:pt idx="3">
                  <c:v>2.3555810431573204E-2</c:v>
                </c:pt>
                <c:pt idx="4">
                  <c:v>4.1729392665670384E-2</c:v>
                </c:pt>
                <c:pt idx="5">
                  <c:v>7.8549033273819679E-2</c:v>
                </c:pt>
                <c:pt idx="6">
                  <c:v>0.14682658525744452</c:v>
                </c:pt>
                <c:pt idx="7">
                  <c:v>0.23581759121164383</c:v>
                </c:pt>
                <c:pt idx="8">
                  <c:v>0.33509257782481988</c:v>
                </c:pt>
                <c:pt idx="9">
                  <c:v>0.43716442319662863</c:v>
                </c:pt>
                <c:pt idx="10">
                  <c:v>0.52345906531720154</c:v>
                </c:pt>
                <c:pt idx="11">
                  <c:v>0.59756382302693722</c:v>
                </c:pt>
                <c:pt idx="12">
                  <c:v>0.66096362133712261</c:v>
                </c:pt>
                <c:pt idx="13">
                  <c:v>0.71524338020929956</c:v>
                </c:pt>
                <c:pt idx="14">
                  <c:v>0.76181402839156631</c:v>
                </c:pt>
                <c:pt idx="15">
                  <c:v>0.90696819810599572</c:v>
                </c:pt>
                <c:pt idx="16">
                  <c:v>0.96274738125724657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9D-4562-A927-DED1A8D66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53680"/>
        <c:axId val="294353120"/>
      </c:scatterChart>
      <c:valAx>
        <c:axId val="294353680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0.94701686121919582"/>
              <c:y val="0.8805128160949247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120"/>
        <c:crosses val="autoZero"/>
        <c:crossBetween val="midCat"/>
        <c:majorUnit val="0.1"/>
      </c:valAx>
      <c:valAx>
        <c:axId val="29435312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Z'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2.4735216921414234E-2"/>
              <c:y val="4.2809537754061724E-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680"/>
        <c:crossesAt val="0"/>
        <c:crossBetween val="midCat"/>
      </c:valAx>
      <c:spPr>
        <a:solidFill>
          <a:srgbClr val="FFFFFF"/>
        </a:solidFill>
        <a:ln w="9525">
          <a:solidFill>
            <a:schemeClr val="bg1">
              <a:lumMod val="65000"/>
            </a:scheme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0">
      <a:solidFill>
        <a:schemeClr val="bg1">
          <a:lumMod val="75000"/>
        </a:schemeClr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233" r="0.75000000000000233" t="1" header="0.5" footer="0.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 sz="1100" b="1"/>
              <a:t>A programozók fizetés szerinti</a:t>
            </a:r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 sz="1100" b="1"/>
              <a:t>koncentrációja</a:t>
            </a:r>
          </a:p>
        </c:rich>
      </c:tx>
      <c:layout>
        <c:manualLayout>
          <c:xMode val="edge"/>
          <c:yMode val="edge"/>
          <c:x val="0.17347911330360813"/>
          <c:y val="2.23463069061892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84618790121125E-2"/>
          <c:y val="0.15206624846168088"/>
          <c:w val="0.85349397590361442"/>
          <c:h val="0.77327136493830384"/>
        </c:manualLayout>
      </c:layout>
      <c:scatterChart>
        <c:scatterStyle val="lineMarker"/>
        <c:varyColors val="0"/>
        <c:ser>
          <c:idx val="0"/>
          <c:order val="0"/>
          <c:spPr>
            <a:ln w="22225"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solidFill>
                  <a:schemeClr val="tx2"/>
                </a:solidFill>
                <a:prstDash val="solid"/>
              </a:ln>
            </c:spPr>
          </c:marker>
          <c:xVal>
            <c:numRef>
              <c:f>'E5.3'!$I$21:$I$31</c:f>
              <c:numCache>
                <c:formatCode>0.0%</c:formatCode>
                <c:ptCount val="11"/>
                <c:pt idx="0">
                  <c:v>0</c:v>
                </c:pt>
                <c:pt idx="1">
                  <c:v>0.10038610038610038</c:v>
                </c:pt>
                <c:pt idx="2">
                  <c:v>0.2</c:v>
                </c:pt>
                <c:pt idx="3">
                  <c:v>0.29961389961389961</c:v>
                </c:pt>
                <c:pt idx="4">
                  <c:v>0.41158301158301158</c:v>
                </c:pt>
                <c:pt idx="5">
                  <c:v>0.50115830115830118</c:v>
                </c:pt>
                <c:pt idx="6">
                  <c:v>0.60926640926640929</c:v>
                </c:pt>
                <c:pt idx="7">
                  <c:v>0.70115830115830113</c:v>
                </c:pt>
                <c:pt idx="8">
                  <c:v>0.83629343629343622</c:v>
                </c:pt>
                <c:pt idx="9">
                  <c:v>0.92895752895752892</c:v>
                </c:pt>
                <c:pt idx="10">
                  <c:v>1</c:v>
                </c:pt>
              </c:numCache>
            </c:numRef>
          </c:xVal>
          <c:yVal>
            <c:numRef>
              <c:f>'E5.3'!$J$21:$J$31</c:f>
              <c:numCache>
                <c:formatCode>0.0%</c:formatCode>
                <c:ptCount val="11"/>
                <c:pt idx="0">
                  <c:v>0</c:v>
                </c:pt>
                <c:pt idx="1">
                  <c:v>8.5190353512245177E-3</c:v>
                </c:pt>
                <c:pt idx="2">
                  <c:v>2.2793502416642672E-2</c:v>
                </c:pt>
                <c:pt idx="3">
                  <c:v>4.2097181223173991E-2</c:v>
                </c:pt>
                <c:pt idx="4">
                  <c:v>6.9793340148864222E-2</c:v>
                </c:pt>
                <c:pt idx="5">
                  <c:v>9.9102549053684375E-2</c:v>
                </c:pt>
                <c:pt idx="6">
                  <c:v>0.14515785596918415</c:v>
                </c:pt>
                <c:pt idx="7">
                  <c:v>0.20489624921919278</c:v>
                </c:pt>
                <c:pt idx="8">
                  <c:v>0.40881426281293032</c:v>
                </c:pt>
                <c:pt idx="9">
                  <c:v>0.64917996359643926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C-4BEA-8419-0C7D7A178B4C}"/>
            </c:ext>
          </c:extLst>
        </c:ser>
        <c:ser>
          <c:idx val="1"/>
          <c:order val="1"/>
          <c:spPr>
            <a:ln w="22225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'E5.3'!$I$21:$I$31</c:f>
              <c:numCache>
                <c:formatCode>0.0%</c:formatCode>
                <c:ptCount val="11"/>
                <c:pt idx="0">
                  <c:v>0</c:v>
                </c:pt>
                <c:pt idx="1">
                  <c:v>0.10038610038610038</c:v>
                </c:pt>
                <c:pt idx="2">
                  <c:v>0.2</c:v>
                </c:pt>
                <c:pt idx="3">
                  <c:v>0.29961389961389961</c:v>
                </c:pt>
                <c:pt idx="4">
                  <c:v>0.41158301158301158</c:v>
                </c:pt>
                <c:pt idx="5">
                  <c:v>0.50115830115830118</c:v>
                </c:pt>
                <c:pt idx="6">
                  <c:v>0.60926640926640929</c:v>
                </c:pt>
                <c:pt idx="7">
                  <c:v>0.70115830115830113</c:v>
                </c:pt>
                <c:pt idx="8">
                  <c:v>0.83629343629343622</c:v>
                </c:pt>
                <c:pt idx="9">
                  <c:v>0.92895752895752892</c:v>
                </c:pt>
                <c:pt idx="10">
                  <c:v>1</c:v>
                </c:pt>
              </c:numCache>
            </c:numRef>
          </c:xVal>
          <c:yVal>
            <c:numRef>
              <c:f>'E5.3'!$I$21:$I$31</c:f>
              <c:numCache>
                <c:formatCode>0.0%</c:formatCode>
                <c:ptCount val="11"/>
                <c:pt idx="0">
                  <c:v>0</c:v>
                </c:pt>
                <c:pt idx="1">
                  <c:v>0.10038610038610038</c:v>
                </c:pt>
                <c:pt idx="2">
                  <c:v>0.2</c:v>
                </c:pt>
                <c:pt idx="3">
                  <c:v>0.29961389961389961</c:v>
                </c:pt>
                <c:pt idx="4">
                  <c:v>0.41158301158301158</c:v>
                </c:pt>
                <c:pt idx="5">
                  <c:v>0.50115830115830118</c:v>
                </c:pt>
                <c:pt idx="6">
                  <c:v>0.60926640926640929</c:v>
                </c:pt>
                <c:pt idx="7">
                  <c:v>0.70115830115830113</c:v>
                </c:pt>
                <c:pt idx="8">
                  <c:v>0.83629343629343622</c:v>
                </c:pt>
                <c:pt idx="9">
                  <c:v>0.92895752895752892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3C-4BEA-8419-0C7D7A178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53680"/>
        <c:axId val="294353120"/>
      </c:scatterChart>
      <c:valAx>
        <c:axId val="294353680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0.94701686121919582"/>
              <c:y val="0.8805128160949247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120"/>
        <c:crosses val="autoZero"/>
        <c:crossBetween val="midCat"/>
        <c:majorUnit val="0.1"/>
      </c:valAx>
      <c:valAx>
        <c:axId val="29435312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Z'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2.4735234943881041E-2"/>
              <c:y val="6.6914159070365173E-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680"/>
        <c:crossesAt val="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233" r="0.75000000000000233" t="1" header="0.5" footer="0.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 sz="1100" b="1"/>
              <a:t>A programozók fizetés szerinti</a:t>
            </a:r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 sz="1100" b="1"/>
              <a:t>koncentrációja</a:t>
            </a:r>
          </a:p>
        </c:rich>
      </c:tx>
      <c:layout>
        <c:manualLayout>
          <c:xMode val="edge"/>
          <c:yMode val="edge"/>
          <c:x val="0.17347911330360813"/>
          <c:y val="2.23463069061892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84618790121125E-2"/>
          <c:y val="0.15206624846168088"/>
          <c:w val="0.85349397590361442"/>
          <c:h val="0.77327136493830384"/>
        </c:manualLayout>
      </c:layout>
      <c:scatterChart>
        <c:scatterStyle val="smoothMarker"/>
        <c:varyColors val="0"/>
        <c:ser>
          <c:idx val="0"/>
          <c:order val="0"/>
          <c:spPr>
            <a:ln w="22225">
              <a:solidFill>
                <a:schemeClr val="accent1"/>
              </a:solidFill>
              <a:prstDash val="solid"/>
            </a:ln>
          </c:spPr>
          <c:marker>
            <c:symbol val="none"/>
          </c:marker>
          <c:xVal>
            <c:numRef>
              <c:f>'E5.3'!$D$8:$D$1303</c:f>
              <c:numCache>
                <c:formatCode>0.000%</c:formatCode>
                <c:ptCount val="1296"/>
                <c:pt idx="0">
                  <c:v>0</c:v>
                </c:pt>
                <c:pt idx="1">
                  <c:v>7.722007722007722E-4</c:v>
                </c:pt>
                <c:pt idx="2">
                  <c:v>1.5444015444015444E-3</c:v>
                </c:pt>
                <c:pt idx="3">
                  <c:v>2.3166023166023165E-3</c:v>
                </c:pt>
                <c:pt idx="4">
                  <c:v>3.0888030888030888E-3</c:v>
                </c:pt>
                <c:pt idx="5">
                  <c:v>3.8610038610038611E-3</c:v>
                </c:pt>
                <c:pt idx="6">
                  <c:v>4.633204633204633E-3</c:v>
                </c:pt>
                <c:pt idx="7">
                  <c:v>5.4054054054054048E-3</c:v>
                </c:pt>
                <c:pt idx="8">
                  <c:v>6.1776061776061767E-3</c:v>
                </c:pt>
                <c:pt idx="9">
                  <c:v>6.9498069498069486E-3</c:v>
                </c:pt>
                <c:pt idx="10">
                  <c:v>7.7220077220077205E-3</c:v>
                </c:pt>
                <c:pt idx="11">
                  <c:v>8.4942084942084932E-3</c:v>
                </c:pt>
                <c:pt idx="12">
                  <c:v>9.2664092664092659E-3</c:v>
                </c:pt>
                <c:pt idx="13">
                  <c:v>1.0038610038610039E-2</c:v>
                </c:pt>
                <c:pt idx="14">
                  <c:v>1.0810810810810811E-2</c:v>
                </c:pt>
                <c:pt idx="15">
                  <c:v>1.1583011583011584E-2</c:v>
                </c:pt>
                <c:pt idx="16">
                  <c:v>1.2355212355212357E-2</c:v>
                </c:pt>
                <c:pt idx="17">
                  <c:v>1.312741312741313E-2</c:v>
                </c:pt>
                <c:pt idx="18">
                  <c:v>1.3899613899613902E-2</c:v>
                </c:pt>
                <c:pt idx="19">
                  <c:v>1.4671814671814675E-2</c:v>
                </c:pt>
                <c:pt idx="20">
                  <c:v>1.5444015444015448E-2</c:v>
                </c:pt>
                <c:pt idx="21">
                  <c:v>1.6216216216216221E-2</c:v>
                </c:pt>
                <c:pt idx="22">
                  <c:v>1.6988416988416993E-2</c:v>
                </c:pt>
                <c:pt idx="23">
                  <c:v>1.7760617760617766E-2</c:v>
                </c:pt>
                <c:pt idx="24">
                  <c:v>1.8532818532818539E-2</c:v>
                </c:pt>
                <c:pt idx="25">
                  <c:v>1.9305019305019312E-2</c:v>
                </c:pt>
                <c:pt idx="26">
                  <c:v>2.0077220077220084E-2</c:v>
                </c:pt>
                <c:pt idx="27">
                  <c:v>2.0849420849420857E-2</c:v>
                </c:pt>
                <c:pt idx="28">
                  <c:v>2.162162162162163E-2</c:v>
                </c:pt>
                <c:pt idx="29">
                  <c:v>2.2393822393822403E-2</c:v>
                </c:pt>
                <c:pt idx="30">
                  <c:v>2.3166023166023175E-2</c:v>
                </c:pt>
                <c:pt idx="31">
                  <c:v>2.3938223938223948E-2</c:v>
                </c:pt>
                <c:pt idx="32">
                  <c:v>2.4710424710424721E-2</c:v>
                </c:pt>
                <c:pt idx="33">
                  <c:v>2.5482625482625493E-2</c:v>
                </c:pt>
                <c:pt idx="34">
                  <c:v>2.6254826254826266E-2</c:v>
                </c:pt>
                <c:pt idx="35">
                  <c:v>2.7027027027027039E-2</c:v>
                </c:pt>
                <c:pt idx="36">
                  <c:v>2.7799227799227812E-2</c:v>
                </c:pt>
                <c:pt idx="37">
                  <c:v>2.8571428571428584E-2</c:v>
                </c:pt>
                <c:pt idx="38">
                  <c:v>2.9343629343629357E-2</c:v>
                </c:pt>
                <c:pt idx="39">
                  <c:v>3.011583011583013E-2</c:v>
                </c:pt>
                <c:pt idx="40">
                  <c:v>3.0888030888030903E-2</c:v>
                </c:pt>
                <c:pt idx="41">
                  <c:v>3.1660231660231672E-2</c:v>
                </c:pt>
                <c:pt idx="42">
                  <c:v>3.2432432432432441E-2</c:v>
                </c:pt>
                <c:pt idx="43">
                  <c:v>3.320463320463321E-2</c:v>
                </c:pt>
                <c:pt idx="44">
                  <c:v>3.397683397683398E-2</c:v>
                </c:pt>
                <c:pt idx="45">
                  <c:v>3.4749034749034749E-2</c:v>
                </c:pt>
                <c:pt idx="46">
                  <c:v>3.5521235521235518E-2</c:v>
                </c:pt>
                <c:pt idx="47">
                  <c:v>3.6293436293436288E-2</c:v>
                </c:pt>
                <c:pt idx="48">
                  <c:v>3.7065637065637057E-2</c:v>
                </c:pt>
                <c:pt idx="49">
                  <c:v>3.7837837837837826E-2</c:v>
                </c:pt>
                <c:pt idx="50">
                  <c:v>3.8610038610038595E-2</c:v>
                </c:pt>
                <c:pt idx="51">
                  <c:v>3.9382239382239365E-2</c:v>
                </c:pt>
                <c:pt idx="52">
                  <c:v>4.0154440154440134E-2</c:v>
                </c:pt>
                <c:pt idx="53">
                  <c:v>4.0926640926640903E-2</c:v>
                </c:pt>
                <c:pt idx="54">
                  <c:v>4.1698841698841672E-2</c:v>
                </c:pt>
                <c:pt idx="55">
                  <c:v>4.2471042471042442E-2</c:v>
                </c:pt>
                <c:pt idx="56">
                  <c:v>4.3243243243243211E-2</c:v>
                </c:pt>
                <c:pt idx="57">
                  <c:v>4.401544401544398E-2</c:v>
                </c:pt>
                <c:pt idx="58">
                  <c:v>4.4787644787644749E-2</c:v>
                </c:pt>
                <c:pt idx="59">
                  <c:v>4.5559845559845519E-2</c:v>
                </c:pt>
                <c:pt idx="60">
                  <c:v>4.6332046332046288E-2</c:v>
                </c:pt>
                <c:pt idx="61">
                  <c:v>4.7104247104247057E-2</c:v>
                </c:pt>
                <c:pt idx="62">
                  <c:v>4.7876447876447827E-2</c:v>
                </c:pt>
                <c:pt idx="63">
                  <c:v>4.8648648648648596E-2</c:v>
                </c:pt>
                <c:pt idx="64">
                  <c:v>4.9420849420849365E-2</c:v>
                </c:pt>
                <c:pt idx="65">
                  <c:v>5.0193050193050134E-2</c:v>
                </c:pt>
                <c:pt idx="66">
                  <c:v>5.0965250965250904E-2</c:v>
                </c:pt>
                <c:pt idx="67">
                  <c:v>5.1737451737451673E-2</c:v>
                </c:pt>
                <c:pt idx="68">
                  <c:v>5.2509652509652442E-2</c:v>
                </c:pt>
                <c:pt idx="69">
                  <c:v>5.3281853281853211E-2</c:v>
                </c:pt>
                <c:pt idx="70">
                  <c:v>5.4054054054053981E-2</c:v>
                </c:pt>
                <c:pt idx="71">
                  <c:v>5.482625482625475E-2</c:v>
                </c:pt>
                <c:pt idx="72">
                  <c:v>5.5598455598455519E-2</c:v>
                </c:pt>
                <c:pt idx="73">
                  <c:v>5.6370656370656289E-2</c:v>
                </c:pt>
                <c:pt idx="74">
                  <c:v>5.7142857142857058E-2</c:v>
                </c:pt>
                <c:pt idx="75">
                  <c:v>5.7915057915057827E-2</c:v>
                </c:pt>
                <c:pt idx="76">
                  <c:v>5.8687258687258596E-2</c:v>
                </c:pt>
                <c:pt idx="77">
                  <c:v>5.9459459459459366E-2</c:v>
                </c:pt>
                <c:pt idx="78">
                  <c:v>6.0231660231660135E-2</c:v>
                </c:pt>
                <c:pt idx="79">
                  <c:v>6.1003861003860904E-2</c:v>
                </c:pt>
                <c:pt idx="80">
                  <c:v>6.1776061776061673E-2</c:v>
                </c:pt>
                <c:pt idx="81">
                  <c:v>6.2548262548262443E-2</c:v>
                </c:pt>
                <c:pt idx="82">
                  <c:v>6.3320463320463219E-2</c:v>
                </c:pt>
                <c:pt idx="83">
                  <c:v>6.4092664092663995E-2</c:v>
                </c:pt>
                <c:pt idx="84">
                  <c:v>6.4864864864864771E-2</c:v>
                </c:pt>
                <c:pt idx="85">
                  <c:v>6.5637065637065548E-2</c:v>
                </c:pt>
                <c:pt idx="86">
                  <c:v>6.6409266409266324E-2</c:v>
                </c:pt>
                <c:pt idx="87">
                  <c:v>6.71814671814671E-2</c:v>
                </c:pt>
                <c:pt idx="88">
                  <c:v>6.7953667953667876E-2</c:v>
                </c:pt>
                <c:pt idx="89">
                  <c:v>6.8725868725868652E-2</c:v>
                </c:pt>
                <c:pt idx="90">
                  <c:v>6.9498069498069429E-2</c:v>
                </c:pt>
                <c:pt idx="91">
                  <c:v>7.0270270270270205E-2</c:v>
                </c:pt>
                <c:pt idx="92">
                  <c:v>7.1042471042470981E-2</c:v>
                </c:pt>
                <c:pt idx="93">
                  <c:v>7.1814671814671757E-2</c:v>
                </c:pt>
                <c:pt idx="94">
                  <c:v>7.2586872586872533E-2</c:v>
                </c:pt>
                <c:pt idx="95">
                  <c:v>7.335907335907331E-2</c:v>
                </c:pt>
                <c:pt idx="96">
                  <c:v>7.4131274131274086E-2</c:v>
                </c:pt>
                <c:pt idx="97">
                  <c:v>7.4903474903474862E-2</c:v>
                </c:pt>
                <c:pt idx="98">
                  <c:v>7.5675675675675638E-2</c:v>
                </c:pt>
                <c:pt idx="99">
                  <c:v>7.6447876447876414E-2</c:v>
                </c:pt>
                <c:pt idx="100">
                  <c:v>7.7220077220077191E-2</c:v>
                </c:pt>
                <c:pt idx="101">
                  <c:v>7.7992277992277967E-2</c:v>
                </c:pt>
                <c:pt idx="102">
                  <c:v>7.8764478764478743E-2</c:v>
                </c:pt>
                <c:pt idx="103">
                  <c:v>7.9536679536679519E-2</c:v>
                </c:pt>
                <c:pt idx="104">
                  <c:v>8.0308880308880295E-2</c:v>
                </c:pt>
                <c:pt idx="105">
                  <c:v>8.1081081081081072E-2</c:v>
                </c:pt>
                <c:pt idx="106">
                  <c:v>8.1853281853281848E-2</c:v>
                </c:pt>
                <c:pt idx="107">
                  <c:v>8.2625482625482624E-2</c:v>
                </c:pt>
                <c:pt idx="108">
                  <c:v>8.33976833976834E-2</c:v>
                </c:pt>
                <c:pt idx="109">
                  <c:v>8.4169884169884177E-2</c:v>
                </c:pt>
                <c:pt idx="110">
                  <c:v>8.4942084942084953E-2</c:v>
                </c:pt>
                <c:pt idx="111">
                  <c:v>8.5714285714285729E-2</c:v>
                </c:pt>
                <c:pt idx="112">
                  <c:v>8.6486486486486505E-2</c:v>
                </c:pt>
                <c:pt idx="113">
                  <c:v>8.7258687258687281E-2</c:v>
                </c:pt>
                <c:pt idx="114">
                  <c:v>8.8030888030888058E-2</c:v>
                </c:pt>
                <c:pt idx="115">
                  <c:v>8.8803088803088834E-2</c:v>
                </c:pt>
                <c:pt idx="116">
                  <c:v>8.957528957528961E-2</c:v>
                </c:pt>
                <c:pt idx="117">
                  <c:v>9.0347490347490386E-2</c:v>
                </c:pt>
                <c:pt idx="118">
                  <c:v>9.1119691119691162E-2</c:v>
                </c:pt>
                <c:pt idx="119">
                  <c:v>9.1891891891891939E-2</c:v>
                </c:pt>
                <c:pt idx="120">
                  <c:v>9.2664092664092715E-2</c:v>
                </c:pt>
                <c:pt idx="121">
                  <c:v>9.3436293436293491E-2</c:v>
                </c:pt>
                <c:pt idx="122">
                  <c:v>9.4208494208494267E-2</c:v>
                </c:pt>
                <c:pt idx="123">
                  <c:v>9.4980694980695043E-2</c:v>
                </c:pt>
                <c:pt idx="124">
                  <c:v>9.575289575289582E-2</c:v>
                </c:pt>
                <c:pt idx="125">
                  <c:v>9.6525096525096596E-2</c:v>
                </c:pt>
                <c:pt idx="126">
                  <c:v>9.7297297297297372E-2</c:v>
                </c:pt>
                <c:pt idx="127">
                  <c:v>9.8069498069498148E-2</c:v>
                </c:pt>
                <c:pt idx="128">
                  <c:v>9.8841698841698925E-2</c:v>
                </c:pt>
                <c:pt idx="129">
                  <c:v>9.9613899613899701E-2</c:v>
                </c:pt>
                <c:pt idx="130">
                  <c:v>0.10038610038610048</c:v>
                </c:pt>
                <c:pt idx="131">
                  <c:v>0.10115830115830125</c:v>
                </c:pt>
                <c:pt idx="132">
                  <c:v>0.10193050193050203</c:v>
                </c:pt>
                <c:pt idx="133">
                  <c:v>0.10270270270270281</c:v>
                </c:pt>
                <c:pt idx="134">
                  <c:v>0.10347490347490358</c:v>
                </c:pt>
                <c:pt idx="135">
                  <c:v>0.10424710424710436</c:v>
                </c:pt>
                <c:pt idx="136">
                  <c:v>0.10501930501930513</c:v>
                </c:pt>
                <c:pt idx="137">
                  <c:v>0.10579150579150591</c:v>
                </c:pt>
                <c:pt idx="138">
                  <c:v>0.10656370656370669</c:v>
                </c:pt>
                <c:pt idx="139">
                  <c:v>0.10733590733590746</c:v>
                </c:pt>
                <c:pt idx="140">
                  <c:v>0.10810810810810824</c:v>
                </c:pt>
                <c:pt idx="141">
                  <c:v>0.10888030888030902</c:v>
                </c:pt>
                <c:pt idx="142">
                  <c:v>0.10965250965250979</c:v>
                </c:pt>
                <c:pt idx="143">
                  <c:v>0.11042471042471057</c:v>
                </c:pt>
                <c:pt idx="144">
                  <c:v>0.11119691119691134</c:v>
                </c:pt>
                <c:pt idx="145">
                  <c:v>0.11196911196911212</c:v>
                </c:pt>
                <c:pt idx="146">
                  <c:v>0.1127413127413129</c:v>
                </c:pt>
                <c:pt idx="147">
                  <c:v>0.11351351351351367</c:v>
                </c:pt>
                <c:pt idx="148">
                  <c:v>0.11428571428571445</c:v>
                </c:pt>
                <c:pt idx="149">
                  <c:v>0.11505791505791522</c:v>
                </c:pt>
                <c:pt idx="150">
                  <c:v>0.115830115830116</c:v>
                </c:pt>
                <c:pt idx="151">
                  <c:v>0.11660231660231678</c:v>
                </c:pt>
                <c:pt idx="152">
                  <c:v>0.11737451737451755</c:v>
                </c:pt>
                <c:pt idx="153">
                  <c:v>0.11814671814671833</c:v>
                </c:pt>
                <c:pt idx="154">
                  <c:v>0.11891891891891911</c:v>
                </c:pt>
                <c:pt idx="155">
                  <c:v>0.11969111969111988</c:v>
                </c:pt>
                <c:pt idx="156">
                  <c:v>0.12046332046332066</c:v>
                </c:pt>
                <c:pt idx="157">
                  <c:v>0.12123552123552143</c:v>
                </c:pt>
                <c:pt idx="158">
                  <c:v>0.12200772200772221</c:v>
                </c:pt>
                <c:pt idx="159">
                  <c:v>0.12277992277992299</c:v>
                </c:pt>
                <c:pt idx="160">
                  <c:v>0.12355212355212376</c:v>
                </c:pt>
                <c:pt idx="161">
                  <c:v>0.12432432432432454</c:v>
                </c:pt>
                <c:pt idx="162">
                  <c:v>0.1250965250965253</c:v>
                </c:pt>
                <c:pt idx="163">
                  <c:v>0.12586872586872608</c:v>
                </c:pt>
                <c:pt idx="164">
                  <c:v>0.12664092664092685</c:v>
                </c:pt>
                <c:pt idx="165">
                  <c:v>0.12741312741312763</c:v>
                </c:pt>
                <c:pt idx="166">
                  <c:v>0.12818532818532841</c:v>
                </c:pt>
                <c:pt idx="167">
                  <c:v>0.12895752895752918</c:v>
                </c:pt>
                <c:pt idx="168">
                  <c:v>0.12972972972972996</c:v>
                </c:pt>
                <c:pt idx="169">
                  <c:v>0.13050193050193074</c:v>
                </c:pt>
                <c:pt idx="170">
                  <c:v>0.13127413127413151</c:v>
                </c:pt>
                <c:pt idx="171">
                  <c:v>0.13204633204633229</c:v>
                </c:pt>
                <c:pt idx="172">
                  <c:v>0.13281853281853306</c:v>
                </c:pt>
                <c:pt idx="173">
                  <c:v>0.13359073359073384</c:v>
                </c:pt>
                <c:pt idx="174">
                  <c:v>0.13436293436293462</c:v>
                </c:pt>
                <c:pt idx="175">
                  <c:v>0.13513513513513539</c:v>
                </c:pt>
                <c:pt idx="176">
                  <c:v>0.13590733590733617</c:v>
                </c:pt>
                <c:pt idx="177">
                  <c:v>0.13667953667953694</c:v>
                </c:pt>
                <c:pt idx="178">
                  <c:v>0.13745173745173772</c:v>
                </c:pt>
                <c:pt idx="179">
                  <c:v>0.1382239382239385</c:v>
                </c:pt>
                <c:pt idx="180">
                  <c:v>0.13899613899613927</c:v>
                </c:pt>
                <c:pt idx="181">
                  <c:v>0.13976833976834005</c:v>
                </c:pt>
                <c:pt idx="182">
                  <c:v>0.14054054054054083</c:v>
                </c:pt>
                <c:pt idx="183">
                  <c:v>0.1413127413127416</c:v>
                </c:pt>
                <c:pt idx="184">
                  <c:v>0.14208494208494238</c:v>
                </c:pt>
                <c:pt idx="185">
                  <c:v>0.14285714285714315</c:v>
                </c:pt>
                <c:pt idx="186">
                  <c:v>0.14362934362934393</c:v>
                </c:pt>
                <c:pt idx="187">
                  <c:v>0.14440154440154471</c:v>
                </c:pt>
                <c:pt idx="188">
                  <c:v>0.14517374517374548</c:v>
                </c:pt>
                <c:pt idx="189">
                  <c:v>0.14594594594594626</c:v>
                </c:pt>
                <c:pt idx="190">
                  <c:v>0.14671814671814704</c:v>
                </c:pt>
                <c:pt idx="191">
                  <c:v>0.14749034749034781</c:v>
                </c:pt>
                <c:pt idx="192">
                  <c:v>0.14826254826254859</c:v>
                </c:pt>
                <c:pt idx="193">
                  <c:v>0.14903474903474936</c:v>
                </c:pt>
                <c:pt idx="194">
                  <c:v>0.14980694980695014</c:v>
                </c:pt>
                <c:pt idx="195">
                  <c:v>0.15057915057915092</c:v>
                </c:pt>
                <c:pt idx="196">
                  <c:v>0.15135135135135169</c:v>
                </c:pt>
                <c:pt idx="197">
                  <c:v>0.15212355212355247</c:v>
                </c:pt>
                <c:pt idx="198">
                  <c:v>0.15289575289575325</c:v>
                </c:pt>
                <c:pt idx="199">
                  <c:v>0.15366795366795402</c:v>
                </c:pt>
                <c:pt idx="200">
                  <c:v>0.1544401544401548</c:v>
                </c:pt>
                <c:pt idx="201">
                  <c:v>0.15521235521235557</c:v>
                </c:pt>
                <c:pt idx="202">
                  <c:v>0.15598455598455635</c:v>
                </c:pt>
                <c:pt idx="203">
                  <c:v>0.15675675675675713</c:v>
                </c:pt>
                <c:pt idx="204">
                  <c:v>0.1575289575289579</c:v>
                </c:pt>
                <c:pt idx="205">
                  <c:v>0.15830115830115868</c:v>
                </c:pt>
                <c:pt idx="206">
                  <c:v>0.15907335907335945</c:v>
                </c:pt>
                <c:pt idx="207">
                  <c:v>0.15984555984556023</c:v>
                </c:pt>
                <c:pt idx="208">
                  <c:v>0.16061776061776101</c:v>
                </c:pt>
                <c:pt idx="209">
                  <c:v>0.16138996138996178</c:v>
                </c:pt>
                <c:pt idx="210">
                  <c:v>0.16216216216216256</c:v>
                </c:pt>
                <c:pt idx="211">
                  <c:v>0.16293436293436334</c:v>
                </c:pt>
                <c:pt idx="212">
                  <c:v>0.16370656370656411</c:v>
                </c:pt>
                <c:pt idx="213">
                  <c:v>0.16447876447876489</c:v>
                </c:pt>
                <c:pt idx="214">
                  <c:v>0.16525096525096566</c:v>
                </c:pt>
                <c:pt idx="215">
                  <c:v>0.16602316602316644</c:v>
                </c:pt>
                <c:pt idx="216">
                  <c:v>0.16679536679536722</c:v>
                </c:pt>
                <c:pt idx="217">
                  <c:v>0.16756756756756799</c:v>
                </c:pt>
                <c:pt idx="218">
                  <c:v>0.16833976833976877</c:v>
                </c:pt>
                <c:pt idx="219">
                  <c:v>0.16911196911196955</c:v>
                </c:pt>
                <c:pt idx="220">
                  <c:v>0.16988416988417032</c:v>
                </c:pt>
                <c:pt idx="221">
                  <c:v>0.1706563706563711</c:v>
                </c:pt>
                <c:pt idx="222">
                  <c:v>0.17142857142857187</c:v>
                </c:pt>
                <c:pt idx="223">
                  <c:v>0.17220077220077265</c:v>
                </c:pt>
                <c:pt idx="224">
                  <c:v>0.17297297297297343</c:v>
                </c:pt>
                <c:pt idx="225">
                  <c:v>0.1737451737451742</c:v>
                </c:pt>
                <c:pt idx="226">
                  <c:v>0.17451737451737498</c:v>
                </c:pt>
                <c:pt idx="227">
                  <c:v>0.17528957528957576</c:v>
                </c:pt>
                <c:pt idx="228">
                  <c:v>0.17606177606177653</c:v>
                </c:pt>
                <c:pt idx="229">
                  <c:v>0.17683397683397731</c:v>
                </c:pt>
                <c:pt idx="230">
                  <c:v>0.17760617760617808</c:v>
                </c:pt>
                <c:pt idx="231">
                  <c:v>0.17837837837837886</c:v>
                </c:pt>
                <c:pt idx="232">
                  <c:v>0.17915057915057964</c:v>
                </c:pt>
                <c:pt idx="233">
                  <c:v>0.17992277992278041</c:v>
                </c:pt>
                <c:pt idx="234">
                  <c:v>0.18069498069498119</c:v>
                </c:pt>
                <c:pt idx="235">
                  <c:v>0.18146718146718196</c:v>
                </c:pt>
                <c:pt idx="236">
                  <c:v>0.18223938223938274</c:v>
                </c:pt>
                <c:pt idx="237">
                  <c:v>0.18301158301158352</c:v>
                </c:pt>
                <c:pt idx="238">
                  <c:v>0.18378378378378429</c:v>
                </c:pt>
                <c:pt idx="239">
                  <c:v>0.18455598455598507</c:v>
                </c:pt>
                <c:pt idx="240">
                  <c:v>0.18532818532818585</c:v>
                </c:pt>
                <c:pt idx="241">
                  <c:v>0.18610038610038662</c:v>
                </c:pt>
                <c:pt idx="242">
                  <c:v>0.1868725868725874</c:v>
                </c:pt>
                <c:pt idx="243">
                  <c:v>0.18764478764478817</c:v>
                </c:pt>
                <c:pt idx="244">
                  <c:v>0.18841698841698895</c:v>
                </c:pt>
                <c:pt idx="245">
                  <c:v>0.18918918918918973</c:v>
                </c:pt>
                <c:pt idx="246">
                  <c:v>0.1899613899613905</c:v>
                </c:pt>
                <c:pt idx="247">
                  <c:v>0.19073359073359128</c:v>
                </c:pt>
                <c:pt idx="248">
                  <c:v>0.19150579150579206</c:v>
                </c:pt>
                <c:pt idx="249">
                  <c:v>0.19227799227799283</c:v>
                </c:pt>
                <c:pt idx="250">
                  <c:v>0.19305019305019361</c:v>
                </c:pt>
                <c:pt idx="251">
                  <c:v>0.19382239382239438</c:v>
                </c:pt>
                <c:pt idx="252">
                  <c:v>0.19459459459459516</c:v>
                </c:pt>
                <c:pt idx="253">
                  <c:v>0.19536679536679594</c:v>
                </c:pt>
                <c:pt idx="254">
                  <c:v>0.19613899613899671</c:v>
                </c:pt>
                <c:pt idx="255">
                  <c:v>0.19691119691119749</c:v>
                </c:pt>
                <c:pt idx="256">
                  <c:v>0.19768339768339827</c:v>
                </c:pt>
                <c:pt idx="257">
                  <c:v>0.19845559845559904</c:v>
                </c:pt>
                <c:pt idx="258">
                  <c:v>0.19922779922779982</c:v>
                </c:pt>
                <c:pt idx="259">
                  <c:v>0.20000000000000059</c:v>
                </c:pt>
                <c:pt idx="260">
                  <c:v>0.20077220077220137</c:v>
                </c:pt>
                <c:pt idx="261">
                  <c:v>0.20154440154440215</c:v>
                </c:pt>
                <c:pt idx="262">
                  <c:v>0.20231660231660292</c:v>
                </c:pt>
                <c:pt idx="263">
                  <c:v>0.2030888030888037</c:v>
                </c:pt>
                <c:pt idx="264">
                  <c:v>0.20386100386100448</c:v>
                </c:pt>
                <c:pt idx="265">
                  <c:v>0.20463320463320525</c:v>
                </c:pt>
                <c:pt idx="266">
                  <c:v>0.20540540540540603</c:v>
                </c:pt>
                <c:pt idx="267">
                  <c:v>0.2061776061776068</c:v>
                </c:pt>
                <c:pt idx="268">
                  <c:v>0.20694980694980758</c:v>
                </c:pt>
                <c:pt idx="269">
                  <c:v>0.20772200772200836</c:v>
                </c:pt>
                <c:pt idx="270">
                  <c:v>0.20849420849420913</c:v>
                </c:pt>
                <c:pt idx="271">
                  <c:v>0.20926640926640991</c:v>
                </c:pt>
                <c:pt idx="272">
                  <c:v>0.21003861003861068</c:v>
                </c:pt>
                <c:pt idx="273">
                  <c:v>0.21081081081081146</c:v>
                </c:pt>
                <c:pt idx="274">
                  <c:v>0.21158301158301224</c:v>
                </c:pt>
                <c:pt idx="275">
                  <c:v>0.21235521235521301</c:v>
                </c:pt>
                <c:pt idx="276">
                  <c:v>0.21312741312741379</c:v>
                </c:pt>
                <c:pt idx="277">
                  <c:v>0.21389961389961457</c:v>
                </c:pt>
                <c:pt idx="278">
                  <c:v>0.21467181467181534</c:v>
                </c:pt>
                <c:pt idx="279">
                  <c:v>0.21544401544401612</c:v>
                </c:pt>
                <c:pt idx="280">
                  <c:v>0.21621621621621689</c:v>
                </c:pt>
                <c:pt idx="281">
                  <c:v>0.21698841698841767</c:v>
                </c:pt>
                <c:pt idx="282">
                  <c:v>0.21776061776061845</c:v>
                </c:pt>
                <c:pt idx="283">
                  <c:v>0.21853281853281922</c:v>
                </c:pt>
                <c:pt idx="284">
                  <c:v>0.21930501930502</c:v>
                </c:pt>
                <c:pt idx="285">
                  <c:v>0.22007722007722078</c:v>
                </c:pt>
                <c:pt idx="286">
                  <c:v>0.22084942084942155</c:v>
                </c:pt>
                <c:pt idx="287">
                  <c:v>0.22162162162162233</c:v>
                </c:pt>
                <c:pt idx="288">
                  <c:v>0.2223938223938231</c:v>
                </c:pt>
                <c:pt idx="289">
                  <c:v>0.22316602316602388</c:v>
                </c:pt>
                <c:pt idx="290">
                  <c:v>0.22393822393822466</c:v>
                </c:pt>
                <c:pt idx="291">
                  <c:v>0.22471042471042543</c:v>
                </c:pt>
                <c:pt idx="292">
                  <c:v>0.22548262548262621</c:v>
                </c:pt>
                <c:pt idx="293">
                  <c:v>0.22625482625482699</c:v>
                </c:pt>
                <c:pt idx="294">
                  <c:v>0.22702702702702776</c:v>
                </c:pt>
                <c:pt idx="295">
                  <c:v>0.22779922779922854</c:v>
                </c:pt>
                <c:pt idx="296">
                  <c:v>0.22857142857142931</c:v>
                </c:pt>
                <c:pt idx="297">
                  <c:v>0.22934362934363009</c:v>
                </c:pt>
                <c:pt idx="298">
                  <c:v>0.23011583011583087</c:v>
                </c:pt>
                <c:pt idx="299">
                  <c:v>0.23088803088803164</c:v>
                </c:pt>
                <c:pt idx="300">
                  <c:v>0.23166023166023242</c:v>
                </c:pt>
                <c:pt idx="301">
                  <c:v>0.23243243243243319</c:v>
                </c:pt>
                <c:pt idx="302">
                  <c:v>0.23320463320463397</c:v>
                </c:pt>
                <c:pt idx="303">
                  <c:v>0.23397683397683475</c:v>
                </c:pt>
                <c:pt idx="304">
                  <c:v>0.23474903474903552</c:v>
                </c:pt>
                <c:pt idx="305">
                  <c:v>0.2355212355212363</c:v>
                </c:pt>
                <c:pt idx="306">
                  <c:v>0.23629343629343708</c:v>
                </c:pt>
                <c:pt idx="307">
                  <c:v>0.23706563706563785</c:v>
                </c:pt>
                <c:pt idx="308">
                  <c:v>0.23783783783783863</c:v>
                </c:pt>
                <c:pt idx="309">
                  <c:v>0.2386100386100394</c:v>
                </c:pt>
                <c:pt idx="310">
                  <c:v>0.23938223938224018</c:v>
                </c:pt>
                <c:pt idx="311">
                  <c:v>0.24015444015444096</c:v>
                </c:pt>
                <c:pt idx="312">
                  <c:v>0.24092664092664173</c:v>
                </c:pt>
                <c:pt idx="313">
                  <c:v>0.24169884169884251</c:v>
                </c:pt>
                <c:pt idx="314">
                  <c:v>0.24247104247104329</c:v>
                </c:pt>
                <c:pt idx="315">
                  <c:v>0.24324324324324406</c:v>
                </c:pt>
                <c:pt idx="316">
                  <c:v>0.24401544401544484</c:v>
                </c:pt>
                <c:pt idx="317">
                  <c:v>0.24478764478764561</c:v>
                </c:pt>
                <c:pt idx="318">
                  <c:v>0.24555984555984639</c:v>
                </c:pt>
                <c:pt idx="319">
                  <c:v>0.24633204633204717</c:v>
                </c:pt>
                <c:pt idx="320">
                  <c:v>0.24710424710424794</c:v>
                </c:pt>
                <c:pt idx="321">
                  <c:v>0.24787644787644872</c:v>
                </c:pt>
                <c:pt idx="322">
                  <c:v>0.2486486486486495</c:v>
                </c:pt>
                <c:pt idx="323">
                  <c:v>0.24942084942085027</c:v>
                </c:pt>
                <c:pt idx="324">
                  <c:v>0.25019305019305105</c:v>
                </c:pt>
                <c:pt idx="325">
                  <c:v>0.2509652509652518</c:v>
                </c:pt>
                <c:pt idx="326">
                  <c:v>0.25173745173745254</c:v>
                </c:pt>
                <c:pt idx="327">
                  <c:v>0.25250965250965329</c:v>
                </c:pt>
                <c:pt idx="328">
                  <c:v>0.25328185328185404</c:v>
                </c:pt>
                <c:pt idx="329">
                  <c:v>0.25405405405405479</c:v>
                </c:pt>
                <c:pt idx="330">
                  <c:v>0.25482625482625554</c:v>
                </c:pt>
                <c:pt idx="331">
                  <c:v>0.25559845559845629</c:v>
                </c:pt>
                <c:pt idx="332">
                  <c:v>0.25637065637065704</c:v>
                </c:pt>
                <c:pt idx="333">
                  <c:v>0.25714285714285778</c:v>
                </c:pt>
                <c:pt idx="334">
                  <c:v>0.25791505791505853</c:v>
                </c:pt>
                <c:pt idx="335">
                  <c:v>0.25868725868725928</c:v>
                </c:pt>
                <c:pt idx="336">
                  <c:v>0.25945945945946003</c:v>
                </c:pt>
                <c:pt idx="337">
                  <c:v>0.26023166023166078</c:v>
                </c:pt>
                <c:pt idx="338">
                  <c:v>0.26100386100386153</c:v>
                </c:pt>
                <c:pt idx="339">
                  <c:v>0.26177606177606227</c:v>
                </c:pt>
                <c:pt idx="340">
                  <c:v>0.26254826254826302</c:v>
                </c:pt>
                <c:pt idx="341">
                  <c:v>0.26332046332046377</c:v>
                </c:pt>
                <c:pt idx="342">
                  <c:v>0.26409266409266452</c:v>
                </c:pt>
                <c:pt idx="343">
                  <c:v>0.26486486486486527</c:v>
                </c:pt>
                <c:pt idx="344">
                  <c:v>0.26563706563706602</c:v>
                </c:pt>
                <c:pt idx="345">
                  <c:v>0.26640926640926677</c:v>
                </c:pt>
                <c:pt idx="346">
                  <c:v>0.26718146718146751</c:v>
                </c:pt>
                <c:pt idx="347">
                  <c:v>0.26795366795366826</c:v>
                </c:pt>
                <c:pt idx="348">
                  <c:v>0.26872586872586901</c:v>
                </c:pt>
                <c:pt idx="349">
                  <c:v>0.26949806949806976</c:v>
                </c:pt>
                <c:pt idx="350">
                  <c:v>0.27027027027027051</c:v>
                </c:pt>
                <c:pt idx="351">
                  <c:v>0.27104247104247126</c:v>
                </c:pt>
                <c:pt idx="352">
                  <c:v>0.271814671814672</c:v>
                </c:pt>
                <c:pt idx="353">
                  <c:v>0.27258687258687275</c:v>
                </c:pt>
                <c:pt idx="354">
                  <c:v>0.2733590733590735</c:v>
                </c:pt>
                <c:pt idx="355">
                  <c:v>0.27413127413127425</c:v>
                </c:pt>
                <c:pt idx="356">
                  <c:v>0.274903474903475</c:v>
                </c:pt>
                <c:pt idx="357">
                  <c:v>0.27567567567567575</c:v>
                </c:pt>
                <c:pt idx="358">
                  <c:v>0.27644787644787649</c:v>
                </c:pt>
                <c:pt idx="359">
                  <c:v>0.27722007722007724</c:v>
                </c:pt>
                <c:pt idx="360">
                  <c:v>0.27799227799227799</c:v>
                </c:pt>
                <c:pt idx="361">
                  <c:v>0.27876447876447874</c:v>
                </c:pt>
                <c:pt idx="362">
                  <c:v>0.27953667953667949</c:v>
                </c:pt>
                <c:pt idx="363">
                  <c:v>0.28030888030888024</c:v>
                </c:pt>
                <c:pt idx="364">
                  <c:v>0.28108108108108099</c:v>
                </c:pt>
                <c:pt idx="365">
                  <c:v>0.28185328185328173</c:v>
                </c:pt>
                <c:pt idx="366">
                  <c:v>0.28262548262548248</c:v>
                </c:pt>
                <c:pt idx="367">
                  <c:v>0.28339768339768323</c:v>
                </c:pt>
                <c:pt idx="368">
                  <c:v>0.28416988416988398</c:v>
                </c:pt>
                <c:pt idx="369">
                  <c:v>0.28494208494208473</c:v>
                </c:pt>
                <c:pt idx="370">
                  <c:v>0.28571428571428548</c:v>
                </c:pt>
                <c:pt idx="371">
                  <c:v>0.28648648648648622</c:v>
                </c:pt>
                <c:pt idx="372">
                  <c:v>0.28725868725868697</c:v>
                </c:pt>
                <c:pt idx="373">
                  <c:v>0.28803088803088772</c:v>
                </c:pt>
                <c:pt idx="374">
                  <c:v>0.28880308880308847</c:v>
                </c:pt>
                <c:pt idx="375">
                  <c:v>0.28957528957528922</c:v>
                </c:pt>
                <c:pt idx="376">
                  <c:v>0.29034749034748997</c:v>
                </c:pt>
                <c:pt idx="377">
                  <c:v>0.29111969111969072</c:v>
                </c:pt>
                <c:pt idx="378">
                  <c:v>0.29189189189189146</c:v>
                </c:pt>
                <c:pt idx="379">
                  <c:v>0.29266409266409221</c:v>
                </c:pt>
                <c:pt idx="380">
                  <c:v>0.29343629343629296</c:v>
                </c:pt>
                <c:pt idx="381">
                  <c:v>0.29420849420849371</c:v>
                </c:pt>
                <c:pt idx="382">
                  <c:v>0.29498069498069446</c:v>
                </c:pt>
                <c:pt idx="383">
                  <c:v>0.29575289575289521</c:v>
                </c:pt>
                <c:pt idx="384">
                  <c:v>0.29652509652509595</c:v>
                </c:pt>
                <c:pt idx="385">
                  <c:v>0.2972972972972967</c:v>
                </c:pt>
                <c:pt idx="386">
                  <c:v>0.29806949806949745</c:v>
                </c:pt>
                <c:pt idx="387">
                  <c:v>0.2988416988416982</c:v>
                </c:pt>
                <c:pt idx="388">
                  <c:v>0.29961389961389895</c:v>
                </c:pt>
                <c:pt idx="389">
                  <c:v>0.3003861003860997</c:v>
                </c:pt>
                <c:pt idx="390">
                  <c:v>0.30115830115830045</c:v>
                </c:pt>
                <c:pt idx="391">
                  <c:v>0.30193050193050119</c:v>
                </c:pt>
                <c:pt idx="392">
                  <c:v>0.30270270270270194</c:v>
                </c:pt>
                <c:pt idx="393">
                  <c:v>0.30347490347490269</c:v>
                </c:pt>
                <c:pt idx="394">
                  <c:v>0.30424710424710344</c:v>
                </c:pt>
                <c:pt idx="395">
                  <c:v>0.30501930501930419</c:v>
                </c:pt>
                <c:pt idx="396">
                  <c:v>0.30579150579150494</c:v>
                </c:pt>
                <c:pt idx="397">
                  <c:v>0.30656370656370568</c:v>
                </c:pt>
                <c:pt idx="398">
                  <c:v>0.30733590733590643</c:v>
                </c:pt>
                <c:pt idx="399">
                  <c:v>0.30810810810810718</c:v>
                </c:pt>
                <c:pt idx="400">
                  <c:v>0.30888030888030793</c:v>
                </c:pt>
                <c:pt idx="401">
                  <c:v>0.30965250965250868</c:v>
                </c:pt>
                <c:pt idx="402">
                  <c:v>0.31042471042470943</c:v>
                </c:pt>
                <c:pt idx="403">
                  <c:v>0.31119691119691018</c:v>
                </c:pt>
                <c:pt idx="404">
                  <c:v>0.31196911196911092</c:v>
                </c:pt>
                <c:pt idx="405">
                  <c:v>0.31274131274131167</c:v>
                </c:pt>
                <c:pt idx="406">
                  <c:v>0.31351351351351242</c:v>
                </c:pt>
                <c:pt idx="407">
                  <c:v>0.31428571428571317</c:v>
                </c:pt>
                <c:pt idx="408">
                  <c:v>0.31505791505791392</c:v>
                </c:pt>
                <c:pt idx="409">
                  <c:v>0.31583011583011467</c:v>
                </c:pt>
                <c:pt idx="410">
                  <c:v>0.31660231660231541</c:v>
                </c:pt>
                <c:pt idx="411">
                  <c:v>0.31737451737451616</c:v>
                </c:pt>
                <c:pt idx="412">
                  <c:v>0.31814671814671691</c:v>
                </c:pt>
                <c:pt idx="413">
                  <c:v>0.31891891891891766</c:v>
                </c:pt>
                <c:pt idx="414">
                  <c:v>0.31969111969111841</c:v>
                </c:pt>
                <c:pt idx="415">
                  <c:v>0.32046332046331916</c:v>
                </c:pt>
                <c:pt idx="416">
                  <c:v>0.32123552123551991</c:v>
                </c:pt>
                <c:pt idx="417">
                  <c:v>0.32200772200772065</c:v>
                </c:pt>
                <c:pt idx="418">
                  <c:v>0.3227799227799214</c:v>
                </c:pt>
                <c:pt idx="419">
                  <c:v>0.32355212355212215</c:v>
                </c:pt>
                <c:pt idx="420">
                  <c:v>0.3243243243243229</c:v>
                </c:pt>
                <c:pt idx="421">
                  <c:v>0.32509652509652365</c:v>
                </c:pt>
                <c:pt idx="422">
                  <c:v>0.3258687258687244</c:v>
                </c:pt>
                <c:pt idx="423">
                  <c:v>0.32664092664092514</c:v>
                </c:pt>
                <c:pt idx="424">
                  <c:v>0.32741312741312589</c:v>
                </c:pt>
                <c:pt idx="425">
                  <c:v>0.32818532818532664</c:v>
                </c:pt>
                <c:pt idx="426">
                  <c:v>0.32895752895752739</c:v>
                </c:pt>
                <c:pt idx="427">
                  <c:v>0.32972972972972814</c:v>
                </c:pt>
                <c:pt idx="428">
                  <c:v>0.33050193050192889</c:v>
                </c:pt>
                <c:pt idx="429">
                  <c:v>0.33127413127412964</c:v>
                </c:pt>
                <c:pt idx="430">
                  <c:v>0.33204633204633038</c:v>
                </c:pt>
                <c:pt idx="431">
                  <c:v>0.33281853281853113</c:v>
                </c:pt>
                <c:pt idx="432">
                  <c:v>0.33359073359073188</c:v>
                </c:pt>
                <c:pt idx="433">
                  <c:v>0.33436293436293263</c:v>
                </c:pt>
                <c:pt idx="434">
                  <c:v>0.33513513513513338</c:v>
                </c:pt>
                <c:pt idx="435">
                  <c:v>0.33590733590733413</c:v>
                </c:pt>
                <c:pt idx="436">
                  <c:v>0.33667953667953487</c:v>
                </c:pt>
                <c:pt idx="437">
                  <c:v>0.33745173745173562</c:v>
                </c:pt>
                <c:pt idx="438">
                  <c:v>0.33822393822393637</c:v>
                </c:pt>
                <c:pt idx="439">
                  <c:v>0.33899613899613712</c:v>
                </c:pt>
                <c:pt idx="440">
                  <c:v>0.33976833976833787</c:v>
                </c:pt>
                <c:pt idx="441">
                  <c:v>0.34054054054053862</c:v>
                </c:pt>
                <c:pt idx="442">
                  <c:v>0.34131274131273937</c:v>
                </c:pt>
                <c:pt idx="443">
                  <c:v>0.34208494208494011</c:v>
                </c:pt>
                <c:pt idx="444">
                  <c:v>0.34285714285714086</c:v>
                </c:pt>
                <c:pt idx="445">
                  <c:v>0.34362934362934161</c:v>
                </c:pt>
                <c:pt idx="446">
                  <c:v>0.34440154440154236</c:v>
                </c:pt>
                <c:pt idx="447">
                  <c:v>0.34517374517374311</c:v>
                </c:pt>
                <c:pt idx="448">
                  <c:v>0.34594594594594386</c:v>
                </c:pt>
                <c:pt idx="449">
                  <c:v>0.3467181467181446</c:v>
                </c:pt>
                <c:pt idx="450">
                  <c:v>0.34749034749034535</c:v>
                </c:pt>
                <c:pt idx="451">
                  <c:v>0.3482625482625461</c:v>
                </c:pt>
                <c:pt idx="452">
                  <c:v>0.34903474903474685</c:v>
                </c:pt>
                <c:pt idx="453">
                  <c:v>0.3498069498069476</c:v>
                </c:pt>
                <c:pt idx="454">
                  <c:v>0.35057915057914835</c:v>
                </c:pt>
                <c:pt idx="455">
                  <c:v>0.35135135135134909</c:v>
                </c:pt>
                <c:pt idx="456">
                  <c:v>0.35212355212354984</c:v>
                </c:pt>
                <c:pt idx="457">
                  <c:v>0.35289575289575059</c:v>
                </c:pt>
                <c:pt idx="458">
                  <c:v>0.35366795366795134</c:v>
                </c:pt>
                <c:pt idx="459">
                  <c:v>0.35444015444015209</c:v>
                </c:pt>
                <c:pt idx="460">
                  <c:v>0.35521235521235284</c:v>
                </c:pt>
                <c:pt idx="461">
                  <c:v>0.35598455598455359</c:v>
                </c:pt>
                <c:pt idx="462">
                  <c:v>0.35675675675675433</c:v>
                </c:pt>
                <c:pt idx="463">
                  <c:v>0.35752895752895508</c:v>
                </c:pt>
                <c:pt idx="464">
                  <c:v>0.35830115830115583</c:v>
                </c:pt>
                <c:pt idx="465">
                  <c:v>0.35907335907335658</c:v>
                </c:pt>
                <c:pt idx="466">
                  <c:v>0.35984555984555733</c:v>
                </c:pt>
                <c:pt idx="467">
                  <c:v>0.36061776061775808</c:v>
                </c:pt>
                <c:pt idx="468">
                  <c:v>0.36138996138995882</c:v>
                </c:pt>
                <c:pt idx="469">
                  <c:v>0.36216216216215957</c:v>
                </c:pt>
                <c:pt idx="470">
                  <c:v>0.36293436293436032</c:v>
                </c:pt>
                <c:pt idx="471">
                  <c:v>0.36370656370656107</c:v>
                </c:pt>
                <c:pt idx="472">
                  <c:v>0.36447876447876182</c:v>
                </c:pt>
                <c:pt idx="473">
                  <c:v>0.36525096525096257</c:v>
                </c:pt>
                <c:pt idx="474">
                  <c:v>0.36602316602316332</c:v>
                </c:pt>
                <c:pt idx="475">
                  <c:v>0.36679536679536406</c:v>
                </c:pt>
                <c:pt idx="476">
                  <c:v>0.36756756756756481</c:v>
                </c:pt>
                <c:pt idx="477">
                  <c:v>0.36833976833976556</c:v>
                </c:pt>
                <c:pt idx="478">
                  <c:v>0.36911196911196631</c:v>
                </c:pt>
                <c:pt idx="479">
                  <c:v>0.36988416988416706</c:v>
                </c:pt>
                <c:pt idx="480">
                  <c:v>0.37065637065636781</c:v>
                </c:pt>
                <c:pt idx="481">
                  <c:v>0.37142857142856855</c:v>
                </c:pt>
                <c:pt idx="482">
                  <c:v>0.3722007722007693</c:v>
                </c:pt>
                <c:pt idx="483">
                  <c:v>0.37297297297297005</c:v>
                </c:pt>
                <c:pt idx="484">
                  <c:v>0.3737451737451708</c:v>
                </c:pt>
                <c:pt idx="485">
                  <c:v>0.37451737451737155</c:v>
                </c:pt>
                <c:pt idx="486">
                  <c:v>0.3752895752895723</c:v>
                </c:pt>
                <c:pt idx="487">
                  <c:v>0.37606177606177305</c:v>
                </c:pt>
                <c:pt idx="488">
                  <c:v>0.37683397683397379</c:v>
                </c:pt>
                <c:pt idx="489">
                  <c:v>0.37760617760617454</c:v>
                </c:pt>
                <c:pt idx="490">
                  <c:v>0.37837837837837529</c:v>
                </c:pt>
                <c:pt idx="491">
                  <c:v>0.37915057915057604</c:v>
                </c:pt>
                <c:pt idx="492">
                  <c:v>0.37992277992277679</c:v>
                </c:pt>
                <c:pt idx="493">
                  <c:v>0.38069498069497754</c:v>
                </c:pt>
                <c:pt idx="494">
                  <c:v>0.38146718146717828</c:v>
                </c:pt>
                <c:pt idx="495">
                  <c:v>0.38223938223937903</c:v>
                </c:pt>
                <c:pt idx="496">
                  <c:v>0.38301158301157978</c:v>
                </c:pt>
                <c:pt idx="497">
                  <c:v>0.38378378378378053</c:v>
                </c:pt>
                <c:pt idx="498">
                  <c:v>0.38455598455598128</c:v>
                </c:pt>
                <c:pt idx="499">
                  <c:v>0.38532818532818203</c:v>
                </c:pt>
                <c:pt idx="500">
                  <c:v>0.38610038610038278</c:v>
                </c:pt>
                <c:pt idx="501">
                  <c:v>0.38687258687258352</c:v>
                </c:pt>
                <c:pt idx="502">
                  <c:v>0.38764478764478427</c:v>
                </c:pt>
                <c:pt idx="503">
                  <c:v>0.38841698841698502</c:v>
                </c:pt>
                <c:pt idx="504">
                  <c:v>0.38918918918918577</c:v>
                </c:pt>
                <c:pt idx="505">
                  <c:v>0.38996138996138652</c:v>
                </c:pt>
                <c:pt idx="506">
                  <c:v>0.39073359073358727</c:v>
                </c:pt>
                <c:pt idx="507">
                  <c:v>0.39150579150578801</c:v>
                </c:pt>
                <c:pt idx="508">
                  <c:v>0.39227799227798876</c:v>
                </c:pt>
                <c:pt idx="509">
                  <c:v>0.39305019305018951</c:v>
                </c:pt>
                <c:pt idx="510">
                  <c:v>0.39382239382239026</c:v>
                </c:pt>
                <c:pt idx="511">
                  <c:v>0.39459459459459101</c:v>
                </c:pt>
                <c:pt idx="512">
                  <c:v>0.39536679536679176</c:v>
                </c:pt>
                <c:pt idx="513">
                  <c:v>0.39613899613899251</c:v>
                </c:pt>
                <c:pt idx="514">
                  <c:v>0.39691119691119325</c:v>
                </c:pt>
                <c:pt idx="515">
                  <c:v>0.397683397683394</c:v>
                </c:pt>
                <c:pt idx="516">
                  <c:v>0.39845559845559475</c:v>
                </c:pt>
                <c:pt idx="517">
                  <c:v>0.3992277992277955</c:v>
                </c:pt>
                <c:pt idx="518">
                  <c:v>0.39999999999999625</c:v>
                </c:pt>
                <c:pt idx="519">
                  <c:v>0.400772200772197</c:v>
                </c:pt>
                <c:pt idx="520">
                  <c:v>0.40154440154439774</c:v>
                </c:pt>
                <c:pt idx="521">
                  <c:v>0.40231660231659849</c:v>
                </c:pt>
                <c:pt idx="522">
                  <c:v>0.40308880308879924</c:v>
                </c:pt>
                <c:pt idx="523">
                  <c:v>0.40386100386099999</c:v>
                </c:pt>
                <c:pt idx="524">
                  <c:v>0.40463320463320074</c:v>
                </c:pt>
                <c:pt idx="525">
                  <c:v>0.40540540540540149</c:v>
                </c:pt>
                <c:pt idx="526">
                  <c:v>0.40617760617760224</c:v>
                </c:pt>
                <c:pt idx="527">
                  <c:v>0.40694980694980298</c:v>
                </c:pt>
                <c:pt idx="528">
                  <c:v>0.40772200772200373</c:v>
                </c:pt>
                <c:pt idx="529">
                  <c:v>0.40849420849420448</c:v>
                </c:pt>
                <c:pt idx="530">
                  <c:v>0.40926640926640523</c:v>
                </c:pt>
                <c:pt idx="531">
                  <c:v>0.41003861003860598</c:v>
                </c:pt>
                <c:pt idx="532">
                  <c:v>0.41081081081080673</c:v>
                </c:pt>
                <c:pt idx="533">
                  <c:v>0.41158301158300747</c:v>
                </c:pt>
                <c:pt idx="534">
                  <c:v>0.41235521235520822</c:v>
                </c:pt>
                <c:pt idx="535">
                  <c:v>0.41312741312740897</c:v>
                </c:pt>
                <c:pt idx="536">
                  <c:v>0.41389961389960972</c:v>
                </c:pt>
                <c:pt idx="537">
                  <c:v>0.41467181467181047</c:v>
                </c:pt>
                <c:pt idx="538">
                  <c:v>0.41544401544401122</c:v>
                </c:pt>
                <c:pt idx="539">
                  <c:v>0.41621621621621196</c:v>
                </c:pt>
                <c:pt idx="540">
                  <c:v>0.41698841698841271</c:v>
                </c:pt>
                <c:pt idx="541">
                  <c:v>0.41776061776061346</c:v>
                </c:pt>
                <c:pt idx="542">
                  <c:v>0.41853281853281421</c:v>
                </c:pt>
                <c:pt idx="543">
                  <c:v>0.41930501930501496</c:v>
                </c:pt>
                <c:pt idx="544">
                  <c:v>0.42007722007721571</c:v>
                </c:pt>
                <c:pt idx="545">
                  <c:v>0.42084942084941646</c:v>
                </c:pt>
                <c:pt idx="546">
                  <c:v>0.4216216216216172</c:v>
                </c:pt>
                <c:pt idx="547">
                  <c:v>0.42239382239381795</c:v>
                </c:pt>
                <c:pt idx="548">
                  <c:v>0.4231660231660187</c:v>
                </c:pt>
                <c:pt idx="549">
                  <c:v>0.42393822393821945</c:v>
                </c:pt>
                <c:pt idx="550">
                  <c:v>0.4247104247104202</c:v>
                </c:pt>
                <c:pt idx="551">
                  <c:v>0.42548262548262095</c:v>
                </c:pt>
                <c:pt idx="552">
                  <c:v>0.42625482625482169</c:v>
                </c:pt>
                <c:pt idx="553">
                  <c:v>0.42702702702702244</c:v>
                </c:pt>
                <c:pt idx="554">
                  <c:v>0.42779922779922319</c:v>
                </c:pt>
                <c:pt idx="555">
                  <c:v>0.42857142857142394</c:v>
                </c:pt>
                <c:pt idx="556">
                  <c:v>0.42934362934362469</c:v>
                </c:pt>
                <c:pt idx="557">
                  <c:v>0.43011583011582544</c:v>
                </c:pt>
                <c:pt idx="558">
                  <c:v>0.43088803088802619</c:v>
                </c:pt>
                <c:pt idx="559">
                  <c:v>0.43166023166022693</c:v>
                </c:pt>
                <c:pt idx="560">
                  <c:v>0.43243243243242768</c:v>
                </c:pt>
                <c:pt idx="561">
                  <c:v>0.43320463320462843</c:v>
                </c:pt>
                <c:pt idx="562">
                  <c:v>0.43397683397682918</c:v>
                </c:pt>
                <c:pt idx="563">
                  <c:v>0.43474903474902993</c:v>
                </c:pt>
                <c:pt idx="564">
                  <c:v>0.43552123552123068</c:v>
                </c:pt>
                <c:pt idx="565">
                  <c:v>0.43629343629343142</c:v>
                </c:pt>
                <c:pt idx="566">
                  <c:v>0.43706563706563217</c:v>
                </c:pt>
                <c:pt idx="567">
                  <c:v>0.43783783783783292</c:v>
                </c:pt>
                <c:pt idx="568">
                  <c:v>0.43861003861003367</c:v>
                </c:pt>
                <c:pt idx="569">
                  <c:v>0.43938223938223442</c:v>
                </c:pt>
                <c:pt idx="570">
                  <c:v>0.44015444015443517</c:v>
                </c:pt>
                <c:pt idx="571">
                  <c:v>0.44092664092663592</c:v>
                </c:pt>
                <c:pt idx="572">
                  <c:v>0.44169884169883666</c:v>
                </c:pt>
                <c:pt idx="573">
                  <c:v>0.44247104247103741</c:v>
                </c:pt>
                <c:pt idx="574">
                  <c:v>0.44324324324323816</c:v>
                </c:pt>
                <c:pt idx="575">
                  <c:v>0.44401544401543891</c:v>
                </c:pt>
                <c:pt idx="576">
                  <c:v>0.44478764478763966</c:v>
                </c:pt>
                <c:pt idx="577">
                  <c:v>0.44555984555984041</c:v>
                </c:pt>
                <c:pt idx="578">
                  <c:v>0.44633204633204115</c:v>
                </c:pt>
                <c:pt idx="579">
                  <c:v>0.4471042471042419</c:v>
                </c:pt>
                <c:pt idx="580">
                  <c:v>0.44787644787644265</c:v>
                </c:pt>
                <c:pt idx="581">
                  <c:v>0.4486486486486434</c:v>
                </c:pt>
                <c:pt idx="582">
                  <c:v>0.44942084942084415</c:v>
                </c:pt>
                <c:pt idx="583">
                  <c:v>0.4501930501930449</c:v>
                </c:pt>
                <c:pt idx="584">
                  <c:v>0.45096525096524565</c:v>
                </c:pt>
                <c:pt idx="585">
                  <c:v>0.45173745173744639</c:v>
                </c:pt>
                <c:pt idx="586">
                  <c:v>0.45250965250964714</c:v>
                </c:pt>
                <c:pt idx="587">
                  <c:v>0.45328185328184789</c:v>
                </c:pt>
                <c:pt idx="588">
                  <c:v>0.45405405405404864</c:v>
                </c:pt>
                <c:pt idx="589">
                  <c:v>0.45482625482624939</c:v>
                </c:pt>
                <c:pt idx="590">
                  <c:v>0.45559845559845014</c:v>
                </c:pt>
                <c:pt idx="591">
                  <c:v>0.45637065637065088</c:v>
                </c:pt>
                <c:pt idx="592">
                  <c:v>0.45714285714285163</c:v>
                </c:pt>
                <c:pt idx="593">
                  <c:v>0.45791505791505238</c:v>
                </c:pt>
                <c:pt idx="594">
                  <c:v>0.45868725868725313</c:v>
                </c:pt>
                <c:pt idx="595">
                  <c:v>0.45945945945945388</c:v>
                </c:pt>
                <c:pt idx="596">
                  <c:v>0.46023166023165463</c:v>
                </c:pt>
                <c:pt idx="597">
                  <c:v>0.46100386100385538</c:v>
                </c:pt>
                <c:pt idx="598">
                  <c:v>0.46177606177605612</c:v>
                </c:pt>
                <c:pt idx="599">
                  <c:v>0.46254826254825687</c:v>
                </c:pt>
                <c:pt idx="600">
                  <c:v>0.46332046332045762</c:v>
                </c:pt>
                <c:pt idx="601">
                  <c:v>0.46409266409265837</c:v>
                </c:pt>
                <c:pt idx="602">
                  <c:v>0.46486486486485912</c:v>
                </c:pt>
                <c:pt idx="603">
                  <c:v>0.46563706563705987</c:v>
                </c:pt>
                <c:pt idx="604">
                  <c:v>0.46640926640926061</c:v>
                </c:pt>
                <c:pt idx="605">
                  <c:v>0.46718146718146136</c:v>
                </c:pt>
                <c:pt idx="606">
                  <c:v>0.46795366795366211</c:v>
                </c:pt>
                <c:pt idx="607">
                  <c:v>0.46872586872586286</c:v>
                </c:pt>
                <c:pt idx="608">
                  <c:v>0.46949806949806361</c:v>
                </c:pt>
                <c:pt idx="609">
                  <c:v>0.47027027027026436</c:v>
                </c:pt>
                <c:pt idx="610">
                  <c:v>0.47104247104246511</c:v>
                </c:pt>
                <c:pt idx="611">
                  <c:v>0.47181467181466585</c:v>
                </c:pt>
                <c:pt idx="612">
                  <c:v>0.4725868725868666</c:v>
                </c:pt>
                <c:pt idx="613">
                  <c:v>0.47335907335906735</c:v>
                </c:pt>
                <c:pt idx="614">
                  <c:v>0.4741312741312681</c:v>
                </c:pt>
                <c:pt idx="615">
                  <c:v>0.47490347490346885</c:v>
                </c:pt>
                <c:pt idx="616">
                  <c:v>0.4756756756756696</c:v>
                </c:pt>
                <c:pt idx="617">
                  <c:v>0.47644787644787034</c:v>
                </c:pt>
                <c:pt idx="618">
                  <c:v>0.47722007722007109</c:v>
                </c:pt>
                <c:pt idx="619">
                  <c:v>0.47799227799227184</c:v>
                </c:pt>
                <c:pt idx="620">
                  <c:v>0.47876447876447259</c:v>
                </c:pt>
                <c:pt idx="621">
                  <c:v>0.47953667953667334</c:v>
                </c:pt>
                <c:pt idx="622">
                  <c:v>0.48030888030887409</c:v>
                </c:pt>
                <c:pt idx="623">
                  <c:v>0.48108108108107484</c:v>
                </c:pt>
                <c:pt idx="624">
                  <c:v>0.48185328185327558</c:v>
                </c:pt>
                <c:pt idx="625">
                  <c:v>0.48262548262547633</c:v>
                </c:pt>
                <c:pt idx="626">
                  <c:v>0.48339768339767708</c:v>
                </c:pt>
                <c:pt idx="627">
                  <c:v>0.48416988416987783</c:v>
                </c:pt>
                <c:pt idx="628">
                  <c:v>0.48494208494207858</c:v>
                </c:pt>
                <c:pt idx="629">
                  <c:v>0.48571428571427933</c:v>
                </c:pt>
                <c:pt idx="630">
                  <c:v>0.48648648648648007</c:v>
                </c:pt>
                <c:pt idx="631">
                  <c:v>0.48725868725868082</c:v>
                </c:pt>
                <c:pt idx="632">
                  <c:v>0.48803088803088157</c:v>
                </c:pt>
                <c:pt idx="633">
                  <c:v>0.48880308880308232</c:v>
                </c:pt>
                <c:pt idx="634">
                  <c:v>0.48957528957528307</c:v>
                </c:pt>
                <c:pt idx="635">
                  <c:v>0.49034749034748382</c:v>
                </c:pt>
                <c:pt idx="636">
                  <c:v>0.49111969111968456</c:v>
                </c:pt>
                <c:pt idx="637">
                  <c:v>0.49189189189188531</c:v>
                </c:pt>
                <c:pt idx="638">
                  <c:v>0.49266409266408606</c:v>
                </c:pt>
                <c:pt idx="639">
                  <c:v>0.49343629343628681</c:v>
                </c:pt>
                <c:pt idx="640">
                  <c:v>0.49420849420848756</c:v>
                </c:pt>
                <c:pt idx="641">
                  <c:v>0.49498069498068831</c:v>
                </c:pt>
                <c:pt idx="642">
                  <c:v>0.49575289575288906</c:v>
                </c:pt>
                <c:pt idx="643">
                  <c:v>0.4965250965250898</c:v>
                </c:pt>
                <c:pt idx="644">
                  <c:v>0.49729729729729055</c:v>
                </c:pt>
                <c:pt idx="645">
                  <c:v>0.4980694980694913</c:v>
                </c:pt>
                <c:pt idx="646">
                  <c:v>0.49884169884169205</c:v>
                </c:pt>
                <c:pt idx="647">
                  <c:v>0.4996138996138928</c:v>
                </c:pt>
                <c:pt idx="648">
                  <c:v>0.50038610038609355</c:v>
                </c:pt>
                <c:pt idx="649">
                  <c:v>0.50115830115829429</c:v>
                </c:pt>
                <c:pt idx="650">
                  <c:v>0.50193050193049504</c:v>
                </c:pt>
                <c:pt idx="651">
                  <c:v>0.50270270270269579</c:v>
                </c:pt>
                <c:pt idx="652">
                  <c:v>0.50347490347489654</c:v>
                </c:pt>
                <c:pt idx="653">
                  <c:v>0.50424710424709729</c:v>
                </c:pt>
                <c:pt idx="654">
                  <c:v>0.50501930501929804</c:v>
                </c:pt>
                <c:pt idx="655">
                  <c:v>0.50579150579149879</c:v>
                </c:pt>
                <c:pt idx="656">
                  <c:v>0.50656370656369953</c:v>
                </c:pt>
                <c:pt idx="657">
                  <c:v>0.50733590733590028</c:v>
                </c:pt>
                <c:pt idx="658">
                  <c:v>0.50810810810810103</c:v>
                </c:pt>
                <c:pt idx="659">
                  <c:v>0.50888030888030178</c:v>
                </c:pt>
                <c:pt idx="660">
                  <c:v>0.50965250965250253</c:v>
                </c:pt>
                <c:pt idx="661">
                  <c:v>0.51042471042470328</c:v>
                </c:pt>
                <c:pt idx="662">
                  <c:v>0.51119691119690402</c:v>
                </c:pt>
                <c:pt idx="663">
                  <c:v>0.51196911196910477</c:v>
                </c:pt>
                <c:pt idx="664">
                  <c:v>0.51274131274130552</c:v>
                </c:pt>
                <c:pt idx="665">
                  <c:v>0.51351351351350627</c:v>
                </c:pt>
                <c:pt idx="666">
                  <c:v>0.51428571428570702</c:v>
                </c:pt>
                <c:pt idx="667">
                  <c:v>0.51505791505790777</c:v>
                </c:pt>
                <c:pt idx="668">
                  <c:v>0.51583011583010852</c:v>
                </c:pt>
                <c:pt idx="669">
                  <c:v>0.51660231660230926</c:v>
                </c:pt>
                <c:pt idx="670">
                  <c:v>0.51737451737451001</c:v>
                </c:pt>
                <c:pt idx="671">
                  <c:v>0.51814671814671076</c:v>
                </c:pt>
                <c:pt idx="672">
                  <c:v>0.51891891891891151</c:v>
                </c:pt>
                <c:pt idx="673">
                  <c:v>0.51969111969111226</c:v>
                </c:pt>
                <c:pt idx="674">
                  <c:v>0.52046332046331301</c:v>
                </c:pt>
                <c:pt idx="675">
                  <c:v>0.52123552123551375</c:v>
                </c:pt>
                <c:pt idx="676">
                  <c:v>0.5220077220077145</c:v>
                </c:pt>
                <c:pt idx="677">
                  <c:v>0.52277992277991525</c:v>
                </c:pt>
                <c:pt idx="678">
                  <c:v>0.523552123552116</c:v>
                </c:pt>
                <c:pt idx="679">
                  <c:v>0.52432432432431675</c:v>
                </c:pt>
                <c:pt idx="680">
                  <c:v>0.5250965250965175</c:v>
                </c:pt>
                <c:pt idx="681">
                  <c:v>0.52586872586871825</c:v>
                </c:pt>
                <c:pt idx="682">
                  <c:v>0.52664092664091899</c:v>
                </c:pt>
                <c:pt idx="683">
                  <c:v>0.52741312741311974</c:v>
                </c:pt>
                <c:pt idx="684">
                  <c:v>0.52818532818532049</c:v>
                </c:pt>
                <c:pt idx="685">
                  <c:v>0.52895752895752124</c:v>
                </c:pt>
                <c:pt idx="686">
                  <c:v>0.52972972972972199</c:v>
                </c:pt>
                <c:pt idx="687">
                  <c:v>0.53050193050192274</c:v>
                </c:pt>
                <c:pt idx="688">
                  <c:v>0.53127413127412348</c:v>
                </c:pt>
                <c:pt idx="689">
                  <c:v>0.53204633204632423</c:v>
                </c:pt>
                <c:pt idx="690">
                  <c:v>0.53281853281852498</c:v>
                </c:pt>
                <c:pt idx="691">
                  <c:v>0.53359073359072573</c:v>
                </c:pt>
                <c:pt idx="692">
                  <c:v>0.53436293436292648</c:v>
                </c:pt>
                <c:pt idx="693">
                  <c:v>0.53513513513512723</c:v>
                </c:pt>
                <c:pt idx="694">
                  <c:v>0.53590733590732798</c:v>
                </c:pt>
                <c:pt idx="695">
                  <c:v>0.53667953667952872</c:v>
                </c:pt>
                <c:pt idx="696">
                  <c:v>0.53745173745172947</c:v>
                </c:pt>
                <c:pt idx="697">
                  <c:v>0.53822393822393022</c:v>
                </c:pt>
                <c:pt idx="698">
                  <c:v>0.53899613899613097</c:v>
                </c:pt>
                <c:pt idx="699">
                  <c:v>0.53976833976833172</c:v>
                </c:pt>
                <c:pt idx="700">
                  <c:v>0.54054054054053247</c:v>
                </c:pt>
                <c:pt idx="701">
                  <c:v>0.54131274131273321</c:v>
                </c:pt>
                <c:pt idx="702">
                  <c:v>0.54208494208493396</c:v>
                </c:pt>
                <c:pt idx="703">
                  <c:v>0.54285714285713471</c:v>
                </c:pt>
                <c:pt idx="704">
                  <c:v>0.54362934362933546</c:v>
                </c:pt>
                <c:pt idx="705">
                  <c:v>0.54440154440153621</c:v>
                </c:pt>
                <c:pt idx="706">
                  <c:v>0.54517374517373696</c:v>
                </c:pt>
                <c:pt idx="707">
                  <c:v>0.54594594594593771</c:v>
                </c:pt>
                <c:pt idx="708">
                  <c:v>0.54671814671813845</c:v>
                </c:pt>
                <c:pt idx="709">
                  <c:v>0.5474903474903392</c:v>
                </c:pt>
                <c:pt idx="710">
                  <c:v>0.54826254826253995</c:v>
                </c:pt>
                <c:pt idx="711">
                  <c:v>0.5490347490347407</c:v>
                </c:pt>
                <c:pt idx="712">
                  <c:v>0.54980694980694145</c:v>
                </c:pt>
                <c:pt idx="713">
                  <c:v>0.5505791505791422</c:v>
                </c:pt>
                <c:pt idx="714">
                  <c:v>0.55135135135134294</c:v>
                </c:pt>
                <c:pt idx="715">
                  <c:v>0.55212355212354369</c:v>
                </c:pt>
                <c:pt idx="716">
                  <c:v>0.55289575289574444</c:v>
                </c:pt>
                <c:pt idx="717">
                  <c:v>0.55366795366794519</c:v>
                </c:pt>
                <c:pt idx="718">
                  <c:v>0.55444015444014594</c:v>
                </c:pt>
                <c:pt idx="719">
                  <c:v>0.55521235521234669</c:v>
                </c:pt>
                <c:pt idx="720">
                  <c:v>0.55598455598454743</c:v>
                </c:pt>
                <c:pt idx="721">
                  <c:v>0.55675675675674818</c:v>
                </c:pt>
                <c:pt idx="722">
                  <c:v>0.55752895752894893</c:v>
                </c:pt>
                <c:pt idx="723">
                  <c:v>0.55830115830114968</c:v>
                </c:pt>
                <c:pt idx="724">
                  <c:v>0.55907335907335043</c:v>
                </c:pt>
                <c:pt idx="725">
                  <c:v>0.55984555984555118</c:v>
                </c:pt>
                <c:pt idx="726">
                  <c:v>0.56061776061775193</c:v>
                </c:pt>
                <c:pt idx="727">
                  <c:v>0.56138996138995267</c:v>
                </c:pt>
                <c:pt idx="728">
                  <c:v>0.56216216216215342</c:v>
                </c:pt>
                <c:pt idx="729">
                  <c:v>0.56293436293435417</c:v>
                </c:pt>
                <c:pt idx="730">
                  <c:v>0.56370656370655492</c:v>
                </c:pt>
                <c:pt idx="731">
                  <c:v>0.56447876447875567</c:v>
                </c:pt>
                <c:pt idx="732">
                  <c:v>0.56525096525095642</c:v>
                </c:pt>
                <c:pt idx="733">
                  <c:v>0.56602316602315716</c:v>
                </c:pt>
                <c:pt idx="734">
                  <c:v>0.56679536679535791</c:v>
                </c:pt>
                <c:pt idx="735">
                  <c:v>0.56756756756755866</c:v>
                </c:pt>
                <c:pt idx="736">
                  <c:v>0.56833976833975941</c:v>
                </c:pt>
                <c:pt idx="737">
                  <c:v>0.56911196911196016</c:v>
                </c:pt>
                <c:pt idx="738">
                  <c:v>0.56988416988416091</c:v>
                </c:pt>
                <c:pt idx="739">
                  <c:v>0.57065637065636166</c:v>
                </c:pt>
                <c:pt idx="740">
                  <c:v>0.5714285714285624</c:v>
                </c:pt>
                <c:pt idx="741">
                  <c:v>0.57220077220076315</c:v>
                </c:pt>
                <c:pt idx="742">
                  <c:v>0.5729729729729639</c:v>
                </c:pt>
                <c:pt idx="743">
                  <c:v>0.57374517374516465</c:v>
                </c:pt>
                <c:pt idx="744">
                  <c:v>0.5745173745173654</c:v>
                </c:pt>
                <c:pt idx="745">
                  <c:v>0.57528957528956615</c:v>
                </c:pt>
                <c:pt idx="746">
                  <c:v>0.57606177606176689</c:v>
                </c:pt>
                <c:pt idx="747">
                  <c:v>0.57683397683396764</c:v>
                </c:pt>
                <c:pt idx="748">
                  <c:v>0.57760617760616839</c:v>
                </c:pt>
                <c:pt idx="749">
                  <c:v>0.57837837837836914</c:v>
                </c:pt>
                <c:pt idx="750">
                  <c:v>0.57915057915056989</c:v>
                </c:pt>
                <c:pt idx="751">
                  <c:v>0.57992277992277064</c:v>
                </c:pt>
                <c:pt idx="752">
                  <c:v>0.58069498069497139</c:v>
                </c:pt>
                <c:pt idx="753">
                  <c:v>0.58146718146717213</c:v>
                </c:pt>
                <c:pt idx="754">
                  <c:v>0.58223938223937288</c:v>
                </c:pt>
                <c:pt idx="755">
                  <c:v>0.58301158301157363</c:v>
                </c:pt>
                <c:pt idx="756">
                  <c:v>0.58378378378377438</c:v>
                </c:pt>
                <c:pt idx="757">
                  <c:v>0.58455598455597513</c:v>
                </c:pt>
                <c:pt idx="758">
                  <c:v>0.58532818532817588</c:v>
                </c:pt>
                <c:pt idx="759">
                  <c:v>0.58610038610037662</c:v>
                </c:pt>
                <c:pt idx="760">
                  <c:v>0.58687258687257737</c:v>
                </c:pt>
                <c:pt idx="761">
                  <c:v>0.58764478764477812</c:v>
                </c:pt>
                <c:pt idx="762">
                  <c:v>0.58841698841697887</c:v>
                </c:pt>
                <c:pt idx="763">
                  <c:v>0.58918918918917962</c:v>
                </c:pt>
                <c:pt idx="764">
                  <c:v>0.58996138996138037</c:v>
                </c:pt>
                <c:pt idx="765">
                  <c:v>0.59073359073358112</c:v>
                </c:pt>
                <c:pt idx="766">
                  <c:v>0.59150579150578186</c:v>
                </c:pt>
                <c:pt idx="767">
                  <c:v>0.59227799227798261</c:v>
                </c:pt>
                <c:pt idx="768">
                  <c:v>0.59305019305018336</c:v>
                </c:pt>
                <c:pt idx="769">
                  <c:v>0.59382239382238411</c:v>
                </c:pt>
                <c:pt idx="770">
                  <c:v>0.59459459459458486</c:v>
                </c:pt>
                <c:pt idx="771">
                  <c:v>0.59536679536678561</c:v>
                </c:pt>
                <c:pt idx="772">
                  <c:v>0.59613899613898635</c:v>
                </c:pt>
                <c:pt idx="773">
                  <c:v>0.5969111969111871</c:v>
                </c:pt>
                <c:pt idx="774">
                  <c:v>0.59768339768338785</c:v>
                </c:pt>
                <c:pt idx="775">
                  <c:v>0.5984555984555886</c:v>
                </c:pt>
                <c:pt idx="776">
                  <c:v>0.59922779922778935</c:v>
                </c:pt>
                <c:pt idx="777">
                  <c:v>0.5999999999999901</c:v>
                </c:pt>
                <c:pt idx="778">
                  <c:v>0.60077220077219085</c:v>
                </c:pt>
                <c:pt idx="779">
                  <c:v>0.60154440154439159</c:v>
                </c:pt>
                <c:pt idx="780">
                  <c:v>0.60231660231659234</c:v>
                </c:pt>
                <c:pt idx="781">
                  <c:v>0.60308880308879309</c:v>
                </c:pt>
                <c:pt idx="782">
                  <c:v>0.60386100386099384</c:v>
                </c:pt>
                <c:pt idx="783">
                  <c:v>0.60463320463319459</c:v>
                </c:pt>
                <c:pt idx="784">
                  <c:v>0.60540540540539534</c:v>
                </c:pt>
                <c:pt idx="785">
                  <c:v>0.60617760617759608</c:v>
                </c:pt>
                <c:pt idx="786">
                  <c:v>0.60694980694979683</c:v>
                </c:pt>
                <c:pt idx="787">
                  <c:v>0.60772200772199758</c:v>
                </c:pt>
                <c:pt idx="788">
                  <c:v>0.60849420849419833</c:v>
                </c:pt>
                <c:pt idx="789">
                  <c:v>0.60926640926639908</c:v>
                </c:pt>
                <c:pt idx="790">
                  <c:v>0.61003861003859983</c:v>
                </c:pt>
                <c:pt idx="791">
                  <c:v>0.61081081081080058</c:v>
                </c:pt>
                <c:pt idx="792">
                  <c:v>0.61158301158300132</c:v>
                </c:pt>
                <c:pt idx="793">
                  <c:v>0.61235521235520207</c:v>
                </c:pt>
                <c:pt idx="794">
                  <c:v>0.61312741312740282</c:v>
                </c:pt>
                <c:pt idx="795">
                  <c:v>0.61389961389960357</c:v>
                </c:pt>
                <c:pt idx="796">
                  <c:v>0.61467181467180432</c:v>
                </c:pt>
                <c:pt idx="797">
                  <c:v>0.61544401544400507</c:v>
                </c:pt>
                <c:pt idx="798">
                  <c:v>0.61621621621620581</c:v>
                </c:pt>
                <c:pt idx="799">
                  <c:v>0.61698841698840656</c:v>
                </c:pt>
                <c:pt idx="800">
                  <c:v>0.61776061776060731</c:v>
                </c:pt>
                <c:pt idx="801">
                  <c:v>0.61853281853280806</c:v>
                </c:pt>
                <c:pt idx="802">
                  <c:v>0.61930501930500881</c:v>
                </c:pt>
                <c:pt idx="803">
                  <c:v>0.62007722007720956</c:v>
                </c:pt>
                <c:pt idx="804">
                  <c:v>0.62084942084941031</c:v>
                </c:pt>
                <c:pt idx="805">
                  <c:v>0.62162162162161105</c:v>
                </c:pt>
                <c:pt idx="806">
                  <c:v>0.6223938223938118</c:v>
                </c:pt>
                <c:pt idx="807">
                  <c:v>0.62316602316601255</c:v>
                </c:pt>
                <c:pt idx="808">
                  <c:v>0.6239382239382133</c:v>
                </c:pt>
                <c:pt idx="809">
                  <c:v>0.62471042471041405</c:v>
                </c:pt>
                <c:pt idx="810">
                  <c:v>0.6254826254826148</c:v>
                </c:pt>
                <c:pt idx="811">
                  <c:v>0.62625482625481554</c:v>
                </c:pt>
                <c:pt idx="812">
                  <c:v>0.62702702702701629</c:v>
                </c:pt>
                <c:pt idx="813">
                  <c:v>0.62779922779921704</c:v>
                </c:pt>
                <c:pt idx="814">
                  <c:v>0.62857142857141779</c:v>
                </c:pt>
                <c:pt idx="815">
                  <c:v>0.62934362934361854</c:v>
                </c:pt>
                <c:pt idx="816">
                  <c:v>0.63011583011581929</c:v>
                </c:pt>
                <c:pt idx="817">
                  <c:v>0.63088803088802003</c:v>
                </c:pt>
                <c:pt idx="818">
                  <c:v>0.63166023166022078</c:v>
                </c:pt>
                <c:pt idx="819">
                  <c:v>0.63243243243242153</c:v>
                </c:pt>
                <c:pt idx="820">
                  <c:v>0.63320463320462228</c:v>
                </c:pt>
                <c:pt idx="821">
                  <c:v>0.63397683397682303</c:v>
                </c:pt>
                <c:pt idx="822">
                  <c:v>0.63474903474902378</c:v>
                </c:pt>
                <c:pt idx="823">
                  <c:v>0.63552123552122453</c:v>
                </c:pt>
                <c:pt idx="824">
                  <c:v>0.63629343629342527</c:v>
                </c:pt>
                <c:pt idx="825">
                  <c:v>0.63706563706562602</c:v>
                </c:pt>
                <c:pt idx="826">
                  <c:v>0.63783783783782677</c:v>
                </c:pt>
                <c:pt idx="827">
                  <c:v>0.63861003861002752</c:v>
                </c:pt>
                <c:pt idx="828">
                  <c:v>0.63938223938222827</c:v>
                </c:pt>
                <c:pt idx="829">
                  <c:v>0.64015444015442902</c:v>
                </c:pt>
                <c:pt idx="830">
                  <c:v>0.64092664092662976</c:v>
                </c:pt>
                <c:pt idx="831">
                  <c:v>0.64169884169883051</c:v>
                </c:pt>
                <c:pt idx="832">
                  <c:v>0.64247104247103126</c:v>
                </c:pt>
                <c:pt idx="833">
                  <c:v>0.64324324324323201</c:v>
                </c:pt>
                <c:pt idx="834">
                  <c:v>0.64401544401543276</c:v>
                </c:pt>
                <c:pt idx="835">
                  <c:v>0.64478764478763351</c:v>
                </c:pt>
                <c:pt idx="836">
                  <c:v>0.64555984555983426</c:v>
                </c:pt>
                <c:pt idx="837">
                  <c:v>0.646332046332035</c:v>
                </c:pt>
                <c:pt idx="838">
                  <c:v>0.64710424710423575</c:v>
                </c:pt>
                <c:pt idx="839">
                  <c:v>0.6478764478764365</c:v>
                </c:pt>
                <c:pt idx="840">
                  <c:v>0.64864864864863725</c:v>
                </c:pt>
                <c:pt idx="841">
                  <c:v>0.649420849420838</c:v>
                </c:pt>
                <c:pt idx="842">
                  <c:v>0.65019305019303875</c:v>
                </c:pt>
                <c:pt idx="843">
                  <c:v>0.65096525096523949</c:v>
                </c:pt>
                <c:pt idx="844">
                  <c:v>0.65173745173744024</c:v>
                </c:pt>
                <c:pt idx="845">
                  <c:v>0.65250965250964099</c:v>
                </c:pt>
                <c:pt idx="846">
                  <c:v>0.65328185328184174</c:v>
                </c:pt>
                <c:pt idx="847">
                  <c:v>0.65405405405404249</c:v>
                </c:pt>
                <c:pt idx="848">
                  <c:v>0.65482625482624324</c:v>
                </c:pt>
                <c:pt idx="849">
                  <c:v>0.65559845559844399</c:v>
                </c:pt>
                <c:pt idx="850">
                  <c:v>0.65637065637064473</c:v>
                </c:pt>
                <c:pt idx="851">
                  <c:v>0.65714285714284548</c:v>
                </c:pt>
                <c:pt idx="852">
                  <c:v>0.65791505791504623</c:v>
                </c:pt>
                <c:pt idx="853">
                  <c:v>0.65868725868724698</c:v>
                </c:pt>
                <c:pt idx="854">
                  <c:v>0.65945945945944773</c:v>
                </c:pt>
                <c:pt idx="855">
                  <c:v>0.66023166023164848</c:v>
                </c:pt>
                <c:pt idx="856">
                  <c:v>0.66100386100384922</c:v>
                </c:pt>
                <c:pt idx="857">
                  <c:v>0.66177606177604997</c:v>
                </c:pt>
                <c:pt idx="858">
                  <c:v>0.66254826254825072</c:v>
                </c:pt>
                <c:pt idx="859">
                  <c:v>0.66332046332045147</c:v>
                </c:pt>
                <c:pt idx="860">
                  <c:v>0.66409266409265222</c:v>
                </c:pt>
                <c:pt idx="861">
                  <c:v>0.66486486486485297</c:v>
                </c:pt>
                <c:pt idx="862">
                  <c:v>0.66563706563705372</c:v>
                </c:pt>
                <c:pt idx="863">
                  <c:v>0.66640926640925446</c:v>
                </c:pt>
                <c:pt idx="864">
                  <c:v>0.66718146718145521</c:v>
                </c:pt>
                <c:pt idx="865">
                  <c:v>0.66795366795365596</c:v>
                </c:pt>
                <c:pt idx="866">
                  <c:v>0.66872586872585671</c:v>
                </c:pt>
                <c:pt idx="867">
                  <c:v>0.66949806949805746</c:v>
                </c:pt>
                <c:pt idx="868">
                  <c:v>0.67027027027025821</c:v>
                </c:pt>
                <c:pt idx="869">
                  <c:v>0.67104247104245895</c:v>
                </c:pt>
                <c:pt idx="870">
                  <c:v>0.6718146718146597</c:v>
                </c:pt>
                <c:pt idx="871">
                  <c:v>0.67258687258686045</c:v>
                </c:pt>
                <c:pt idx="872">
                  <c:v>0.6733590733590612</c:v>
                </c:pt>
                <c:pt idx="873">
                  <c:v>0.67413127413126195</c:v>
                </c:pt>
                <c:pt idx="874">
                  <c:v>0.6749034749034627</c:v>
                </c:pt>
                <c:pt idx="875">
                  <c:v>0.67567567567566345</c:v>
                </c:pt>
                <c:pt idx="876">
                  <c:v>0.67644787644786419</c:v>
                </c:pt>
                <c:pt idx="877">
                  <c:v>0.67722007722006494</c:v>
                </c:pt>
                <c:pt idx="878">
                  <c:v>0.67799227799226569</c:v>
                </c:pt>
                <c:pt idx="879">
                  <c:v>0.67876447876446644</c:v>
                </c:pt>
                <c:pt idx="880">
                  <c:v>0.67953667953666719</c:v>
                </c:pt>
                <c:pt idx="881">
                  <c:v>0.68030888030886794</c:v>
                </c:pt>
                <c:pt idx="882">
                  <c:v>0.68108108108106868</c:v>
                </c:pt>
                <c:pt idx="883">
                  <c:v>0.68185328185326943</c:v>
                </c:pt>
                <c:pt idx="884">
                  <c:v>0.68262548262547018</c:v>
                </c:pt>
                <c:pt idx="885">
                  <c:v>0.68339768339767093</c:v>
                </c:pt>
                <c:pt idx="886">
                  <c:v>0.68416988416987168</c:v>
                </c:pt>
                <c:pt idx="887">
                  <c:v>0.68494208494207243</c:v>
                </c:pt>
                <c:pt idx="888">
                  <c:v>0.68571428571427318</c:v>
                </c:pt>
                <c:pt idx="889">
                  <c:v>0.68648648648647392</c:v>
                </c:pt>
                <c:pt idx="890">
                  <c:v>0.68725868725867467</c:v>
                </c:pt>
                <c:pt idx="891">
                  <c:v>0.68803088803087542</c:v>
                </c:pt>
                <c:pt idx="892">
                  <c:v>0.68880308880307617</c:v>
                </c:pt>
                <c:pt idx="893">
                  <c:v>0.68957528957527692</c:v>
                </c:pt>
                <c:pt idx="894">
                  <c:v>0.69034749034747767</c:v>
                </c:pt>
                <c:pt idx="895">
                  <c:v>0.69111969111967841</c:v>
                </c:pt>
                <c:pt idx="896">
                  <c:v>0.69189189189187916</c:v>
                </c:pt>
                <c:pt idx="897">
                  <c:v>0.69266409266407991</c:v>
                </c:pt>
                <c:pt idx="898">
                  <c:v>0.69343629343628066</c:v>
                </c:pt>
                <c:pt idx="899">
                  <c:v>0.69420849420848141</c:v>
                </c:pt>
                <c:pt idx="900">
                  <c:v>0.69498069498068216</c:v>
                </c:pt>
                <c:pt idx="901">
                  <c:v>0.69575289575288291</c:v>
                </c:pt>
                <c:pt idx="902">
                  <c:v>0.69652509652508365</c:v>
                </c:pt>
                <c:pt idx="903">
                  <c:v>0.6972972972972844</c:v>
                </c:pt>
                <c:pt idx="904">
                  <c:v>0.69806949806948515</c:v>
                </c:pt>
                <c:pt idx="905">
                  <c:v>0.6988416988416859</c:v>
                </c:pt>
                <c:pt idx="906">
                  <c:v>0.69961389961388665</c:v>
                </c:pt>
                <c:pt idx="907">
                  <c:v>0.7003861003860874</c:v>
                </c:pt>
                <c:pt idx="908">
                  <c:v>0.70115830115828814</c:v>
                </c:pt>
                <c:pt idx="909">
                  <c:v>0.70193050193048889</c:v>
                </c:pt>
                <c:pt idx="910">
                  <c:v>0.70270270270268964</c:v>
                </c:pt>
                <c:pt idx="911">
                  <c:v>0.70347490347489039</c:v>
                </c:pt>
                <c:pt idx="912">
                  <c:v>0.70424710424709114</c:v>
                </c:pt>
                <c:pt idx="913">
                  <c:v>0.70501930501929189</c:v>
                </c:pt>
                <c:pt idx="914">
                  <c:v>0.70579150579149263</c:v>
                </c:pt>
                <c:pt idx="915">
                  <c:v>0.70656370656369338</c:v>
                </c:pt>
                <c:pt idx="916">
                  <c:v>0.70733590733589413</c:v>
                </c:pt>
                <c:pt idx="917">
                  <c:v>0.70810810810809488</c:v>
                </c:pt>
                <c:pt idx="918">
                  <c:v>0.70888030888029563</c:v>
                </c:pt>
                <c:pt idx="919">
                  <c:v>0.70965250965249638</c:v>
                </c:pt>
                <c:pt idx="920">
                  <c:v>0.71042471042469713</c:v>
                </c:pt>
                <c:pt idx="921">
                  <c:v>0.71119691119689787</c:v>
                </c:pt>
                <c:pt idx="922">
                  <c:v>0.71196911196909862</c:v>
                </c:pt>
                <c:pt idx="923">
                  <c:v>0.71274131274129937</c:v>
                </c:pt>
                <c:pt idx="924">
                  <c:v>0.71351351351350012</c:v>
                </c:pt>
                <c:pt idx="925">
                  <c:v>0.71428571428570087</c:v>
                </c:pt>
                <c:pt idx="926">
                  <c:v>0.71505791505790162</c:v>
                </c:pt>
                <c:pt idx="927">
                  <c:v>0.71583011583010236</c:v>
                </c:pt>
                <c:pt idx="928">
                  <c:v>0.71660231660230311</c:v>
                </c:pt>
                <c:pt idx="929">
                  <c:v>0.71737451737450386</c:v>
                </c:pt>
                <c:pt idx="930">
                  <c:v>0.71814671814670461</c:v>
                </c:pt>
                <c:pt idx="931">
                  <c:v>0.71891891891890536</c:v>
                </c:pt>
                <c:pt idx="932">
                  <c:v>0.71969111969110611</c:v>
                </c:pt>
                <c:pt idx="933">
                  <c:v>0.72046332046330686</c:v>
                </c:pt>
                <c:pt idx="934">
                  <c:v>0.7212355212355076</c:v>
                </c:pt>
                <c:pt idx="935">
                  <c:v>0.72200772200770835</c:v>
                </c:pt>
                <c:pt idx="936">
                  <c:v>0.7227799227799091</c:v>
                </c:pt>
                <c:pt idx="937">
                  <c:v>0.72355212355210985</c:v>
                </c:pt>
                <c:pt idx="938">
                  <c:v>0.7243243243243106</c:v>
                </c:pt>
                <c:pt idx="939">
                  <c:v>0.72509652509651135</c:v>
                </c:pt>
                <c:pt idx="940">
                  <c:v>0.72586872586871209</c:v>
                </c:pt>
                <c:pt idx="941">
                  <c:v>0.72664092664091284</c:v>
                </c:pt>
                <c:pt idx="942">
                  <c:v>0.72741312741311359</c:v>
                </c:pt>
                <c:pt idx="943">
                  <c:v>0.72818532818531434</c:v>
                </c:pt>
                <c:pt idx="944">
                  <c:v>0.72895752895751509</c:v>
                </c:pt>
                <c:pt idx="945">
                  <c:v>0.72972972972971584</c:v>
                </c:pt>
                <c:pt idx="946">
                  <c:v>0.73050193050191659</c:v>
                </c:pt>
                <c:pt idx="947">
                  <c:v>0.73127413127411733</c:v>
                </c:pt>
                <c:pt idx="948">
                  <c:v>0.73204633204631808</c:v>
                </c:pt>
                <c:pt idx="949">
                  <c:v>0.73281853281851883</c:v>
                </c:pt>
                <c:pt idx="950">
                  <c:v>0.73359073359071958</c:v>
                </c:pt>
                <c:pt idx="951">
                  <c:v>0.73436293436292033</c:v>
                </c:pt>
                <c:pt idx="952">
                  <c:v>0.73513513513512108</c:v>
                </c:pt>
                <c:pt idx="953">
                  <c:v>0.73590733590732182</c:v>
                </c:pt>
                <c:pt idx="954">
                  <c:v>0.73667953667952257</c:v>
                </c:pt>
                <c:pt idx="955">
                  <c:v>0.73745173745172332</c:v>
                </c:pt>
                <c:pt idx="956">
                  <c:v>0.73822393822392407</c:v>
                </c:pt>
                <c:pt idx="957">
                  <c:v>0.73899613899612482</c:v>
                </c:pt>
                <c:pt idx="958">
                  <c:v>0.73976833976832557</c:v>
                </c:pt>
                <c:pt idx="959">
                  <c:v>0.74054054054052632</c:v>
                </c:pt>
                <c:pt idx="960">
                  <c:v>0.74131274131272706</c:v>
                </c:pt>
                <c:pt idx="961">
                  <c:v>0.74208494208492781</c:v>
                </c:pt>
                <c:pt idx="962">
                  <c:v>0.74285714285712856</c:v>
                </c:pt>
                <c:pt idx="963">
                  <c:v>0.74362934362932931</c:v>
                </c:pt>
                <c:pt idx="964">
                  <c:v>0.74440154440153006</c:v>
                </c:pt>
                <c:pt idx="965">
                  <c:v>0.74517374517373081</c:v>
                </c:pt>
                <c:pt idx="966">
                  <c:v>0.74594594594593155</c:v>
                </c:pt>
                <c:pt idx="967">
                  <c:v>0.7467181467181323</c:v>
                </c:pt>
                <c:pt idx="968">
                  <c:v>0.74749034749033305</c:v>
                </c:pt>
                <c:pt idx="969">
                  <c:v>0.7482625482625338</c:v>
                </c:pt>
                <c:pt idx="970">
                  <c:v>0.74903474903473455</c:v>
                </c:pt>
                <c:pt idx="971">
                  <c:v>0.7498069498069353</c:v>
                </c:pt>
                <c:pt idx="972">
                  <c:v>0.75057915057913605</c:v>
                </c:pt>
                <c:pt idx="973">
                  <c:v>0.75135135135133679</c:v>
                </c:pt>
                <c:pt idx="974">
                  <c:v>0.75212355212353754</c:v>
                </c:pt>
                <c:pt idx="975">
                  <c:v>0.75289575289573829</c:v>
                </c:pt>
                <c:pt idx="976">
                  <c:v>0.75366795366793904</c:v>
                </c:pt>
                <c:pt idx="977">
                  <c:v>0.75444015444013979</c:v>
                </c:pt>
                <c:pt idx="978">
                  <c:v>0.75521235521234054</c:v>
                </c:pt>
                <c:pt idx="979">
                  <c:v>0.75598455598454128</c:v>
                </c:pt>
                <c:pt idx="980">
                  <c:v>0.75675675675674203</c:v>
                </c:pt>
                <c:pt idx="981">
                  <c:v>0.75752895752894278</c:v>
                </c:pt>
                <c:pt idx="982">
                  <c:v>0.75830115830114353</c:v>
                </c:pt>
                <c:pt idx="983">
                  <c:v>0.75907335907334428</c:v>
                </c:pt>
                <c:pt idx="984">
                  <c:v>0.75984555984554503</c:v>
                </c:pt>
                <c:pt idx="985">
                  <c:v>0.76061776061774578</c:v>
                </c:pt>
                <c:pt idx="986">
                  <c:v>0.76138996138994652</c:v>
                </c:pt>
                <c:pt idx="987">
                  <c:v>0.76216216216214727</c:v>
                </c:pt>
                <c:pt idx="988">
                  <c:v>0.76293436293434802</c:v>
                </c:pt>
                <c:pt idx="989">
                  <c:v>0.76370656370654877</c:v>
                </c:pt>
                <c:pt idx="990">
                  <c:v>0.76447876447874952</c:v>
                </c:pt>
                <c:pt idx="991">
                  <c:v>0.76525096525095027</c:v>
                </c:pt>
                <c:pt idx="992">
                  <c:v>0.76602316602315101</c:v>
                </c:pt>
                <c:pt idx="993">
                  <c:v>0.76679536679535176</c:v>
                </c:pt>
                <c:pt idx="994">
                  <c:v>0.76756756756755251</c:v>
                </c:pt>
                <c:pt idx="995">
                  <c:v>0.76833976833975326</c:v>
                </c:pt>
                <c:pt idx="996">
                  <c:v>0.76911196911195401</c:v>
                </c:pt>
                <c:pt idx="997">
                  <c:v>0.76988416988415476</c:v>
                </c:pt>
                <c:pt idx="998">
                  <c:v>0.7706563706563555</c:v>
                </c:pt>
                <c:pt idx="999">
                  <c:v>0.77142857142855625</c:v>
                </c:pt>
                <c:pt idx="1000">
                  <c:v>0.772200772200757</c:v>
                </c:pt>
                <c:pt idx="1001">
                  <c:v>0.77297297297295775</c:v>
                </c:pt>
                <c:pt idx="1002">
                  <c:v>0.7737451737451585</c:v>
                </c:pt>
                <c:pt idx="1003">
                  <c:v>0.77451737451735925</c:v>
                </c:pt>
                <c:pt idx="1004">
                  <c:v>0.77528957528956</c:v>
                </c:pt>
                <c:pt idx="1005">
                  <c:v>0.77606177606176074</c:v>
                </c:pt>
                <c:pt idx="1006">
                  <c:v>0.77683397683396149</c:v>
                </c:pt>
                <c:pt idx="1007">
                  <c:v>0.77760617760616224</c:v>
                </c:pt>
                <c:pt idx="1008">
                  <c:v>0.77837837837836299</c:v>
                </c:pt>
                <c:pt idx="1009">
                  <c:v>0.77915057915056374</c:v>
                </c:pt>
                <c:pt idx="1010">
                  <c:v>0.77992277992276449</c:v>
                </c:pt>
                <c:pt idx="1011">
                  <c:v>0.78069498069496523</c:v>
                </c:pt>
                <c:pt idx="1012">
                  <c:v>0.78146718146716598</c:v>
                </c:pt>
                <c:pt idx="1013">
                  <c:v>0.78223938223936673</c:v>
                </c:pt>
                <c:pt idx="1014">
                  <c:v>0.78301158301156748</c:v>
                </c:pt>
                <c:pt idx="1015">
                  <c:v>0.78378378378376823</c:v>
                </c:pt>
                <c:pt idx="1016">
                  <c:v>0.78455598455596898</c:v>
                </c:pt>
                <c:pt idx="1017">
                  <c:v>0.78532818532816973</c:v>
                </c:pt>
                <c:pt idx="1018">
                  <c:v>0.78610038610037047</c:v>
                </c:pt>
                <c:pt idx="1019">
                  <c:v>0.78687258687257122</c:v>
                </c:pt>
                <c:pt idx="1020">
                  <c:v>0.78764478764477197</c:v>
                </c:pt>
                <c:pt idx="1021">
                  <c:v>0.78841698841697272</c:v>
                </c:pt>
                <c:pt idx="1022">
                  <c:v>0.78918918918917347</c:v>
                </c:pt>
                <c:pt idx="1023">
                  <c:v>0.78996138996137422</c:v>
                </c:pt>
                <c:pt idx="1024">
                  <c:v>0.79073359073357496</c:v>
                </c:pt>
                <c:pt idx="1025">
                  <c:v>0.79150579150577571</c:v>
                </c:pt>
                <c:pt idx="1026">
                  <c:v>0.79227799227797646</c:v>
                </c:pt>
                <c:pt idx="1027">
                  <c:v>0.79305019305017721</c:v>
                </c:pt>
                <c:pt idx="1028">
                  <c:v>0.79382239382237796</c:v>
                </c:pt>
                <c:pt idx="1029">
                  <c:v>0.79459459459457871</c:v>
                </c:pt>
                <c:pt idx="1030">
                  <c:v>0.79536679536677946</c:v>
                </c:pt>
                <c:pt idx="1031">
                  <c:v>0.7961389961389802</c:v>
                </c:pt>
                <c:pt idx="1032">
                  <c:v>0.79691119691118095</c:v>
                </c:pt>
                <c:pt idx="1033">
                  <c:v>0.7976833976833817</c:v>
                </c:pt>
                <c:pt idx="1034">
                  <c:v>0.79845559845558245</c:v>
                </c:pt>
                <c:pt idx="1035">
                  <c:v>0.7992277992277832</c:v>
                </c:pt>
                <c:pt idx="1036">
                  <c:v>0.79999999999998395</c:v>
                </c:pt>
                <c:pt idx="1037">
                  <c:v>0.80077220077218469</c:v>
                </c:pt>
                <c:pt idx="1038">
                  <c:v>0.80154440154438544</c:v>
                </c:pt>
                <c:pt idx="1039">
                  <c:v>0.80231660231658619</c:v>
                </c:pt>
                <c:pt idx="1040">
                  <c:v>0.80308880308878694</c:v>
                </c:pt>
                <c:pt idx="1041">
                  <c:v>0.80386100386098769</c:v>
                </c:pt>
                <c:pt idx="1042">
                  <c:v>0.80463320463318844</c:v>
                </c:pt>
                <c:pt idx="1043">
                  <c:v>0.80540540540538919</c:v>
                </c:pt>
                <c:pt idx="1044">
                  <c:v>0.80617760617758993</c:v>
                </c:pt>
                <c:pt idx="1045">
                  <c:v>0.80694980694979068</c:v>
                </c:pt>
                <c:pt idx="1046">
                  <c:v>0.80772200772199143</c:v>
                </c:pt>
                <c:pt idx="1047">
                  <c:v>0.80849420849419218</c:v>
                </c:pt>
                <c:pt idx="1048">
                  <c:v>0.80926640926639293</c:v>
                </c:pt>
                <c:pt idx="1049">
                  <c:v>0.81003861003859368</c:v>
                </c:pt>
                <c:pt idx="1050">
                  <c:v>0.81081081081079442</c:v>
                </c:pt>
                <c:pt idx="1051">
                  <c:v>0.81158301158299517</c:v>
                </c:pt>
                <c:pt idx="1052">
                  <c:v>0.81235521235519592</c:v>
                </c:pt>
                <c:pt idx="1053">
                  <c:v>0.81312741312739667</c:v>
                </c:pt>
                <c:pt idx="1054">
                  <c:v>0.81389961389959742</c:v>
                </c:pt>
                <c:pt idx="1055">
                  <c:v>0.81467181467179817</c:v>
                </c:pt>
                <c:pt idx="1056">
                  <c:v>0.81544401544399892</c:v>
                </c:pt>
                <c:pt idx="1057">
                  <c:v>0.81621621621619966</c:v>
                </c:pt>
                <c:pt idx="1058">
                  <c:v>0.81698841698840041</c:v>
                </c:pt>
                <c:pt idx="1059">
                  <c:v>0.81776061776060116</c:v>
                </c:pt>
                <c:pt idx="1060">
                  <c:v>0.81853281853280191</c:v>
                </c:pt>
                <c:pt idx="1061">
                  <c:v>0.81930501930500266</c:v>
                </c:pt>
                <c:pt idx="1062">
                  <c:v>0.82007722007720341</c:v>
                </c:pt>
                <c:pt idx="1063">
                  <c:v>0.82084942084940415</c:v>
                </c:pt>
                <c:pt idx="1064">
                  <c:v>0.8216216216216049</c:v>
                </c:pt>
                <c:pt idx="1065">
                  <c:v>0.82239382239380565</c:v>
                </c:pt>
                <c:pt idx="1066">
                  <c:v>0.8231660231660064</c:v>
                </c:pt>
                <c:pt idx="1067">
                  <c:v>0.82393822393820715</c:v>
                </c:pt>
                <c:pt idx="1068">
                  <c:v>0.8247104247104079</c:v>
                </c:pt>
                <c:pt idx="1069">
                  <c:v>0.82548262548260865</c:v>
                </c:pt>
                <c:pt idx="1070">
                  <c:v>0.82625482625480939</c:v>
                </c:pt>
                <c:pt idx="1071">
                  <c:v>0.82702702702701014</c:v>
                </c:pt>
                <c:pt idx="1072">
                  <c:v>0.82779922779921089</c:v>
                </c:pt>
                <c:pt idx="1073">
                  <c:v>0.82857142857141164</c:v>
                </c:pt>
                <c:pt idx="1074">
                  <c:v>0.82934362934361239</c:v>
                </c:pt>
                <c:pt idx="1075">
                  <c:v>0.83011583011581314</c:v>
                </c:pt>
                <c:pt idx="1076">
                  <c:v>0.83088803088801388</c:v>
                </c:pt>
                <c:pt idx="1077">
                  <c:v>0.83166023166021463</c:v>
                </c:pt>
                <c:pt idx="1078">
                  <c:v>0.83243243243241538</c:v>
                </c:pt>
                <c:pt idx="1079">
                  <c:v>0.83320463320461613</c:v>
                </c:pt>
                <c:pt idx="1080">
                  <c:v>0.83397683397681688</c:v>
                </c:pt>
                <c:pt idx="1081">
                  <c:v>0.83474903474901763</c:v>
                </c:pt>
                <c:pt idx="1082">
                  <c:v>0.83552123552121838</c:v>
                </c:pt>
                <c:pt idx="1083">
                  <c:v>0.83629343629341912</c:v>
                </c:pt>
                <c:pt idx="1084">
                  <c:v>0.83706563706561987</c:v>
                </c:pt>
                <c:pt idx="1085">
                  <c:v>0.83783783783782062</c:v>
                </c:pt>
                <c:pt idx="1086">
                  <c:v>0.83861003861002137</c:v>
                </c:pt>
                <c:pt idx="1087">
                  <c:v>0.83938223938222212</c:v>
                </c:pt>
                <c:pt idx="1088">
                  <c:v>0.84015444015442287</c:v>
                </c:pt>
                <c:pt idx="1089">
                  <c:v>0.84092664092662361</c:v>
                </c:pt>
                <c:pt idx="1090">
                  <c:v>0.84169884169882436</c:v>
                </c:pt>
                <c:pt idx="1091">
                  <c:v>0.84247104247102511</c:v>
                </c:pt>
                <c:pt idx="1092">
                  <c:v>0.84324324324322586</c:v>
                </c:pt>
                <c:pt idx="1093">
                  <c:v>0.84401544401542661</c:v>
                </c:pt>
                <c:pt idx="1094">
                  <c:v>0.84478764478762736</c:v>
                </c:pt>
                <c:pt idx="1095">
                  <c:v>0.8455598455598281</c:v>
                </c:pt>
                <c:pt idx="1096">
                  <c:v>0.84633204633202885</c:v>
                </c:pt>
                <c:pt idx="1097">
                  <c:v>0.8471042471042296</c:v>
                </c:pt>
                <c:pt idx="1098">
                  <c:v>0.84787644787643035</c:v>
                </c:pt>
                <c:pt idx="1099">
                  <c:v>0.8486486486486311</c:v>
                </c:pt>
                <c:pt idx="1100">
                  <c:v>0.84942084942083185</c:v>
                </c:pt>
                <c:pt idx="1101">
                  <c:v>0.8501930501930326</c:v>
                </c:pt>
                <c:pt idx="1102">
                  <c:v>0.85096525096523334</c:v>
                </c:pt>
                <c:pt idx="1103">
                  <c:v>0.85173745173743409</c:v>
                </c:pt>
                <c:pt idx="1104">
                  <c:v>0.85250965250963484</c:v>
                </c:pt>
                <c:pt idx="1105">
                  <c:v>0.85328185328183559</c:v>
                </c:pt>
                <c:pt idx="1106">
                  <c:v>0.85405405405403634</c:v>
                </c:pt>
                <c:pt idx="1107">
                  <c:v>0.85482625482623709</c:v>
                </c:pt>
                <c:pt idx="1108">
                  <c:v>0.85559845559843783</c:v>
                </c:pt>
                <c:pt idx="1109">
                  <c:v>0.85637065637063858</c:v>
                </c:pt>
                <c:pt idx="1110">
                  <c:v>0.85714285714283933</c:v>
                </c:pt>
                <c:pt idx="1111">
                  <c:v>0.85791505791504008</c:v>
                </c:pt>
                <c:pt idx="1112">
                  <c:v>0.85868725868724083</c:v>
                </c:pt>
                <c:pt idx="1113">
                  <c:v>0.85945945945944158</c:v>
                </c:pt>
                <c:pt idx="1114">
                  <c:v>0.86023166023164233</c:v>
                </c:pt>
                <c:pt idx="1115">
                  <c:v>0.86100386100384307</c:v>
                </c:pt>
                <c:pt idx="1116">
                  <c:v>0.86177606177604382</c:v>
                </c:pt>
                <c:pt idx="1117">
                  <c:v>0.86254826254824457</c:v>
                </c:pt>
                <c:pt idx="1118">
                  <c:v>0.86332046332044532</c:v>
                </c:pt>
                <c:pt idx="1119">
                  <c:v>0.86409266409264607</c:v>
                </c:pt>
                <c:pt idx="1120">
                  <c:v>0.86486486486484682</c:v>
                </c:pt>
                <c:pt idx="1121">
                  <c:v>0.86563706563704756</c:v>
                </c:pt>
                <c:pt idx="1122">
                  <c:v>0.86640926640924831</c:v>
                </c:pt>
                <c:pt idx="1123">
                  <c:v>0.86718146718144906</c:v>
                </c:pt>
                <c:pt idx="1124">
                  <c:v>0.86795366795364981</c:v>
                </c:pt>
                <c:pt idx="1125">
                  <c:v>0.86872586872585056</c:v>
                </c:pt>
                <c:pt idx="1126">
                  <c:v>0.86949806949805131</c:v>
                </c:pt>
                <c:pt idx="1127">
                  <c:v>0.87027027027025206</c:v>
                </c:pt>
                <c:pt idx="1128">
                  <c:v>0.8710424710424528</c:v>
                </c:pt>
                <c:pt idx="1129">
                  <c:v>0.87181467181465355</c:v>
                </c:pt>
                <c:pt idx="1130">
                  <c:v>0.8725868725868543</c:v>
                </c:pt>
                <c:pt idx="1131">
                  <c:v>0.87335907335905505</c:v>
                </c:pt>
                <c:pt idx="1132">
                  <c:v>0.8741312741312558</c:v>
                </c:pt>
                <c:pt idx="1133">
                  <c:v>0.87490347490345655</c:v>
                </c:pt>
                <c:pt idx="1134">
                  <c:v>0.87567567567565729</c:v>
                </c:pt>
                <c:pt idx="1135">
                  <c:v>0.87644787644785804</c:v>
                </c:pt>
                <c:pt idx="1136">
                  <c:v>0.87722007722005879</c:v>
                </c:pt>
                <c:pt idx="1137">
                  <c:v>0.87799227799225954</c:v>
                </c:pt>
                <c:pt idx="1138">
                  <c:v>0.87876447876446029</c:v>
                </c:pt>
                <c:pt idx="1139">
                  <c:v>0.87953667953666104</c:v>
                </c:pt>
                <c:pt idx="1140">
                  <c:v>0.88030888030886179</c:v>
                </c:pt>
                <c:pt idx="1141">
                  <c:v>0.88108108108106253</c:v>
                </c:pt>
                <c:pt idx="1142">
                  <c:v>0.88185328185326328</c:v>
                </c:pt>
                <c:pt idx="1143">
                  <c:v>0.88262548262546403</c:v>
                </c:pt>
                <c:pt idx="1144">
                  <c:v>0.88339768339766478</c:v>
                </c:pt>
                <c:pt idx="1145">
                  <c:v>0.88416988416986553</c:v>
                </c:pt>
                <c:pt idx="1146">
                  <c:v>0.88494208494206628</c:v>
                </c:pt>
                <c:pt idx="1147">
                  <c:v>0.88571428571426702</c:v>
                </c:pt>
                <c:pt idx="1148">
                  <c:v>0.88648648648646777</c:v>
                </c:pt>
                <c:pt idx="1149">
                  <c:v>0.88725868725866852</c:v>
                </c:pt>
                <c:pt idx="1150">
                  <c:v>0.88803088803086927</c:v>
                </c:pt>
                <c:pt idx="1151">
                  <c:v>0.88880308880307002</c:v>
                </c:pt>
                <c:pt idx="1152">
                  <c:v>0.88957528957527077</c:v>
                </c:pt>
                <c:pt idx="1153">
                  <c:v>0.89034749034747152</c:v>
                </c:pt>
                <c:pt idx="1154">
                  <c:v>0.89111969111967226</c:v>
                </c:pt>
                <c:pt idx="1155">
                  <c:v>0.89189189189187301</c:v>
                </c:pt>
                <c:pt idx="1156">
                  <c:v>0.89266409266407376</c:v>
                </c:pt>
                <c:pt idx="1157">
                  <c:v>0.89343629343627451</c:v>
                </c:pt>
                <c:pt idx="1158">
                  <c:v>0.89420849420847526</c:v>
                </c:pt>
                <c:pt idx="1159">
                  <c:v>0.89498069498067601</c:v>
                </c:pt>
                <c:pt idx="1160">
                  <c:v>0.89575289575287675</c:v>
                </c:pt>
                <c:pt idx="1161">
                  <c:v>0.8965250965250775</c:v>
                </c:pt>
                <c:pt idx="1162">
                  <c:v>0.89729729729727825</c:v>
                </c:pt>
                <c:pt idx="1163">
                  <c:v>0.898069498069479</c:v>
                </c:pt>
                <c:pt idx="1164">
                  <c:v>0.89884169884167975</c:v>
                </c:pt>
                <c:pt idx="1165">
                  <c:v>0.8996138996138805</c:v>
                </c:pt>
                <c:pt idx="1166">
                  <c:v>0.90038610038608125</c:v>
                </c:pt>
                <c:pt idx="1167">
                  <c:v>0.90115830115828199</c:v>
                </c:pt>
                <c:pt idx="1168">
                  <c:v>0.90193050193048274</c:v>
                </c:pt>
                <c:pt idx="1169">
                  <c:v>0.90270270270268349</c:v>
                </c:pt>
                <c:pt idx="1170">
                  <c:v>0.90347490347488424</c:v>
                </c:pt>
                <c:pt idx="1171">
                  <c:v>0.90424710424708499</c:v>
                </c:pt>
                <c:pt idx="1172">
                  <c:v>0.90501930501928574</c:v>
                </c:pt>
                <c:pt idx="1173">
                  <c:v>0.90579150579148648</c:v>
                </c:pt>
                <c:pt idx="1174">
                  <c:v>0.90656370656368723</c:v>
                </c:pt>
                <c:pt idx="1175">
                  <c:v>0.90733590733588798</c:v>
                </c:pt>
                <c:pt idx="1176">
                  <c:v>0.90810810810808873</c:v>
                </c:pt>
                <c:pt idx="1177">
                  <c:v>0.90888030888028948</c:v>
                </c:pt>
                <c:pt idx="1178">
                  <c:v>0.90965250965249023</c:v>
                </c:pt>
                <c:pt idx="1179">
                  <c:v>0.91042471042469097</c:v>
                </c:pt>
                <c:pt idx="1180">
                  <c:v>0.91119691119689172</c:v>
                </c:pt>
                <c:pt idx="1181">
                  <c:v>0.91196911196909247</c:v>
                </c:pt>
                <c:pt idx="1182">
                  <c:v>0.91274131274129322</c:v>
                </c:pt>
                <c:pt idx="1183">
                  <c:v>0.91351351351349397</c:v>
                </c:pt>
                <c:pt idx="1184">
                  <c:v>0.91428571428569472</c:v>
                </c:pt>
                <c:pt idx="1185">
                  <c:v>0.91505791505789547</c:v>
                </c:pt>
                <c:pt idx="1186">
                  <c:v>0.91583011583009621</c:v>
                </c:pt>
                <c:pt idx="1187">
                  <c:v>0.91660231660229696</c:v>
                </c:pt>
                <c:pt idx="1188">
                  <c:v>0.91737451737449771</c:v>
                </c:pt>
                <c:pt idx="1189">
                  <c:v>0.91814671814669846</c:v>
                </c:pt>
                <c:pt idx="1190">
                  <c:v>0.91891891891889921</c:v>
                </c:pt>
                <c:pt idx="1191">
                  <c:v>0.91969111969109996</c:v>
                </c:pt>
                <c:pt idx="1192">
                  <c:v>0.9204633204633007</c:v>
                </c:pt>
                <c:pt idx="1193">
                  <c:v>0.92123552123550145</c:v>
                </c:pt>
                <c:pt idx="1194">
                  <c:v>0.9220077220077022</c:v>
                </c:pt>
                <c:pt idx="1195">
                  <c:v>0.92277992277990295</c:v>
                </c:pt>
                <c:pt idx="1196">
                  <c:v>0.9235521235521037</c:v>
                </c:pt>
                <c:pt idx="1197">
                  <c:v>0.92432432432430445</c:v>
                </c:pt>
                <c:pt idx="1198">
                  <c:v>0.9250965250965052</c:v>
                </c:pt>
                <c:pt idx="1199">
                  <c:v>0.92586872586870594</c:v>
                </c:pt>
                <c:pt idx="1200">
                  <c:v>0.92664092664090669</c:v>
                </c:pt>
                <c:pt idx="1201">
                  <c:v>0.92741312741310744</c:v>
                </c:pt>
                <c:pt idx="1202">
                  <c:v>0.92818532818530819</c:v>
                </c:pt>
                <c:pt idx="1203">
                  <c:v>0.92895752895750894</c:v>
                </c:pt>
                <c:pt idx="1204">
                  <c:v>0.92972972972970969</c:v>
                </c:pt>
                <c:pt idx="1205">
                  <c:v>0.93050193050191043</c:v>
                </c:pt>
                <c:pt idx="1206">
                  <c:v>0.93127413127411118</c:v>
                </c:pt>
                <c:pt idx="1207">
                  <c:v>0.93204633204631193</c:v>
                </c:pt>
                <c:pt idx="1208">
                  <c:v>0.93281853281851268</c:v>
                </c:pt>
                <c:pt idx="1209">
                  <c:v>0.93359073359071343</c:v>
                </c:pt>
                <c:pt idx="1210">
                  <c:v>0.93436293436291418</c:v>
                </c:pt>
                <c:pt idx="1211">
                  <c:v>0.93513513513511493</c:v>
                </c:pt>
                <c:pt idx="1212">
                  <c:v>0.93590733590731567</c:v>
                </c:pt>
                <c:pt idx="1213">
                  <c:v>0.93667953667951642</c:v>
                </c:pt>
                <c:pt idx="1214">
                  <c:v>0.93745173745171717</c:v>
                </c:pt>
                <c:pt idx="1215">
                  <c:v>0.93822393822391792</c:v>
                </c:pt>
                <c:pt idx="1216">
                  <c:v>0.93899613899611867</c:v>
                </c:pt>
                <c:pt idx="1217">
                  <c:v>0.93976833976831942</c:v>
                </c:pt>
                <c:pt idx="1218">
                  <c:v>0.94054054054052016</c:v>
                </c:pt>
                <c:pt idx="1219">
                  <c:v>0.94131274131272091</c:v>
                </c:pt>
                <c:pt idx="1220">
                  <c:v>0.94208494208492166</c:v>
                </c:pt>
                <c:pt idx="1221">
                  <c:v>0.94285714285712241</c:v>
                </c:pt>
                <c:pt idx="1222">
                  <c:v>0.94362934362932316</c:v>
                </c:pt>
                <c:pt idx="1223">
                  <c:v>0.94440154440152391</c:v>
                </c:pt>
                <c:pt idx="1224">
                  <c:v>0.94517374517372466</c:v>
                </c:pt>
                <c:pt idx="1225">
                  <c:v>0.9459459459459254</c:v>
                </c:pt>
                <c:pt idx="1226">
                  <c:v>0.94671814671812615</c:v>
                </c:pt>
                <c:pt idx="1227">
                  <c:v>0.9474903474903269</c:v>
                </c:pt>
                <c:pt idx="1228">
                  <c:v>0.94826254826252765</c:v>
                </c:pt>
                <c:pt idx="1229">
                  <c:v>0.9490347490347284</c:v>
                </c:pt>
                <c:pt idx="1230">
                  <c:v>0.94980694980692915</c:v>
                </c:pt>
                <c:pt idx="1231">
                  <c:v>0.95057915057912989</c:v>
                </c:pt>
                <c:pt idx="1232">
                  <c:v>0.95135135135133064</c:v>
                </c:pt>
                <c:pt idx="1233">
                  <c:v>0.95212355212353139</c:v>
                </c:pt>
                <c:pt idx="1234">
                  <c:v>0.95289575289573214</c:v>
                </c:pt>
                <c:pt idx="1235">
                  <c:v>0.95366795366793289</c:v>
                </c:pt>
                <c:pt idx="1236">
                  <c:v>0.95444015444013364</c:v>
                </c:pt>
                <c:pt idx="1237">
                  <c:v>0.95521235521233439</c:v>
                </c:pt>
                <c:pt idx="1238">
                  <c:v>0.95598455598453513</c:v>
                </c:pt>
                <c:pt idx="1239">
                  <c:v>0.95675675675673588</c:v>
                </c:pt>
                <c:pt idx="1240">
                  <c:v>0.95752895752893663</c:v>
                </c:pt>
                <c:pt idx="1241">
                  <c:v>0.95830115830113738</c:v>
                </c:pt>
                <c:pt idx="1242">
                  <c:v>0.95907335907333813</c:v>
                </c:pt>
                <c:pt idx="1243">
                  <c:v>0.95984555984553888</c:v>
                </c:pt>
                <c:pt idx="1244">
                  <c:v>0.96061776061773962</c:v>
                </c:pt>
                <c:pt idx="1245">
                  <c:v>0.96138996138994037</c:v>
                </c:pt>
                <c:pt idx="1246">
                  <c:v>0.96216216216214112</c:v>
                </c:pt>
                <c:pt idx="1247">
                  <c:v>0.96293436293434187</c:v>
                </c:pt>
                <c:pt idx="1248">
                  <c:v>0.96370656370654262</c:v>
                </c:pt>
                <c:pt idx="1249">
                  <c:v>0.96447876447874337</c:v>
                </c:pt>
                <c:pt idx="1250">
                  <c:v>0.96525096525094412</c:v>
                </c:pt>
                <c:pt idx="1251">
                  <c:v>0.96602316602314486</c:v>
                </c:pt>
                <c:pt idx="1252">
                  <c:v>0.96679536679534561</c:v>
                </c:pt>
                <c:pt idx="1253">
                  <c:v>0.96756756756754636</c:v>
                </c:pt>
                <c:pt idx="1254">
                  <c:v>0.96833976833974711</c:v>
                </c:pt>
                <c:pt idx="1255">
                  <c:v>0.96911196911194786</c:v>
                </c:pt>
                <c:pt idx="1256">
                  <c:v>0.96988416988414861</c:v>
                </c:pt>
                <c:pt idx="1257">
                  <c:v>0.97065637065634935</c:v>
                </c:pt>
                <c:pt idx="1258">
                  <c:v>0.9714285714285501</c:v>
                </c:pt>
                <c:pt idx="1259">
                  <c:v>0.97220077220075085</c:v>
                </c:pt>
                <c:pt idx="1260">
                  <c:v>0.9729729729729516</c:v>
                </c:pt>
                <c:pt idx="1261">
                  <c:v>0.97374517374515235</c:v>
                </c:pt>
                <c:pt idx="1262">
                  <c:v>0.9745173745173531</c:v>
                </c:pt>
                <c:pt idx="1263">
                  <c:v>0.97528957528955385</c:v>
                </c:pt>
                <c:pt idx="1264">
                  <c:v>0.97606177606175459</c:v>
                </c:pt>
                <c:pt idx="1265">
                  <c:v>0.97683397683395534</c:v>
                </c:pt>
                <c:pt idx="1266">
                  <c:v>0.97760617760615609</c:v>
                </c:pt>
                <c:pt idx="1267">
                  <c:v>0.97837837837835684</c:v>
                </c:pt>
                <c:pt idx="1268">
                  <c:v>0.97915057915055759</c:v>
                </c:pt>
                <c:pt idx="1269">
                  <c:v>0.97992277992275834</c:v>
                </c:pt>
                <c:pt idx="1270">
                  <c:v>0.98069498069495908</c:v>
                </c:pt>
                <c:pt idx="1271">
                  <c:v>0.98146718146715983</c:v>
                </c:pt>
                <c:pt idx="1272">
                  <c:v>0.98223938223936058</c:v>
                </c:pt>
                <c:pt idx="1273">
                  <c:v>0.98301158301156133</c:v>
                </c:pt>
                <c:pt idx="1274">
                  <c:v>0.98378378378376208</c:v>
                </c:pt>
                <c:pt idx="1275">
                  <c:v>0.98455598455596283</c:v>
                </c:pt>
                <c:pt idx="1276">
                  <c:v>0.98532818532816357</c:v>
                </c:pt>
                <c:pt idx="1277">
                  <c:v>0.98610038610036432</c:v>
                </c:pt>
                <c:pt idx="1278">
                  <c:v>0.98687258687256507</c:v>
                </c:pt>
                <c:pt idx="1279">
                  <c:v>0.98764478764476582</c:v>
                </c:pt>
                <c:pt idx="1280">
                  <c:v>0.98841698841696657</c:v>
                </c:pt>
                <c:pt idx="1281">
                  <c:v>0.98918918918916732</c:v>
                </c:pt>
                <c:pt idx="1282">
                  <c:v>0.98996138996136807</c:v>
                </c:pt>
                <c:pt idx="1283">
                  <c:v>0.99073359073356881</c:v>
                </c:pt>
                <c:pt idx="1284">
                  <c:v>0.99150579150576956</c:v>
                </c:pt>
                <c:pt idx="1285">
                  <c:v>0.99227799227797031</c:v>
                </c:pt>
                <c:pt idx="1286">
                  <c:v>0.99305019305017106</c:v>
                </c:pt>
                <c:pt idx="1287">
                  <c:v>0.99382239382237181</c:v>
                </c:pt>
                <c:pt idx="1288">
                  <c:v>0.99459459459457256</c:v>
                </c:pt>
                <c:pt idx="1289">
                  <c:v>0.9953667953667733</c:v>
                </c:pt>
                <c:pt idx="1290">
                  <c:v>0.99613899613897405</c:v>
                </c:pt>
                <c:pt idx="1291">
                  <c:v>0.9969111969111748</c:v>
                </c:pt>
                <c:pt idx="1292">
                  <c:v>0.99768339768337555</c:v>
                </c:pt>
                <c:pt idx="1293">
                  <c:v>0.9984555984555763</c:v>
                </c:pt>
                <c:pt idx="1294">
                  <c:v>0.99922779922777705</c:v>
                </c:pt>
                <c:pt idx="1295">
                  <c:v>0.9999999999999778</c:v>
                </c:pt>
              </c:numCache>
            </c:numRef>
          </c:xVal>
          <c:yVal>
            <c:numRef>
              <c:f>'E5.3'!$F$8:$F$1303</c:f>
              <c:numCache>
                <c:formatCode>0.0000%</c:formatCode>
                <c:ptCount val="1296"/>
                <c:pt idx="0">
                  <c:v>0</c:v>
                </c:pt>
                <c:pt idx="1">
                  <c:v>2.7310810139563495E-5</c:v>
                </c:pt>
                <c:pt idx="2">
                  <c:v>5.5863020740016242E-5</c:v>
                </c:pt>
                <c:pt idx="3">
                  <c:v>8.5656631801358241E-5</c:v>
                </c:pt>
                <c:pt idx="4">
                  <c:v>1.1669164332358948E-4</c:v>
                </c:pt>
                <c:pt idx="5">
                  <c:v>1.4896805530670998E-4</c:v>
                </c:pt>
                <c:pt idx="6">
                  <c:v>1.8124446728983048E-4</c:v>
                </c:pt>
                <c:pt idx="7">
                  <c:v>2.1352087927295097E-4</c:v>
                </c:pt>
                <c:pt idx="8">
                  <c:v>2.4654188325251282E-4</c:v>
                </c:pt>
                <c:pt idx="9">
                  <c:v>2.7956313551216684E-4</c:v>
                </c:pt>
                <c:pt idx="10">
                  <c:v>3.1432234841706583E-4</c:v>
                </c:pt>
                <c:pt idx="11">
                  <c:v>3.5032296178285407E-4</c:v>
                </c:pt>
                <c:pt idx="12">
                  <c:v>3.863235751486423E-4</c:v>
                </c:pt>
                <c:pt idx="13">
                  <c:v>4.2282074869878626E-4</c:v>
                </c:pt>
                <c:pt idx="14">
                  <c:v>4.6006276252546374E-4</c:v>
                </c:pt>
                <c:pt idx="15">
                  <c:v>4.9730477635214127E-4</c:v>
                </c:pt>
                <c:pt idx="16">
                  <c:v>5.3454679017881875E-4</c:v>
                </c:pt>
                <c:pt idx="17">
                  <c:v>5.7178880400549623E-4</c:v>
                </c:pt>
                <c:pt idx="18">
                  <c:v>6.0903081783217372E-4</c:v>
                </c:pt>
                <c:pt idx="19">
                  <c:v>6.462728316588512E-4</c:v>
                </c:pt>
                <c:pt idx="20">
                  <c:v>6.8351484548552868E-4</c:v>
                </c:pt>
                <c:pt idx="21">
                  <c:v>7.2323966023398465E-4</c:v>
                </c:pt>
                <c:pt idx="22">
                  <c:v>7.6296447498244062E-4</c:v>
                </c:pt>
                <c:pt idx="23">
                  <c:v>8.0268928973089659E-4</c:v>
                </c:pt>
                <c:pt idx="24">
                  <c:v>8.4489690540113106E-4</c:v>
                </c:pt>
                <c:pt idx="25">
                  <c:v>8.8958732199314401E-4</c:v>
                </c:pt>
                <c:pt idx="26">
                  <c:v>9.3427773858515697E-4</c:v>
                </c:pt>
                <c:pt idx="27">
                  <c:v>9.7896815517716992E-4</c:v>
                </c:pt>
                <c:pt idx="28">
                  <c:v>1.023658571769183E-3</c:v>
                </c:pt>
                <c:pt idx="29">
                  <c:v>1.0708317892829744E-3</c:v>
                </c:pt>
                <c:pt idx="30">
                  <c:v>1.1192464072576551E-3</c:v>
                </c:pt>
                <c:pt idx="31">
                  <c:v>1.1689024256932251E-3</c:v>
                </c:pt>
                <c:pt idx="32">
                  <c:v>1.2206274448969439E-3</c:v>
                </c:pt>
                <c:pt idx="33">
                  <c:v>1.2727662642542923E-3</c:v>
                </c:pt>
                <c:pt idx="34">
                  <c:v>1.3249050836116408E-3</c:v>
                </c:pt>
                <c:pt idx="35">
                  <c:v>1.377192871024296E-3</c:v>
                </c:pt>
                <c:pt idx="36">
                  <c:v>1.4310696510268894E-3</c:v>
                </c:pt>
                <c:pt idx="37">
                  <c:v>1.4869326717669056E-3</c:v>
                </c:pt>
                <c:pt idx="38">
                  <c:v>1.5432922526912776E-3</c:v>
                </c:pt>
                <c:pt idx="39">
                  <c:v>1.600396673892183E-3</c:v>
                </c:pt>
                <c:pt idx="40">
                  <c:v>1.6575010950930884E-3</c:v>
                </c:pt>
                <c:pt idx="41">
                  <c:v>1.7163434769392389E-3</c:v>
                </c:pt>
                <c:pt idx="42">
                  <c:v>1.7759306990619229E-3</c:v>
                </c:pt>
                <c:pt idx="43">
                  <c:v>1.8355179211846069E-3</c:v>
                </c:pt>
                <c:pt idx="44">
                  <c:v>1.8958499835838244E-3</c:v>
                </c:pt>
                <c:pt idx="45">
                  <c:v>1.957920006628287E-3</c:v>
                </c:pt>
                <c:pt idx="46">
                  <c:v>2.0199900296727497E-3</c:v>
                </c:pt>
                <c:pt idx="47">
                  <c:v>2.0820600527172123E-3</c:v>
                </c:pt>
                <c:pt idx="48">
                  <c:v>2.1441300757616749E-3</c:v>
                </c:pt>
                <c:pt idx="49">
                  <c:v>2.2062000988061375E-3</c:v>
                </c:pt>
                <c:pt idx="50">
                  <c:v>2.2682701218506001E-3</c:v>
                </c:pt>
                <c:pt idx="51">
                  <c:v>2.3303401448950627E-3</c:v>
                </c:pt>
                <c:pt idx="52">
                  <c:v>2.3924101679395253E-3</c:v>
                </c:pt>
                <c:pt idx="53">
                  <c:v>2.4544801909839879E-3</c:v>
                </c:pt>
                <c:pt idx="54">
                  <c:v>2.5165502140284506E-3</c:v>
                </c:pt>
                <c:pt idx="55">
                  <c:v>2.5786202370729132E-3</c:v>
                </c:pt>
                <c:pt idx="56">
                  <c:v>2.6406902601173758E-3</c:v>
                </c:pt>
                <c:pt idx="57">
                  <c:v>2.7027602831618384E-3</c:v>
                </c:pt>
                <c:pt idx="58">
                  <c:v>2.7664754100970713E-3</c:v>
                </c:pt>
                <c:pt idx="59">
                  <c:v>2.8310282340633123E-3</c:v>
                </c:pt>
                <c:pt idx="60">
                  <c:v>2.8955810580295533E-3</c:v>
                </c:pt>
                <c:pt idx="61">
                  <c:v>2.9606329249810717E-3</c:v>
                </c:pt>
                <c:pt idx="62">
                  <c:v>3.0264271494082019E-3</c:v>
                </c:pt>
                <c:pt idx="63">
                  <c:v>3.0934627742962213E-3</c:v>
                </c:pt>
                <c:pt idx="64">
                  <c:v>3.1604983991842407E-3</c:v>
                </c:pt>
                <c:pt idx="65">
                  <c:v>3.22753402407226E-3</c:v>
                </c:pt>
                <c:pt idx="66">
                  <c:v>3.2945696489602794E-3</c:v>
                </c:pt>
                <c:pt idx="67">
                  <c:v>3.362846674309188E-3</c:v>
                </c:pt>
                <c:pt idx="68">
                  <c:v>3.4323651001189862E-3</c:v>
                </c:pt>
                <c:pt idx="69">
                  <c:v>3.5018835259287844E-3</c:v>
                </c:pt>
                <c:pt idx="70">
                  <c:v>3.5714019517385826E-3</c:v>
                </c:pt>
                <c:pt idx="71">
                  <c:v>3.6409203775483808E-3</c:v>
                </c:pt>
                <c:pt idx="72">
                  <c:v>3.7109403291443778E-3</c:v>
                </c:pt>
                <c:pt idx="73">
                  <c:v>3.7812035952307092E-3</c:v>
                </c:pt>
                <c:pt idx="74">
                  <c:v>3.854446222423175E-3</c:v>
                </c:pt>
                <c:pt idx="75">
                  <c:v>3.9282785148345633E-3</c:v>
                </c:pt>
                <c:pt idx="76">
                  <c:v>4.0052453434096967E-3</c:v>
                </c:pt>
                <c:pt idx="77">
                  <c:v>4.08221217198483E-3</c:v>
                </c:pt>
                <c:pt idx="78">
                  <c:v>4.1596755607443189E-3</c:v>
                </c:pt>
                <c:pt idx="79">
                  <c:v>4.2373872295959859E-3</c:v>
                </c:pt>
                <c:pt idx="80">
                  <c:v>4.3158437387241866E-3</c:v>
                </c:pt>
                <c:pt idx="81">
                  <c:v>4.3947968080367428E-3</c:v>
                </c:pt>
                <c:pt idx="82">
                  <c:v>4.4737498773492991E-3</c:v>
                </c:pt>
                <c:pt idx="83">
                  <c:v>4.5527029466618553E-3</c:v>
                </c:pt>
                <c:pt idx="84">
                  <c:v>4.632152576158767E-3</c:v>
                </c:pt>
                <c:pt idx="85">
                  <c:v>4.7116022056556787E-3</c:v>
                </c:pt>
                <c:pt idx="86">
                  <c:v>4.7910518351525905E-3</c:v>
                </c:pt>
                <c:pt idx="87">
                  <c:v>4.8705014646495022E-3</c:v>
                </c:pt>
                <c:pt idx="88">
                  <c:v>4.9499510941464139E-3</c:v>
                </c:pt>
                <c:pt idx="89">
                  <c:v>5.0294007236433257E-3</c:v>
                </c:pt>
                <c:pt idx="90">
                  <c:v>5.1100917536011266E-3</c:v>
                </c:pt>
                <c:pt idx="91">
                  <c:v>5.1907827835589275E-3</c:v>
                </c:pt>
                <c:pt idx="92">
                  <c:v>5.2719703737010848E-3</c:v>
                </c:pt>
                <c:pt idx="93">
                  <c:v>5.3539028041197749E-3</c:v>
                </c:pt>
                <c:pt idx="94">
                  <c:v>5.435835234538465E-3</c:v>
                </c:pt>
                <c:pt idx="95">
                  <c:v>5.5177676649571551E-3</c:v>
                </c:pt>
                <c:pt idx="96">
                  <c:v>5.5997000953758452E-3</c:v>
                </c:pt>
                <c:pt idx="97">
                  <c:v>5.6816325257945353E-3</c:v>
                </c:pt>
                <c:pt idx="98">
                  <c:v>5.7635649562132255E-3</c:v>
                </c:pt>
                <c:pt idx="99">
                  <c:v>5.8454973866319156E-3</c:v>
                </c:pt>
                <c:pt idx="100">
                  <c:v>5.9274298170506057E-3</c:v>
                </c:pt>
                <c:pt idx="101">
                  <c:v>6.0101898477765555E-3</c:v>
                </c:pt>
                <c:pt idx="102">
                  <c:v>6.0930905705547395E-3</c:v>
                </c:pt>
                <c:pt idx="103">
                  <c:v>6.1775058018952089E-3</c:v>
                </c:pt>
                <c:pt idx="104">
                  <c:v>6.2619210332356783E-3</c:v>
                </c:pt>
                <c:pt idx="105">
                  <c:v>6.3463362645761476E-3</c:v>
                </c:pt>
                <c:pt idx="106">
                  <c:v>6.430751495916617E-3</c:v>
                </c:pt>
                <c:pt idx="107">
                  <c:v>6.5151667272570863E-3</c:v>
                </c:pt>
                <c:pt idx="108">
                  <c:v>6.6020647595193341E-3</c:v>
                </c:pt>
                <c:pt idx="109">
                  <c:v>6.6889627917815818E-3</c:v>
                </c:pt>
                <c:pt idx="110">
                  <c:v>6.7758608240438296E-3</c:v>
                </c:pt>
                <c:pt idx="111">
                  <c:v>6.8627588563060773E-3</c:v>
                </c:pt>
                <c:pt idx="112">
                  <c:v>6.9496568885683251E-3</c:v>
                </c:pt>
                <c:pt idx="113">
                  <c:v>7.0365549208305728E-3</c:v>
                </c:pt>
                <c:pt idx="114">
                  <c:v>7.1234529530928205E-3</c:v>
                </c:pt>
                <c:pt idx="115">
                  <c:v>7.2103509853550683E-3</c:v>
                </c:pt>
                <c:pt idx="116">
                  <c:v>7.297249017617316E-3</c:v>
                </c:pt>
                <c:pt idx="117">
                  <c:v>7.3841470498795638E-3</c:v>
                </c:pt>
                <c:pt idx="118">
                  <c:v>7.4710450821418115E-3</c:v>
                </c:pt>
                <c:pt idx="119">
                  <c:v>7.5579431144040593E-3</c:v>
                </c:pt>
                <c:pt idx="120">
                  <c:v>7.644841146666307E-3</c:v>
                </c:pt>
                <c:pt idx="121">
                  <c:v>7.7317391789285548E-3</c:v>
                </c:pt>
                <c:pt idx="122">
                  <c:v>7.8186372111908025E-3</c:v>
                </c:pt>
                <c:pt idx="123">
                  <c:v>7.9055352434530494E-3</c:v>
                </c:pt>
                <c:pt idx="124">
                  <c:v>7.9924332757152963E-3</c:v>
                </c:pt>
                <c:pt idx="125">
                  <c:v>8.0793313079775431E-3</c:v>
                </c:pt>
                <c:pt idx="126">
                  <c:v>8.16622934023979E-3</c:v>
                </c:pt>
                <c:pt idx="127">
                  <c:v>8.2531273725020369E-3</c:v>
                </c:pt>
                <c:pt idx="128">
                  <c:v>8.3402736848564619E-3</c:v>
                </c:pt>
                <c:pt idx="129">
                  <c:v>8.4296545180404872E-3</c:v>
                </c:pt>
                <c:pt idx="130">
                  <c:v>8.5190353512245125E-3</c:v>
                </c:pt>
                <c:pt idx="131">
                  <c:v>8.6093099927403785E-3</c:v>
                </c:pt>
                <c:pt idx="132">
                  <c:v>8.6995846342562445E-3</c:v>
                </c:pt>
                <c:pt idx="133">
                  <c:v>8.790206867901159E-3</c:v>
                </c:pt>
                <c:pt idx="134">
                  <c:v>8.8808291015460734E-3</c:v>
                </c:pt>
                <c:pt idx="135">
                  <c:v>8.9726927356518771E-3</c:v>
                </c:pt>
                <c:pt idx="136">
                  <c:v>9.0645563697576807E-3</c:v>
                </c:pt>
                <c:pt idx="137">
                  <c:v>9.1576614043243753E-3</c:v>
                </c:pt>
                <c:pt idx="138">
                  <c:v>9.2507664388910699E-3</c:v>
                </c:pt>
                <c:pt idx="139">
                  <c:v>9.3438714734577644E-3</c:v>
                </c:pt>
                <c:pt idx="140">
                  <c:v>9.4372247881166355E-3</c:v>
                </c:pt>
                <c:pt idx="141">
                  <c:v>9.5305781027755065E-3</c:v>
                </c:pt>
                <c:pt idx="142">
                  <c:v>9.6249245378030902E-3</c:v>
                </c:pt>
                <c:pt idx="143">
                  <c:v>9.719270972830674E-3</c:v>
                </c:pt>
                <c:pt idx="144">
                  <c:v>9.8136174078582578E-3</c:v>
                </c:pt>
                <c:pt idx="145">
                  <c:v>9.9079638428858415E-3</c:v>
                </c:pt>
                <c:pt idx="146">
                  <c:v>1.0002862204558335E-2</c:v>
                </c:pt>
                <c:pt idx="147">
                  <c:v>1.009820175995463E-2</c:v>
                </c:pt>
                <c:pt idx="148">
                  <c:v>1.0193789595443103E-2</c:v>
                </c:pt>
                <c:pt idx="149">
                  <c:v>1.0290618831392465E-2</c:v>
                </c:pt>
                <c:pt idx="150">
                  <c:v>1.0387448067341827E-2</c:v>
                </c:pt>
                <c:pt idx="151">
                  <c:v>1.0488001504673857E-2</c:v>
                </c:pt>
                <c:pt idx="152">
                  <c:v>1.0588554942005887E-2</c:v>
                </c:pt>
                <c:pt idx="153">
                  <c:v>1.0689356659430094E-2</c:v>
                </c:pt>
                <c:pt idx="154">
                  <c:v>1.0791151497223013E-2</c:v>
                </c:pt>
                <c:pt idx="155">
                  <c:v>1.0892946335015932E-2</c:v>
                </c:pt>
                <c:pt idx="156">
                  <c:v>1.0995734293177562E-2</c:v>
                </c:pt>
                <c:pt idx="157">
                  <c:v>1.1098522251339192E-2</c:v>
                </c:pt>
                <c:pt idx="158">
                  <c:v>1.1201558489593E-2</c:v>
                </c:pt>
                <c:pt idx="159">
                  <c:v>1.1305008528000437E-2</c:v>
                </c:pt>
                <c:pt idx="160">
                  <c:v>1.1409286166715134E-2</c:v>
                </c:pt>
                <c:pt idx="161">
                  <c:v>1.1513563805429831E-2</c:v>
                </c:pt>
                <c:pt idx="162">
                  <c:v>1.1617841444144529E-2</c:v>
                </c:pt>
                <c:pt idx="163">
                  <c:v>1.1722119082859226E-2</c:v>
                </c:pt>
                <c:pt idx="164">
                  <c:v>1.1826396721573923E-2</c:v>
                </c:pt>
                <c:pt idx="165">
                  <c:v>1.1931295060519065E-2</c:v>
                </c:pt>
                <c:pt idx="166">
                  <c:v>1.2037434799925096E-2</c:v>
                </c:pt>
                <c:pt idx="167">
                  <c:v>1.2144195239561572E-2</c:v>
                </c:pt>
                <c:pt idx="168">
                  <c:v>1.2250955679198048E-2</c:v>
                </c:pt>
                <c:pt idx="169">
                  <c:v>1.2357716118834523E-2</c:v>
                </c:pt>
                <c:pt idx="170">
                  <c:v>1.2464476558470999E-2</c:v>
                </c:pt>
                <c:pt idx="171">
                  <c:v>1.2571236998107475E-2</c:v>
                </c:pt>
                <c:pt idx="172">
                  <c:v>1.267799743774395E-2</c:v>
                </c:pt>
                <c:pt idx="173">
                  <c:v>1.2784757877380426E-2</c:v>
                </c:pt>
                <c:pt idx="174">
                  <c:v>1.2891816253127514E-2</c:v>
                </c:pt>
                <c:pt idx="175">
                  <c:v>1.2999073252948346E-2</c:v>
                </c:pt>
                <c:pt idx="176">
                  <c:v>1.3107075093045711E-2</c:v>
                </c:pt>
                <c:pt idx="177">
                  <c:v>1.3216318333603965E-2</c:v>
                </c:pt>
                <c:pt idx="178">
                  <c:v>1.3325561574162219E-2</c:v>
                </c:pt>
                <c:pt idx="179">
                  <c:v>1.3434804814720473E-2</c:v>
                </c:pt>
                <c:pt idx="180">
                  <c:v>1.3544048055278727E-2</c:v>
                </c:pt>
                <c:pt idx="181">
                  <c:v>1.3653291295836981E-2</c:v>
                </c:pt>
                <c:pt idx="182">
                  <c:v>1.3763465586740901E-2</c:v>
                </c:pt>
                <c:pt idx="183">
                  <c:v>1.3875191628220934E-2</c:v>
                </c:pt>
                <c:pt idx="184">
                  <c:v>1.3986917669700966E-2</c:v>
                </c:pt>
                <c:pt idx="185">
                  <c:v>1.4098643711180999E-2</c:v>
                </c:pt>
                <c:pt idx="186">
                  <c:v>1.4210369752661031E-2</c:v>
                </c:pt>
                <c:pt idx="187">
                  <c:v>1.4322095794141064E-2</c:v>
                </c:pt>
                <c:pt idx="188">
                  <c:v>1.4433821835621096E-2</c:v>
                </c:pt>
                <c:pt idx="189">
                  <c:v>1.4545547877101129E-2</c:v>
                </c:pt>
                <c:pt idx="190">
                  <c:v>1.4657273918581161E-2</c:v>
                </c:pt>
                <c:pt idx="191">
                  <c:v>1.4768999960061193E-2</c:v>
                </c:pt>
                <c:pt idx="192">
                  <c:v>1.4880726001541226E-2</c:v>
                </c:pt>
                <c:pt idx="193">
                  <c:v>1.4992452043021258E-2</c:v>
                </c:pt>
                <c:pt idx="194">
                  <c:v>1.5104178084501291E-2</c:v>
                </c:pt>
                <c:pt idx="195">
                  <c:v>1.5215904125981323E-2</c:v>
                </c:pt>
                <c:pt idx="196">
                  <c:v>1.5327630167461356E-2</c:v>
                </c:pt>
                <c:pt idx="197">
                  <c:v>1.5439356208941388E-2</c:v>
                </c:pt>
                <c:pt idx="198">
                  <c:v>1.5551082250421421E-2</c:v>
                </c:pt>
                <c:pt idx="199">
                  <c:v>1.5662808291901455E-2</c:v>
                </c:pt>
                <c:pt idx="200">
                  <c:v>1.5774534333381489E-2</c:v>
                </c:pt>
                <c:pt idx="201">
                  <c:v>1.5886260374861523E-2</c:v>
                </c:pt>
                <c:pt idx="202">
                  <c:v>1.5997986416341557E-2</c:v>
                </c:pt>
                <c:pt idx="203">
                  <c:v>1.6109712457821591E-2</c:v>
                </c:pt>
                <c:pt idx="204">
                  <c:v>1.6221438499301626E-2</c:v>
                </c:pt>
                <c:pt idx="205">
                  <c:v>1.633316454078166E-2</c:v>
                </c:pt>
                <c:pt idx="206">
                  <c:v>1.6444890582261694E-2</c:v>
                </c:pt>
                <c:pt idx="207">
                  <c:v>1.6556616623741728E-2</c:v>
                </c:pt>
                <c:pt idx="208">
                  <c:v>1.6668342665221762E-2</c:v>
                </c:pt>
                <c:pt idx="209">
                  <c:v>1.6780068706701796E-2</c:v>
                </c:pt>
                <c:pt idx="210">
                  <c:v>1.6891794748181831E-2</c:v>
                </c:pt>
                <c:pt idx="211">
                  <c:v>1.7003520789661865E-2</c:v>
                </c:pt>
                <c:pt idx="212">
                  <c:v>1.7117729632063677E-2</c:v>
                </c:pt>
                <c:pt idx="213">
                  <c:v>1.723193847446549E-2</c:v>
                </c:pt>
                <c:pt idx="214">
                  <c:v>1.7346147316867302E-2</c:v>
                </c:pt>
                <c:pt idx="215">
                  <c:v>1.7460356159269115E-2</c:v>
                </c:pt>
                <c:pt idx="216">
                  <c:v>1.7574565001670928E-2</c:v>
                </c:pt>
                <c:pt idx="217">
                  <c:v>1.768877384407274E-2</c:v>
                </c:pt>
                <c:pt idx="218">
                  <c:v>1.780367787073265E-2</c:v>
                </c:pt>
                <c:pt idx="219">
                  <c:v>1.7919128113595351E-2</c:v>
                </c:pt>
                <c:pt idx="220">
                  <c:v>1.8034578356458053E-2</c:v>
                </c:pt>
                <c:pt idx="221">
                  <c:v>1.8150450675477457E-2</c:v>
                </c:pt>
                <c:pt idx="222">
                  <c:v>1.8267142318801048E-2</c:v>
                </c:pt>
                <c:pt idx="223">
                  <c:v>1.8383833962124639E-2</c:v>
                </c:pt>
                <c:pt idx="224">
                  <c:v>1.850052560544823E-2</c:v>
                </c:pt>
                <c:pt idx="225">
                  <c:v>1.8617217248771821E-2</c:v>
                </c:pt>
                <c:pt idx="226">
                  <c:v>1.8733908892095412E-2</c:v>
                </c:pt>
                <c:pt idx="227">
                  <c:v>1.8850600535419003E-2</c:v>
                </c:pt>
                <c:pt idx="228">
                  <c:v>1.8967292178742594E-2</c:v>
                </c:pt>
                <c:pt idx="229">
                  <c:v>1.9085225222527074E-2</c:v>
                </c:pt>
                <c:pt idx="230">
                  <c:v>1.9203654826495907E-2</c:v>
                </c:pt>
                <c:pt idx="231">
                  <c:v>1.9322829270741276E-2</c:v>
                </c:pt>
                <c:pt idx="232">
                  <c:v>1.9442003714986646E-2</c:v>
                </c:pt>
                <c:pt idx="233">
                  <c:v>1.9561178159232015E-2</c:v>
                </c:pt>
                <c:pt idx="234">
                  <c:v>1.9680352603477384E-2</c:v>
                </c:pt>
                <c:pt idx="235">
                  <c:v>1.9799527047722754E-2</c:v>
                </c:pt>
                <c:pt idx="236">
                  <c:v>1.9918701491968123E-2</c:v>
                </c:pt>
                <c:pt idx="237">
                  <c:v>2.0037875936213492E-2</c:v>
                </c:pt>
                <c:pt idx="238">
                  <c:v>2.0157314053916752E-2</c:v>
                </c:pt>
                <c:pt idx="239">
                  <c:v>2.0277316098469379E-2</c:v>
                </c:pt>
                <c:pt idx="240">
                  <c:v>2.0397731943175637E-2</c:v>
                </c:pt>
                <c:pt idx="241">
                  <c:v>2.0518147787881896E-2</c:v>
                </c:pt>
                <c:pt idx="242">
                  <c:v>2.0639805033049043E-2</c:v>
                </c:pt>
                <c:pt idx="243">
                  <c:v>2.0761462278216191E-2</c:v>
                </c:pt>
                <c:pt idx="244">
                  <c:v>2.0883119523383339E-2</c:v>
                </c:pt>
                <c:pt idx="245">
                  <c:v>2.1004776768550486E-2</c:v>
                </c:pt>
                <c:pt idx="246">
                  <c:v>2.1130158215100302E-2</c:v>
                </c:pt>
                <c:pt idx="247">
                  <c:v>2.125648312600039E-2</c:v>
                </c:pt>
                <c:pt idx="248">
                  <c:v>2.1383105973011095E-2</c:v>
                </c:pt>
                <c:pt idx="249">
                  <c:v>2.1509728820021799E-2</c:v>
                </c:pt>
                <c:pt idx="250">
                  <c:v>2.1636351667032504E-2</c:v>
                </c:pt>
                <c:pt idx="251">
                  <c:v>2.1762974514043208E-2</c:v>
                </c:pt>
                <c:pt idx="252">
                  <c:v>2.1891087041606978E-2</c:v>
                </c:pt>
                <c:pt idx="253">
                  <c:v>2.2019365089232201E-2</c:v>
                </c:pt>
                <c:pt idx="254">
                  <c:v>2.2147974176980327E-2</c:v>
                </c:pt>
                <c:pt idx="255">
                  <c:v>2.227707982491281E-2</c:v>
                </c:pt>
                <c:pt idx="256">
                  <c:v>2.2406185472845293E-2</c:v>
                </c:pt>
                <c:pt idx="257">
                  <c:v>2.2535291120777776E-2</c:v>
                </c:pt>
                <c:pt idx="258">
                  <c:v>2.2664396768710258E-2</c:v>
                </c:pt>
                <c:pt idx="259">
                  <c:v>2.2793502416642741E-2</c:v>
                </c:pt>
                <c:pt idx="260">
                  <c:v>2.292417620163742E-2</c:v>
                </c:pt>
                <c:pt idx="261">
                  <c:v>2.3055764650491681E-2</c:v>
                </c:pt>
                <c:pt idx="262">
                  <c:v>2.3187353099345942E-2</c:v>
                </c:pt>
                <c:pt idx="263">
                  <c:v>2.3318941548200203E-2</c:v>
                </c:pt>
                <c:pt idx="264">
                  <c:v>2.3450529997054465E-2</c:v>
                </c:pt>
                <c:pt idx="265">
                  <c:v>2.3584228826692238E-2</c:v>
                </c:pt>
                <c:pt idx="266">
                  <c:v>2.3718300076468277E-2</c:v>
                </c:pt>
                <c:pt idx="267">
                  <c:v>2.3852371326244317E-2</c:v>
                </c:pt>
                <c:pt idx="268">
                  <c:v>2.3986442576020357E-2</c:v>
                </c:pt>
                <c:pt idx="269">
                  <c:v>2.4120849003920836E-2</c:v>
                </c:pt>
                <c:pt idx="270">
                  <c:v>2.4255416813881232E-2</c:v>
                </c:pt>
                <c:pt idx="271">
                  <c:v>2.4389984623841628E-2</c:v>
                </c:pt>
                <c:pt idx="272">
                  <c:v>2.4526538674539446E-2</c:v>
                </c:pt>
                <c:pt idx="273">
                  <c:v>2.4663092725237264E-2</c:v>
                </c:pt>
                <c:pt idx="274">
                  <c:v>2.4799646775935082E-2</c:v>
                </c:pt>
                <c:pt idx="275">
                  <c:v>2.49362008266329E-2</c:v>
                </c:pt>
                <c:pt idx="276">
                  <c:v>2.5072754877330718E-2</c:v>
                </c:pt>
                <c:pt idx="277">
                  <c:v>2.5209308928028536E-2</c:v>
                </c:pt>
                <c:pt idx="278">
                  <c:v>2.5345862978726354E-2</c:v>
                </c:pt>
                <c:pt idx="279">
                  <c:v>2.5482417029424172E-2</c:v>
                </c:pt>
                <c:pt idx="280">
                  <c:v>2.561897108012199E-2</c:v>
                </c:pt>
                <c:pt idx="281">
                  <c:v>2.5755525130819808E-2</c:v>
                </c:pt>
                <c:pt idx="282">
                  <c:v>2.5892079181517626E-2</c:v>
                </c:pt>
                <c:pt idx="283">
                  <c:v>2.6028633232215444E-2</c:v>
                </c:pt>
                <c:pt idx="284">
                  <c:v>2.6165187282913262E-2</c:v>
                </c:pt>
                <c:pt idx="285">
                  <c:v>2.630174133361108E-2</c:v>
                </c:pt>
                <c:pt idx="286">
                  <c:v>2.6438295384308898E-2</c:v>
                </c:pt>
                <c:pt idx="287">
                  <c:v>2.6574849435006716E-2</c:v>
                </c:pt>
                <c:pt idx="288">
                  <c:v>2.6711403485704534E-2</c:v>
                </c:pt>
                <c:pt idx="289">
                  <c:v>2.6847957536402352E-2</c:v>
                </c:pt>
                <c:pt idx="290">
                  <c:v>2.698451158710017E-2</c:v>
                </c:pt>
                <c:pt idx="291">
                  <c:v>2.7121065637797988E-2</c:v>
                </c:pt>
                <c:pt idx="292">
                  <c:v>2.7257867968587982E-2</c:v>
                </c:pt>
                <c:pt idx="293">
                  <c:v>2.7396904820207579E-2</c:v>
                </c:pt>
                <c:pt idx="294">
                  <c:v>2.7535941671827175E-2</c:v>
                </c:pt>
                <c:pt idx="295">
                  <c:v>2.7674978523446771E-2</c:v>
                </c:pt>
                <c:pt idx="296">
                  <c:v>2.7814015375066368E-2</c:v>
                </c:pt>
                <c:pt idx="297">
                  <c:v>2.7953052226685964E-2</c:v>
                </c:pt>
                <c:pt idx="298">
                  <c:v>2.8092089078305561E-2</c:v>
                </c:pt>
                <c:pt idx="299">
                  <c:v>2.8233608730846935E-2</c:v>
                </c:pt>
                <c:pt idx="300">
                  <c:v>2.837512838338831E-2</c:v>
                </c:pt>
                <c:pt idx="301">
                  <c:v>2.8516648035929685E-2</c:v>
                </c:pt>
                <c:pt idx="302">
                  <c:v>2.8658763560692285E-2</c:v>
                </c:pt>
                <c:pt idx="303">
                  <c:v>2.8801524613694549E-2</c:v>
                </c:pt>
                <c:pt idx="304">
                  <c:v>2.8944533946788989E-2</c:v>
                </c:pt>
                <c:pt idx="305">
                  <c:v>2.9088536400252142E-2</c:v>
                </c:pt>
                <c:pt idx="306">
                  <c:v>2.9232538853715295E-2</c:v>
                </c:pt>
                <c:pt idx="307">
                  <c:v>2.9376541307178448E-2</c:v>
                </c:pt>
                <c:pt idx="308">
                  <c:v>2.9520543760641602E-2</c:v>
                </c:pt>
                <c:pt idx="309">
                  <c:v>2.9664546214104755E-2</c:v>
                </c:pt>
                <c:pt idx="310">
                  <c:v>2.9808728670634738E-2</c:v>
                </c:pt>
                <c:pt idx="311">
                  <c:v>2.9953351824328334E-2</c:v>
                </c:pt>
                <c:pt idx="312">
                  <c:v>3.0098181878098748E-2</c:v>
                </c:pt>
                <c:pt idx="313">
                  <c:v>3.024466713248368E-2</c:v>
                </c:pt>
                <c:pt idx="314">
                  <c:v>3.0391152386868611E-2</c:v>
                </c:pt>
                <c:pt idx="315">
                  <c:v>3.0537637641253543E-2</c:v>
                </c:pt>
                <c:pt idx="316">
                  <c:v>3.0684122895638474E-2</c:v>
                </c:pt>
                <c:pt idx="317">
                  <c:v>3.0830608150023406E-2</c:v>
                </c:pt>
                <c:pt idx="318">
                  <c:v>3.097783824468487E-2</c:v>
                </c:pt>
                <c:pt idx="319">
                  <c:v>3.112680629999158E-2</c:v>
                </c:pt>
                <c:pt idx="320">
                  <c:v>3.1276034180414754E-2</c:v>
                </c:pt>
                <c:pt idx="321">
                  <c:v>3.1425829753268693E-2</c:v>
                </c:pt>
                <c:pt idx="322">
                  <c:v>3.1576039209036295E-2</c:v>
                </c:pt>
                <c:pt idx="323">
                  <c:v>3.1727490065264784E-2</c:v>
                </c:pt>
                <c:pt idx="324">
                  <c:v>3.1878940921493272E-2</c:v>
                </c:pt>
                <c:pt idx="325">
                  <c:v>3.203039177772176E-2</c:v>
                </c:pt>
                <c:pt idx="326">
                  <c:v>3.2181966773996339E-2</c:v>
                </c:pt>
                <c:pt idx="327">
                  <c:v>3.2335072830839348E-2</c:v>
                </c:pt>
                <c:pt idx="328">
                  <c:v>3.2489006487989615E-2</c:v>
                </c:pt>
                <c:pt idx="329">
                  <c:v>3.2642940145139882E-2</c:v>
                </c:pt>
                <c:pt idx="330">
                  <c:v>3.2796873802290148E-2</c:v>
                </c:pt>
                <c:pt idx="331">
                  <c:v>3.2950807459440415E-2</c:v>
                </c:pt>
                <c:pt idx="332">
                  <c:v>3.3104741116590682E-2</c:v>
                </c:pt>
                <c:pt idx="333">
                  <c:v>3.3258674773740948E-2</c:v>
                </c:pt>
                <c:pt idx="334">
                  <c:v>3.3412608430891215E-2</c:v>
                </c:pt>
                <c:pt idx="335">
                  <c:v>3.3567783488502374E-2</c:v>
                </c:pt>
                <c:pt idx="336">
                  <c:v>3.3722958546113534E-2</c:v>
                </c:pt>
                <c:pt idx="337">
                  <c:v>3.3878630163909046E-2</c:v>
                </c:pt>
                <c:pt idx="338">
                  <c:v>3.4035046621981091E-2</c:v>
                </c:pt>
                <c:pt idx="339">
                  <c:v>3.4191463080053136E-2</c:v>
                </c:pt>
                <c:pt idx="340">
                  <c:v>3.4347879538125181E-2</c:v>
                </c:pt>
                <c:pt idx="341">
                  <c:v>3.4505785676750292E-2</c:v>
                </c:pt>
                <c:pt idx="342">
                  <c:v>3.4663691815375403E-2</c:v>
                </c:pt>
                <c:pt idx="343">
                  <c:v>3.4821597954000513E-2</c:v>
                </c:pt>
                <c:pt idx="344">
                  <c:v>3.4980497212994337E-2</c:v>
                </c:pt>
                <c:pt idx="345">
                  <c:v>3.513939647198816E-2</c:v>
                </c:pt>
                <c:pt idx="346">
                  <c:v>3.5298295730981984E-2</c:v>
                </c:pt>
                <c:pt idx="347">
                  <c:v>3.5457194989975807E-2</c:v>
                </c:pt>
                <c:pt idx="348">
                  <c:v>3.5617335649430523E-2</c:v>
                </c:pt>
                <c:pt idx="349">
                  <c:v>3.5778717709346125E-2</c:v>
                </c:pt>
                <c:pt idx="350">
                  <c:v>3.5940099769261727E-2</c:v>
                </c:pt>
                <c:pt idx="351">
                  <c:v>3.6101481829177329E-2</c:v>
                </c:pt>
                <c:pt idx="352">
                  <c:v>3.6262863889092931E-2</c:v>
                </c:pt>
                <c:pt idx="353">
                  <c:v>3.6424245949008532E-2</c:v>
                </c:pt>
                <c:pt idx="354">
                  <c:v>3.6585628008924134E-2</c:v>
                </c:pt>
                <c:pt idx="355">
                  <c:v>3.6747010068839736E-2</c:v>
                </c:pt>
                <c:pt idx="356">
                  <c:v>3.6908392128755338E-2</c:v>
                </c:pt>
                <c:pt idx="357">
                  <c:v>3.706977418867094E-2</c:v>
                </c:pt>
                <c:pt idx="358">
                  <c:v>3.7231156248586542E-2</c:v>
                </c:pt>
                <c:pt idx="359">
                  <c:v>3.7392538308502143E-2</c:v>
                </c:pt>
                <c:pt idx="360">
                  <c:v>3.7553920368417745E-2</c:v>
                </c:pt>
                <c:pt idx="361">
                  <c:v>3.7715302428333347E-2</c:v>
                </c:pt>
                <c:pt idx="362">
                  <c:v>3.7876684488248949E-2</c:v>
                </c:pt>
                <c:pt idx="363">
                  <c:v>3.8038066548164551E-2</c:v>
                </c:pt>
                <c:pt idx="364">
                  <c:v>3.8199448608080153E-2</c:v>
                </c:pt>
                <c:pt idx="365">
                  <c:v>3.8360830667995754E-2</c:v>
                </c:pt>
                <c:pt idx="366">
                  <c:v>3.8522212727911356E-2</c:v>
                </c:pt>
                <c:pt idx="367">
                  <c:v>3.8683594787826958E-2</c:v>
                </c:pt>
                <c:pt idx="368">
                  <c:v>3.884497684774256E-2</c:v>
                </c:pt>
                <c:pt idx="369">
                  <c:v>3.9006358907658162E-2</c:v>
                </c:pt>
                <c:pt idx="370">
                  <c:v>3.9167740967573764E-2</c:v>
                </c:pt>
                <c:pt idx="371">
                  <c:v>3.9329123027489366E-2</c:v>
                </c:pt>
                <c:pt idx="372">
                  <c:v>3.9490505087404967E-2</c:v>
                </c:pt>
                <c:pt idx="373">
                  <c:v>3.9651887147320569E-2</c:v>
                </c:pt>
                <c:pt idx="374">
                  <c:v>3.9813269207236171E-2</c:v>
                </c:pt>
                <c:pt idx="375">
                  <c:v>3.9974651267151773E-2</c:v>
                </c:pt>
                <c:pt idx="376">
                  <c:v>4.0136033327067375E-2</c:v>
                </c:pt>
                <c:pt idx="377">
                  <c:v>4.0297415386982977E-2</c:v>
                </c:pt>
                <c:pt idx="378">
                  <c:v>4.0458797446898578E-2</c:v>
                </c:pt>
                <c:pt idx="379">
                  <c:v>4.062017950681418E-2</c:v>
                </c:pt>
                <c:pt idx="380">
                  <c:v>4.0781561566729782E-2</c:v>
                </c:pt>
                <c:pt idx="381">
                  <c:v>4.0942943626645384E-2</c:v>
                </c:pt>
                <c:pt idx="382">
                  <c:v>4.1106808487482764E-2</c:v>
                </c:pt>
                <c:pt idx="383">
                  <c:v>4.1270673348320144E-2</c:v>
                </c:pt>
                <c:pt idx="384">
                  <c:v>4.1434538209157525E-2</c:v>
                </c:pt>
                <c:pt idx="385">
                  <c:v>4.1600058270609426E-2</c:v>
                </c:pt>
                <c:pt idx="386">
                  <c:v>4.1765578332061327E-2</c:v>
                </c:pt>
                <c:pt idx="387">
                  <c:v>4.1931379777617697E-2</c:v>
                </c:pt>
                <c:pt idx="388">
                  <c:v>4.2097181223174067E-2</c:v>
                </c:pt>
                <c:pt idx="389">
                  <c:v>4.2263528884933226E-2</c:v>
                </c:pt>
                <c:pt idx="390">
                  <c:v>4.2429876546692384E-2</c:v>
                </c:pt>
                <c:pt idx="391">
                  <c:v>4.2597465608912435E-2</c:v>
                </c:pt>
                <c:pt idx="392">
                  <c:v>4.276530295122466E-2</c:v>
                </c:pt>
                <c:pt idx="393">
                  <c:v>4.2934133413905597E-2</c:v>
                </c:pt>
                <c:pt idx="394">
                  <c:v>4.3102963876586534E-2</c:v>
                </c:pt>
                <c:pt idx="395">
                  <c:v>4.3271794339267471E-2</c:v>
                </c:pt>
                <c:pt idx="396">
                  <c:v>4.3440624801948408E-2</c:v>
                </c:pt>
                <c:pt idx="397">
                  <c:v>4.3609455264629345E-2</c:v>
                </c:pt>
                <c:pt idx="398">
                  <c:v>4.3778285727310282E-2</c:v>
                </c:pt>
                <c:pt idx="399">
                  <c:v>4.3947116189991219E-2</c:v>
                </c:pt>
                <c:pt idx="400">
                  <c:v>4.4116774252979413E-2</c:v>
                </c:pt>
                <c:pt idx="401">
                  <c:v>4.4286846116121242E-2</c:v>
                </c:pt>
                <c:pt idx="402">
                  <c:v>4.4458159379723958E-2</c:v>
                </c:pt>
                <c:pt idx="403">
                  <c:v>4.4629472643326673E-2</c:v>
                </c:pt>
                <c:pt idx="404">
                  <c:v>4.4801199707083017E-2</c:v>
                </c:pt>
                <c:pt idx="405">
                  <c:v>4.4974896459570639E-2</c:v>
                </c:pt>
                <c:pt idx="406">
                  <c:v>4.5148593212058261E-2</c:v>
                </c:pt>
                <c:pt idx="407">
                  <c:v>4.5322885836767114E-2</c:v>
                </c:pt>
                <c:pt idx="408">
                  <c:v>4.5498362012675375E-2</c:v>
                </c:pt>
                <c:pt idx="409">
                  <c:v>4.5673896037845114E-2</c:v>
                </c:pt>
                <c:pt idx="410">
                  <c:v>4.5850174903291387E-2</c:v>
                </c:pt>
                <c:pt idx="411">
                  <c:v>4.6027943449290724E-2</c:v>
                </c:pt>
                <c:pt idx="412">
                  <c:v>4.6206208555474422E-2</c:v>
                </c:pt>
                <c:pt idx="413">
                  <c:v>4.6384970221842473E-2</c:v>
                </c:pt>
                <c:pt idx="414">
                  <c:v>4.6563731888210523E-2</c:v>
                </c:pt>
                <c:pt idx="415">
                  <c:v>4.6742493554578574E-2</c:v>
                </c:pt>
                <c:pt idx="416">
                  <c:v>4.6921255220946624E-2</c:v>
                </c:pt>
                <c:pt idx="417">
                  <c:v>4.7100016887314675E-2</c:v>
                </c:pt>
                <c:pt idx="418">
                  <c:v>4.7278778553682725E-2</c:v>
                </c:pt>
                <c:pt idx="419">
                  <c:v>4.7457540220050776E-2</c:v>
                </c:pt>
                <c:pt idx="420">
                  <c:v>4.7636301886418826E-2</c:v>
                </c:pt>
                <c:pt idx="421">
                  <c:v>4.7816056673155589E-2</c:v>
                </c:pt>
                <c:pt idx="422">
                  <c:v>4.7996059739984533E-2</c:v>
                </c:pt>
                <c:pt idx="423">
                  <c:v>4.8176062806813476E-2</c:v>
                </c:pt>
                <c:pt idx="424">
                  <c:v>4.8356612089845208E-2</c:v>
                </c:pt>
                <c:pt idx="425">
                  <c:v>4.8537856557135037E-2</c:v>
                </c:pt>
                <c:pt idx="426">
                  <c:v>4.8719101024424866E-2</c:v>
                </c:pt>
                <c:pt idx="427">
                  <c:v>4.8902828292636473E-2</c:v>
                </c:pt>
                <c:pt idx="428">
                  <c:v>4.908655556084808E-2</c:v>
                </c:pt>
                <c:pt idx="429">
                  <c:v>4.9270282829059688E-2</c:v>
                </c:pt>
                <c:pt idx="430">
                  <c:v>4.9454010097271295E-2</c:v>
                </c:pt>
                <c:pt idx="431">
                  <c:v>4.9637737365482902E-2</c:v>
                </c:pt>
                <c:pt idx="432">
                  <c:v>4.9822730448364466E-2</c:v>
                </c:pt>
                <c:pt idx="433">
                  <c:v>5.0008270161248973E-2</c:v>
                </c:pt>
                <c:pt idx="434">
                  <c:v>5.0194480230382359E-2</c:v>
                </c:pt>
                <c:pt idx="435">
                  <c:v>5.0380690299515744E-2</c:v>
                </c:pt>
                <c:pt idx="436">
                  <c:v>5.056690036864913E-2</c:v>
                </c:pt>
                <c:pt idx="437">
                  <c:v>5.0753110437782516E-2</c:v>
                </c:pt>
                <c:pt idx="438">
                  <c:v>5.0939320506915901E-2</c:v>
                </c:pt>
                <c:pt idx="439">
                  <c:v>5.1125530576049287E-2</c:v>
                </c:pt>
                <c:pt idx="440">
                  <c:v>5.1311740645182673E-2</c:v>
                </c:pt>
                <c:pt idx="441">
                  <c:v>5.1497950714316058E-2</c:v>
                </c:pt>
                <c:pt idx="442">
                  <c:v>5.1684160783449444E-2</c:v>
                </c:pt>
                <c:pt idx="443">
                  <c:v>5.187037085258283E-2</c:v>
                </c:pt>
                <c:pt idx="444">
                  <c:v>5.2056580921716215E-2</c:v>
                </c:pt>
                <c:pt idx="445">
                  <c:v>5.2242790990849601E-2</c:v>
                </c:pt>
                <c:pt idx="446">
                  <c:v>5.2429001059982987E-2</c:v>
                </c:pt>
                <c:pt idx="447">
                  <c:v>5.2615211129116372E-2</c:v>
                </c:pt>
                <c:pt idx="448">
                  <c:v>5.2801421198249758E-2</c:v>
                </c:pt>
                <c:pt idx="449">
                  <c:v>5.2987631267383144E-2</c:v>
                </c:pt>
                <c:pt idx="450">
                  <c:v>5.3173841336516529E-2</c:v>
                </c:pt>
                <c:pt idx="451">
                  <c:v>5.3360051405649915E-2</c:v>
                </c:pt>
                <c:pt idx="452">
                  <c:v>5.3546261474783301E-2</c:v>
                </c:pt>
                <c:pt idx="453">
                  <c:v>5.3732471543916686E-2</c:v>
                </c:pt>
                <c:pt idx="454">
                  <c:v>5.3918681613050072E-2</c:v>
                </c:pt>
                <c:pt idx="455">
                  <c:v>5.4104891682183458E-2</c:v>
                </c:pt>
                <c:pt idx="456">
                  <c:v>5.4291101751316843E-2</c:v>
                </c:pt>
                <c:pt idx="457">
                  <c:v>5.4477311820450229E-2</c:v>
                </c:pt>
                <c:pt idx="458">
                  <c:v>5.4663521889583615E-2</c:v>
                </c:pt>
                <c:pt idx="459">
                  <c:v>5.4849731958717E-2</c:v>
                </c:pt>
                <c:pt idx="460">
                  <c:v>5.5035942027850386E-2</c:v>
                </c:pt>
                <c:pt idx="461">
                  <c:v>5.5222152096983772E-2</c:v>
                </c:pt>
                <c:pt idx="462">
                  <c:v>5.540960356657805E-2</c:v>
                </c:pt>
                <c:pt idx="463">
                  <c:v>5.5597551596356681E-2</c:v>
                </c:pt>
                <c:pt idx="464">
                  <c:v>5.5786244466411845E-2</c:v>
                </c:pt>
                <c:pt idx="465">
                  <c:v>5.5974937336467009E-2</c:v>
                </c:pt>
                <c:pt idx="466">
                  <c:v>5.6165616447259599E-2</c:v>
                </c:pt>
                <c:pt idx="467">
                  <c:v>5.6356792118236541E-2</c:v>
                </c:pt>
                <c:pt idx="468">
                  <c:v>5.6547967789213484E-2</c:v>
                </c:pt>
                <c:pt idx="469">
                  <c:v>5.6739143460190426E-2</c:v>
                </c:pt>
                <c:pt idx="470">
                  <c:v>5.6930319131167369E-2</c:v>
                </c:pt>
                <c:pt idx="471">
                  <c:v>5.7121494802144311E-2</c:v>
                </c:pt>
                <c:pt idx="472">
                  <c:v>5.7312877373198068E-2</c:v>
                </c:pt>
                <c:pt idx="473">
                  <c:v>5.7506535845096789E-2</c:v>
                </c:pt>
                <c:pt idx="474">
                  <c:v>5.7700194316995509E-2</c:v>
                </c:pt>
                <c:pt idx="475">
                  <c:v>5.789385278889423E-2</c:v>
                </c:pt>
                <c:pt idx="476">
                  <c:v>5.8087511260792951E-2</c:v>
                </c:pt>
                <c:pt idx="477">
                  <c:v>5.828237823604035E-2</c:v>
                </c:pt>
                <c:pt idx="478">
                  <c:v>5.8477278108399963E-2</c:v>
                </c:pt>
                <c:pt idx="479">
                  <c:v>5.8672177980759577E-2</c:v>
                </c:pt>
                <c:pt idx="480">
                  <c:v>5.8867385720433492E-2</c:v>
                </c:pt>
                <c:pt idx="481">
                  <c:v>5.9063526993253991E-2</c:v>
                </c:pt>
                <c:pt idx="482">
                  <c:v>5.925966826607449E-2</c:v>
                </c:pt>
                <c:pt idx="483">
                  <c:v>5.9455809538894989E-2</c:v>
                </c:pt>
                <c:pt idx="484">
                  <c:v>5.9652364611869117E-2</c:v>
                </c:pt>
                <c:pt idx="485">
                  <c:v>5.9849747285150509E-2</c:v>
                </c:pt>
                <c:pt idx="486">
                  <c:v>6.0047129958431901E-2</c:v>
                </c:pt>
                <c:pt idx="487">
                  <c:v>6.0244512631713293E-2</c:v>
                </c:pt>
                <c:pt idx="488">
                  <c:v>6.044313670545557E-2</c:v>
                </c:pt>
                <c:pt idx="489">
                  <c:v>6.0641760779197848E-2</c:v>
                </c:pt>
                <c:pt idx="490">
                  <c:v>6.0841874533493198E-2</c:v>
                </c:pt>
                <c:pt idx="491">
                  <c:v>6.1042981408157254E-2</c:v>
                </c:pt>
                <c:pt idx="492">
                  <c:v>6.124470898305176E-2</c:v>
                </c:pt>
                <c:pt idx="493">
                  <c:v>6.1447057258176709E-2</c:v>
                </c:pt>
                <c:pt idx="494">
                  <c:v>6.1650646933762543E-2</c:v>
                </c:pt>
                <c:pt idx="495">
                  <c:v>6.1854236609348377E-2</c:v>
                </c:pt>
                <c:pt idx="496">
                  <c:v>6.2057826284934212E-2</c:v>
                </c:pt>
                <c:pt idx="497">
                  <c:v>6.2261415960520046E-2</c:v>
                </c:pt>
                <c:pt idx="498">
                  <c:v>6.2465998756474593E-2</c:v>
                </c:pt>
                <c:pt idx="499">
                  <c:v>6.2672071232982213E-2</c:v>
                </c:pt>
                <c:pt idx="500">
                  <c:v>6.2878143709489825E-2</c:v>
                </c:pt>
                <c:pt idx="501">
                  <c:v>6.3084216185997438E-2</c:v>
                </c:pt>
                <c:pt idx="502">
                  <c:v>6.3291116262812308E-2</c:v>
                </c:pt>
                <c:pt idx="503">
                  <c:v>6.3498016339627178E-2</c:v>
                </c:pt>
                <c:pt idx="504">
                  <c:v>6.3704916416442048E-2</c:v>
                </c:pt>
                <c:pt idx="505">
                  <c:v>6.3911816493256918E-2</c:v>
                </c:pt>
                <c:pt idx="506">
                  <c:v>6.4118716570071788E-2</c:v>
                </c:pt>
                <c:pt idx="507">
                  <c:v>6.4325616646886657E-2</c:v>
                </c:pt>
                <c:pt idx="508">
                  <c:v>6.4534171924316056E-2</c:v>
                </c:pt>
                <c:pt idx="509">
                  <c:v>6.4742727201745454E-2</c:v>
                </c:pt>
                <c:pt idx="510">
                  <c:v>6.4951282479174852E-2</c:v>
                </c:pt>
                <c:pt idx="511">
                  <c:v>6.515983775660425E-2</c:v>
                </c:pt>
                <c:pt idx="512">
                  <c:v>6.5368393034033648E-2</c:v>
                </c:pt>
                <c:pt idx="513">
                  <c:v>6.5576948311463046E-2</c:v>
                </c:pt>
                <c:pt idx="514">
                  <c:v>6.5785503588892444E-2</c:v>
                </c:pt>
                <c:pt idx="515">
                  <c:v>6.599465473854306E-2</c:v>
                </c:pt>
                <c:pt idx="516">
                  <c:v>6.6205692816894229E-2</c:v>
                </c:pt>
                <c:pt idx="517">
                  <c:v>6.6416730895245399E-2</c:v>
                </c:pt>
                <c:pt idx="518">
                  <c:v>6.6627768973596568E-2</c:v>
                </c:pt>
                <c:pt idx="519">
                  <c:v>6.6838807051947738E-2</c:v>
                </c:pt>
                <c:pt idx="520">
                  <c:v>6.7049845130298907E-2</c:v>
                </c:pt>
                <c:pt idx="521">
                  <c:v>6.7260883208650077E-2</c:v>
                </c:pt>
                <c:pt idx="522">
                  <c:v>6.7471921287001246E-2</c:v>
                </c:pt>
                <c:pt idx="523">
                  <c:v>6.7682959365352416E-2</c:v>
                </c:pt>
                <c:pt idx="524">
                  <c:v>6.7893997443703585E-2</c:v>
                </c:pt>
                <c:pt idx="525">
                  <c:v>6.8105035522054755E-2</c:v>
                </c:pt>
                <c:pt idx="526">
                  <c:v>6.8316073600405924E-2</c:v>
                </c:pt>
                <c:pt idx="527">
                  <c:v>6.8527111678757094E-2</c:v>
                </c:pt>
                <c:pt idx="528">
                  <c:v>6.8738149757108263E-2</c:v>
                </c:pt>
                <c:pt idx="529">
                  <c:v>6.8949187835459433E-2</c:v>
                </c:pt>
                <c:pt idx="530">
                  <c:v>6.9160225913810602E-2</c:v>
                </c:pt>
                <c:pt idx="531">
                  <c:v>6.9371263992161772E-2</c:v>
                </c:pt>
                <c:pt idx="532">
                  <c:v>6.9582302070512941E-2</c:v>
                </c:pt>
                <c:pt idx="533">
                  <c:v>6.9793340148864111E-2</c:v>
                </c:pt>
                <c:pt idx="534">
                  <c:v>7.0006861028137066E-2</c:v>
                </c:pt>
                <c:pt idx="535">
                  <c:v>7.0220381907410021E-2</c:v>
                </c:pt>
                <c:pt idx="536">
                  <c:v>7.0435144187143861E-2</c:v>
                </c:pt>
                <c:pt idx="537">
                  <c:v>7.0651147867338587E-2</c:v>
                </c:pt>
                <c:pt idx="538">
                  <c:v>7.0867151547533314E-2</c:v>
                </c:pt>
                <c:pt idx="539">
                  <c:v>7.108315522772804E-2</c:v>
                </c:pt>
                <c:pt idx="540">
                  <c:v>7.1299158907922766E-2</c:v>
                </c:pt>
                <c:pt idx="541">
                  <c:v>7.1515162588117492E-2</c:v>
                </c:pt>
                <c:pt idx="542">
                  <c:v>7.1731166268312219E-2</c:v>
                </c:pt>
                <c:pt idx="543">
                  <c:v>7.1947567196654433E-2</c:v>
                </c:pt>
                <c:pt idx="544">
                  <c:v>7.2164226336292506E-2</c:v>
                </c:pt>
                <c:pt idx="545">
                  <c:v>7.2381347276902042E-2</c:v>
                </c:pt>
                <c:pt idx="546">
                  <c:v>7.2599833758018553E-2</c:v>
                </c:pt>
                <c:pt idx="547">
                  <c:v>7.2818320239135065E-2</c:v>
                </c:pt>
                <c:pt idx="548">
                  <c:v>7.3036806720251576E-2</c:v>
                </c:pt>
                <c:pt idx="549">
                  <c:v>7.3257031162013334E-2</c:v>
                </c:pt>
                <c:pt idx="550">
                  <c:v>7.3480483244973402E-2</c:v>
                </c:pt>
                <c:pt idx="551">
                  <c:v>7.370549949251419E-2</c:v>
                </c:pt>
                <c:pt idx="552">
                  <c:v>7.393168265648821E-2</c:v>
                </c:pt>
                <c:pt idx="553">
                  <c:v>7.4159272740984578E-2</c:v>
                </c:pt>
                <c:pt idx="554">
                  <c:v>7.4387690425788203E-2</c:v>
                </c:pt>
                <c:pt idx="555">
                  <c:v>7.4616108110591828E-2</c:v>
                </c:pt>
                <c:pt idx="556">
                  <c:v>7.4844525795395453E-2</c:v>
                </c:pt>
                <c:pt idx="557">
                  <c:v>7.5073936600567784E-2</c:v>
                </c:pt>
                <c:pt idx="558">
                  <c:v>7.5303764930095135E-2</c:v>
                </c:pt>
                <c:pt idx="559">
                  <c:v>7.5534665415820532E-2</c:v>
                </c:pt>
                <c:pt idx="560">
                  <c:v>7.5765565901545928E-2</c:v>
                </c:pt>
                <c:pt idx="561">
                  <c:v>7.6001236840962438E-2</c:v>
                </c:pt>
                <c:pt idx="562">
                  <c:v>7.6237102928531392E-2</c:v>
                </c:pt>
                <c:pt idx="563">
                  <c:v>7.6472969016100345E-2</c:v>
                </c:pt>
                <c:pt idx="564">
                  <c:v>7.6708835103669298E-2</c:v>
                </c:pt>
                <c:pt idx="565">
                  <c:v>7.6944701191238252E-2</c:v>
                </c:pt>
                <c:pt idx="566">
                  <c:v>7.7180567278807205E-2</c:v>
                </c:pt>
                <c:pt idx="567">
                  <c:v>7.7416433366376158E-2</c:v>
                </c:pt>
                <c:pt idx="568">
                  <c:v>7.7652299453945112E-2</c:v>
                </c:pt>
                <c:pt idx="569">
                  <c:v>7.7888165541514065E-2</c:v>
                </c:pt>
                <c:pt idx="570">
                  <c:v>7.8125024749451738E-2</c:v>
                </c:pt>
                <c:pt idx="571">
                  <c:v>7.8361883957389411E-2</c:v>
                </c:pt>
                <c:pt idx="572">
                  <c:v>7.8598743165327084E-2</c:v>
                </c:pt>
                <c:pt idx="573">
                  <c:v>7.8835602373264757E-2</c:v>
                </c:pt>
                <c:pt idx="574">
                  <c:v>7.9073951261755496E-2</c:v>
                </c:pt>
                <c:pt idx="575">
                  <c:v>7.9312300150246234E-2</c:v>
                </c:pt>
                <c:pt idx="576">
                  <c:v>7.9551393879013499E-2</c:v>
                </c:pt>
                <c:pt idx="577">
                  <c:v>7.9790984167965123E-2</c:v>
                </c:pt>
                <c:pt idx="578">
                  <c:v>8.0030822737008928E-2</c:v>
                </c:pt>
                <c:pt idx="579">
                  <c:v>8.0273640667158863E-2</c:v>
                </c:pt>
                <c:pt idx="580">
                  <c:v>8.0516955157493159E-2</c:v>
                </c:pt>
                <c:pt idx="581">
                  <c:v>8.0765235249671011E-2</c:v>
                </c:pt>
                <c:pt idx="582">
                  <c:v>8.1013515341848863E-2</c:v>
                </c:pt>
                <c:pt idx="583">
                  <c:v>8.1261795434026715E-2</c:v>
                </c:pt>
                <c:pt idx="584">
                  <c:v>8.151214452697271E-2</c:v>
                </c:pt>
                <c:pt idx="585">
                  <c:v>8.1765390220994119E-2</c:v>
                </c:pt>
                <c:pt idx="586">
                  <c:v>8.2019380755292054E-2</c:v>
                </c:pt>
                <c:pt idx="587">
                  <c:v>8.2273619569682169E-2</c:v>
                </c:pt>
                <c:pt idx="588">
                  <c:v>8.2530217044947979E-2</c:v>
                </c:pt>
                <c:pt idx="589">
                  <c:v>8.2787186940352059E-2</c:v>
                </c:pt>
                <c:pt idx="590">
                  <c:v>8.3045398236217025E-2</c:v>
                </c:pt>
                <c:pt idx="591">
                  <c:v>8.3306092333003762E-2</c:v>
                </c:pt>
                <c:pt idx="592">
                  <c:v>8.3566786429790499E-2</c:v>
                </c:pt>
                <c:pt idx="593">
                  <c:v>8.3827480526577236E-2</c:v>
                </c:pt>
                <c:pt idx="594">
                  <c:v>8.4088174623363973E-2</c:v>
                </c:pt>
                <c:pt idx="595">
                  <c:v>8.434886872015071E-2</c:v>
                </c:pt>
                <c:pt idx="596">
                  <c:v>8.4609562816937448E-2</c:v>
                </c:pt>
                <c:pt idx="597">
                  <c:v>8.4870256913724185E-2</c:v>
                </c:pt>
                <c:pt idx="598">
                  <c:v>8.5130951010510922E-2</c:v>
                </c:pt>
                <c:pt idx="599">
                  <c:v>8.5391645107297659E-2</c:v>
                </c:pt>
                <c:pt idx="600">
                  <c:v>8.5652339204084396E-2</c:v>
                </c:pt>
                <c:pt idx="601">
                  <c:v>8.5913033300871133E-2</c:v>
                </c:pt>
                <c:pt idx="602">
                  <c:v>8.617372739765787E-2</c:v>
                </c:pt>
                <c:pt idx="603">
                  <c:v>8.6434421494444608E-2</c:v>
                </c:pt>
                <c:pt idx="604">
                  <c:v>8.6695860431507885E-2</c:v>
                </c:pt>
                <c:pt idx="605">
                  <c:v>8.6961520130138178E-2</c:v>
                </c:pt>
                <c:pt idx="606">
                  <c:v>8.7228917789413718E-2</c:v>
                </c:pt>
                <c:pt idx="607">
                  <c:v>8.7497887889273054E-2</c:v>
                </c:pt>
                <c:pt idx="608">
                  <c:v>8.7766857989132391E-2</c:v>
                </c:pt>
                <c:pt idx="609">
                  <c:v>8.8035828088991727E-2</c:v>
                </c:pt>
                <c:pt idx="610">
                  <c:v>8.8308936190387363E-2</c:v>
                </c:pt>
                <c:pt idx="611">
                  <c:v>8.8582044291782999E-2</c:v>
                </c:pt>
                <c:pt idx="612">
                  <c:v>8.8855152393178635E-2</c:v>
                </c:pt>
                <c:pt idx="613">
                  <c:v>8.9128260494574271E-2</c:v>
                </c:pt>
                <c:pt idx="614">
                  <c:v>8.9401368595969907E-2</c:v>
                </c:pt>
                <c:pt idx="615">
                  <c:v>8.9674476697365543E-2</c:v>
                </c:pt>
                <c:pt idx="616">
                  <c:v>8.9947584798761179E-2</c:v>
                </c:pt>
                <c:pt idx="617">
                  <c:v>9.0220692900156815E-2</c:v>
                </c:pt>
                <c:pt idx="618">
                  <c:v>9.0493801001552451E-2</c:v>
                </c:pt>
                <c:pt idx="619">
                  <c:v>9.0766909102948087E-2</c:v>
                </c:pt>
                <c:pt idx="620">
                  <c:v>9.1040017204343723E-2</c:v>
                </c:pt>
                <c:pt idx="621">
                  <c:v>9.1313125305739359E-2</c:v>
                </c:pt>
                <c:pt idx="622">
                  <c:v>9.1586233407134995E-2</c:v>
                </c:pt>
                <c:pt idx="623">
                  <c:v>9.1859341508530631E-2</c:v>
                </c:pt>
                <c:pt idx="624">
                  <c:v>9.2132449609926267E-2</c:v>
                </c:pt>
                <c:pt idx="625">
                  <c:v>9.2405557711321903E-2</c:v>
                </c:pt>
                <c:pt idx="626">
                  <c:v>9.2678665812717539E-2</c:v>
                </c:pt>
                <c:pt idx="627">
                  <c:v>9.2951773914113175E-2</c:v>
                </c:pt>
                <c:pt idx="628">
                  <c:v>9.3224882015508811E-2</c:v>
                </c:pt>
                <c:pt idx="629">
                  <c:v>9.3497990116904447E-2</c:v>
                </c:pt>
                <c:pt idx="630">
                  <c:v>9.3771098218300084E-2</c:v>
                </c:pt>
                <c:pt idx="631">
                  <c:v>9.404420631969572E-2</c:v>
                </c:pt>
                <c:pt idx="632">
                  <c:v>9.4317314421091356E-2</c:v>
                </c:pt>
                <c:pt idx="633">
                  <c:v>9.4590422522486992E-2</c:v>
                </c:pt>
                <c:pt idx="634">
                  <c:v>9.4863530623882628E-2</c:v>
                </c:pt>
                <c:pt idx="635">
                  <c:v>9.5136638725278264E-2</c:v>
                </c:pt>
                <c:pt idx="636">
                  <c:v>9.54097468266739E-2</c:v>
                </c:pt>
                <c:pt idx="637">
                  <c:v>9.5682854928069536E-2</c:v>
                </c:pt>
                <c:pt idx="638">
                  <c:v>9.5956956149833877E-2</c:v>
                </c:pt>
                <c:pt idx="639">
                  <c:v>9.623502985307307E-2</c:v>
                </c:pt>
                <c:pt idx="640">
                  <c:v>9.6515586357234034E-2</c:v>
                </c:pt>
                <c:pt idx="641">
                  <c:v>9.6799039462470413E-2</c:v>
                </c:pt>
                <c:pt idx="642">
                  <c:v>9.7084561568474934E-2</c:v>
                </c:pt>
                <c:pt idx="643">
                  <c:v>9.7370083674479455E-2</c:v>
                </c:pt>
                <c:pt idx="644">
                  <c:v>9.7656325792751297E-2</c:v>
                </c:pt>
                <c:pt idx="645">
                  <c:v>9.7943908623520898E-2</c:v>
                </c:pt>
                <c:pt idx="646">
                  <c:v>9.8233568731061718E-2</c:v>
                </c:pt>
                <c:pt idx="647">
                  <c:v>9.8523228838602539E-2</c:v>
                </c:pt>
                <c:pt idx="648">
                  <c:v>9.881288894614336E-2</c:v>
                </c:pt>
                <c:pt idx="649">
                  <c:v>9.910254905368418E-2</c:v>
                </c:pt>
                <c:pt idx="650">
                  <c:v>9.9393036761532258E-2</c:v>
                </c:pt>
                <c:pt idx="651">
                  <c:v>9.9683524469380336E-2</c:v>
                </c:pt>
                <c:pt idx="652">
                  <c:v>9.9975129437643223E-2</c:v>
                </c:pt>
                <c:pt idx="653">
                  <c:v>0.1002668585459522</c:v>
                </c:pt>
                <c:pt idx="654">
                  <c:v>0.10056107045518295</c:v>
                </c:pt>
                <c:pt idx="655">
                  <c:v>0.10085714446510503</c:v>
                </c:pt>
                <c:pt idx="656">
                  <c:v>0.10115508057571845</c:v>
                </c:pt>
                <c:pt idx="657">
                  <c:v>0.10145301668633187</c:v>
                </c:pt>
                <c:pt idx="658">
                  <c:v>0.10175095279694529</c:v>
                </c:pt>
                <c:pt idx="659">
                  <c:v>0.10204888890755871</c:v>
                </c:pt>
                <c:pt idx="660">
                  <c:v>0.10234682501817213</c:v>
                </c:pt>
                <c:pt idx="661">
                  <c:v>0.10264476112878555</c:v>
                </c:pt>
                <c:pt idx="662">
                  <c:v>0.10294269723939897</c:v>
                </c:pt>
                <c:pt idx="663">
                  <c:v>0.10324063335001239</c:v>
                </c:pt>
                <c:pt idx="664">
                  <c:v>0.10353856946062581</c:v>
                </c:pt>
                <c:pt idx="665">
                  <c:v>0.10383650557123923</c:v>
                </c:pt>
                <c:pt idx="666">
                  <c:v>0.10413444168185265</c:v>
                </c:pt>
                <c:pt idx="667">
                  <c:v>0.10443237779246607</c:v>
                </c:pt>
                <c:pt idx="668">
                  <c:v>0.10473031390307949</c:v>
                </c:pt>
                <c:pt idx="669">
                  <c:v>0.10502825001369291</c:v>
                </c:pt>
                <c:pt idx="670">
                  <c:v>0.10532618612430633</c:v>
                </c:pt>
                <c:pt idx="671">
                  <c:v>0.10562412223491975</c:v>
                </c:pt>
                <c:pt idx="672">
                  <c:v>0.10592205834553317</c:v>
                </c:pt>
                <c:pt idx="673">
                  <c:v>0.10621999445614659</c:v>
                </c:pt>
                <c:pt idx="674">
                  <c:v>0.10651793056676001</c:v>
                </c:pt>
                <c:pt idx="675">
                  <c:v>0.10681586667737343</c:v>
                </c:pt>
                <c:pt idx="676">
                  <c:v>0.10711380278798685</c:v>
                </c:pt>
                <c:pt idx="677">
                  <c:v>0.10741173889860027</c:v>
                </c:pt>
                <c:pt idx="678">
                  <c:v>0.10770967500921369</c:v>
                </c:pt>
                <c:pt idx="679">
                  <c:v>0.10800761111982711</c:v>
                </c:pt>
                <c:pt idx="680">
                  <c:v>0.10830554723044053</c:v>
                </c:pt>
                <c:pt idx="681">
                  <c:v>0.10860348334105395</c:v>
                </c:pt>
                <c:pt idx="682">
                  <c:v>0.10890141945166737</c:v>
                </c:pt>
                <c:pt idx="683">
                  <c:v>0.10919935556228079</c:v>
                </c:pt>
                <c:pt idx="684">
                  <c:v>0.10949729167289421</c:v>
                </c:pt>
                <c:pt idx="685">
                  <c:v>0.10979522778350763</c:v>
                </c:pt>
                <c:pt idx="686">
                  <c:v>0.11009316389412105</c:v>
                </c:pt>
                <c:pt idx="687">
                  <c:v>0.11039110000473447</c:v>
                </c:pt>
                <c:pt idx="688">
                  <c:v>0.11068903611534789</c:v>
                </c:pt>
                <c:pt idx="689">
                  <c:v>0.11098697222596131</c:v>
                </c:pt>
                <c:pt idx="690">
                  <c:v>0.11128962565832611</c:v>
                </c:pt>
                <c:pt idx="691">
                  <c:v>0.11159625157216575</c:v>
                </c:pt>
                <c:pt idx="692">
                  <c:v>0.11190660168738807</c:v>
                </c:pt>
                <c:pt idx="693">
                  <c:v>0.11221695180261039</c:v>
                </c:pt>
                <c:pt idx="694">
                  <c:v>0.11252730191783271</c:v>
                </c:pt>
                <c:pt idx="695">
                  <c:v>0.11283765203305503</c:v>
                </c:pt>
                <c:pt idx="696">
                  <c:v>0.11314800214827735</c:v>
                </c:pt>
                <c:pt idx="697">
                  <c:v>0.11345835226349966</c:v>
                </c:pt>
                <c:pt idx="698">
                  <c:v>0.11376870237872198</c:v>
                </c:pt>
                <c:pt idx="699">
                  <c:v>0.1140790524939443</c:v>
                </c:pt>
                <c:pt idx="700">
                  <c:v>0.11438940260916662</c:v>
                </c:pt>
                <c:pt idx="701">
                  <c:v>0.11469975272438894</c:v>
                </c:pt>
                <c:pt idx="702">
                  <c:v>0.11501258564053303</c:v>
                </c:pt>
                <c:pt idx="703">
                  <c:v>0.11532665995713801</c:v>
                </c:pt>
                <c:pt idx="704">
                  <c:v>0.11564247223438823</c:v>
                </c:pt>
                <c:pt idx="705">
                  <c:v>0.11596186388296735</c:v>
                </c:pt>
                <c:pt idx="706">
                  <c:v>0.11628140605135236</c:v>
                </c:pt>
                <c:pt idx="707">
                  <c:v>0.11660168737026179</c:v>
                </c:pt>
                <c:pt idx="708">
                  <c:v>0.11692238248932485</c:v>
                </c:pt>
                <c:pt idx="709">
                  <c:v>0.11724514660915605</c:v>
                </c:pt>
                <c:pt idx="710">
                  <c:v>0.11756791072898726</c:v>
                </c:pt>
                <c:pt idx="711">
                  <c:v>0.11789067484881846</c:v>
                </c:pt>
                <c:pt idx="712">
                  <c:v>0.11821343896864966</c:v>
                </c:pt>
                <c:pt idx="713">
                  <c:v>0.11853620308848087</c:v>
                </c:pt>
                <c:pt idx="714">
                  <c:v>0.11885896720831207</c:v>
                </c:pt>
                <c:pt idx="715">
                  <c:v>0.11918173132814328</c:v>
                </c:pt>
                <c:pt idx="716">
                  <c:v>0.11950449544797448</c:v>
                </c:pt>
                <c:pt idx="717">
                  <c:v>0.11982725956780568</c:v>
                </c:pt>
                <c:pt idx="718">
                  <c:v>0.12015002368763689</c:v>
                </c:pt>
                <c:pt idx="719">
                  <c:v>0.12047278780746809</c:v>
                </c:pt>
                <c:pt idx="720">
                  <c:v>0.12079555192729929</c:v>
                </c:pt>
                <c:pt idx="721">
                  <c:v>0.1211183160471305</c:v>
                </c:pt>
                <c:pt idx="722">
                  <c:v>0.1214410801669617</c:v>
                </c:pt>
                <c:pt idx="723">
                  <c:v>0.1217638442867929</c:v>
                </c:pt>
                <c:pt idx="724">
                  <c:v>0.12208660840662411</c:v>
                </c:pt>
                <c:pt idx="725">
                  <c:v>0.12240937252645531</c:v>
                </c:pt>
                <c:pt idx="726">
                  <c:v>0.12273213664628652</c:v>
                </c:pt>
                <c:pt idx="727">
                  <c:v>0.12305490076611772</c:v>
                </c:pt>
                <c:pt idx="728">
                  <c:v>0.12337766488594892</c:v>
                </c:pt>
                <c:pt idx="729">
                  <c:v>0.12370663600808457</c:v>
                </c:pt>
                <c:pt idx="730">
                  <c:v>0.12403560713022022</c:v>
                </c:pt>
                <c:pt idx="731">
                  <c:v>0.12436581965281676</c:v>
                </c:pt>
                <c:pt idx="732">
                  <c:v>0.12469685977572056</c:v>
                </c:pt>
                <c:pt idx="733">
                  <c:v>0.1250305482196076</c:v>
                </c:pt>
                <c:pt idx="734">
                  <c:v>0.12536572634404769</c:v>
                </c:pt>
                <c:pt idx="735">
                  <c:v>0.12570090446848778</c:v>
                </c:pt>
                <c:pt idx="736">
                  <c:v>0.12603608259292787</c:v>
                </c:pt>
                <c:pt idx="737">
                  <c:v>0.12637126071736796</c:v>
                </c:pt>
                <c:pt idx="738">
                  <c:v>0.12670922164784121</c:v>
                </c:pt>
                <c:pt idx="739">
                  <c:v>0.12705433097596841</c:v>
                </c:pt>
                <c:pt idx="740">
                  <c:v>0.12739944030409561</c:v>
                </c:pt>
                <c:pt idx="741">
                  <c:v>0.12774703243314461</c:v>
                </c:pt>
                <c:pt idx="742">
                  <c:v>0.12809462456219362</c:v>
                </c:pt>
                <c:pt idx="743">
                  <c:v>0.12844221669124262</c:v>
                </c:pt>
                <c:pt idx="744">
                  <c:v>0.12878980882029162</c:v>
                </c:pt>
                <c:pt idx="745">
                  <c:v>0.12913740094934062</c:v>
                </c:pt>
                <c:pt idx="746">
                  <c:v>0.12948499307838962</c:v>
                </c:pt>
                <c:pt idx="747">
                  <c:v>0.12983258520743862</c:v>
                </c:pt>
                <c:pt idx="748">
                  <c:v>0.13018017733648762</c:v>
                </c:pt>
                <c:pt idx="749">
                  <c:v>0.13052776946553662</c:v>
                </c:pt>
                <c:pt idx="750">
                  <c:v>0.13087536159458563</c:v>
                </c:pt>
                <c:pt idx="751">
                  <c:v>0.13122295372363463</c:v>
                </c:pt>
                <c:pt idx="752">
                  <c:v>0.13157468385421991</c:v>
                </c:pt>
                <c:pt idx="753">
                  <c:v>0.1319264139848052</c:v>
                </c:pt>
                <c:pt idx="754">
                  <c:v>0.13227814411539049</c:v>
                </c:pt>
                <c:pt idx="755">
                  <c:v>0.13263467432775788</c:v>
                </c:pt>
                <c:pt idx="756">
                  <c:v>0.13299120454012528</c:v>
                </c:pt>
                <c:pt idx="757">
                  <c:v>0.13334850442077842</c:v>
                </c:pt>
                <c:pt idx="758">
                  <c:v>0.13370602775351453</c:v>
                </c:pt>
                <c:pt idx="759">
                  <c:v>0.13406603388717242</c:v>
                </c:pt>
                <c:pt idx="760">
                  <c:v>0.13442604002083031</c:v>
                </c:pt>
                <c:pt idx="761">
                  <c:v>0.13478604615448819</c:v>
                </c:pt>
                <c:pt idx="762">
                  <c:v>0.13514605228814608</c:v>
                </c:pt>
                <c:pt idx="763">
                  <c:v>0.13550605842180397</c:v>
                </c:pt>
                <c:pt idx="764">
                  <c:v>0.13587073222119478</c:v>
                </c:pt>
                <c:pt idx="765">
                  <c:v>0.13623570395669621</c:v>
                </c:pt>
                <c:pt idx="766">
                  <c:v>0.13660067569219764</c:v>
                </c:pt>
                <c:pt idx="767">
                  <c:v>0.13696564742769907</c:v>
                </c:pt>
                <c:pt idx="768">
                  <c:v>0.13733703306558176</c:v>
                </c:pt>
                <c:pt idx="769">
                  <c:v>0.13770945320384853</c:v>
                </c:pt>
                <c:pt idx="770">
                  <c:v>0.1380818733421153</c:v>
                </c:pt>
                <c:pt idx="771">
                  <c:v>0.13845429348038207</c:v>
                </c:pt>
                <c:pt idx="772">
                  <c:v>0.13882671361864884</c:v>
                </c:pt>
                <c:pt idx="773">
                  <c:v>0.13919913375691562</c:v>
                </c:pt>
                <c:pt idx="774">
                  <c:v>0.13957155389518239</c:v>
                </c:pt>
                <c:pt idx="775">
                  <c:v>0.13994397403344916</c:v>
                </c:pt>
                <c:pt idx="776">
                  <c:v>0.14031639417171593</c:v>
                </c:pt>
                <c:pt idx="777">
                  <c:v>0.1406888143099827</c:v>
                </c:pt>
                <c:pt idx="778">
                  <c:v>0.14106123444824947</c:v>
                </c:pt>
                <c:pt idx="779">
                  <c:v>0.14143365458651624</c:v>
                </c:pt>
                <c:pt idx="780">
                  <c:v>0.14180607472478302</c:v>
                </c:pt>
                <c:pt idx="781">
                  <c:v>0.14217849486304979</c:v>
                </c:pt>
                <c:pt idx="782">
                  <c:v>0.14255091500131656</c:v>
                </c:pt>
                <c:pt idx="783">
                  <c:v>0.14292333513958333</c:v>
                </c:pt>
                <c:pt idx="784">
                  <c:v>0.1432957552778501</c:v>
                </c:pt>
                <c:pt idx="785">
                  <c:v>0.14366817541611687</c:v>
                </c:pt>
                <c:pt idx="786">
                  <c:v>0.14404059555438364</c:v>
                </c:pt>
                <c:pt idx="787">
                  <c:v>0.14441301569265041</c:v>
                </c:pt>
                <c:pt idx="788">
                  <c:v>0.14478543583091719</c:v>
                </c:pt>
                <c:pt idx="789">
                  <c:v>0.14515785596918396</c:v>
                </c:pt>
                <c:pt idx="790">
                  <c:v>0.14553110370775799</c:v>
                </c:pt>
                <c:pt idx="791">
                  <c:v>0.14590724804740743</c:v>
                </c:pt>
                <c:pt idx="792">
                  <c:v>0.14628649588820911</c:v>
                </c:pt>
                <c:pt idx="793">
                  <c:v>0.14666574372901078</c:v>
                </c:pt>
                <c:pt idx="794">
                  <c:v>0.14704747437073423</c:v>
                </c:pt>
                <c:pt idx="795">
                  <c:v>0.14743181195342556</c:v>
                </c:pt>
                <c:pt idx="796">
                  <c:v>0.14782300206666096</c:v>
                </c:pt>
                <c:pt idx="797">
                  <c:v>0.14821452984082176</c:v>
                </c:pt>
                <c:pt idx="798">
                  <c:v>0.14860929518738453</c:v>
                </c:pt>
                <c:pt idx="799">
                  <c:v>0.1490065433348691</c:v>
                </c:pt>
                <c:pt idx="800">
                  <c:v>0.14940379148235367</c:v>
                </c:pt>
                <c:pt idx="801">
                  <c:v>0.14980103962983823</c:v>
                </c:pt>
                <c:pt idx="802">
                  <c:v>0.1501982877773228</c:v>
                </c:pt>
                <c:pt idx="803">
                  <c:v>0.15059553592480737</c:v>
                </c:pt>
                <c:pt idx="804">
                  <c:v>0.15099278407229194</c:v>
                </c:pt>
                <c:pt idx="805">
                  <c:v>0.15139003221977651</c:v>
                </c:pt>
                <c:pt idx="806">
                  <c:v>0.15178728036726108</c:v>
                </c:pt>
                <c:pt idx="807">
                  <c:v>0.15218452851474565</c:v>
                </c:pt>
                <c:pt idx="808">
                  <c:v>0.15258674226407376</c:v>
                </c:pt>
                <c:pt idx="809">
                  <c:v>0.15299416989533762</c:v>
                </c:pt>
                <c:pt idx="810">
                  <c:v>0.1534026940970086</c:v>
                </c:pt>
                <c:pt idx="811">
                  <c:v>0.15381235624910206</c:v>
                </c:pt>
                <c:pt idx="812">
                  <c:v>0.1542261564027318</c:v>
                </c:pt>
                <c:pt idx="813">
                  <c:v>0.15463995655636154</c:v>
                </c:pt>
                <c:pt idx="814">
                  <c:v>0.15505375670999128</c:v>
                </c:pt>
                <c:pt idx="815">
                  <c:v>0.15546755686362101</c:v>
                </c:pt>
                <c:pt idx="816">
                  <c:v>0.15588135701725075</c:v>
                </c:pt>
                <c:pt idx="817">
                  <c:v>0.15629586063114168</c:v>
                </c:pt>
                <c:pt idx="818">
                  <c:v>0.15671793678784401</c:v>
                </c:pt>
                <c:pt idx="819">
                  <c:v>0.15714001294454635</c:v>
                </c:pt>
                <c:pt idx="820">
                  <c:v>0.15756208910124869</c:v>
                </c:pt>
                <c:pt idx="821">
                  <c:v>0.15798416525795103</c:v>
                </c:pt>
                <c:pt idx="822">
                  <c:v>0.15840624141465337</c:v>
                </c:pt>
                <c:pt idx="823">
                  <c:v>0.15882857619645174</c:v>
                </c:pt>
                <c:pt idx="824">
                  <c:v>0.1592605835568412</c:v>
                </c:pt>
                <c:pt idx="825">
                  <c:v>0.15970376352137866</c:v>
                </c:pt>
                <c:pt idx="826">
                  <c:v>0.1601494262868379</c:v>
                </c:pt>
                <c:pt idx="827">
                  <c:v>0.16059525788275983</c:v>
                </c:pt>
                <c:pt idx="828">
                  <c:v>0.16104216204867997</c:v>
                </c:pt>
                <c:pt idx="829">
                  <c:v>0.1614890662146001</c:v>
                </c:pt>
                <c:pt idx="830">
                  <c:v>0.16193597038052024</c:v>
                </c:pt>
                <c:pt idx="831">
                  <c:v>0.16238287454644038</c:v>
                </c:pt>
                <c:pt idx="832">
                  <c:v>0.16282977871236051</c:v>
                </c:pt>
                <c:pt idx="833">
                  <c:v>0.16327668287828065</c:v>
                </c:pt>
                <c:pt idx="834">
                  <c:v>0.16372358704420079</c:v>
                </c:pt>
                <c:pt idx="835">
                  <c:v>0.16417049121012092</c:v>
                </c:pt>
                <c:pt idx="836">
                  <c:v>0.16461739537604106</c:v>
                </c:pt>
                <c:pt idx="837">
                  <c:v>0.16506926514380474</c:v>
                </c:pt>
                <c:pt idx="838">
                  <c:v>0.16552113491156842</c:v>
                </c:pt>
                <c:pt idx="839">
                  <c:v>0.16597631508056115</c:v>
                </c:pt>
                <c:pt idx="840">
                  <c:v>0.16643563325109018</c:v>
                </c:pt>
                <c:pt idx="841">
                  <c:v>0.16689603764702249</c:v>
                </c:pt>
                <c:pt idx="842">
                  <c:v>0.16735659721801241</c:v>
                </c:pt>
                <c:pt idx="843">
                  <c:v>0.16782137755056933</c:v>
                </c:pt>
                <c:pt idx="844">
                  <c:v>0.16829062692478547</c:v>
                </c:pt>
                <c:pt idx="845">
                  <c:v>0.16876235909992338</c:v>
                </c:pt>
                <c:pt idx="846">
                  <c:v>0.16923409127506128</c:v>
                </c:pt>
                <c:pt idx="847">
                  <c:v>0.16970582345019919</c:v>
                </c:pt>
                <c:pt idx="848">
                  <c:v>0.17018376262764154</c:v>
                </c:pt>
                <c:pt idx="849">
                  <c:v>0.17066170180508389</c:v>
                </c:pt>
                <c:pt idx="850">
                  <c:v>0.17114584798483071</c:v>
                </c:pt>
                <c:pt idx="851">
                  <c:v>0.1716324769654993</c:v>
                </c:pt>
                <c:pt idx="852">
                  <c:v>0.172129037149855</c:v>
                </c:pt>
                <c:pt idx="853">
                  <c:v>0.17262559733421071</c:v>
                </c:pt>
                <c:pt idx="854">
                  <c:v>0.17312215751856641</c:v>
                </c:pt>
                <c:pt idx="855">
                  <c:v>0.17361871770292212</c:v>
                </c:pt>
                <c:pt idx="856">
                  <c:v>0.17411527788727782</c:v>
                </c:pt>
                <c:pt idx="857">
                  <c:v>0.17461183807163352</c:v>
                </c:pt>
                <c:pt idx="858">
                  <c:v>0.17510839825598923</c:v>
                </c:pt>
                <c:pt idx="859">
                  <c:v>0.17560495844034493</c:v>
                </c:pt>
                <c:pt idx="860">
                  <c:v>0.17610151862470064</c:v>
                </c:pt>
                <c:pt idx="861">
                  <c:v>0.17660552721182168</c:v>
                </c:pt>
                <c:pt idx="862">
                  <c:v>0.1771187221623533</c:v>
                </c:pt>
                <c:pt idx="863">
                  <c:v>0.17763597235439049</c:v>
                </c:pt>
                <c:pt idx="864">
                  <c:v>0.17815591224742627</c:v>
                </c:pt>
                <c:pt idx="865">
                  <c:v>0.17867730044099975</c:v>
                </c:pt>
                <c:pt idx="866">
                  <c:v>0.17919868863457322</c:v>
                </c:pt>
                <c:pt idx="867">
                  <c:v>0.17972882870139598</c:v>
                </c:pt>
                <c:pt idx="868">
                  <c:v>0.18026263089957836</c:v>
                </c:pt>
                <c:pt idx="869">
                  <c:v>0.18080884710236964</c:v>
                </c:pt>
                <c:pt idx="870">
                  <c:v>0.18135506330516091</c:v>
                </c:pt>
                <c:pt idx="871">
                  <c:v>0.18190127950795218</c:v>
                </c:pt>
                <c:pt idx="872">
                  <c:v>0.18244749571074345</c:v>
                </c:pt>
                <c:pt idx="873">
                  <c:v>0.18299681541468693</c:v>
                </c:pt>
                <c:pt idx="874">
                  <c:v>0.18355544562208709</c:v>
                </c:pt>
                <c:pt idx="875">
                  <c:v>0.18412301391280567</c:v>
                </c:pt>
                <c:pt idx="876">
                  <c:v>0.18469302362443066</c:v>
                </c:pt>
                <c:pt idx="877">
                  <c:v>0.1852640678364397</c:v>
                </c:pt>
                <c:pt idx="878">
                  <c:v>0.18583511204844874</c:v>
                </c:pt>
                <c:pt idx="879">
                  <c:v>0.18640863906137958</c:v>
                </c:pt>
                <c:pt idx="880">
                  <c:v>0.1869846488752322</c:v>
                </c:pt>
                <c:pt idx="881">
                  <c:v>0.18756396909031384</c:v>
                </c:pt>
                <c:pt idx="882">
                  <c:v>0.18814630177051392</c:v>
                </c:pt>
                <c:pt idx="883">
                  <c:v>0.18874186364162554</c:v>
                </c:pt>
                <c:pt idx="884">
                  <c:v>0.18933773586285238</c:v>
                </c:pt>
                <c:pt idx="885">
                  <c:v>0.18993360808407922</c:v>
                </c:pt>
                <c:pt idx="886">
                  <c:v>0.19052948030530606</c:v>
                </c:pt>
                <c:pt idx="887">
                  <c:v>0.1911332974894826</c:v>
                </c:pt>
                <c:pt idx="888">
                  <c:v>0.19174158371531833</c:v>
                </c:pt>
                <c:pt idx="889">
                  <c:v>0.19234986994115405</c:v>
                </c:pt>
                <c:pt idx="890">
                  <c:v>0.19295989412763503</c:v>
                </c:pt>
                <c:pt idx="891">
                  <c:v>0.19358059435807967</c:v>
                </c:pt>
                <c:pt idx="892">
                  <c:v>0.19420129458852431</c:v>
                </c:pt>
                <c:pt idx="893">
                  <c:v>0.19482199481896895</c:v>
                </c:pt>
                <c:pt idx="894">
                  <c:v>0.19544269504941358</c:v>
                </c:pt>
                <c:pt idx="895">
                  <c:v>0.19606836088170176</c:v>
                </c:pt>
                <c:pt idx="896">
                  <c:v>0.19669998543620221</c:v>
                </c:pt>
                <c:pt idx="897">
                  <c:v>0.19733160999070265</c:v>
                </c:pt>
                <c:pt idx="898">
                  <c:v>0.19798706943405217</c:v>
                </c:pt>
                <c:pt idx="899">
                  <c:v>0.19864532202843871</c:v>
                </c:pt>
                <c:pt idx="900">
                  <c:v>0.19931269891621278</c:v>
                </c:pt>
                <c:pt idx="901">
                  <c:v>0.19998502071582272</c:v>
                </c:pt>
                <c:pt idx="902">
                  <c:v>0.20066208052719173</c:v>
                </c:pt>
                <c:pt idx="903">
                  <c:v>0.2013572647852897</c:v>
                </c:pt>
                <c:pt idx="904">
                  <c:v>0.20205244904338768</c:v>
                </c:pt>
                <c:pt idx="905">
                  <c:v>0.20276004730609454</c:v>
                </c:pt>
                <c:pt idx="906">
                  <c:v>0.2034701283697232</c:v>
                </c:pt>
                <c:pt idx="907">
                  <c:v>0.20418318879445799</c:v>
                </c:pt>
                <c:pt idx="908">
                  <c:v>0.20489624921919278</c:v>
                </c:pt>
                <c:pt idx="909">
                  <c:v>0.20562619269019566</c:v>
                </c:pt>
                <c:pt idx="910">
                  <c:v>0.20635613616119855</c:v>
                </c:pt>
                <c:pt idx="911">
                  <c:v>0.20710097643773209</c:v>
                </c:pt>
                <c:pt idx="912">
                  <c:v>0.20784581671426564</c:v>
                </c:pt>
                <c:pt idx="913">
                  <c:v>0.20859065699079918</c:v>
                </c:pt>
                <c:pt idx="914">
                  <c:v>0.20933549726733272</c:v>
                </c:pt>
                <c:pt idx="915">
                  <c:v>0.21008033754386626</c:v>
                </c:pt>
                <c:pt idx="916">
                  <c:v>0.21082517782039981</c:v>
                </c:pt>
                <c:pt idx="917">
                  <c:v>0.21157001809693335</c:v>
                </c:pt>
                <c:pt idx="918">
                  <c:v>0.21231485837346689</c:v>
                </c:pt>
                <c:pt idx="919">
                  <c:v>0.21305969865000043</c:v>
                </c:pt>
                <c:pt idx="920">
                  <c:v>0.21380453892653398</c:v>
                </c:pt>
                <c:pt idx="921">
                  <c:v>0.21454937920306752</c:v>
                </c:pt>
                <c:pt idx="922">
                  <c:v>0.21529421947960106</c:v>
                </c:pt>
                <c:pt idx="923">
                  <c:v>0.2160390597561346</c:v>
                </c:pt>
                <c:pt idx="924">
                  <c:v>0.21678390003266815</c:v>
                </c:pt>
                <c:pt idx="925">
                  <c:v>0.21752874030920169</c:v>
                </c:pt>
                <c:pt idx="926">
                  <c:v>0.21827358058573523</c:v>
                </c:pt>
                <c:pt idx="927">
                  <c:v>0.21901842086226878</c:v>
                </c:pt>
                <c:pt idx="928">
                  <c:v>0.21976326113880232</c:v>
                </c:pt>
                <c:pt idx="929">
                  <c:v>0.22050810141533586</c:v>
                </c:pt>
                <c:pt idx="930">
                  <c:v>0.2212529416918694</c:v>
                </c:pt>
                <c:pt idx="931">
                  <c:v>0.22199778196840295</c:v>
                </c:pt>
                <c:pt idx="932">
                  <c:v>0.22274262224493649</c:v>
                </c:pt>
                <c:pt idx="933">
                  <c:v>0.22348746252147003</c:v>
                </c:pt>
                <c:pt idx="934">
                  <c:v>0.22423230279800357</c:v>
                </c:pt>
                <c:pt idx="935">
                  <c:v>0.22498030864571239</c:v>
                </c:pt>
                <c:pt idx="936">
                  <c:v>0.22573259732501127</c:v>
                </c:pt>
                <c:pt idx="937">
                  <c:v>0.22650325873113134</c:v>
                </c:pt>
                <c:pt idx="938">
                  <c:v>0.22729527222517867</c:v>
                </c:pt>
                <c:pt idx="939">
                  <c:v>0.22809056301644276</c:v>
                </c:pt>
                <c:pt idx="940">
                  <c:v>0.22890057681717299</c:v>
                </c:pt>
                <c:pt idx="941">
                  <c:v>0.22971762522051492</c:v>
                </c:pt>
                <c:pt idx="942">
                  <c:v>0.23056103269364309</c:v>
                </c:pt>
                <c:pt idx="943">
                  <c:v>0.23140518500704776</c:v>
                </c:pt>
                <c:pt idx="944">
                  <c:v>0.23225150977125902</c:v>
                </c:pt>
                <c:pt idx="945">
                  <c:v>0.2331204900938815</c:v>
                </c:pt>
                <c:pt idx="946">
                  <c:v>0.23398947041650398</c:v>
                </c:pt>
                <c:pt idx="947">
                  <c:v>0.23486093354004822</c:v>
                </c:pt>
                <c:pt idx="948">
                  <c:v>0.23575060387035218</c:v>
                </c:pt>
                <c:pt idx="949">
                  <c:v>0.23665372270564911</c:v>
                </c:pt>
                <c:pt idx="950">
                  <c:v>0.23756149679267438</c:v>
                </c:pt>
                <c:pt idx="951">
                  <c:v>0.23855461716138579</c:v>
                </c:pt>
                <c:pt idx="952">
                  <c:v>0.2395477375300972</c:v>
                </c:pt>
                <c:pt idx="953">
                  <c:v>0.24054085789880861</c:v>
                </c:pt>
                <c:pt idx="954">
                  <c:v>0.24153397826752002</c:v>
                </c:pt>
                <c:pt idx="955">
                  <c:v>0.24252709863623143</c:v>
                </c:pt>
                <c:pt idx="956">
                  <c:v>0.24352021900494283</c:v>
                </c:pt>
                <c:pt idx="957">
                  <c:v>0.24451333937365424</c:v>
                </c:pt>
                <c:pt idx="958">
                  <c:v>0.24550645974236565</c:v>
                </c:pt>
                <c:pt idx="959">
                  <c:v>0.24649958011107706</c:v>
                </c:pt>
                <c:pt idx="960">
                  <c:v>0.24749270047978847</c:v>
                </c:pt>
                <c:pt idx="961">
                  <c:v>0.24848582084849988</c:v>
                </c:pt>
                <c:pt idx="962">
                  <c:v>0.24947894121721129</c:v>
                </c:pt>
                <c:pt idx="963">
                  <c:v>0.25047206158592267</c:v>
                </c:pt>
                <c:pt idx="964">
                  <c:v>0.25146518195463408</c:v>
                </c:pt>
                <c:pt idx="965">
                  <c:v>0.25245830232334548</c:v>
                </c:pt>
                <c:pt idx="966">
                  <c:v>0.25345142269205689</c:v>
                </c:pt>
                <c:pt idx="967">
                  <c:v>0.2544445430607683</c:v>
                </c:pt>
                <c:pt idx="968">
                  <c:v>0.25543766342947971</c:v>
                </c:pt>
                <c:pt idx="969">
                  <c:v>0.25643078379819112</c:v>
                </c:pt>
                <c:pt idx="970">
                  <c:v>0.25742390416690253</c:v>
                </c:pt>
                <c:pt idx="971">
                  <c:v>0.25841702453561394</c:v>
                </c:pt>
                <c:pt idx="972">
                  <c:v>0.25941014490432535</c:v>
                </c:pt>
                <c:pt idx="973">
                  <c:v>0.26040326527303675</c:v>
                </c:pt>
                <c:pt idx="974">
                  <c:v>0.26139638564174816</c:v>
                </c:pt>
                <c:pt idx="975">
                  <c:v>0.26238950601045957</c:v>
                </c:pt>
                <c:pt idx="976">
                  <c:v>0.26338262637917098</c:v>
                </c:pt>
                <c:pt idx="977">
                  <c:v>0.26437574674788239</c:v>
                </c:pt>
                <c:pt idx="978">
                  <c:v>0.26539369512581157</c:v>
                </c:pt>
                <c:pt idx="979">
                  <c:v>0.26642819550988595</c:v>
                </c:pt>
                <c:pt idx="980">
                  <c:v>0.26748959290394625</c:v>
                </c:pt>
                <c:pt idx="981">
                  <c:v>0.26855918354104841</c:v>
                </c:pt>
                <c:pt idx="982">
                  <c:v>0.26970623756691009</c:v>
                </c:pt>
                <c:pt idx="983">
                  <c:v>0.27088556800475488</c:v>
                </c:pt>
                <c:pt idx="984">
                  <c:v>0.27212696846564416</c:v>
                </c:pt>
                <c:pt idx="985">
                  <c:v>0.27336836892653343</c:v>
                </c:pt>
                <c:pt idx="986">
                  <c:v>0.27460976938742271</c:v>
                </c:pt>
                <c:pt idx="987">
                  <c:v>0.27585116984831198</c:v>
                </c:pt>
                <c:pt idx="988">
                  <c:v>0.27709257030920126</c:v>
                </c:pt>
                <c:pt idx="989">
                  <c:v>0.27833397077009053</c:v>
                </c:pt>
                <c:pt idx="990">
                  <c:v>0.27957537123097981</c:v>
                </c:pt>
                <c:pt idx="991">
                  <c:v>0.28081677169186908</c:v>
                </c:pt>
                <c:pt idx="992">
                  <c:v>0.28205817215275836</c:v>
                </c:pt>
                <c:pt idx="993">
                  <c:v>0.28329957261364763</c:v>
                </c:pt>
                <c:pt idx="994">
                  <c:v>0.28454097307453691</c:v>
                </c:pt>
                <c:pt idx="995">
                  <c:v>0.28578237353542618</c:v>
                </c:pt>
                <c:pt idx="996">
                  <c:v>0.28702377399631546</c:v>
                </c:pt>
                <c:pt idx="997">
                  <c:v>0.28826517445720473</c:v>
                </c:pt>
                <c:pt idx="998">
                  <c:v>0.28950657491809401</c:v>
                </c:pt>
                <c:pt idx="999">
                  <c:v>0.29074797537898328</c:v>
                </c:pt>
                <c:pt idx="1000">
                  <c:v>0.29198937583987256</c:v>
                </c:pt>
                <c:pt idx="1001">
                  <c:v>0.29323077630076183</c:v>
                </c:pt>
                <c:pt idx="1002">
                  <c:v>0.29447217676165111</c:v>
                </c:pt>
                <c:pt idx="1003">
                  <c:v>0.29571357722254038</c:v>
                </c:pt>
                <c:pt idx="1004">
                  <c:v>0.29695497768342966</c:v>
                </c:pt>
                <c:pt idx="1005">
                  <c:v>0.29819637814431893</c:v>
                </c:pt>
                <c:pt idx="1006">
                  <c:v>0.2994377786052082</c:v>
                </c:pt>
                <c:pt idx="1007">
                  <c:v>0.30067917906609748</c:v>
                </c:pt>
                <c:pt idx="1008">
                  <c:v>0.30192057952698675</c:v>
                </c:pt>
                <c:pt idx="1009">
                  <c:v>0.30316197998787603</c:v>
                </c:pt>
                <c:pt idx="1010">
                  <c:v>0.3044033804487653</c:v>
                </c:pt>
                <c:pt idx="1011">
                  <c:v>0.30564478090965458</c:v>
                </c:pt>
                <c:pt idx="1012">
                  <c:v>0.30688618137054385</c:v>
                </c:pt>
                <c:pt idx="1013">
                  <c:v>0.30812758183143313</c:v>
                </c:pt>
                <c:pt idx="1014">
                  <c:v>0.3093689822923224</c:v>
                </c:pt>
                <c:pt idx="1015">
                  <c:v>0.31061038275321168</c:v>
                </c:pt>
                <c:pt idx="1016">
                  <c:v>0.31185178321410095</c:v>
                </c:pt>
                <c:pt idx="1017">
                  <c:v>0.31309318367499023</c:v>
                </c:pt>
                <c:pt idx="1018">
                  <c:v>0.3143345841358795</c:v>
                </c:pt>
                <c:pt idx="1019">
                  <c:v>0.31557598459676878</c:v>
                </c:pt>
                <c:pt idx="1020">
                  <c:v>0.31681738505765805</c:v>
                </c:pt>
                <c:pt idx="1021">
                  <c:v>0.31805878551854733</c:v>
                </c:pt>
                <c:pt idx="1022">
                  <c:v>0.3193001859794366</c:v>
                </c:pt>
                <c:pt idx="1023">
                  <c:v>0.32054158644032588</c:v>
                </c:pt>
                <c:pt idx="1024">
                  <c:v>0.32178298690121515</c:v>
                </c:pt>
                <c:pt idx="1025">
                  <c:v>0.32302438736210443</c:v>
                </c:pt>
                <c:pt idx="1026">
                  <c:v>0.3242657878229937</c:v>
                </c:pt>
                <c:pt idx="1027">
                  <c:v>0.32551132628541923</c:v>
                </c:pt>
                <c:pt idx="1028">
                  <c:v>0.32688183239424096</c:v>
                </c:pt>
                <c:pt idx="1029">
                  <c:v>0.32837151294730804</c:v>
                </c:pt>
                <c:pt idx="1030">
                  <c:v>0.32986119350037513</c:v>
                </c:pt>
                <c:pt idx="1031">
                  <c:v>0.33135087405344221</c:v>
                </c:pt>
                <c:pt idx="1032">
                  <c:v>0.3328405546065093</c:v>
                </c:pt>
                <c:pt idx="1033">
                  <c:v>0.33433023515957638</c:v>
                </c:pt>
                <c:pt idx="1034">
                  <c:v>0.33581991571264347</c:v>
                </c:pt>
                <c:pt idx="1035">
                  <c:v>0.33730959626571055</c:v>
                </c:pt>
                <c:pt idx="1036">
                  <c:v>0.33879927681877764</c:v>
                </c:pt>
                <c:pt idx="1037">
                  <c:v>0.34028895737184472</c:v>
                </c:pt>
                <c:pt idx="1038">
                  <c:v>0.34177863792491181</c:v>
                </c:pt>
                <c:pt idx="1039">
                  <c:v>0.3432683184779789</c:v>
                </c:pt>
                <c:pt idx="1040">
                  <c:v>0.34475799903104598</c:v>
                </c:pt>
                <c:pt idx="1041">
                  <c:v>0.34624767958411307</c:v>
                </c:pt>
                <c:pt idx="1042">
                  <c:v>0.34773736013718015</c:v>
                </c:pt>
                <c:pt idx="1043">
                  <c:v>0.34922704069024724</c:v>
                </c:pt>
                <c:pt idx="1044">
                  <c:v>0.35071672124331432</c:v>
                </c:pt>
                <c:pt idx="1045">
                  <c:v>0.35220640179638141</c:v>
                </c:pt>
                <c:pt idx="1046">
                  <c:v>0.35369608234944849</c:v>
                </c:pt>
                <c:pt idx="1047">
                  <c:v>0.35518576290251558</c:v>
                </c:pt>
                <c:pt idx="1048">
                  <c:v>0.35667544345558266</c:v>
                </c:pt>
                <c:pt idx="1049">
                  <c:v>0.35816512400864975</c:v>
                </c:pt>
                <c:pt idx="1050">
                  <c:v>0.35965480456171683</c:v>
                </c:pt>
                <c:pt idx="1051">
                  <c:v>0.36114448511478392</c:v>
                </c:pt>
                <c:pt idx="1052">
                  <c:v>0.36263416566785101</c:v>
                </c:pt>
                <c:pt idx="1053">
                  <c:v>0.36412384622091809</c:v>
                </c:pt>
                <c:pt idx="1054">
                  <c:v>0.36561352677398518</c:v>
                </c:pt>
                <c:pt idx="1055">
                  <c:v>0.36710320732705226</c:v>
                </c:pt>
                <c:pt idx="1056">
                  <c:v>0.36859288788011935</c:v>
                </c:pt>
                <c:pt idx="1057">
                  <c:v>0.37008256843318643</c:v>
                </c:pt>
                <c:pt idx="1058">
                  <c:v>0.37157224898625352</c:v>
                </c:pt>
                <c:pt idx="1059">
                  <c:v>0.3730619295393206</c:v>
                </c:pt>
                <c:pt idx="1060">
                  <c:v>0.37455161009238769</c:v>
                </c:pt>
                <c:pt idx="1061">
                  <c:v>0.37604129064545477</c:v>
                </c:pt>
                <c:pt idx="1062">
                  <c:v>0.37753097119852186</c:v>
                </c:pt>
                <c:pt idx="1063">
                  <c:v>0.37902065175158894</c:v>
                </c:pt>
                <c:pt idx="1064">
                  <c:v>0.38051033230465603</c:v>
                </c:pt>
                <c:pt idx="1065">
                  <c:v>0.38200001285772311</c:v>
                </c:pt>
                <c:pt idx="1066">
                  <c:v>0.3834896934107902</c:v>
                </c:pt>
                <c:pt idx="1067">
                  <c:v>0.38497937396385729</c:v>
                </c:pt>
                <c:pt idx="1068">
                  <c:v>0.38646905451692437</c:v>
                </c:pt>
                <c:pt idx="1069">
                  <c:v>0.38795873506999146</c:v>
                </c:pt>
                <c:pt idx="1070">
                  <c:v>0.38944841562305854</c:v>
                </c:pt>
                <c:pt idx="1071">
                  <c:v>0.39093809617612563</c:v>
                </c:pt>
                <c:pt idx="1072">
                  <c:v>0.39242777672919271</c:v>
                </c:pt>
                <c:pt idx="1073">
                  <c:v>0.3939174572822598</c:v>
                </c:pt>
                <c:pt idx="1074">
                  <c:v>0.39540713783532688</c:v>
                </c:pt>
                <c:pt idx="1075">
                  <c:v>0.39689681838839397</c:v>
                </c:pt>
                <c:pt idx="1076">
                  <c:v>0.39838649894146105</c:v>
                </c:pt>
                <c:pt idx="1077">
                  <c:v>0.39987617949452814</c:v>
                </c:pt>
                <c:pt idx="1078">
                  <c:v>0.40136586004759522</c:v>
                </c:pt>
                <c:pt idx="1079">
                  <c:v>0.40285554060066231</c:v>
                </c:pt>
                <c:pt idx="1080">
                  <c:v>0.40434522115372939</c:v>
                </c:pt>
                <c:pt idx="1081">
                  <c:v>0.40583490170679648</c:v>
                </c:pt>
                <c:pt idx="1082">
                  <c:v>0.40732458225986357</c:v>
                </c:pt>
                <c:pt idx="1083">
                  <c:v>0.40881426281293065</c:v>
                </c:pt>
                <c:pt idx="1084">
                  <c:v>0.41034626684571102</c:v>
                </c:pt>
                <c:pt idx="1085">
                  <c:v>0.41193939743718555</c:v>
                </c:pt>
                <c:pt idx="1086">
                  <c:v>0.4136773580824305</c:v>
                </c:pt>
                <c:pt idx="1087">
                  <c:v>0.41541531872767545</c:v>
                </c:pt>
                <c:pt idx="1088">
                  <c:v>0.4171532793729204</c:v>
                </c:pt>
                <c:pt idx="1089">
                  <c:v>0.41889124001816536</c:v>
                </c:pt>
                <c:pt idx="1090">
                  <c:v>0.42062920066341031</c:v>
                </c:pt>
                <c:pt idx="1091">
                  <c:v>0.42236716130865526</c:v>
                </c:pt>
                <c:pt idx="1092">
                  <c:v>0.42410512195390021</c:v>
                </c:pt>
                <c:pt idx="1093">
                  <c:v>0.42584308259914516</c:v>
                </c:pt>
                <c:pt idx="1094">
                  <c:v>0.42758104324439011</c:v>
                </c:pt>
                <c:pt idx="1095">
                  <c:v>0.42931900388963506</c:v>
                </c:pt>
                <c:pt idx="1096">
                  <c:v>0.43105696453488002</c:v>
                </c:pt>
                <c:pt idx="1097">
                  <c:v>0.43279492518012497</c:v>
                </c:pt>
                <c:pt idx="1098">
                  <c:v>0.43453288582536992</c:v>
                </c:pt>
                <c:pt idx="1099">
                  <c:v>0.43627084647061487</c:v>
                </c:pt>
                <c:pt idx="1100">
                  <c:v>0.43800880711585982</c:v>
                </c:pt>
                <c:pt idx="1101">
                  <c:v>0.43974676776110477</c:v>
                </c:pt>
                <c:pt idx="1102">
                  <c:v>0.44148472840634972</c:v>
                </c:pt>
                <c:pt idx="1103">
                  <c:v>0.44322268905159468</c:v>
                </c:pt>
                <c:pt idx="1104">
                  <c:v>0.44496064969683963</c:v>
                </c:pt>
                <c:pt idx="1105">
                  <c:v>0.44669861034208458</c:v>
                </c:pt>
                <c:pt idx="1106">
                  <c:v>0.44843657098732953</c:v>
                </c:pt>
                <c:pt idx="1107">
                  <c:v>0.45017453163257448</c:v>
                </c:pt>
                <c:pt idx="1108">
                  <c:v>0.45191249227781943</c:v>
                </c:pt>
                <c:pt idx="1109">
                  <c:v>0.45365045292306438</c:v>
                </c:pt>
                <c:pt idx="1110">
                  <c:v>0.45538841356830934</c:v>
                </c:pt>
                <c:pt idx="1111">
                  <c:v>0.45712637421355429</c:v>
                </c:pt>
                <c:pt idx="1112">
                  <c:v>0.45886433485879924</c:v>
                </c:pt>
                <c:pt idx="1113">
                  <c:v>0.46060229550404419</c:v>
                </c:pt>
                <c:pt idx="1114">
                  <c:v>0.46234025614928914</c:v>
                </c:pt>
                <c:pt idx="1115">
                  <c:v>0.46407821679453409</c:v>
                </c:pt>
                <c:pt idx="1116">
                  <c:v>0.46581617743977904</c:v>
                </c:pt>
                <c:pt idx="1117">
                  <c:v>0.467554138085024</c:v>
                </c:pt>
                <c:pt idx="1118">
                  <c:v>0.46929209873026895</c:v>
                </c:pt>
                <c:pt idx="1119">
                  <c:v>0.4710300593755139</c:v>
                </c:pt>
                <c:pt idx="1120">
                  <c:v>0.47276802002075885</c:v>
                </c:pt>
                <c:pt idx="1121">
                  <c:v>0.4745059806660038</c:v>
                </c:pt>
                <c:pt idx="1122">
                  <c:v>0.47640085432950513</c:v>
                </c:pt>
                <c:pt idx="1123">
                  <c:v>0.47838709506692795</c:v>
                </c:pt>
                <c:pt idx="1124">
                  <c:v>0.48037333580435077</c:v>
                </c:pt>
                <c:pt idx="1125">
                  <c:v>0.48235957654177358</c:v>
                </c:pt>
                <c:pt idx="1126">
                  <c:v>0.4843458172791964</c:v>
                </c:pt>
                <c:pt idx="1127">
                  <c:v>0.48633205801661922</c:v>
                </c:pt>
                <c:pt idx="1128">
                  <c:v>0.48831829875404204</c:v>
                </c:pt>
                <c:pt idx="1129">
                  <c:v>0.49030453949146485</c:v>
                </c:pt>
                <c:pt idx="1130">
                  <c:v>0.49229078022888767</c:v>
                </c:pt>
                <c:pt idx="1131">
                  <c:v>0.49427702096631049</c:v>
                </c:pt>
                <c:pt idx="1132">
                  <c:v>0.4962632617037333</c:v>
                </c:pt>
                <c:pt idx="1133">
                  <c:v>0.49824950244115612</c:v>
                </c:pt>
                <c:pt idx="1134">
                  <c:v>0.50023574317857888</c:v>
                </c:pt>
                <c:pt idx="1135">
                  <c:v>0.5022219839160017</c:v>
                </c:pt>
                <c:pt idx="1136">
                  <c:v>0.50420822465342452</c:v>
                </c:pt>
                <c:pt idx="1137">
                  <c:v>0.50619446539084734</c:v>
                </c:pt>
                <c:pt idx="1138">
                  <c:v>0.50818070612827015</c:v>
                </c:pt>
                <c:pt idx="1139">
                  <c:v>0.51016694686569297</c:v>
                </c:pt>
                <c:pt idx="1140">
                  <c:v>0.51215318760311579</c:v>
                </c:pt>
                <c:pt idx="1141">
                  <c:v>0.51413942834053861</c:v>
                </c:pt>
                <c:pt idx="1142">
                  <c:v>0.51612566907796142</c:v>
                </c:pt>
                <c:pt idx="1143">
                  <c:v>0.51811190981538424</c:v>
                </c:pt>
                <c:pt idx="1144">
                  <c:v>0.52009815055280706</c:v>
                </c:pt>
                <c:pt idx="1145">
                  <c:v>0.52208439129022988</c:v>
                </c:pt>
                <c:pt idx="1146">
                  <c:v>0.52407063202765269</c:v>
                </c:pt>
                <c:pt idx="1147">
                  <c:v>0.52605687276507551</c:v>
                </c:pt>
                <c:pt idx="1148">
                  <c:v>0.52804311350249833</c:v>
                </c:pt>
                <c:pt idx="1149">
                  <c:v>0.53002935423992115</c:v>
                </c:pt>
                <c:pt idx="1150">
                  <c:v>0.53201559497734396</c:v>
                </c:pt>
                <c:pt idx="1151">
                  <c:v>0.53400183571476678</c:v>
                </c:pt>
                <c:pt idx="1152">
                  <c:v>0.5359880764521896</c:v>
                </c:pt>
                <c:pt idx="1153">
                  <c:v>0.53797431718961242</c:v>
                </c:pt>
                <c:pt idx="1154">
                  <c:v>0.53996055792703523</c:v>
                </c:pt>
                <c:pt idx="1155">
                  <c:v>0.54194679866445805</c:v>
                </c:pt>
                <c:pt idx="1156">
                  <c:v>0.54415748460520963</c:v>
                </c:pt>
                <c:pt idx="1157">
                  <c:v>0.54639200543481026</c:v>
                </c:pt>
                <c:pt idx="1158">
                  <c:v>0.54862652626441089</c:v>
                </c:pt>
                <c:pt idx="1159">
                  <c:v>0.55086104709401151</c:v>
                </c:pt>
                <c:pt idx="1160">
                  <c:v>0.55309556792361214</c:v>
                </c:pt>
                <c:pt idx="1161">
                  <c:v>0.55533008875321277</c:v>
                </c:pt>
                <c:pt idx="1162">
                  <c:v>0.5575646095828134</c:v>
                </c:pt>
                <c:pt idx="1163">
                  <c:v>0.55979913041241403</c:v>
                </c:pt>
                <c:pt idx="1164">
                  <c:v>0.56203365124201465</c:v>
                </c:pt>
                <c:pt idx="1165">
                  <c:v>0.56426817207161528</c:v>
                </c:pt>
                <c:pt idx="1166">
                  <c:v>0.56650269290121591</c:v>
                </c:pt>
                <c:pt idx="1167">
                  <c:v>0.56873721373081654</c:v>
                </c:pt>
                <c:pt idx="1168">
                  <c:v>0.57097173456041717</c:v>
                </c:pt>
                <c:pt idx="1169">
                  <c:v>0.57320625539001779</c:v>
                </c:pt>
                <c:pt idx="1170">
                  <c:v>0.57544077621961842</c:v>
                </c:pt>
                <c:pt idx="1171">
                  <c:v>0.57767529704921905</c:v>
                </c:pt>
                <c:pt idx="1172">
                  <c:v>0.57990981787881968</c:v>
                </c:pt>
                <c:pt idx="1173">
                  <c:v>0.58214433870842031</c:v>
                </c:pt>
                <c:pt idx="1174">
                  <c:v>0.58437885953802093</c:v>
                </c:pt>
                <c:pt idx="1175">
                  <c:v>0.58661338036762156</c:v>
                </c:pt>
                <c:pt idx="1176">
                  <c:v>0.58884790119722219</c:v>
                </c:pt>
                <c:pt idx="1177">
                  <c:v>0.59108242202682282</c:v>
                </c:pt>
                <c:pt idx="1178">
                  <c:v>0.59331694285642345</c:v>
                </c:pt>
                <c:pt idx="1179">
                  <c:v>0.59555146368602407</c:v>
                </c:pt>
                <c:pt idx="1180">
                  <c:v>0.5977859845156247</c:v>
                </c:pt>
                <c:pt idx="1181">
                  <c:v>0.60002050534522533</c:v>
                </c:pt>
                <c:pt idx="1182">
                  <c:v>0.60225502617482596</c:v>
                </c:pt>
                <c:pt idx="1183">
                  <c:v>0.60448954700442659</c:v>
                </c:pt>
                <c:pt idx="1184">
                  <c:v>0.60672406783402721</c:v>
                </c:pt>
                <c:pt idx="1185">
                  <c:v>0.60895858866362784</c:v>
                </c:pt>
                <c:pt idx="1186">
                  <c:v>0.61119310949322847</c:v>
                </c:pt>
                <c:pt idx="1187">
                  <c:v>0.6134276303228291</c:v>
                </c:pt>
                <c:pt idx="1188">
                  <c:v>0.61566215115242973</c:v>
                </c:pt>
                <c:pt idx="1189">
                  <c:v>0.61789667198203035</c:v>
                </c:pt>
                <c:pt idx="1190">
                  <c:v>0.62013119281163098</c:v>
                </c:pt>
                <c:pt idx="1191">
                  <c:v>0.62236571364123161</c:v>
                </c:pt>
                <c:pt idx="1192">
                  <c:v>0.62460023447083224</c:v>
                </c:pt>
                <c:pt idx="1193">
                  <c:v>0.62683475530043287</c:v>
                </c:pt>
                <c:pt idx="1194">
                  <c:v>0.62906927613003349</c:v>
                </c:pt>
                <c:pt idx="1195">
                  <c:v>0.63130379695963412</c:v>
                </c:pt>
                <c:pt idx="1196">
                  <c:v>0.63353831778923475</c:v>
                </c:pt>
                <c:pt idx="1197">
                  <c:v>0.63577283861883538</c:v>
                </c:pt>
                <c:pt idx="1198">
                  <c:v>0.63800735944843601</c:v>
                </c:pt>
                <c:pt idx="1199">
                  <c:v>0.64024188027803663</c:v>
                </c:pt>
                <c:pt idx="1200">
                  <c:v>0.64247640110763726</c:v>
                </c:pt>
                <c:pt idx="1201">
                  <c:v>0.64471092193723789</c:v>
                </c:pt>
                <c:pt idx="1202">
                  <c:v>0.64694544276683852</c:v>
                </c:pt>
                <c:pt idx="1203">
                  <c:v>0.64917996359643915</c:v>
                </c:pt>
                <c:pt idx="1204">
                  <c:v>0.65146960260650333</c:v>
                </c:pt>
                <c:pt idx="1205">
                  <c:v>0.65392535887440106</c:v>
                </c:pt>
                <c:pt idx="1206">
                  <c:v>0.65640815979617961</c:v>
                </c:pt>
                <c:pt idx="1207">
                  <c:v>0.65889096071795816</c:v>
                </c:pt>
                <c:pt idx="1208">
                  <c:v>0.66137376163973671</c:v>
                </c:pt>
                <c:pt idx="1209">
                  <c:v>0.66385656256151526</c:v>
                </c:pt>
                <c:pt idx="1210">
                  <c:v>0.66633936348329381</c:v>
                </c:pt>
                <c:pt idx="1211">
                  <c:v>0.66882216440507236</c:v>
                </c:pt>
                <c:pt idx="1212">
                  <c:v>0.67130496532685091</c:v>
                </c:pt>
                <c:pt idx="1213">
                  <c:v>0.67378776624862946</c:v>
                </c:pt>
                <c:pt idx="1214">
                  <c:v>0.67627056717040801</c:v>
                </c:pt>
                <c:pt idx="1215">
                  <c:v>0.67875336809218656</c:v>
                </c:pt>
                <c:pt idx="1216">
                  <c:v>0.68123616901396511</c:v>
                </c:pt>
                <c:pt idx="1217">
                  <c:v>0.68371896993574366</c:v>
                </c:pt>
                <c:pt idx="1218">
                  <c:v>0.68620177085752221</c:v>
                </c:pt>
                <c:pt idx="1219">
                  <c:v>0.68868457177930076</c:v>
                </c:pt>
                <c:pt idx="1220">
                  <c:v>0.69116737270107931</c:v>
                </c:pt>
                <c:pt idx="1221">
                  <c:v>0.69365017362285786</c:v>
                </c:pt>
                <c:pt idx="1222">
                  <c:v>0.69613297454463641</c:v>
                </c:pt>
                <c:pt idx="1223">
                  <c:v>0.69861577546641496</c:v>
                </c:pt>
                <c:pt idx="1224">
                  <c:v>0.70109857638819351</c:v>
                </c:pt>
                <c:pt idx="1225">
                  <c:v>0.70358137730997206</c:v>
                </c:pt>
                <c:pt idx="1226">
                  <c:v>0.70606417823175061</c:v>
                </c:pt>
                <c:pt idx="1227">
                  <c:v>0.70854697915352916</c:v>
                </c:pt>
                <c:pt idx="1228">
                  <c:v>0.7110297800753077</c:v>
                </c:pt>
                <c:pt idx="1229">
                  <c:v>0.71351258099708625</c:v>
                </c:pt>
                <c:pt idx="1230">
                  <c:v>0.7159953819188648</c:v>
                </c:pt>
                <c:pt idx="1231">
                  <c:v>0.71847818284064335</c:v>
                </c:pt>
                <c:pt idx="1232">
                  <c:v>0.7209609837624219</c:v>
                </c:pt>
                <c:pt idx="1233">
                  <c:v>0.72344378468420045</c:v>
                </c:pt>
                <c:pt idx="1234">
                  <c:v>0.725926585605979</c:v>
                </c:pt>
                <c:pt idx="1235">
                  <c:v>0.72840938652775755</c:v>
                </c:pt>
                <c:pt idx="1236">
                  <c:v>0.7308921874495361</c:v>
                </c:pt>
                <c:pt idx="1237">
                  <c:v>0.73337498837131465</c:v>
                </c:pt>
                <c:pt idx="1238">
                  <c:v>0.7358577892930932</c:v>
                </c:pt>
                <c:pt idx="1239">
                  <c:v>0.73834059021487175</c:v>
                </c:pt>
                <c:pt idx="1240">
                  <c:v>0.7408233911366503</c:v>
                </c:pt>
                <c:pt idx="1241">
                  <c:v>0.74330619205842885</c:v>
                </c:pt>
                <c:pt idx="1242">
                  <c:v>0.7457889929802074</c:v>
                </c:pt>
                <c:pt idx="1243">
                  <c:v>0.74827179390198595</c:v>
                </c:pt>
                <c:pt idx="1244">
                  <c:v>0.7507545948237645</c:v>
                </c:pt>
                <c:pt idx="1245">
                  <c:v>0.75323739574554305</c:v>
                </c:pt>
                <c:pt idx="1246">
                  <c:v>0.7557201966673216</c:v>
                </c:pt>
                <c:pt idx="1247">
                  <c:v>0.75820299758910015</c:v>
                </c:pt>
                <c:pt idx="1248">
                  <c:v>0.7606857985108787</c:v>
                </c:pt>
                <c:pt idx="1249">
                  <c:v>0.76316859943265725</c:v>
                </c:pt>
                <c:pt idx="1250">
                  <c:v>0.7656514003544358</c:v>
                </c:pt>
                <c:pt idx="1251">
                  <c:v>0.76813420127621435</c:v>
                </c:pt>
                <c:pt idx="1252">
                  <c:v>0.7706170021979929</c:v>
                </c:pt>
                <c:pt idx="1253">
                  <c:v>0.77309980311977144</c:v>
                </c:pt>
                <c:pt idx="1254">
                  <c:v>0.77558260404154999</c:v>
                </c:pt>
                <c:pt idx="1255">
                  <c:v>0.77806540496332854</c:v>
                </c:pt>
                <c:pt idx="1256">
                  <c:v>0.78054820588510709</c:v>
                </c:pt>
                <c:pt idx="1257">
                  <c:v>0.78303100680688564</c:v>
                </c:pt>
                <c:pt idx="1258">
                  <c:v>0.78551380772866419</c:v>
                </c:pt>
                <c:pt idx="1259">
                  <c:v>0.78799660865044274</c:v>
                </c:pt>
                <c:pt idx="1260">
                  <c:v>0.79047940957222129</c:v>
                </c:pt>
                <c:pt idx="1261">
                  <c:v>0.79296221049399984</c:v>
                </c:pt>
                <c:pt idx="1262">
                  <c:v>0.79544501141577839</c:v>
                </c:pt>
                <c:pt idx="1263">
                  <c:v>0.79792781233755694</c:v>
                </c:pt>
                <c:pt idx="1264">
                  <c:v>0.80041061325933549</c:v>
                </c:pt>
                <c:pt idx="1265">
                  <c:v>0.80289341418111404</c:v>
                </c:pt>
                <c:pt idx="1266">
                  <c:v>0.80537621510289259</c:v>
                </c:pt>
                <c:pt idx="1267">
                  <c:v>0.80785901602467114</c:v>
                </c:pt>
                <c:pt idx="1268">
                  <c:v>0.81034181694644969</c:v>
                </c:pt>
                <c:pt idx="1269">
                  <c:v>0.81287427388666378</c:v>
                </c:pt>
                <c:pt idx="1270">
                  <c:v>0.8155556988821846</c:v>
                </c:pt>
                <c:pt idx="1271">
                  <c:v>0.81828677989614096</c:v>
                </c:pt>
                <c:pt idx="1272">
                  <c:v>0.82116931176632579</c:v>
                </c:pt>
                <c:pt idx="1273">
                  <c:v>0.82417846648352133</c:v>
                </c:pt>
                <c:pt idx="1274">
                  <c:v>0.82772539588037408</c:v>
                </c:pt>
                <c:pt idx="1275">
                  <c:v>0.83194615744739753</c:v>
                </c:pt>
                <c:pt idx="1276">
                  <c:v>0.83616691901442097</c:v>
                </c:pt>
                <c:pt idx="1277">
                  <c:v>0.84043038475729903</c:v>
                </c:pt>
                <c:pt idx="1278">
                  <c:v>0.84539598660085602</c:v>
                </c:pt>
                <c:pt idx="1279">
                  <c:v>0.85036158844441301</c:v>
                </c:pt>
                <c:pt idx="1280">
                  <c:v>0.85532719028797</c:v>
                </c:pt>
                <c:pt idx="1281">
                  <c:v>0.86029279213152698</c:v>
                </c:pt>
                <c:pt idx="1282">
                  <c:v>0.86525839397508397</c:v>
                </c:pt>
                <c:pt idx="1283">
                  <c:v>0.87022399581864096</c:v>
                </c:pt>
                <c:pt idx="1284">
                  <c:v>0.87518959766219795</c:v>
                </c:pt>
                <c:pt idx="1285">
                  <c:v>0.88015519950575494</c:v>
                </c:pt>
                <c:pt idx="1286">
                  <c:v>0.88512080134931193</c:v>
                </c:pt>
                <c:pt idx="1287">
                  <c:v>0.89008640319286891</c:v>
                </c:pt>
                <c:pt idx="1288">
                  <c:v>0.8950520050364259</c:v>
                </c:pt>
                <c:pt idx="1289">
                  <c:v>0.90106038326712989</c:v>
                </c:pt>
                <c:pt idx="1290">
                  <c:v>0.90776394575593189</c:v>
                </c:pt>
                <c:pt idx="1291">
                  <c:v>0.9155847686595342</c:v>
                </c:pt>
                <c:pt idx="1292">
                  <c:v>0.92551597234664817</c:v>
                </c:pt>
                <c:pt idx="1293">
                  <c:v>0.93544717603376215</c:v>
                </c:pt>
                <c:pt idx="1294">
                  <c:v>0.95034398156443312</c:v>
                </c:pt>
                <c:pt idx="1295">
                  <c:v>1.0000000000000031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BD-49B5-9E51-B65C4E79535D}"/>
            </c:ext>
          </c:extLst>
        </c:ser>
        <c:ser>
          <c:idx val="1"/>
          <c:order val="1"/>
          <c:spPr>
            <a:ln w="22225">
              <a:solidFill>
                <a:schemeClr val="accent2"/>
              </a:solidFill>
              <a:prstDash val="solid"/>
            </a:ln>
          </c:spPr>
          <c:marker>
            <c:symbol val="none"/>
          </c:marker>
          <c:xVal>
            <c:numRef>
              <c:f>'E5.3'!$D$8:$D$1303</c:f>
              <c:numCache>
                <c:formatCode>0.000%</c:formatCode>
                <c:ptCount val="1296"/>
                <c:pt idx="0">
                  <c:v>0</c:v>
                </c:pt>
                <c:pt idx="1">
                  <c:v>7.722007722007722E-4</c:v>
                </c:pt>
                <c:pt idx="2">
                  <c:v>1.5444015444015444E-3</c:v>
                </c:pt>
                <c:pt idx="3">
                  <c:v>2.3166023166023165E-3</c:v>
                </c:pt>
                <c:pt idx="4">
                  <c:v>3.0888030888030888E-3</c:v>
                </c:pt>
                <c:pt idx="5">
                  <c:v>3.8610038610038611E-3</c:v>
                </c:pt>
                <c:pt idx="6">
                  <c:v>4.633204633204633E-3</c:v>
                </c:pt>
                <c:pt idx="7">
                  <c:v>5.4054054054054048E-3</c:v>
                </c:pt>
                <c:pt idx="8">
                  <c:v>6.1776061776061767E-3</c:v>
                </c:pt>
                <c:pt idx="9">
                  <c:v>6.9498069498069486E-3</c:v>
                </c:pt>
                <c:pt idx="10">
                  <c:v>7.7220077220077205E-3</c:v>
                </c:pt>
                <c:pt idx="11">
                  <c:v>8.4942084942084932E-3</c:v>
                </c:pt>
                <c:pt idx="12">
                  <c:v>9.2664092664092659E-3</c:v>
                </c:pt>
                <c:pt idx="13">
                  <c:v>1.0038610038610039E-2</c:v>
                </c:pt>
                <c:pt idx="14">
                  <c:v>1.0810810810810811E-2</c:v>
                </c:pt>
                <c:pt idx="15">
                  <c:v>1.1583011583011584E-2</c:v>
                </c:pt>
                <c:pt idx="16">
                  <c:v>1.2355212355212357E-2</c:v>
                </c:pt>
                <c:pt idx="17">
                  <c:v>1.312741312741313E-2</c:v>
                </c:pt>
                <c:pt idx="18">
                  <c:v>1.3899613899613902E-2</c:v>
                </c:pt>
                <c:pt idx="19">
                  <c:v>1.4671814671814675E-2</c:v>
                </c:pt>
                <c:pt idx="20">
                  <c:v>1.5444015444015448E-2</c:v>
                </c:pt>
                <c:pt idx="21">
                  <c:v>1.6216216216216221E-2</c:v>
                </c:pt>
                <c:pt idx="22">
                  <c:v>1.6988416988416993E-2</c:v>
                </c:pt>
                <c:pt idx="23">
                  <c:v>1.7760617760617766E-2</c:v>
                </c:pt>
                <c:pt idx="24">
                  <c:v>1.8532818532818539E-2</c:v>
                </c:pt>
                <c:pt idx="25">
                  <c:v>1.9305019305019312E-2</c:v>
                </c:pt>
                <c:pt idx="26">
                  <c:v>2.0077220077220084E-2</c:v>
                </c:pt>
                <c:pt idx="27">
                  <c:v>2.0849420849420857E-2</c:v>
                </c:pt>
                <c:pt idx="28">
                  <c:v>2.162162162162163E-2</c:v>
                </c:pt>
                <c:pt idx="29">
                  <c:v>2.2393822393822403E-2</c:v>
                </c:pt>
                <c:pt idx="30">
                  <c:v>2.3166023166023175E-2</c:v>
                </c:pt>
                <c:pt idx="31">
                  <c:v>2.3938223938223948E-2</c:v>
                </c:pt>
                <c:pt idx="32">
                  <c:v>2.4710424710424721E-2</c:v>
                </c:pt>
                <c:pt idx="33">
                  <c:v>2.5482625482625493E-2</c:v>
                </c:pt>
                <c:pt idx="34">
                  <c:v>2.6254826254826266E-2</c:v>
                </c:pt>
                <c:pt idx="35">
                  <c:v>2.7027027027027039E-2</c:v>
                </c:pt>
                <c:pt idx="36">
                  <c:v>2.7799227799227812E-2</c:v>
                </c:pt>
                <c:pt idx="37">
                  <c:v>2.8571428571428584E-2</c:v>
                </c:pt>
                <c:pt idx="38">
                  <c:v>2.9343629343629357E-2</c:v>
                </c:pt>
                <c:pt idx="39">
                  <c:v>3.011583011583013E-2</c:v>
                </c:pt>
                <c:pt idx="40">
                  <c:v>3.0888030888030903E-2</c:v>
                </c:pt>
                <c:pt idx="41">
                  <c:v>3.1660231660231672E-2</c:v>
                </c:pt>
                <c:pt idx="42">
                  <c:v>3.2432432432432441E-2</c:v>
                </c:pt>
                <c:pt idx="43">
                  <c:v>3.320463320463321E-2</c:v>
                </c:pt>
                <c:pt idx="44">
                  <c:v>3.397683397683398E-2</c:v>
                </c:pt>
                <c:pt idx="45">
                  <c:v>3.4749034749034749E-2</c:v>
                </c:pt>
                <c:pt idx="46">
                  <c:v>3.5521235521235518E-2</c:v>
                </c:pt>
                <c:pt idx="47">
                  <c:v>3.6293436293436288E-2</c:v>
                </c:pt>
                <c:pt idx="48">
                  <c:v>3.7065637065637057E-2</c:v>
                </c:pt>
                <c:pt idx="49">
                  <c:v>3.7837837837837826E-2</c:v>
                </c:pt>
                <c:pt idx="50">
                  <c:v>3.8610038610038595E-2</c:v>
                </c:pt>
                <c:pt idx="51">
                  <c:v>3.9382239382239365E-2</c:v>
                </c:pt>
                <c:pt idx="52">
                  <c:v>4.0154440154440134E-2</c:v>
                </c:pt>
                <c:pt idx="53">
                  <c:v>4.0926640926640903E-2</c:v>
                </c:pt>
                <c:pt idx="54">
                  <c:v>4.1698841698841672E-2</c:v>
                </c:pt>
                <c:pt idx="55">
                  <c:v>4.2471042471042442E-2</c:v>
                </c:pt>
                <c:pt idx="56">
                  <c:v>4.3243243243243211E-2</c:v>
                </c:pt>
                <c:pt idx="57">
                  <c:v>4.401544401544398E-2</c:v>
                </c:pt>
                <c:pt idx="58">
                  <c:v>4.4787644787644749E-2</c:v>
                </c:pt>
                <c:pt idx="59">
                  <c:v>4.5559845559845519E-2</c:v>
                </c:pt>
                <c:pt idx="60">
                  <c:v>4.6332046332046288E-2</c:v>
                </c:pt>
                <c:pt idx="61">
                  <c:v>4.7104247104247057E-2</c:v>
                </c:pt>
                <c:pt idx="62">
                  <c:v>4.7876447876447827E-2</c:v>
                </c:pt>
                <c:pt idx="63">
                  <c:v>4.8648648648648596E-2</c:v>
                </c:pt>
                <c:pt idx="64">
                  <c:v>4.9420849420849365E-2</c:v>
                </c:pt>
                <c:pt idx="65">
                  <c:v>5.0193050193050134E-2</c:v>
                </c:pt>
                <c:pt idx="66">
                  <c:v>5.0965250965250904E-2</c:v>
                </c:pt>
                <c:pt idx="67">
                  <c:v>5.1737451737451673E-2</c:v>
                </c:pt>
                <c:pt idx="68">
                  <c:v>5.2509652509652442E-2</c:v>
                </c:pt>
                <c:pt idx="69">
                  <c:v>5.3281853281853211E-2</c:v>
                </c:pt>
                <c:pt idx="70">
                  <c:v>5.4054054054053981E-2</c:v>
                </c:pt>
                <c:pt idx="71">
                  <c:v>5.482625482625475E-2</c:v>
                </c:pt>
                <c:pt idx="72">
                  <c:v>5.5598455598455519E-2</c:v>
                </c:pt>
                <c:pt idx="73">
                  <c:v>5.6370656370656289E-2</c:v>
                </c:pt>
                <c:pt idx="74">
                  <c:v>5.7142857142857058E-2</c:v>
                </c:pt>
                <c:pt idx="75">
                  <c:v>5.7915057915057827E-2</c:v>
                </c:pt>
                <c:pt idx="76">
                  <c:v>5.8687258687258596E-2</c:v>
                </c:pt>
                <c:pt idx="77">
                  <c:v>5.9459459459459366E-2</c:v>
                </c:pt>
                <c:pt idx="78">
                  <c:v>6.0231660231660135E-2</c:v>
                </c:pt>
                <c:pt idx="79">
                  <c:v>6.1003861003860904E-2</c:v>
                </c:pt>
                <c:pt idx="80">
                  <c:v>6.1776061776061673E-2</c:v>
                </c:pt>
                <c:pt idx="81">
                  <c:v>6.2548262548262443E-2</c:v>
                </c:pt>
                <c:pt idx="82">
                  <c:v>6.3320463320463219E-2</c:v>
                </c:pt>
                <c:pt idx="83">
                  <c:v>6.4092664092663995E-2</c:v>
                </c:pt>
                <c:pt idx="84">
                  <c:v>6.4864864864864771E-2</c:v>
                </c:pt>
                <c:pt idx="85">
                  <c:v>6.5637065637065548E-2</c:v>
                </c:pt>
                <c:pt idx="86">
                  <c:v>6.6409266409266324E-2</c:v>
                </c:pt>
                <c:pt idx="87">
                  <c:v>6.71814671814671E-2</c:v>
                </c:pt>
                <c:pt idx="88">
                  <c:v>6.7953667953667876E-2</c:v>
                </c:pt>
                <c:pt idx="89">
                  <c:v>6.8725868725868652E-2</c:v>
                </c:pt>
                <c:pt idx="90">
                  <c:v>6.9498069498069429E-2</c:v>
                </c:pt>
                <c:pt idx="91">
                  <c:v>7.0270270270270205E-2</c:v>
                </c:pt>
                <c:pt idx="92">
                  <c:v>7.1042471042470981E-2</c:v>
                </c:pt>
                <c:pt idx="93">
                  <c:v>7.1814671814671757E-2</c:v>
                </c:pt>
                <c:pt idx="94">
                  <c:v>7.2586872586872533E-2</c:v>
                </c:pt>
                <c:pt idx="95">
                  <c:v>7.335907335907331E-2</c:v>
                </c:pt>
                <c:pt idx="96">
                  <c:v>7.4131274131274086E-2</c:v>
                </c:pt>
                <c:pt idx="97">
                  <c:v>7.4903474903474862E-2</c:v>
                </c:pt>
                <c:pt idx="98">
                  <c:v>7.5675675675675638E-2</c:v>
                </c:pt>
                <c:pt idx="99">
                  <c:v>7.6447876447876414E-2</c:v>
                </c:pt>
                <c:pt idx="100">
                  <c:v>7.7220077220077191E-2</c:v>
                </c:pt>
                <c:pt idx="101">
                  <c:v>7.7992277992277967E-2</c:v>
                </c:pt>
                <c:pt idx="102">
                  <c:v>7.8764478764478743E-2</c:v>
                </c:pt>
                <c:pt idx="103">
                  <c:v>7.9536679536679519E-2</c:v>
                </c:pt>
                <c:pt idx="104">
                  <c:v>8.0308880308880295E-2</c:v>
                </c:pt>
                <c:pt idx="105">
                  <c:v>8.1081081081081072E-2</c:v>
                </c:pt>
                <c:pt idx="106">
                  <c:v>8.1853281853281848E-2</c:v>
                </c:pt>
                <c:pt idx="107">
                  <c:v>8.2625482625482624E-2</c:v>
                </c:pt>
                <c:pt idx="108">
                  <c:v>8.33976833976834E-2</c:v>
                </c:pt>
                <c:pt idx="109">
                  <c:v>8.4169884169884177E-2</c:v>
                </c:pt>
                <c:pt idx="110">
                  <c:v>8.4942084942084953E-2</c:v>
                </c:pt>
                <c:pt idx="111">
                  <c:v>8.5714285714285729E-2</c:v>
                </c:pt>
                <c:pt idx="112">
                  <c:v>8.6486486486486505E-2</c:v>
                </c:pt>
                <c:pt idx="113">
                  <c:v>8.7258687258687281E-2</c:v>
                </c:pt>
                <c:pt idx="114">
                  <c:v>8.8030888030888058E-2</c:v>
                </c:pt>
                <c:pt idx="115">
                  <c:v>8.8803088803088834E-2</c:v>
                </c:pt>
                <c:pt idx="116">
                  <c:v>8.957528957528961E-2</c:v>
                </c:pt>
                <c:pt idx="117">
                  <c:v>9.0347490347490386E-2</c:v>
                </c:pt>
                <c:pt idx="118">
                  <c:v>9.1119691119691162E-2</c:v>
                </c:pt>
                <c:pt idx="119">
                  <c:v>9.1891891891891939E-2</c:v>
                </c:pt>
                <c:pt idx="120">
                  <c:v>9.2664092664092715E-2</c:v>
                </c:pt>
                <c:pt idx="121">
                  <c:v>9.3436293436293491E-2</c:v>
                </c:pt>
                <c:pt idx="122">
                  <c:v>9.4208494208494267E-2</c:v>
                </c:pt>
                <c:pt idx="123">
                  <c:v>9.4980694980695043E-2</c:v>
                </c:pt>
                <c:pt idx="124">
                  <c:v>9.575289575289582E-2</c:v>
                </c:pt>
                <c:pt idx="125">
                  <c:v>9.6525096525096596E-2</c:v>
                </c:pt>
                <c:pt idx="126">
                  <c:v>9.7297297297297372E-2</c:v>
                </c:pt>
                <c:pt idx="127">
                  <c:v>9.8069498069498148E-2</c:v>
                </c:pt>
                <c:pt idx="128">
                  <c:v>9.8841698841698925E-2</c:v>
                </c:pt>
                <c:pt idx="129">
                  <c:v>9.9613899613899701E-2</c:v>
                </c:pt>
                <c:pt idx="130">
                  <c:v>0.10038610038610048</c:v>
                </c:pt>
                <c:pt idx="131">
                  <c:v>0.10115830115830125</c:v>
                </c:pt>
                <c:pt idx="132">
                  <c:v>0.10193050193050203</c:v>
                </c:pt>
                <c:pt idx="133">
                  <c:v>0.10270270270270281</c:v>
                </c:pt>
                <c:pt idx="134">
                  <c:v>0.10347490347490358</c:v>
                </c:pt>
                <c:pt idx="135">
                  <c:v>0.10424710424710436</c:v>
                </c:pt>
                <c:pt idx="136">
                  <c:v>0.10501930501930513</c:v>
                </c:pt>
                <c:pt idx="137">
                  <c:v>0.10579150579150591</c:v>
                </c:pt>
                <c:pt idx="138">
                  <c:v>0.10656370656370669</c:v>
                </c:pt>
                <c:pt idx="139">
                  <c:v>0.10733590733590746</c:v>
                </c:pt>
                <c:pt idx="140">
                  <c:v>0.10810810810810824</c:v>
                </c:pt>
                <c:pt idx="141">
                  <c:v>0.10888030888030902</c:v>
                </c:pt>
                <c:pt idx="142">
                  <c:v>0.10965250965250979</c:v>
                </c:pt>
                <c:pt idx="143">
                  <c:v>0.11042471042471057</c:v>
                </c:pt>
                <c:pt idx="144">
                  <c:v>0.11119691119691134</c:v>
                </c:pt>
                <c:pt idx="145">
                  <c:v>0.11196911196911212</c:v>
                </c:pt>
                <c:pt idx="146">
                  <c:v>0.1127413127413129</c:v>
                </c:pt>
                <c:pt idx="147">
                  <c:v>0.11351351351351367</c:v>
                </c:pt>
                <c:pt idx="148">
                  <c:v>0.11428571428571445</c:v>
                </c:pt>
                <c:pt idx="149">
                  <c:v>0.11505791505791522</c:v>
                </c:pt>
                <c:pt idx="150">
                  <c:v>0.115830115830116</c:v>
                </c:pt>
                <c:pt idx="151">
                  <c:v>0.11660231660231678</c:v>
                </c:pt>
                <c:pt idx="152">
                  <c:v>0.11737451737451755</c:v>
                </c:pt>
                <c:pt idx="153">
                  <c:v>0.11814671814671833</c:v>
                </c:pt>
                <c:pt idx="154">
                  <c:v>0.11891891891891911</c:v>
                </c:pt>
                <c:pt idx="155">
                  <c:v>0.11969111969111988</c:v>
                </c:pt>
                <c:pt idx="156">
                  <c:v>0.12046332046332066</c:v>
                </c:pt>
                <c:pt idx="157">
                  <c:v>0.12123552123552143</c:v>
                </c:pt>
                <c:pt idx="158">
                  <c:v>0.12200772200772221</c:v>
                </c:pt>
                <c:pt idx="159">
                  <c:v>0.12277992277992299</c:v>
                </c:pt>
                <c:pt idx="160">
                  <c:v>0.12355212355212376</c:v>
                </c:pt>
                <c:pt idx="161">
                  <c:v>0.12432432432432454</c:v>
                </c:pt>
                <c:pt idx="162">
                  <c:v>0.1250965250965253</c:v>
                </c:pt>
                <c:pt idx="163">
                  <c:v>0.12586872586872608</c:v>
                </c:pt>
                <c:pt idx="164">
                  <c:v>0.12664092664092685</c:v>
                </c:pt>
                <c:pt idx="165">
                  <c:v>0.12741312741312763</c:v>
                </c:pt>
                <c:pt idx="166">
                  <c:v>0.12818532818532841</c:v>
                </c:pt>
                <c:pt idx="167">
                  <c:v>0.12895752895752918</c:v>
                </c:pt>
                <c:pt idx="168">
                  <c:v>0.12972972972972996</c:v>
                </c:pt>
                <c:pt idx="169">
                  <c:v>0.13050193050193074</c:v>
                </c:pt>
                <c:pt idx="170">
                  <c:v>0.13127413127413151</c:v>
                </c:pt>
                <c:pt idx="171">
                  <c:v>0.13204633204633229</c:v>
                </c:pt>
                <c:pt idx="172">
                  <c:v>0.13281853281853306</c:v>
                </c:pt>
                <c:pt idx="173">
                  <c:v>0.13359073359073384</c:v>
                </c:pt>
                <c:pt idx="174">
                  <c:v>0.13436293436293462</c:v>
                </c:pt>
                <c:pt idx="175">
                  <c:v>0.13513513513513539</c:v>
                </c:pt>
                <c:pt idx="176">
                  <c:v>0.13590733590733617</c:v>
                </c:pt>
                <c:pt idx="177">
                  <c:v>0.13667953667953694</c:v>
                </c:pt>
                <c:pt idx="178">
                  <c:v>0.13745173745173772</c:v>
                </c:pt>
                <c:pt idx="179">
                  <c:v>0.1382239382239385</c:v>
                </c:pt>
                <c:pt idx="180">
                  <c:v>0.13899613899613927</c:v>
                </c:pt>
                <c:pt idx="181">
                  <c:v>0.13976833976834005</c:v>
                </c:pt>
                <c:pt idx="182">
                  <c:v>0.14054054054054083</c:v>
                </c:pt>
                <c:pt idx="183">
                  <c:v>0.1413127413127416</c:v>
                </c:pt>
                <c:pt idx="184">
                  <c:v>0.14208494208494238</c:v>
                </c:pt>
                <c:pt idx="185">
                  <c:v>0.14285714285714315</c:v>
                </c:pt>
                <c:pt idx="186">
                  <c:v>0.14362934362934393</c:v>
                </c:pt>
                <c:pt idx="187">
                  <c:v>0.14440154440154471</c:v>
                </c:pt>
                <c:pt idx="188">
                  <c:v>0.14517374517374548</c:v>
                </c:pt>
                <c:pt idx="189">
                  <c:v>0.14594594594594626</c:v>
                </c:pt>
                <c:pt idx="190">
                  <c:v>0.14671814671814704</c:v>
                </c:pt>
                <c:pt idx="191">
                  <c:v>0.14749034749034781</c:v>
                </c:pt>
                <c:pt idx="192">
                  <c:v>0.14826254826254859</c:v>
                </c:pt>
                <c:pt idx="193">
                  <c:v>0.14903474903474936</c:v>
                </c:pt>
                <c:pt idx="194">
                  <c:v>0.14980694980695014</c:v>
                </c:pt>
                <c:pt idx="195">
                  <c:v>0.15057915057915092</c:v>
                </c:pt>
                <c:pt idx="196">
                  <c:v>0.15135135135135169</c:v>
                </c:pt>
                <c:pt idx="197">
                  <c:v>0.15212355212355247</c:v>
                </c:pt>
                <c:pt idx="198">
                  <c:v>0.15289575289575325</c:v>
                </c:pt>
                <c:pt idx="199">
                  <c:v>0.15366795366795402</c:v>
                </c:pt>
                <c:pt idx="200">
                  <c:v>0.1544401544401548</c:v>
                </c:pt>
                <c:pt idx="201">
                  <c:v>0.15521235521235557</c:v>
                </c:pt>
                <c:pt idx="202">
                  <c:v>0.15598455598455635</c:v>
                </c:pt>
                <c:pt idx="203">
                  <c:v>0.15675675675675713</c:v>
                </c:pt>
                <c:pt idx="204">
                  <c:v>0.1575289575289579</c:v>
                </c:pt>
                <c:pt idx="205">
                  <c:v>0.15830115830115868</c:v>
                </c:pt>
                <c:pt idx="206">
                  <c:v>0.15907335907335945</c:v>
                </c:pt>
                <c:pt idx="207">
                  <c:v>0.15984555984556023</c:v>
                </c:pt>
                <c:pt idx="208">
                  <c:v>0.16061776061776101</c:v>
                </c:pt>
                <c:pt idx="209">
                  <c:v>0.16138996138996178</c:v>
                </c:pt>
                <c:pt idx="210">
                  <c:v>0.16216216216216256</c:v>
                </c:pt>
                <c:pt idx="211">
                  <c:v>0.16293436293436334</c:v>
                </c:pt>
                <c:pt idx="212">
                  <c:v>0.16370656370656411</c:v>
                </c:pt>
                <c:pt idx="213">
                  <c:v>0.16447876447876489</c:v>
                </c:pt>
                <c:pt idx="214">
                  <c:v>0.16525096525096566</c:v>
                </c:pt>
                <c:pt idx="215">
                  <c:v>0.16602316602316644</c:v>
                </c:pt>
                <c:pt idx="216">
                  <c:v>0.16679536679536722</c:v>
                </c:pt>
                <c:pt idx="217">
                  <c:v>0.16756756756756799</c:v>
                </c:pt>
                <c:pt idx="218">
                  <c:v>0.16833976833976877</c:v>
                </c:pt>
                <c:pt idx="219">
                  <c:v>0.16911196911196955</c:v>
                </c:pt>
                <c:pt idx="220">
                  <c:v>0.16988416988417032</c:v>
                </c:pt>
                <c:pt idx="221">
                  <c:v>0.1706563706563711</c:v>
                </c:pt>
                <c:pt idx="222">
                  <c:v>0.17142857142857187</c:v>
                </c:pt>
                <c:pt idx="223">
                  <c:v>0.17220077220077265</c:v>
                </c:pt>
                <c:pt idx="224">
                  <c:v>0.17297297297297343</c:v>
                </c:pt>
                <c:pt idx="225">
                  <c:v>0.1737451737451742</c:v>
                </c:pt>
                <c:pt idx="226">
                  <c:v>0.17451737451737498</c:v>
                </c:pt>
                <c:pt idx="227">
                  <c:v>0.17528957528957576</c:v>
                </c:pt>
                <c:pt idx="228">
                  <c:v>0.17606177606177653</c:v>
                </c:pt>
                <c:pt idx="229">
                  <c:v>0.17683397683397731</c:v>
                </c:pt>
                <c:pt idx="230">
                  <c:v>0.17760617760617808</c:v>
                </c:pt>
                <c:pt idx="231">
                  <c:v>0.17837837837837886</c:v>
                </c:pt>
                <c:pt idx="232">
                  <c:v>0.17915057915057964</c:v>
                </c:pt>
                <c:pt idx="233">
                  <c:v>0.17992277992278041</c:v>
                </c:pt>
                <c:pt idx="234">
                  <c:v>0.18069498069498119</c:v>
                </c:pt>
                <c:pt idx="235">
                  <c:v>0.18146718146718196</c:v>
                </c:pt>
                <c:pt idx="236">
                  <c:v>0.18223938223938274</c:v>
                </c:pt>
                <c:pt idx="237">
                  <c:v>0.18301158301158352</c:v>
                </c:pt>
                <c:pt idx="238">
                  <c:v>0.18378378378378429</c:v>
                </c:pt>
                <c:pt idx="239">
                  <c:v>0.18455598455598507</c:v>
                </c:pt>
                <c:pt idx="240">
                  <c:v>0.18532818532818585</c:v>
                </c:pt>
                <c:pt idx="241">
                  <c:v>0.18610038610038662</c:v>
                </c:pt>
                <c:pt idx="242">
                  <c:v>0.1868725868725874</c:v>
                </c:pt>
                <c:pt idx="243">
                  <c:v>0.18764478764478817</c:v>
                </c:pt>
                <c:pt idx="244">
                  <c:v>0.18841698841698895</c:v>
                </c:pt>
                <c:pt idx="245">
                  <c:v>0.18918918918918973</c:v>
                </c:pt>
                <c:pt idx="246">
                  <c:v>0.1899613899613905</c:v>
                </c:pt>
                <c:pt idx="247">
                  <c:v>0.19073359073359128</c:v>
                </c:pt>
                <c:pt idx="248">
                  <c:v>0.19150579150579206</c:v>
                </c:pt>
                <c:pt idx="249">
                  <c:v>0.19227799227799283</c:v>
                </c:pt>
                <c:pt idx="250">
                  <c:v>0.19305019305019361</c:v>
                </c:pt>
                <c:pt idx="251">
                  <c:v>0.19382239382239438</c:v>
                </c:pt>
                <c:pt idx="252">
                  <c:v>0.19459459459459516</c:v>
                </c:pt>
                <c:pt idx="253">
                  <c:v>0.19536679536679594</c:v>
                </c:pt>
                <c:pt idx="254">
                  <c:v>0.19613899613899671</c:v>
                </c:pt>
                <c:pt idx="255">
                  <c:v>0.19691119691119749</c:v>
                </c:pt>
                <c:pt idx="256">
                  <c:v>0.19768339768339827</c:v>
                </c:pt>
                <c:pt idx="257">
                  <c:v>0.19845559845559904</c:v>
                </c:pt>
                <c:pt idx="258">
                  <c:v>0.19922779922779982</c:v>
                </c:pt>
                <c:pt idx="259">
                  <c:v>0.20000000000000059</c:v>
                </c:pt>
                <c:pt idx="260">
                  <c:v>0.20077220077220137</c:v>
                </c:pt>
                <c:pt idx="261">
                  <c:v>0.20154440154440215</c:v>
                </c:pt>
                <c:pt idx="262">
                  <c:v>0.20231660231660292</c:v>
                </c:pt>
                <c:pt idx="263">
                  <c:v>0.2030888030888037</c:v>
                </c:pt>
                <c:pt idx="264">
                  <c:v>0.20386100386100448</c:v>
                </c:pt>
                <c:pt idx="265">
                  <c:v>0.20463320463320525</c:v>
                </c:pt>
                <c:pt idx="266">
                  <c:v>0.20540540540540603</c:v>
                </c:pt>
                <c:pt idx="267">
                  <c:v>0.2061776061776068</c:v>
                </c:pt>
                <c:pt idx="268">
                  <c:v>0.20694980694980758</c:v>
                </c:pt>
                <c:pt idx="269">
                  <c:v>0.20772200772200836</c:v>
                </c:pt>
                <c:pt idx="270">
                  <c:v>0.20849420849420913</c:v>
                </c:pt>
                <c:pt idx="271">
                  <c:v>0.20926640926640991</c:v>
                </c:pt>
                <c:pt idx="272">
                  <c:v>0.21003861003861068</c:v>
                </c:pt>
                <c:pt idx="273">
                  <c:v>0.21081081081081146</c:v>
                </c:pt>
                <c:pt idx="274">
                  <c:v>0.21158301158301224</c:v>
                </c:pt>
                <c:pt idx="275">
                  <c:v>0.21235521235521301</c:v>
                </c:pt>
                <c:pt idx="276">
                  <c:v>0.21312741312741379</c:v>
                </c:pt>
                <c:pt idx="277">
                  <c:v>0.21389961389961457</c:v>
                </c:pt>
                <c:pt idx="278">
                  <c:v>0.21467181467181534</c:v>
                </c:pt>
                <c:pt idx="279">
                  <c:v>0.21544401544401612</c:v>
                </c:pt>
                <c:pt idx="280">
                  <c:v>0.21621621621621689</c:v>
                </c:pt>
                <c:pt idx="281">
                  <c:v>0.21698841698841767</c:v>
                </c:pt>
                <c:pt idx="282">
                  <c:v>0.21776061776061845</c:v>
                </c:pt>
                <c:pt idx="283">
                  <c:v>0.21853281853281922</c:v>
                </c:pt>
                <c:pt idx="284">
                  <c:v>0.21930501930502</c:v>
                </c:pt>
                <c:pt idx="285">
                  <c:v>0.22007722007722078</c:v>
                </c:pt>
                <c:pt idx="286">
                  <c:v>0.22084942084942155</c:v>
                </c:pt>
                <c:pt idx="287">
                  <c:v>0.22162162162162233</c:v>
                </c:pt>
                <c:pt idx="288">
                  <c:v>0.2223938223938231</c:v>
                </c:pt>
                <c:pt idx="289">
                  <c:v>0.22316602316602388</c:v>
                </c:pt>
                <c:pt idx="290">
                  <c:v>0.22393822393822466</c:v>
                </c:pt>
                <c:pt idx="291">
                  <c:v>0.22471042471042543</c:v>
                </c:pt>
                <c:pt idx="292">
                  <c:v>0.22548262548262621</c:v>
                </c:pt>
                <c:pt idx="293">
                  <c:v>0.22625482625482699</c:v>
                </c:pt>
                <c:pt idx="294">
                  <c:v>0.22702702702702776</c:v>
                </c:pt>
                <c:pt idx="295">
                  <c:v>0.22779922779922854</c:v>
                </c:pt>
                <c:pt idx="296">
                  <c:v>0.22857142857142931</c:v>
                </c:pt>
                <c:pt idx="297">
                  <c:v>0.22934362934363009</c:v>
                </c:pt>
                <c:pt idx="298">
                  <c:v>0.23011583011583087</c:v>
                </c:pt>
                <c:pt idx="299">
                  <c:v>0.23088803088803164</c:v>
                </c:pt>
                <c:pt idx="300">
                  <c:v>0.23166023166023242</c:v>
                </c:pt>
                <c:pt idx="301">
                  <c:v>0.23243243243243319</c:v>
                </c:pt>
                <c:pt idx="302">
                  <c:v>0.23320463320463397</c:v>
                </c:pt>
                <c:pt idx="303">
                  <c:v>0.23397683397683475</c:v>
                </c:pt>
                <c:pt idx="304">
                  <c:v>0.23474903474903552</c:v>
                </c:pt>
                <c:pt idx="305">
                  <c:v>0.2355212355212363</c:v>
                </c:pt>
                <c:pt idx="306">
                  <c:v>0.23629343629343708</c:v>
                </c:pt>
                <c:pt idx="307">
                  <c:v>0.23706563706563785</c:v>
                </c:pt>
                <c:pt idx="308">
                  <c:v>0.23783783783783863</c:v>
                </c:pt>
                <c:pt idx="309">
                  <c:v>0.2386100386100394</c:v>
                </c:pt>
                <c:pt idx="310">
                  <c:v>0.23938223938224018</c:v>
                </c:pt>
                <c:pt idx="311">
                  <c:v>0.24015444015444096</c:v>
                </c:pt>
                <c:pt idx="312">
                  <c:v>0.24092664092664173</c:v>
                </c:pt>
                <c:pt idx="313">
                  <c:v>0.24169884169884251</c:v>
                </c:pt>
                <c:pt idx="314">
                  <c:v>0.24247104247104329</c:v>
                </c:pt>
                <c:pt idx="315">
                  <c:v>0.24324324324324406</c:v>
                </c:pt>
                <c:pt idx="316">
                  <c:v>0.24401544401544484</c:v>
                </c:pt>
                <c:pt idx="317">
                  <c:v>0.24478764478764561</c:v>
                </c:pt>
                <c:pt idx="318">
                  <c:v>0.24555984555984639</c:v>
                </c:pt>
                <c:pt idx="319">
                  <c:v>0.24633204633204717</c:v>
                </c:pt>
                <c:pt idx="320">
                  <c:v>0.24710424710424794</c:v>
                </c:pt>
                <c:pt idx="321">
                  <c:v>0.24787644787644872</c:v>
                </c:pt>
                <c:pt idx="322">
                  <c:v>0.2486486486486495</c:v>
                </c:pt>
                <c:pt idx="323">
                  <c:v>0.24942084942085027</c:v>
                </c:pt>
                <c:pt idx="324">
                  <c:v>0.25019305019305105</c:v>
                </c:pt>
                <c:pt idx="325">
                  <c:v>0.2509652509652518</c:v>
                </c:pt>
                <c:pt idx="326">
                  <c:v>0.25173745173745254</c:v>
                </c:pt>
                <c:pt idx="327">
                  <c:v>0.25250965250965329</c:v>
                </c:pt>
                <c:pt idx="328">
                  <c:v>0.25328185328185404</c:v>
                </c:pt>
                <c:pt idx="329">
                  <c:v>0.25405405405405479</c:v>
                </c:pt>
                <c:pt idx="330">
                  <c:v>0.25482625482625554</c:v>
                </c:pt>
                <c:pt idx="331">
                  <c:v>0.25559845559845629</c:v>
                </c:pt>
                <c:pt idx="332">
                  <c:v>0.25637065637065704</c:v>
                </c:pt>
                <c:pt idx="333">
                  <c:v>0.25714285714285778</c:v>
                </c:pt>
                <c:pt idx="334">
                  <c:v>0.25791505791505853</c:v>
                </c:pt>
                <c:pt idx="335">
                  <c:v>0.25868725868725928</c:v>
                </c:pt>
                <c:pt idx="336">
                  <c:v>0.25945945945946003</c:v>
                </c:pt>
                <c:pt idx="337">
                  <c:v>0.26023166023166078</c:v>
                </c:pt>
                <c:pt idx="338">
                  <c:v>0.26100386100386153</c:v>
                </c:pt>
                <c:pt idx="339">
                  <c:v>0.26177606177606227</c:v>
                </c:pt>
                <c:pt idx="340">
                  <c:v>0.26254826254826302</c:v>
                </c:pt>
                <c:pt idx="341">
                  <c:v>0.26332046332046377</c:v>
                </c:pt>
                <c:pt idx="342">
                  <c:v>0.26409266409266452</c:v>
                </c:pt>
                <c:pt idx="343">
                  <c:v>0.26486486486486527</c:v>
                </c:pt>
                <c:pt idx="344">
                  <c:v>0.26563706563706602</c:v>
                </c:pt>
                <c:pt idx="345">
                  <c:v>0.26640926640926677</c:v>
                </c:pt>
                <c:pt idx="346">
                  <c:v>0.26718146718146751</c:v>
                </c:pt>
                <c:pt idx="347">
                  <c:v>0.26795366795366826</c:v>
                </c:pt>
                <c:pt idx="348">
                  <c:v>0.26872586872586901</c:v>
                </c:pt>
                <c:pt idx="349">
                  <c:v>0.26949806949806976</c:v>
                </c:pt>
                <c:pt idx="350">
                  <c:v>0.27027027027027051</c:v>
                </c:pt>
                <c:pt idx="351">
                  <c:v>0.27104247104247126</c:v>
                </c:pt>
                <c:pt idx="352">
                  <c:v>0.271814671814672</c:v>
                </c:pt>
                <c:pt idx="353">
                  <c:v>0.27258687258687275</c:v>
                </c:pt>
                <c:pt idx="354">
                  <c:v>0.2733590733590735</c:v>
                </c:pt>
                <c:pt idx="355">
                  <c:v>0.27413127413127425</c:v>
                </c:pt>
                <c:pt idx="356">
                  <c:v>0.274903474903475</c:v>
                </c:pt>
                <c:pt idx="357">
                  <c:v>0.27567567567567575</c:v>
                </c:pt>
                <c:pt idx="358">
                  <c:v>0.27644787644787649</c:v>
                </c:pt>
                <c:pt idx="359">
                  <c:v>0.27722007722007724</c:v>
                </c:pt>
                <c:pt idx="360">
                  <c:v>0.27799227799227799</c:v>
                </c:pt>
                <c:pt idx="361">
                  <c:v>0.27876447876447874</c:v>
                </c:pt>
                <c:pt idx="362">
                  <c:v>0.27953667953667949</c:v>
                </c:pt>
                <c:pt idx="363">
                  <c:v>0.28030888030888024</c:v>
                </c:pt>
                <c:pt idx="364">
                  <c:v>0.28108108108108099</c:v>
                </c:pt>
                <c:pt idx="365">
                  <c:v>0.28185328185328173</c:v>
                </c:pt>
                <c:pt idx="366">
                  <c:v>0.28262548262548248</c:v>
                </c:pt>
                <c:pt idx="367">
                  <c:v>0.28339768339768323</c:v>
                </c:pt>
                <c:pt idx="368">
                  <c:v>0.28416988416988398</c:v>
                </c:pt>
                <c:pt idx="369">
                  <c:v>0.28494208494208473</c:v>
                </c:pt>
                <c:pt idx="370">
                  <c:v>0.28571428571428548</c:v>
                </c:pt>
                <c:pt idx="371">
                  <c:v>0.28648648648648622</c:v>
                </c:pt>
                <c:pt idx="372">
                  <c:v>0.28725868725868697</c:v>
                </c:pt>
                <c:pt idx="373">
                  <c:v>0.28803088803088772</c:v>
                </c:pt>
                <c:pt idx="374">
                  <c:v>0.28880308880308847</c:v>
                </c:pt>
                <c:pt idx="375">
                  <c:v>0.28957528957528922</c:v>
                </c:pt>
                <c:pt idx="376">
                  <c:v>0.29034749034748997</c:v>
                </c:pt>
                <c:pt idx="377">
                  <c:v>0.29111969111969072</c:v>
                </c:pt>
                <c:pt idx="378">
                  <c:v>0.29189189189189146</c:v>
                </c:pt>
                <c:pt idx="379">
                  <c:v>0.29266409266409221</c:v>
                </c:pt>
                <c:pt idx="380">
                  <c:v>0.29343629343629296</c:v>
                </c:pt>
                <c:pt idx="381">
                  <c:v>0.29420849420849371</c:v>
                </c:pt>
                <c:pt idx="382">
                  <c:v>0.29498069498069446</c:v>
                </c:pt>
                <c:pt idx="383">
                  <c:v>0.29575289575289521</c:v>
                </c:pt>
                <c:pt idx="384">
                  <c:v>0.29652509652509595</c:v>
                </c:pt>
                <c:pt idx="385">
                  <c:v>0.2972972972972967</c:v>
                </c:pt>
                <c:pt idx="386">
                  <c:v>0.29806949806949745</c:v>
                </c:pt>
                <c:pt idx="387">
                  <c:v>0.2988416988416982</c:v>
                </c:pt>
                <c:pt idx="388">
                  <c:v>0.29961389961389895</c:v>
                </c:pt>
                <c:pt idx="389">
                  <c:v>0.3003861003860997</c:v>
                </c:pt>
                <c:pt idx="390">
                  <c:v>0.30115830115830045</c:v>
                </c:pt>
                <c:pt idx="391">
                  <c:v>0.30193050193050119</c:v>
                </c:pt>
                <c:pt idx="392">
                  <c:v>0.30270270270270194</c:v>
                </c:pt>
                <c:pt idx="393">
                  <c:v>0.30347490347490269</c:v>
                </c:pt>
                <c:pt idx="394">
                  <c:v>0.30424710424710344</c:v>
                </c:pt>
                <c:pt idx="395">
                  <c:v>0.30501930501930419</c:v>
                </c:pt>
                <c:pt idx="396">
                  <c:v>0.30579150579150494</c:v>
                </c:pt>
                <c:pt idx="397">
                  <c:v>0.30656370656370568</c:v>
                </c:pt>
                <c:pt idx="398">
                  <c:v>0.30733590733590643</c:v>
                </c:pt>
                <c:pt idx="399">
                  <c:v>0.30810810810810718</c:v>
                </c:pt>
                <c:pt idx="400">
                  <c:v>0.30888030888030793</c:v>
                </c:pt>
                <c:pt idx="401">
                  <c:v>0.30965250965250868</c:v>
                </c:pt>
                <c:pt idx="402">
                  <c:v>0.31042471042470943</c:v>
                </c:pt>
                <c:pt idx="403">
                  <c:v>0.31119691119691018</c:v>
                </c:pt>
                <c:pt idx="404">
                  <c:v>0.31196911196911092</c:v>
                </c:pt>
                <c:pt idx="405">
                  <c:v>0.31274131274131167</c:v>
                </c:pt>
                <c:pt idx="406">
                  <c:v>0.31351351351351242</c:v>
                </c:pt>
                <c:pt idx="407">
                  <c:v>0.31428571428571317</c:v>
                </c:pt>
                <c:pt idx="408">
                  <c:v>0.31505791505791392</c:v>
                </c:pt>
                <c:pt idx="409">
                  <c:v>0.31583011583011467</c:v>
                </c:pt>
                <c:pt idx="410">
                  <c:v>0.31660231660231541</c:v>
                </c:pt>
                <c:pt idx="411">
                  <c:v>0.31737451737451616</c:v>
                </c:pt>
                <c:pt idx="412">
                  <c:v>0.31814671814671691</c:v>
                </c:pt>
                <c:pt idx="413">
                  <c:v>0.31891891891891766</c:v>
                </c:pt>
                <c:pt idx="414">
                  <c:v>0.31969111969111841</c:v>
                </c:pt>
                <c:pt idx="415">
                  <c:v>0.32046332046331916</c:v>
                </c:pt>
                <c:pt idx="416">
                  <c:v>0.32123552123551991</c:v>
                </c:pt>
                <c:pt idx="417">
                  <c:v>0.32200772200772065</c:v>
                </c:pt>
                <c:pt idx="418">
                  <c:v>0.3227799227799214</c:v>
                </c:pt>
                <c:pt idx="419">
                  <c:v>0.32355212355212215</c:v>
                </c:pt>
                <c:pt idx="420">
                  <c:v>0.3243243243243229</c:v>
                </c:pt>
                <c:pt idx="421">
                  <c:v>0.32509652509652365</c:v>
                </c:pt>
                <c:pt idx="422">
                  <c:v>0.3258687258687244</c:v>
                </c:pt>
                <c:pt idx="423">
                  <c:v>0.32664092664092514</c:v>
                </c:pt>
                <c:pt idx="424">
                  <c:v>0.32741312741312589</c:v>
                </c:pt>
                <c:pt idx="425">
                  <c:v>0.32818532818532664</c:v>
                </c:pt>
                <c:pt idx="426">
                  <c:v>0.32895752895752739</c:v>
                </c:pt>
                <c:pt idx="427">
                  <c:v>0.32972972972972814</c:v>
                </c:pt>
                <c:pt idx="428">
                  <c:v>0.33050193050192889</c:v>
                </c:pt>
                <c:pt idx="429">
                  <c:v>0.33127413127412964</c:v>
                </c:pt>
                <c:pt idx="430">
                  <c:v>0.33204633204633038</c:v>
                </c:pt>
                <c:pt idx="431">
                  <c:v>0.33281853281853113</c:v>
                </c:pt>
                <c:pt idx="432">
                  <c:v>0.33359073359073188</c:v>
                </c:pt>
                <c:pt idx="433">
                  <c:v>0.33436293436293263</c:v>
                </c:pt>
                <c:pt idx="434">
                  <c:v>0.33513513513513338</c:v>
                </c:pt>
                <c:pt idx="435">
                  <c:v>0.33590733590733413</c:v>
                </c:pt>
                <c:pt idx="436">
                  <c:v>0.33667953667953487</c:v>
                </c:pt>
                <c:pt idx="437">
                  <c:v>0.33745173745173562</c:v>
                </c:pt>
                <c:pt idx="438">
                  <c:v>0.33822393822393637</c:v>
                </c:pt>
                <c:pt idx="439">
                  <c:v>0.33899613899613712</c:v>
                </c:pt>
                <c:pt idx="440">
                  <c:v>0.33976833976833787</c:v>
                </c:pt>
                <c:pt idx="441">
                  <c:v>0.34054054054053862</c:v>
                </c:pt>
                <c:pt idx="442">
                  <c:v>0.34131274131273937</c:v>
                </c:pt>
                <c:pt idx="443">
                  <c:v>0.34208494208494011</c:v>
                </c:pt>
                <c:pt idx="444">
                  <c:v>0.34285714285714086</c:v>
                </c:pt>
                <c:pt idx="445">
                  <c:v>0.34362934362934161</c:v>
                </c:pt>
                <c:pt idx="446">
                  <c:v>0.34440154440154236</c:v>
                </c:pt>
                <c:pt idx="447">
                  <c:v>0.34517374517374311</c:v>
                </c:pt>
                <c:pt idx="448">
                  <c:v>0.34594594594594386</c:v>
                </c:pt>
                <c:pt idx="449">
                  <c:v>0.3467181467181446</c:v>
                </c:pt>
                <c:pt idx="450">
                  <c:v>0.34749034749034535</c:v>
                </c:pt>
                <c:pt idx="451">
                  <c:v>0.3482625482625461</c:v>
                </c:pt>
                <c:pt idx="452">
                  <c:v>0.34903474903474685</c:v>
                </c:pt>
                <c:pt idx="453">
                  <c:v>0.3498069498069476</c:v>
                </c:pt>
                <c:pt idx="454">
                  <c:v>0.35057915057914835</c:v>
                </c:pt>
                <c:pt idx="455">
                  <c:v>0.35135135135134909</c:v>
                </c:pt>
                <c:pt idx="456">
                  <c:v>0.35212355212354984</c:v>
                </c:pt>
                <c:pt idx="457">
                  <c:v>0.35289575289575059</c:v>
                </c:pt>
                <c:pt idx="458">
                  <c:v>0.35366795366795134</c:v>
                </c:pt>
                <c:pt idx="459">
                  <c:v>0.35444015444015209</c:v>
                </c:pt>
                <c:pt idx="460">
                  <c:v>0.35521235521235284</c:v>
                </c:pt>
                <c:pt idx="461">
                  <c:v>0.35598455598455359</c:v>
                </c:pt>
                <c:pt idx="462">
                  <c:v>0.35675675675675433</c:v>
                </c:pt>
                <c:pt idx="463">
                  <c:v>0.35752895752895508</c:v>
                </c:pt>
                <c:pt idx="464">
                  <c:v>0.35830115830115583</c:v>
                </c:pt>
                <c:pt idx="465">
                  <c:v>0.35907335907335658</c:v>
                </c:pt>
                <c:pt idx="466">
                  <c:v>0.35984555984555733</c:v>
                </c:pt>
                <c:pt idx="467">
                  <c:v>0.36061776061775808</c:v>
                </c:pt>
                <c:pt idx="468">
                  <c:v>0.36138996138995882</c:v>
                </c:pt>
                <c:pt idx="469">
                  <c:v>0.36216216216215957</c:v>
                </c:pt>
                <c:pt idx="470">
                  <c:v>0.36293436293436032</c:v>
                </c:pt>
                <c:pt idx="471">
                  <c:v>0.36370656370656107</c:v>
                </c:pt>
                <c:pt idx="472">
                  <c:v>0.36447876447876182</c:v>
                </c:pt>
                <c:pt idx="473">
                  <c:v>0.36525096525096257</c:v>
                </c:pt>
                <c:pt idx="474">
                  <c:v>0.36602316602316332</c:v>
                </c:pt>
                <c:pt idx="475">
                  <c:v>0.36679536679536406</c:v>
                </c:pt>
                <c:pt idx="476">
                  <c:v>0.36756756756756481</c:v>
                </c:pt>
                <c:pt idx="477">
                  <c:v>0.36833976833976556</c:v>
                </c:pt>
                <c:pt idx="478">
                  <c:v>0.36911196911196631</c:v>
                </c:pt>
                <c:pt idx="479">
                  <c:v>0.36988416988416706</c:v>
                </c:pt>
                <c:pt idx="480">
                  <c:v>0.37065637065636781</c:v>
                </c:pt>
                <c:pt idx="481">
                  <c:v>0.37142857142856855</c:v>
                </c:pt>
                <c:pt idx="482">
                  <c:v>0.3722007722007693</c:v>
                </c:pt>
                <c:pt idx="483">
                  <c:v>0.37297297297297005</c:v>
                </c:pt>
                <c:pt idx="484">
                  <c:v>0.3737451737451708</c:v>
                </c:pt>
                <c:pt idx="485">
                  <c:v>0.37451737451737155</c:v>
                </c:pt>
                <c:pt idx="486">
                  <c:v>0.3752895752895723</c:v>
                </c:pt>
                <c:pt idx="487">
                  <c:v>0.37606177606177305</c:v>
                </c:pt>
                <c:pt idx="488">
                  <c:v>0.37683397683397379</c:v>
                </c:pt>
                <c:pt idx="489">
                  <c:v>0.37760617760617454</c:v>
                </c:pt>
                <c:pt idx="490">
                  <c:v>0.37837837837837529</c:v>
                </c:pt>
                <c:pt idx="491">
                  <c:v>0.37915057915057604</c:v>
                </c:pt>
                <c:pt idx="492">
                  <c:v>0.37992277992277679</c:v>
                </c:pt>
                <c:pt idx="493">
                  <c:v>0.38069498069497754</c:v>
                </c:pt>
                <c:pt idx="494">
                  <c:v>0.38146718146717828</c:v>
                </c:pt>
                <c:pt idx="495">
                  <c:v>0.38223938223937903</c:v>
                </c:pt>
                <c:pt idx="496">
                  <c:v>0.38301158301157978</c:v>
                </c:pt>
                <c:pt idx="497">
                  <c:v>0.38378378378378053</c:v>
                </c:pt>
                <c:pt idx="498">
                  <c:v>0.38455598455598128</c:v>
                </c:pt>
                <c:pt idx="499">
                  <c:v>0.38532818532818203</c:v>
                </c:pt>
                <c:pt idx="500">
                  <c:v>0.38610038610038278</c:v>
                </c:pt>
                <c:pt idx="501">
                  <c:v>0.38687258687258352</c:v>
                </c:pt>
                <c:pt idx="502">
                  <c:v>0.38764478764478427</c:v>
                </c:pt>
                <c:pt idx="503">
                  <c:v>0.38841698841698502</c:v>
                </c:pt>
                <c:pt idx="504">
                  <c:v>0.38918918918918577</c:v>
                </c:pt>
                <c:pt idx="505">
                  <c:v>0.38996138996138652</c:v>
                </c:pt>
                <c:pt idx="506">
                  <c:v>0.39073359073358727</c:v>
                </c:pt>
                <c:pt idx="507">
                  <c:v>0.39150579150578801</c:v>
                </c:pt>
                <c:pt idx="508">
                  <c:v>0.39227799227798876</c:v>
                </c:pt>
                <c:pt idx="509">
                  <c:v>0.39305019305018951</c:v>
                </c:pt>
                <c:pt idx="510">
                  <c:v>0.39382239382239026</c:v>
                </c:pt>
                <c:pt idx="511">
                  <c:v>0.39459459459459101</c:v>
                </c:pt>
                <c:pt idx="512">
                  <c:v>0.39536679536679176</c:v>
                </c:pt>
                <c:pt idx="513">
                  <c:v>0.39613899613899251</c:v>
                </c:pt>
                <c:pt idx="514">
                  <c:v>0.39691119691119325</c:v>
                </c:pt>
                <c:pt idx="515">
                  <c:v>0.397683397683394</c:v>
                </c:pt>
                <c:pt idx="516">
                  <c:v>0.39845559845559475</c:v>
                </c:pt>
                <c:pt idx="517">
                  <c:v>0.3992277992277955</c:v>
                </c:pt>
                <c:pt idx="518">
                  <c:v>0.39999999999999625</c:v>
                </c:pt>
                <c:pt idx="519">
                  <c:v>0.400772200772197</c:v>
                </c:pt>
                <c:pt idx="520">
                  <c:v>0.40154440154439774</c:v>
                </c:pt>
                <c:pt idx="521">
                  <c:v>0.40231660231659849</c:v>
                </c:pt>
                <c:pt idx="522">
                  <c:v>0.40308880308879924</c:v>
                </c:pt>
                <c:pt idx="523">
                  <c:v>0.40386100386099999</c:v>
                </c:pt>
                <c:pt idx="524">
                  <c:v>0.40463320463320074</c:v>
                </c:pt>
                <c:pt idx="525">
                  <c:v>0.40540540540540149</c:v>
                </c:pt>
                <c:pt idx="526">
                  <c:v>0.40617760617760224</c:v>
                </c:pt>
                <c:pt idx="527">
                  <c:v>0.40694980694980298</c:v>
                </c:pt>
                <c:pt idx="528">
                  <c:v>0.40772200772200373</c:v>
                </c:pt>
                <c:pt idx="529">
                  <c:v>0.40849420849420448</c:v>
                </c:pt>
                <c:pt idx="530">
                  <c:v>0.40926640926640523</c:v>
                </c:pt>
                <c:pt idx="531">
                  <c:v>0.41003861003860598</c:v>
                </c:pt>
                <c:pt idx="532">
                  <c:v>0.41081081081080673</c:v>
                </c:pt>
                <c:pt idx="533">
                  <c:v>0.41158301158300747</c:v>
                </c:pt>
                <c:pt idx="534">
                  <c:v>0.41235521235520822</c:v>
                </c:pt>
                <c:pt idx="535">
                  <c:v>0.41312741312740897</c:v>
                </c:pt>
                <c:pt idx="536">
                  <c:v>0.41389961389960972</c:v>
                </c:pt>
                <c:pt idx="537">
                  <c:v>0.41467181467181047</c:v>
                </c:pt>
                <c:pt idx="538">
                  <c:v>0.41544401544401122</c:v>
                </c:pt>
                <c:pt idx="539">
                  <c:v>0.41621621621621196</c:v>
                </c:pt>
                <c:pt idx="540">
                  <c:v>0.41698841698841271</c:v>
                </c:pt>
                <c:pt idx="541">
                  <c:v>0.41776061776061346</c:v>
                </c:pt>
                <c:pt idx="542">
                  <c:v>0.41853281853281421</c:v>
                </c:pt>
                <c:pt idx="543">
                  <c:v>0.41930501930501496</c:v>
                </c:pt>
                <c:pt idx="544">
                  <c:v>0.42007722007721571</c:v>
                </c:pt>
                <c:pt idx="545">
                  <c:v>0.42084942084941646</c:v>
                </c:pt>
                <c:pt idx="546">
                  <c:v>0.4216216216216172</c:v>
                </c:pt>
                <c:pt idx="547">
                  <c:v>0.42239382239381795</c:v>
                </c:pt>
                <c:pt idx="548">
                  <c:v>0.4231660231660187</c:v>
                </c:pt>
                <c:pt idx="549">
                  <c:v>0.42393822393821945</c:v>
                </c:pt>
                <c:pt idx="550">
                  <c:v>0.4247104247104202</c:v>
                </c:pt>
                <c:pt idx="551">
                  <c:v>0.42548262548262095</c:v>
                </c:pt>
                <c:pt idx="552">
                  <c:v>0.42625482625482169</c:v>
                </c:pt>
                <c:pt idx="553">
                  <c:v>0.42702702702702244</c:v>
                </c:pt>
                <c:pt idx="554">
                  <c:v>0.42779922779922319</c:v>
                </c:pt>
                <c:pt idx="555">
                  <c:v>0.42857142857142394</c:v>
                </c:pt>
                <c:pt idx="556">
                  <c:v>0.42934362934362469</c:v>
                </c:pt>
                <c:pt idx="557">
                  <c:v>0.43011583011582544</c:v>
                </c:pt>
                <c:pt idx="558">
                  <c:v>0.43088803088802619</c:v>
                </c:pt>
                <c:pt idx="559">
                  <c:v>0.43166023166022693</c:v>
                </c:pt>
                <c:pt idx="560">
                  <c:v>0.43243243243242768</c:v>
                </c:pt>
                <c:pt idx="561">
                  <c:v>0.43320463320462843</c:v>
                </c:pt>
                <c:pt idx="562">
                  <c:v>0.43397683397682918</c:v>
                </c:pt>
                <c:pt idx="563">
                  <c:v>0.43474903474902993</c:v>
                </c:pt>
                <c:pt idx="564">
                  <c:v>0.43552123552123068</c:v>
                </c:pt>
                <c:pt idx="565">
                  <c:v>0.43629343629343142</c:v>
                </c:pt>
                <c:pt idx="566">
                  <c:v>0.43706563706563217</c:v>
                </c:pt>
                <c:pt idx="567">
                  <c:v>0.43783783783783292</c:v>
                </c:pt>
                <c:pt idx="568">
                  <c:v>0.43861003861003367</c:v>
                </c:pt>
                <c:pt idx="569">
                  <c:v>0.43938223938223442</c:v>
                </c:pt>
                <c:pt idx="570">
                  <c:v>0.44015444015443517</c:v>
                </c:pt>
                <c:pt idx="571">
                  <c:v>0.44092664092663592</c:v>
                </c:pt>
                <c:pt idx="572">
                  <c:v>0.44169884169883666</c:v>
                </c:pt>
                <c:pt idx="573">
                  <c:v>0.44247104247103741</c:v>
                </c:pt>
                <c:pt idx="574">
                  <c:v>0.44324324324323816</c:v>
                </c:pt>
                <c:pt idx="575">
                  <c:v>0.44401544401543891</c:v>
                </c:pt>
                <c:pt idx="576">
                  <c:v>0.44478764478763966</c:v>
                </c:pt>
                <c:pt idx="577">
                  <c:v>0.44555984555984041</c:v>
                </c:pt>
                <c:pt idx="578">
                  <c:v>0.44633204633204115</c:v>
                </c:pt>
                <c:pt idx="579">
                  <c:v>0.4471042471042419</c:v>
                </c:pt>
                <c:pt idx="580">
                  <c:v>0.44787644787644265</c:v>
                </c:pt>
                <c:pt idx="581">
                  <c:v>0.4486486486486434</c:v>
                </c:pt>
                <c:pt idx="582">
                  <c:v>0.44942084942084415</c:v>
                </c:pt>
                <c:pt idx="583">
                  <c:v>0.4501930501930449</c:v>
                </c:pt>
                <c:pt idx="584">
                  <c:v>0.45096525096524565</c:v>
                </c:pt>
                <c:pt idx="585">
                  <c:v>0.45173745173744639</c:v>
                </c:pt>
                <c:pt idx="586">
                  <c:v>0.45250965250964714</c:v>
                </c:pt>
                <c:pt idx="587">
                  <c:v>0.45328185328184789</c:v>
                </c:pt>
                <c:pt idx="588">
                  <c:v>0.45405405405404864</c:v>
                </c:pt>
                <c:pt idx="589">
                  <c:v>0.45482625482624939</c:v>
                </c:pt>
                <c:pt idx="590">
                  <c:v>0.45559845559845014</c:v>
                </c:pt>
                <c:pt idx="591">
                  <c:v>0.45637065637065088</c:v>
                </c:pt>
                <c:pt idx="592">
                  <c:v>0.45714285714285163</c:v>
                </c:pt>
                <c:pt idx="593">
                  <c:v>0.45791505791505238</c:v>
                </c:pt>
                <c:pt idx="594">
                  <c:v>0.45868725868725313</c:v>
                </c:pt>
                <c:pt idx="595">
                  <c:v>0.45945945945945388</c:v>
                </c:pt>
                <c:pt idx="596">
                  <c:v>0.46023166023165463</c:v>
                </c:pt>
                <c:pt idx="597">
                  <c:v>0.46100386100385538</c:v>
                </c:pt>
                <c:pt idx="598">
                  <c:v>0.46177606177605612</c:v>
                </c:pt>
                <c:pt idx="599">
                  <c:v>0.46254826254825687</c:v>
                </c:pt>
                <c:pt idx="600">
                  <c:v>0.46332046332045762</c:v>
                </c:pt>
                <c:pt idx="601">
                  <c:v>0.46409266409265837</c:v>
                </c:pt>
                <c:pt idx="602">
                  <c:v>0.46486486486485912</c:v>
                </c:pt>
                <c:pt idx="603">
                  <c:v>0.46563706563705987</c:v>
                </c:pt>
                <c:pt idx="604">
                  <c:v>0.46640926640926061</c:v>
                </c:pt>
                <c:pt idx="605">
                  <c:v>0.46718146718146136</c:v>
                </c:pt>
                <c:pt idx="606">
                  <c:v>0.46795366795366211</c:v>
                </c:pt>
                <c:pt idx="607">
                  <c:v>0.46872586872586286</c:v>
                </c:pt>
                <c:pt idx="608">
                  <c:v>0.46949806949806361</c:v>
                </c:pt>
                <c:pt idx="609">
                  <c:v>0.47027027027026436</c:v>
                </c:pt>
                <c:pt idx="610">
                  <c:v>0.47104247104246511</c:v>
                </c:pt>
                <c:pt idx="611">
                  <c:v>0.47181467181466585</c:v>
                </c:pt>
                <c:pt idx="612">
                  <c:v>0.4725868725868666</c:v>
                </c:pt>
                <c:pt idx="613">
                  <c:v>0.47335907335906735</c:v>
                </c:pt>
                <c:pt idx="614">
                  <c:v>0.4741312741312681</c:v>
                </c:pt>
                <c:pt idx="615">
                  <c:v>0.47490347490346885</c:v>
                </c:pt>
                <c:pt idx="616">
                  <c:v>0.4756756756756696</c:v>
                </c:pt>
                <c:pt idx="617">
                  <c:v>0.47644787644787034</c:v>
                </c:pt>
                <c:pt idx="618">
                  <c:v>0.47722007722007109</c:v>
                </c:pt>
                <c:pt idx="619">
                  <c:v>0.47799227799227184</c:v>
                </c:pt>
                <c:pt idx="620">
                  <c:v>0.47876447876447259</c:v>
                </c:pt>
                <c:pt idx="621">
                  <c:v>0.47953667953667334</c:v>
                </c:pt>
                <c:pt idx="622">
                  <c:v>0.48030888030887409</c:v>
                </c:pt>
                <c:pt idx="623">
                  <c:v>0.48108108108107484</c:v>
                </c:pt>
                <c:pt idx="624">
                  <c:v>0.48185328185327558</c:v>
                </c:pt>
                <c:pt idx="625">
                  <c:v>0.48262548262547633</c:v>
                </c:pt>
                <c:pt idx="626">
                  <c:v>0.48339768339767708</c:v>
                </c:pt>
                <c:pt idx="627">
                  <c:v>0.48416988416987783</c:v>
                </c:pt>
                <c:pt idx="628">
                  <c:v>0.48494208494207858</c:v>
                </c:pt>
                <c:pt idx="629">
                  <c:v>0.48571428571427933</c:v>
                </c:pt>
                <c:pt idx="630">
                  <c:v>0.48648648648648007</c:v>
                </c:pt>
                <c:pt idx="631">
                  <c:v>0.48725868725868082</c:v>
                </c:pt>
                <c:pt idx="632">
                  <c:v>0.48803088803088157</c:v>
                </c:pt>
                <c:pt idx="633">
                  <c:v>0.48880308880308232</c:v>
                </c:pt>
                <c:pt idx="634">
                  <c:v>0.48957528957528307</c:v>
                </c:pt>
                <c:pt idx="635">
                  <c:v>0.49034749034748382</c:v>
                </c:pt>
                <c:pt idx="636">
                  <c:v>0.49111969111968456</c:v>
                </c:pt>
                <c:pt idx="637">
                  <c:v>0.49189189189188531</c:v>
                </c:pt>
                <c:pt idx="638">
                  <c:v>0.49266409266408606</c:v>
                </c:pt>
                <c:pt idx="639">
                  <c:v>0.49343629343628681</c:v>
                </c:pt>
                <c:pt idx="640">
                  <c:v>0.49420849420848756</c:v>
                </c:pt>
                <c:pt idx="641">
                  <c:v>0.49498069498068831</c:v>
                </c:pt>
                <c:pt idx="642">
                  <c:v>0.49575289575288906</c:v>
                </c:pt>
                <c:pt idx="643">
                  <c:v>0.4965250965250898</c:v>
                </c:pt>
                <c:pt idx="644">
                  <c:v>0.49729729729729055</c:v>
                </c:pt>
                <c:pt idx="645">
                  <c:v>0.4980694980694913</c:v>
                </c:pt>
                <c:pt idx="646">
                  <c:v>0.49884169884169205</c:v>
                </c:pt>
                <c:pt idx="647">
                  <c:v>0.4996138996138928</c:v>
                </c:pt>
                <c:pt idx="648">
                  <c:v>0.50038610038609355</c:v>
                </c:pt>
                <c:pt idx="649">
                  <c:v>0.50115830115829429</c:v>
                </c:pt>
                <c:pt idx="650">
                  <c:v>0.50193050193049504</c:v>
                </c:pt>
                <c:pt idx="651">
                  <c:v>0.50270270270269579</c:v>
                </c:pt>
                <c:pt idx="652">
                  <c:v>0.50347490347489654</c:v>
                </c:pt>
                <c:pt idx="653">
                  <c:v>0.50424710424709729</c:v>
                </c:pt>
                <c:pt idx="654">
                  <c:v>0.50501930501929804</c:v>
                </c:pt>
                <c:pt idx="655">
                  <c:v>0.50579150579149879</c:v>
                </c:pt>
                <c:pt idx="656">
                  <c:v>0.50656370656369953</c:v>
                </c:pt>
                <c:pt idx="657">
                  <c:v>0.50733590733590028</c:v>
                </c:pt>
                <c:pt idx="658">
                  <c:v>0.50810810810810103</c:v>
                </c:pt>
                <c:pt idx="659">
                  <c:v>0.50888030888030178</c:v>
                </c:pt>
                <c:pt idx="660">
                  <c:v>0.50965250965250253</c:v>
                </c:pt>
                <c:pt idx="661">
                  <c:v>0.51042471042470328</c:v>
                </c:pt>
                <c:pt idx="662">
                  <c:v>0.51119691119690402</c:v>
                </c:pt>
                <c:pt idx="663">
                  <c:v>0.51196911196910477</c:v>
                </c:pt>
                <c:pt idx="664">
                  <c:v>0.51274131274130552</c:v>
                </c:pt>
                <c:pt idx="665">
                  <c:v>0.51351351351350627</c:v>
                </c:pt>
                <c:pt idx="666">
                  <c:v>0.51428571428570702</c:v>
                </c:pt>
                <c:pt idx="667">
                  <c:v>0.51505791505790777</c:v>
                </c:pt>
                <c:pt idx="668">
                  <c:v>0.51583011583010852</c:v>
                </c:pt>
                <c:pt idx="669">
                  <c:v>0.51660231660230926</c:v>
                </c:pt>
                <c:pt idx="670">
                  <c:v>0.51737451737451001</c:v>
                </c:pt>
                <c:pt idx="671">
                  <c:v>0.51814671814671076</c:v>
                </c:pt>
                <c:pt idx="672">
                  <c:v>0.51891891891891151</c:v>
                </c:pt>
                <c:pt idx="673">
                  <c:v>0.51969111969111226</c:v>
                </c:pt>
                <c:pt idx="674">
                  <c:v>0.52046332046331301</c:v>
                </c:pt>
                <c:pt idx="675">
                  <c:v>0.52123552123551375</c:v>
                </c:pt>
                <c:pt idx="676">
                  <c:v>0.5220077220077145</c:v>
                </c:pt>
                <c:pt idx="677">
                  <c:v>0.52277992277991525</c:v>
                </c:pt>
                <c:pt idx="678">
                  <c:v>0.523552123552116</c:v>
                </c:pt>
                <c:pt idx="679">
                  <c:v>0.52432432432431675</c:v>
                </c:pt>
                <c:pt idx="680">
                  <c:v>0.5250965250965175</c:v>
                </c:pt>
                <c:pt idx="681">
                  <c:v>0.52586872586871825</c:v>
                </c:pt>
                <c:pt idx="682">
                  <c:v>0.52664092664091899</c:v>
                </c:pt>
                <c:pt idx="683">
                  <c:v>0.52741312741311974</c:v>
                </c:pt>
                <c:pt idx="684">
                  <c:v>0.52818532818532049</c:v>
                </c:pt>
                <c:pt idx="685">
                  <c:v>0.52895752895752124</c:v>
                </c:pt>
                <c:pt idx="686">
                  <c:v>0.52972972972972199</c:v>
                </c:pt>
                <c:pt idx="687">
                  <c:v>0.53050193050192274</c:v>
                </c:pt>
                <c:pt idx="688">
                  <c:v>0.53127413127412348</c:v>
                </c:pt>
                <c:pt idx="689">
                  <c:v>0.53204633204632423</c:v>
                </c:pt>
                <c:pt idx="690">
                  <c:v>0.53281853281852498</c:v>
                </c:pt>
                <c:pt idx="691">
                  <c:v>0.53359073359072573</c:v>
                </c:pt>
                <c:pt idx="692">
                  <c:v>0.53436293436292648</c:v>
                </c:pt>
                <c:pt idx="693">
                  <c:v>0.53513513513512723</c:v>
                </c:pt>
                <c:pt idx="694">
                  <c:v>0.53590733590732798</c:v>
                </c:pt>
                <c:pt idx="695">
                  <c:v>0.53667953667952872</c:v>
                </c:pt>
                <c:pt idx="696">
                  <c:v>0.53745173745172947</c:v>
                </c:pt>
                <c:pt idx="697">
                  <c:v>0.53822393822393022</c:v>
                </c:pt>
                <c:pt idx="698">
                  <c:v>0.53899613899613097</c:v>
                </c:pt>
                <c:pt idx="699">
                  <c:v>0.53976833976833172</c:v>
                </c:pt>
                <c:pt idx="700">
                  <c:v>0.54054054054053247</c:v>
                </c:pt>
                <c:pt idx="701">
                  <c:v>0.54131274131273321</c:v>
                </c:pt>
                <c:pt idx="702">
                  <c:v>0.54208494208493396</c:v>
                </c:pt>
                <c:pt idx="703">
                  <c:v>0.54285714285713471</c:v>
                </c:pt>
                <c:pt idx="704">
                  <c:v>0.54362934362933546</c:v>
                </c:pt>
                <c:pt idx="705">
                  <c:v>0.54440154440153621</c:v>
                </c:pt>
                <c:pt idx="706">
                  <c:v>0.54517374517373696</c:v>
                </c:pt>
                <c:pt idx="707">
                  <c:v>0.54594594594593771</c:v>
                </c:pt>
                <c:pt idx="708">
                  <c:v>0.54671814671813845</c:v>
                </c:pt>
                <c:pt idx="709">
                  <c:v>0.5474903474903392</c:v>
                </c:pt>
                <c:pt idx="710">
                  <c:v>0.54826254826253995</c:v>
                </c:pt>
                <c:pt idx="711">
                  <c:v>0.5490347490347407</c:v>
                </c:pt>
                <c:pt idx="712">
                  <c:v>0.54980694980694145</c:v>
                </c:pt>
                <c:pt idx="713">
                  <c:v>0.5505791505791422</c:v>
                </c:pt>
                <c:pt idx="714">
                  <c:v>0.55135135135134294</c:v>
                </c:pt>
                <c:pt idx="715">
                  <c:v>0.55212355212354369</c:v>
                </c:pt>
                <c:pt idx="716">
                  <c:v>0.55289575289574444</c:v>
                </c:pt>
                <c:pt idx="717">
                  <c:v>0.55366795366794519</c:v>
                </c:pt>
                <c:pt idx="718">
                  <c:v>0.55444015444014594</c:v>
                </c:pt>
                <c:pt idx="719">
                  <c:v>0.55521235521234669</c:v>
                </c:pt>
                <c:pt idx="720">
                  <c:v>0.55598455598454743</c:v>
                </c:pt>
                <c:pt idx="721">
                  <c:v>0.55675675675674818</c:v>
                </c:pt>
                <c:pt idx="722">
                  <c:v>0.55752895752894893</c:v>
                </c:pt>
                <c:pt idx="723">
                  <c:v>0.55830115830114968</c:v>
                </c:pt>
                <c:pt idx="724">
                  <c:v>0.55907335907335043</c:v>
                </c:pt>
                <c:pt idx="725">
                  <c:v>0.55984555984555118</c:v>
                </c:pt>
                <c:pt idx="726">
                  <c:v>0.56061776061775193</c:v>
                </c:pt>
                <c:pt idx="727">
                  <c:v>0.56138996138995267</c:v>
                </c:pt>
                <c:pt idx="728">
                  <c:v>0.56216216216215342</c:v>
                </c:pt>
                <c:pt idx="729">
                  <c:v>0.56293436293435417</c:v>
                </c:pt>
                <c:pt idx="730">
                  <c:v>0.56370656370655492</c:v>
                </c:pt>
                <c:pt idx="731">
                  <c:v>0.56447876447875567</c:v>
                </c:pt>
                <c:pt idx="732">
                  <c:v>0.56525096525095642</c:v>
                </c:pt>
                <c:pt idx="733">
                  <c:v>0.56602316602315716</c:v>
                </c:pt>
                <c:pt idx="734">
                  <c:v>0.56679536679535791</c:v>
                </c:pt>
                <c:pt idx="735">
                  <c:v>0.56756756756755866</c:v>
                </c:pt>
                <c:pt idx="736">
                  <c:v>0.56833976833975941</c:v>
                </c:pt>
                <c:pt idx="737">
                  <c:v>0.56911196911196016</c:v>
                </c:pt>
                <c:pt idx="738">
                  <c:v>0.56988416988416091</c:v>
                </c:pt>
                <c:pt idx="739">
                  <c:v>0.57065637065636166</c:v>
                </c:pt>
                <c:pt idx="740">
                  <c:v>0.5714285714285624</c:v>
                </c:pt>
                <c:pt idx="741">
                  <c:v>0.57220077220076315</c:v>
                </c:pt>
                <c:pt idx="742">
                  <c:v>0.5729729729729639</c:v>
                </c:pt>
                <c:pt idx="743">
                  <c:v>0.57374517374516465</c:v>
                </c:pt>
                <c:pt idx="744">
                  <c:v>0.5745173745173654</c:v>
                </c:pt>
                <c:pt idx="745">
                  <c:v>0.57528957528956615</c:v>
                </c:pt>
                <c:pt idx="746">
                  <c:v>0.57606177606176689</c:v>
                </c:pt>
                <c:pt idx="747">
                  <c:v>0.57683397683396764</c:v>
                </c:pt>
                <c:pt idx="748">
                  <c:v>0.57760617760616839</c:v>
                </c:pt>
                <c:pt idx="749">
                  <c:v>0.57837837837836914</c:v>
                </c:pt>
                <c:pt idx="750">
                  <c:v>0.57915057915056989</c:v>
                </c:pt>
                <c:pt idx="751">
                  <c:v>0.57992277992277064</c:v>
                </c:pt>
                <c:pt idx="752">
                  <c:v>0.58069498069497139</c:v>
                </c:pt>
                <c:pt idx="753">
                  <c:v>0.58146718146717213</c:v>
                </c:pt>
                <c:pt idx="754">
                  <c:v>0.58223938223937288</c:v>
                </c:pt>
                <c:pt idx="755">
                  <c:v>0.58301158301157363</c:v>
                </c:pt>
                <c:pt idx="756">
                  <c:v>0.58378378378377438</c:v>
                </c:pt>
                <c:pt idx="757">
                  <c:v>0.58455598455597513</c:v>
                </c:pt>
                <c:pt idx="758">
                  <c:v>0.58532818532817588</c:v>
                </c:pt>
                <c:pt idx="759">
                  <c:v>0.58610038610037662</c:v>
                </c:pt>
                <c:pt idx="760">
                  <c:v>0.58687258687257737</c:v>
                </c:pt>
                <c:pt idx="761">
                  <c:v>0.58764478764477812</c:v>
                </c:pt>
                <c:pt idx="762">
                  <c:v>0.58841698841697887</c:v>
                </c:pt>
                <c:pt idx="763">
                  <c:v>0.58918918918917962</c:v>
                </c:pt>
                <c:pt idx="764">
                  <c:v>0.58996138996138037</c:v>
                </c:pt>
                <c:pt idx="765">
                  <c:v>0.59073359073358112</c:v>
                </c:pt>
                <c:pt idx="766">
                  <c:v>0.59150579150578186</c:v>
                </c:pt>
                <c:pt idx="767">
                  <c:v>0.59227799227798261</c:v>
                </c:pt>
                <c:pt idx="768">
                  <c:v>0.59305019305018336</c:v>
                </c:pt>
                <c:pt idx="769">
                  <c:v>0.59382239382238411</c:v>
                </c:pt>
                <c:pt idx="770">
                  <c:v>0.59459459459458486</c:v>
                </c:pt>
                <c:pt idx="771">
                  <c:v>0.59536679536678561</c:v>
                </c:pt>
                <c:pt idx="772">
                  <c:v>0.59613899613898635</c:v>
                </c:pt>
                <c:pt idx="773">
                  <c:v>0.5969111969111871</c:v>
                </c:pt>
                <c:pt idx="774">
                  <c:v>0.59768339768338785</c:v>
                </c:pt>
                <c:pt idx="775">
                  <c:v>0.5984555984555886</c:v>
                </c:pt>
                <c:pt idx="776">
                  <c:v>0.59922779922778935</c:v>
                </c:pt>
                <c:pt idx="777">
                  <c:v>0.5999999999999901</c:v>
                </c:pt>
                <c:pt idx="778">
                  <c:v>0.60077220077219085</c:v>
                </c:pt>
                <c:pt idx="779">
                  <c:v>0.60154440154439159</c:v>
                </c:pt>
                <c:pt idx="780">
                  <c:v>0.60231660231659234</c:v>
                </c:pt>
                <c:pt idx="781">
                  <c:v>0.60308880308879309</c:v>
                </c:pt>
                <c:pt idx="782">
                  <c:v>0.60386100386099384</c:v>
                </c:pt>
                <c:pt idx="783">
                  <c:v>0.60463320463319459</c:v>
                </c:pt>
                <c:pt idx="784">
                  <c:v>0.60540540540539534</c:v>
                </c:pt>
                <c:pt idx="785">
                  <c:v>0.60617760617759608</c:v>
                </c:pt>
                <c:pt idx="786">
                  <c:v>0.60694980694979683</c:v>
                </c:pt>
                <c:pt idx="787">
                  <c:v>0.60772200772199758</c:v>
                </c:pt>
                <c:pt idx="788">
                  <c:v>0.60849420849419833</c:v>
                </c:pt>
                <c:pt idx="789">
                  <c:v>0.60926640926639908</c:v>
                </c:pt>
                <c:pt idx="790">
                  <c:v>0.61003861003859983</c:v>
                </c:pt>
                <c:pt idx="791">
                  <c:v>0.61081081081080058</c:v>
                </c:pt>
                <c:pt idx="792">
                  <c:v>0.61158301158300132</c:v>
                </c:pt>
                <c:pt idx="793">
                  <c:v>0.61235521235520207</c:v>
                </c:pt>
                <c:pt idx="794">
                  <c:v>0.61312741312740282</c:v>
                </c:pt>
                <c:pt idx="795">
                  <c:v>0.61389961389960357</c:v>
                </c:pt>
                <c:pt idx="796">
                  <c:v>0.61467181467180432</c:v>
                </c:pt>
                <c:pt idx="797">
                  <c:v>0.61544401544400507</c:v>
                </c:pt>
                <c:pt idx="798">
                  <c:v>0.61621621621620581</c:v>
                </c:pt>
                <c:pt idx="799">
                  <c:v>0.61698841698840656</c:v>
                </c:pt>
                <c:pt idx="800">
                  <c:v>0.61776061776060731</c:v>
                </c:pt>
                <c:pt idx="801">
                  <c:v>0.61853281853280806</c:v>
                </c:pt>
                <c:pt idx="802">
                  <c:v>0.61930501930500881</c:v>
                </c:pt>
                <c:pt idx="803">
                  <c:v>0.62007722007720956</c:v>
                </c:pt>
                <c:pt idx="804">
                  <c:v>0.62084942084941031</c:v>
                </c:pt>
                <c:pt idx="805">
                  <c:v>0.62162162162161105</c:v>
                </c:pt>
                <c:pt idx="806">
                  <c:v>0.6223938223938118</c:v>
                </c:pt>
                <c:pt idx="807">
                  <c:v>0.62316602316601255</c:v>
                </c:pt>
                <c:pt idx="808">
                  <c:v>0.6239382239382133</c:v>
                </c:pt>
                <c:pt idx="809">
                  <c:v>0.62471042471041405</c:v>
                </c:pt>
                <c:pt idx="810">
                  <c:v>0.6254826254826148</c:v>
                </c:pt>
                <c:pt idx="811">
                  <c:v>0.62625482625481554</c:v>
                </c:pt>
                <c:pt idx="812">
                  <c:v>0.62702702702701629</c:v>
                </c:pt>
                <c:pt idx="813">
                  <c:v>0.62779922779921704</c:v>
                </c:pt>
                <c:pt idx="814">
                  <c:v>0.62857142857141779</c:v>
                </c:pt>
                <c:pt idx="815">
                  <c:v>0.62934362934361854</c:v>
                </c:pt>
                <c:pt idx="816">
                  <c:v>0.63011583011581929</c:v>
                </c:pt>
                <c:pt idx="817">
                  <c:v>0.63088803088802003</c:v>
                </c:pt>
                <c:pt idx="818">
                  <c:v>0.63166023166022078</c:v>
                </c:pt>
                <c:pt idx="819">
                  <c:v>0.63243243243242153</c:v>
                </c:pt>
                <c:pt idx="820">
                  <c:v>0.63320463320462228</c:v>
                </c:pt>
                <c:pt idx="821">
                  <c:v>0.63397683397682303</c:v>
                </c:pt>
                <c:pt idx="822">
                  <c:v>0.63474903474902378</c:v>
                </c:pt>
                <c:pt idx="823">
                  <c:v>0.63552123552122453</c:v>
                </c:pt>
                <c:pt idx="824">
                  <c:v>0.63629343629342527</c:v>
                </c:pt>
                <c:pt idx="825">
                  <c:v>0.63706563706562602</c:v>
                </c:pt>
                <c:pt idx="826">
                  <c:v>0.63783783783782677</c:v>
                </c:pt>
                <c:pt idx="827">
                  <c:v>0.63861003861002752</c:v>
                </c:pt>
                <c:pt idx="828">
                  <c:v>0.63938223938222827</c:v>
                </c:pt>
                <c:pt idx="829">
                  <c:v>0.64015444015442902</c:v>
                </c:pt>
                <c:pt idx="830">
                  <c:v>0.64092664092662976</c:v>
                </c:pt>
                <c:pt idx="831">
                  <c:v>0.64169884169883051</c:v>
                </c:pt>
                <c:pt idx="832">
                  <c:v>0.64247104247103126</c:v>
                </c:pt>
                <c:pt idx="833">
                  <c:v>0.64324324324323201</c:v>
                </c:pt>
                <c:pt idx="834">
                  <c:v>0.64401544401543276</c:v>
                </c:pt>
                <c:pt idx="835">
                  <c:v>0.64478764478763351</c:v>
                </c:pt>
                <c:pt idx="836">
                  <c:v>0.64555984555983426</c:v>
                </c:pt>
                <c:pt idx="837">
                  <c:v>0.646332046332035</c:v>
                </c:pt>
                <c:pt idx="838">
                  <c:v>0.64710424710423575</c:v>
                </c:pt>
                <c:pt idx="839">
                  <c:v>0.6478764478764365</c:v>
                </c:pt>
                <c:pt idx="840">
                  <c:v>0.64864864864863725</c:v>
                </c:pt>
                <c:pt idx="841">
                  <c:v>0.649420849420838</c:v>
                </c:pt>
                <c:pt idx="842">
                  <c:v>0.65019305019303875</c:v>
                </c:pt>
                <c:pt idx="843">
                  <c:v>0.65096525096523949</c:v>
                </c:pt>
                <c:pt idx="844">
                  <c:v>0.65173745173744024</c:v>
                </c:pt>
                <c:pt idx="845">
                  <c:v>0.65250965250964099</c:v>
                </c:pt>
                <c:pt idx="846">
                  <c:v>0.65328185328184174</c:v>
                </c:pt>
                <c:pt idx="847">
                  <c:v>0.65405405405404249</c:v>
                </c:pt>
                <c:pt idx="848">
                  <c:v>0.65482625482624324</c:v>
                </c:pt>
                <c:pt idx="849">
                  <c:v>0.65559845559844399</c:v>
                </c:pt>
                <c:pt idx="850">
                  <c:v>0.65637065637064473</c:v>
                </c:pt>
                <c:pt idx="851">
                  <c:v>0.65714285714284548</c:v>
                </c:pt>
                <c:pt idx="852">
                  <c:v>0.65791505791504623</c:v>
                </c:pt>
                <c:pt idx="853">
                  <c:v>0.65868725868724698</c:v>
                </c:pt>
                <c:pt idx="854">
                  <c:v>0.65945945945944773</c:v>
                </c:pt>
                <c:pt idx="855">
                  <c:v>0.66023166023164848</c:v>
                </c:pt>
                <c:pt idx="856">
                  <c:v>0.66100386100384922</c:v>
                </c:pt>
                <c:pt idx="857">
                  <c:v>0.66177606177604997</c:v>
                </c:pt>
                <c:pt idx="858">
                  <c:v>0.66254826254825072</c:v>
                </c:pt>
                <c:pt idx="859">
                  <c:v>0.66332046332045147</c:v>
                </c:pt>
                <c:pt idx="860">
                  <c:v>0.66409266409265222</c:v>
                </c:pt>
                <c:pt idx="861">
                  <c:v>0.66486486486485297</c:v>
                </c:pt>
                <c:pt idx="862">
                  <c:v>0.66563706563705372</c:v>
                </c:pt>
                <c:pt idx="863">
                  <c:v>0.66640926640925446</c:v>
                </c:pt>
                <c:pt idx="864">
                  <c:v>0.66718146718145521</c:v>
                </c:pt>
                <c:pt idx="865">
                  <c:v>0.66795366795365596</c:v>
                </c:pt>
                <c:pt idx="866">
                  <c:v>0.66872586872585671</c:v>
                </c:pt>
                <c:pt idx="867">
                  <c:v>0.66949806949805746</c:v>
                </c:pt>
                <c:pt idx="868">
                  <c:v>0.67027027027025821</c:v>
                </c:pt>
                <c:pt idx="869">
                  <c:v>0.67104247104245895</c:v>
                </c:pt>
                <c:pt idx="870">
                  <c:v>0.6718146718146597</c:v>
                </c:pt>
                <c:pt idx="871">
                  <c:v>0.67258687258686045</c:v>
                </c:pt>
                <c:pt idx="872">
                  <c:v>0.6733590733590612</c:v>
                </c:pt>
                <c:pt idx="873">
                  <c:v>0.67413127413126195</c:v>
                </c:pt>
                <c:pt idx="874">
                  <c:v>0.6749034749034627</c:v>
                </c:pt>
                <c:pt idx="875">
                  <c:v>0.67567567567566345</c:v>
                </c:pt>
                <c:pt idx="876">
                  <c:v>0.67644787644786419</c:v>
                </c:pt>
                <c:pt idx="877">
                  <c:v>0.67722007722006494</c:v>
                </c:pt>
                <c:pt idx="878">
                  <c:v>0.67799227799226569</c:v>
                </c:pt>
                <c:pt idx="879">
                  <c:v>0.67876447876446644</c:v>
                </c:pt>
                <c:pt idx="880">
                  <c:v>0.67953667953666719</c:v>
                </c:pt>
                <c:pt idx="881">
                  <c:v>0.68030888030886794</c:v>
                </c:pt>
                <c:pt idx="882">
                  <c:v>0.68108108108106868</c:v>
                </c:pt>
                <c:pt idx="883">
                  <c:v>0.68185328185326943</c:v>
                </c:pt>
                <c:pt idx="884">
                  <c:v>0.68262548262547018</c:v>
                </c:pt>
                <c:pt idx="885">
                  <c:v>0.68339768339767093</c:v>
                </c:pt>
                <c:pt idx="886">
                  <c:v>0.68416988416987168</c:v>
                </c:pt>
                <c:pt idx="887">
                  <c:v>0.68494208494207243</c:v>
                </c:pt>
                <c:pt idx="888">
                  <c:v>0.68571428571427318</c:v>
                </c:pt>
                <c:pt idx="889">
                  <c:v>0.68648648648647392</c:v>
                </c:pt>
                <c:pt idx="890">
                  <c:v>0.68725868725867467</c:v>
                </c:pt>
                <c:pt idx="891">
                  <c:v>0.68803088803087542</c:v>
                </c:pt>
                <c:pt idx="892">
                  <c:v>0.68880308880307617</c:v>
                </c:pt>
                <c:pt idx="893">
                  <c:v>0.68957528957527692</c:v>
                </c:pt>
                <c:pt idx="894">
                  <c:v>0.69034749034747767</c:v>
                </c:pt>
                <c:pt idx="895">
                  <c:v>0.69111969111967841</c:v>
                </c:pt>
                <c:pt idx="896">
                  <c:v>0.69189189189187916</c:v>
                </c:pt>
                <c:pt idx="897">
                  <c:v>0.69266409266407991</c:v>
                </c:pt>
                <c:pt idx="898">
                  <c:v>0.69343629343628066</c:v>
                </c:pt>
                <c:pt idx="899">
                  <c:v>0.69420849420848141</c:v>
                </c:pt>
                <c:pt idx="900">
                  <c:v>0.69498069498068216</c:v>
                </c:pt>
                <c:pt idx="901">
                  <c:v>0.69575289575288291</c:v>
                </c:pt>
                <c:pt idx="902">
                  <c:v>0.69652509652508365</c:v>
                </c:pt>
                <c:pt idx="903">
                  <c:v>0.6972972972972844</c:v>
                </c:pt>
                <c:pt idx="904">
                  <c:v>0.69806949806948515</c:v>
                </c:pt>
                <c:pt idx="905">
                  <c:v>0.6988416988416859</c:v>
                </c:pt>
                <c:pt idx="906">
                  <c:v>0.69961389961388665</c:v>
                </c:pt>
                <c:pt idx="907">
                  <c:v>0.7003861003860874</c:v>
                </c:pt>
                <c:pt idx="908">
                  <c:v>0.70115830115828814</c:v>
                </c:pt>
                <c:pt idx="909">
                  <c:v>0.70193050193048889</c:v>
                </c:pt>
                <c:pt idx="910">
                  <c:v>0.70270270270268964</c:v>
                </c:pt>
                <c:pt idx="911">
                  <c:v>0.70347490347489039</c:v>
                </c:pt>
                <c:pt idx="912">
                  <c:v>0.70424710424709114</c:v>
                </c:pt>
                <c:pt idx="913">
                  <c:v>0.70501930501929189</c:v>
                </c:pt>
                <c:pt idx="914">
                  <c:v>0.70579150579149263</c:v>
                </c:pt>
                <c:pt idx="915">
                  <c:v>0.70656370656369338</c:v>
                </c:pt>
                <c:pt idx="916">
                  <c:v>0.70733590733589413</c:v>
                </c:pt>
                <c:pt idx="917">
                  <c:v>0.70810810810809488</c:v>
                </c:pt>
                <c:pt idx="918">
                  <c:v>0.70888030888029563</c:v>
                </c:pt>
                <c:pt idx="919">
                  <c:v>0.70965250965249638</c:v>
                </c:pt>
                <c:pt idx="920">
                  <c:v>0.71042471042469713</c:v>
                </c:pt>
                <c:pt idx="921">
                  <c:v>0.71119691119689787</c:v>
                </c:pt>
                <c:pt idx="922">
                  <c:v>0.71196911196909862</c:v>
                </c:pt>
                <c:pt idx="923">
                  <c:v>0.71274131274129937</c:v>
                </c:pt>
                <c:pt idx="924">
                  <c:v>0.71351351351350012</c:v>
                </c:pt>
                <c:pt idx="925">
                  <c:v>0.71428571428570087</c:v>
                </c:pt>
                <c:pt idx="926">
                  <c:v>0.71505791505790162</c:v>
                </c:pt>
                <c:pt idx="927">
                  <c:v>0.71583011583010236</c:v>
                </c:pt>
                <c:pt idx="928">
                  <c:v>0.71660231660230311</c:v>
                </c:pt>
                <c:pt idx="929">
                  <c:v>0.71737451737450386</c:v>
                </c:pt>
                <c:pt idx="930">
                  <c:v>0.71814671814670461</c:v>
                </c:pt>
                <c:pt idx="931">
                  <c:v>0.71891891891890536</c:v>
                </c:pt>
                <c:pt idx="932">
                  <c:v>0.71969111969110611</c:v>
                </c:pt>
                <c:pt idx="933">
                  <c:v>0.72046332046330686</c:v>
                </c:pt>
                <c:pt idx="934">
                  <c:v>0.7212355212355076</c:v>
                </c:pt>
                <c:pt idx="935">
                  <c:v>0.72200772200770835</c:v>
                </c:pt>
                <c:pt idx="936">
                  <c:v>0.7227799227799091</c:v>
                </c:pt>
                <c:pt idx="937">
                  <c:v>0.72355212355210985</c:v>
                </c:pt>
                <c:pt idx="938">
                  <c:v>0.7243243243243106</c:v>
                </c:pt>
                <c:pt idx="939">
                  <c:v>0.72509652509651135</c:v>
                </c:pt>
                <c:pt idx="940">
                  <c:v>0.72586872586871209</c:v>
                </c:pt>
                <c:pt idx="941">
                  <c:v>0.72664092664091284</c:v>
                </c:pt>
                <c:pt idx="942">
                  <c:v>0.72741312741311359</c:v>
                </c:pt>
                <c:pt idx="943">
                  <c:v>0.72818532818531434</c:v>
                </c:pt>
                <c:pt idx="944">
                  <c:v>0.72895752895751509</c:v>
                </c:pt>
                <c:pt idx="945">
                  <c:v>0.72972972972971584</c:v>
                </c:pt>
                <c:pt idx="946">
                  <c:v>0.73050193050191659</c:v>
                </c:pt>
                <c:pt idx="947">
                  <c:v>0.73127413127411733</c:v>
                </c:pt>
                <c:pt idx="948">
                  <c:v>0.73204633204631808</c:v>
                </c:pt>
                <c:pt idx="949">
                  <c:v>0.73281853281851883</c:v>
                </c:pt>
                <c:pt idx="950">
                  <c:v>0.73359073359071958</c:v>
                </c:pt>
                <c:pt idx="951">
                  <c:v>0.73436293436292033</c:v>
                </c:pt>
                <c:pt idx="952">
                  <c:v>0.73513513513512108</c:v>
                </c:pt>
                <c:pt idx="953">
                  <c:v>0.73590733590732182</c:v>
                </c:pt>
                <c:pt idx="954">
                  <c:v>0.73667953667952257</c:v>
                </c:pt>
                <c:pt idx="955">
                  <c:v>0.73745173745172332</c:v>
                </c:pt>
                <c:pt idx="956">
                  <c:v>0.73822393822392407</c:v>
                </c:pt>
                <c:pt idx="957">
                  <c:v>0.73899613899612482</c:v>
                </c:pt>
                <c:pt idx="958">
                  <c:v>0.73976833976832557</c:v>
                </c:pt>
                <c:pt idx="959">
                  <c:v>0.74054054054052632</c:v>
                </c:pt>
                <c:pt idx="960">
                  <c:v>0.74131274131272706</c:v>
                </c:pt>
                <c:pt idx="961">
                  <c:v>0.74208494208492781</c:v>
                </c:pt>
                <c:pt idx="962">
                  <c:v>0.74285714285712856</c:v>
                </c:pt>
                <c:pt idx="963">
                  <c:v>0.74362934362932931</c:v>
                </c:pt>
                <c:pt idx="964">
                  <c:v>0.74440154440153006</c:v>
                </c:pt>
                <c:pt idx="965">
                  <c:v>0.74517374517373081</c:v>
                </c:pt>
                <c:pt idx="966">
                  <c:v>0.74594594594593155</c:v>
                </c:pt>
                <c:pt idx="967">
                  <c:v>0.7467181467181323</c:v>
                </c:pt>
                <c:pt idx="968">
                  <c:v>0.74749034749033305</c:v>
                </c:pt>
                <c:pt idx="969">
                  <c:v>0.7482625482625338</c:v>
                </c:pt>
                <c:pt idx="970">
                  <c:v>0.74903474903473455</c:v>
                </c:pt>
                <c:pt idx="971">
                  <c:v>0.7498069498069353</c:v>
                </c:pt>
                <c:pt idx="972">
                  <c:v>0.75057915057913605</c:v>
                </c:pt>
                <c:pt idx="973">
                  <c:v>0.75135135135133679</c:v>
                </c:pt>
                <c:pt idx="974">
                  <c:v>0.75212355212353754</c:v>
                </c:pt>
                <c:pt idx="975">
                  <c:v>0.75289575289573829</c:v>
                </c:pt>
                <c:pt idx="976">
                  <c:v>0.75366795366793904</c:v>
                </c:pt>
                <c:pt idx="977">
                  <c:v>0.75444015444013979</c:v>
                </c:pt>
                <c:pt idx="978">
                  <c:v>0.75521235521234054</c:v>
                </c:pt>
                <c:pt idx="979">
                  <c:v>0.75598455598454128</c:v>
                </c:pt>
                <c:pt idx="980">
                  <c:v>0.75675675675674203</c:v>
                </c:pt>
                <c:pt idx="981">
                  <c:v>0.75752895752894278</c:v>
                </c:pt>
                <c:pt idx="982">
                  <c:v>0.75830115830114353</c:v>
                </c:pt>
                <c:pt idx="983">
                  <c:v>0.75907335907334428</c:v>
                </c:pt>
                <c:pt idx="984">
                  <c:v>0.75984555984554503</c:v>
                </c:pt>
                <c:pt idx="985">
                  <c:v>0.76061776061774578</c:v>
                </c:pt>
                <c:pt idx="986">
                  <c:v>0.76138996138994652</c:v>
                </c:pt>
                <c:pt idx="987">
                  <c:v>0.76216216216214727</c:v>
                </c:pt>
                <c:pt idx="988">
                  <c:v>0.76293436293434802</c:v>
                </c:pt>
                <c:pt idx="989">
                  <c:v>0.76370656370654877</c:v>
                </c:pt>
                <c:pt idx="990">
                  <c:v>0.76447876447874952</c:v>
                </c:pt>
                <c:pt idx="991">
                  <c:v>0.76525096525095027</c:v>
                </c:pt>
                <c:pt idx="992">
                  <c:v>0.76602316602315101</c:v>
                </c:pt>
                <c:pt idx="993">
                  <c:v>0.76679536679535176</c:v>
                </c:pt>
                <c:pt idx="994">
                  <c:v>0.76756756756755251</c:v>
                </c:pt>
                <c:pt idx="995">
                  <c:v>0.76833976833975326</c:v>
                </c:pt>
                <c:pt idx="996">
                  <c:v>0.76911196911195401</c:v>
                </c:pt>
                <c:pt idx="997">
                  <c:v>0.76988416988415476</c:v>
                </c:pt>
                <c:pt idx="998">
                  <c:v>0.7706563706563555</c:v>
                </c:pt>
                <c:pt idx="999">
                  <c:v>0.77142857142855625</c:v>
                </c:pt>
                <c:pt idx="1000">
                  <c:v>0.772200772200757</c:v>
                </c:pt>
                <c:pt idx="1001">
                  <c:v>0.77297297297295775</c:v>
                </c:pt>
                <c:pt idx="1002">
                  <c:v>0.7737451737451585</c:v>
                </c:pt>
                <c:pt idx="1003">
                  <c:v>0.77451737451735925</c:v>
                </c:pt>
                <c:pt idx="1004">
                  <c:v>0.77528957528956</c:v>
                </c:pt>
                <c:pt idx="1005">
                  <c:v>0.77606177606176074</c:v>
                </c:pt>
                <c:pt idx="1006">
                  <c:v>0.77683397683396149</c:v>
                </c:pt>
                <c:pt idx="1007">
                  <c:v>0.77760617760616224</c:v>
                </c:pt>
                <c:pt idx="1008">
                  <c:v>0.77837837837836299</c:v>
                </c:pt>
                <c:pt idx="1009">
                  <c:v>0.77915057915056374</c:v>
                </c:pt>
                <c:pt idx="1010">
                  <c:v>0.77992277992276449</c:v>
                </c:pt>
                <c:pt idx="1011">
                  <c:v>0.78069498069496523</c:v>
                </c:pt>
                <c:pt idx="1012">
                  <c:v>0.78146718146716598</c:v>
                </c:pt>
                <c:pt idx="1013">
                  <c:v>0.78223938223936673</c:v>
                </c:pt>
                <c:pt idx="1014">
                  <c:v>0.78301158301156748</c:v>
                </c:pt>
                <c:pt idx="1015">
                  <c:v>0.78378378378376823</c:v>
                </c:pt>
                <c:pt idx="1016">
                  <c:v>0.78455598455596898</c:v>
                </c:pt>
                <c:pt idx="1017">
                  <c:v>0.78532818532816973</c:v>
                </c:pt>
                <c:pt idx="1018">
                  <c:v>0.78610038610037047</c:v>
                </c:pt>
                <c:pt idx="1019">
                  <c:v>0.78687258687257122</c:v>
                </c:pt>
                <c:pt idx="1020">
                  <c:v>0.78764478764477197</c:v>
                </c:pt>
                <c:pt idx="1021">
                  <c:v>0.78841698841697272</c:v>
                </c:pt>
                <c:pt idx="1022">
                  <c:v>0.78918918918917347</c:v>
                </c:pt>
                <c:pt idx="1023">
                  <c:v>0.78996138996137422</c:v>
                </c:pt>
                <c:pt idx="1024">
                  <c:v>0.79073359073357496</c:v>
                </c:pt>
                <c:pt idx="1025">
                  <c:v>0.79150579150577571</c:v>
                </c:pt>
                <c:pt idx="1026">
                  <c:v>0.79227799227797646</c:v>
                </c:pt>
                <c:pt idx="1027">
                  <c:v>0.79305019305017721</c:v>
                </c:pt>
                <c:pt idx="1028">
                  <c:v>0.79382239382237796</c:v>
                </c:pt>
                <c:pt idx="1029">
                  <c:v>0.79459459459457871</c:v>
                </c:pt>
                <c:pt idx="1030">
                  <c:v>0.79536679536677946</c:v>
                </c:pt>
                <c:pt idx="1031">
                  <c:v>0.7961389961389802</c:v>
                </c:pt>
                <c:pt idx="1032">
                  <c:v>0.79691119691118095</c:v>
                </c:pt>
                <c:pt idx="1033">
                  <c:v>0.7976833976833817</c:v>
                </c:pt>
                <c:pt idx="1034">
                  <c:v>0.79845559845558245</c:v>
                </c:pt>
                <c:pt idx="1035">
                  <c:v>0.7992277992277832</c:v>
                </c:pt>
                <c:pt idx="1036">
                  <c:v>0.79999999999998395</c:v>
                </c:pt>
                <c:pt idx="1037">
                  <c:v>0.80077220077218469</c:v>
                </c:pt>
                <c:pt idx="1038">
                  <c:v>0.80154440154438544</c:v>
                </c:pt>
                <c:pt idx="1039">
                  <c:v>0.80231660231658619</c:v>
                </c:pt>
                <c:pt idx="1040">
                  <c:v>0.80308880308878694</c:v>
                </c:pt>
                <c:pt idx="1041">
                  <c:v>0.80386100386098769</c:v>
                </c:pt>
                <c:pt idx="1042">
                  <c:v>0.80463320463318844</c:v>
                </c:pt>
                <c:pt idx="1043">
                  <c:v>0.80540540540538919</c:v>
                </c:pt>
                <c:pt idx="1044">
                  <c:v>0.80617760617758993</c:v>
                </c:pt>
                <c:pt idx="1045">
                  <c:v>0.80694980694979068</c:v>
                </c:pt>
                <c:pt idx="1046">
                  <c:v>0.80772200772199143</c:v>
                </c:pt>
                <c:pt idx="1047">
                  <c:v>0.80849420849419218</c:v>
                </c:pt>
                <c:pt idx="1048">
                  <c:v>0.80926640926639293</c:v>
                </c:pt>
                <c:pt idx="1049">
                  <c:v>0.81003861003859368</c:v>
                </c:pt>
                <c:pt idx="1050">
                  <c:v>0.81081081081079442</c:v>
                </c:pt>
                <c:pt idx="1051">
                  <c:v>0.81158301158299517</c:v>
                </c:pt>
                <c:pt idx="1052">
                  <c:v>0.81235521235519592</c:v>
                </c:pt>
                <c:pt idx="1053">
                  <c:v>0.81312741312739667</c:v>
                </c:pt>
                <c:pt idx="1054">
                  <c:v>0.81389961389959742</c:v>
                </c:pt>
                <c:pt idx="1055">
                  <c:v>0.81467181467179817</c:v>
                </c:pt>
                <c:pt idx="1056">
                  <c:v>0.81544401544399892</c:v>
                </c:pt>
                <c:pt idx="1057">
                  <c:v>0.81621621621619966</c:v>
                </c:pt>
                <c:pt idx="1058">
                  <c:v>0.81698841698840041</c:v>
                </c:pt>
                <c:pt idx="1059">
                  <c:v>0.81776061776060116</c:v>
                </c:pt>
                <c:pt idx="1060">
                  <c:v>0.81853281853280191</c:v>
                </c:pt>
                <c:pt idx="1061">
                  <c:v>0.81930501930500266</c:v>
                </c:pt>
                <c:pt idx="1062">
                  <c:v>0.82007722007720341</c:v>
                </c:pt>
                <c:pt idx="1063">
                  <c:v>0.82084942084940415</c:v>
                </c:pt>
                <c:pt idx="1064">
                  <c:v>0.8216216216216049</c:v>
                </c:pt>
                <c:pt idx="1065">
                  <c:v>0.82239382239380565</c:v>
                </c:pt>
                <c:pt idx="1066">
                  <c:v>0.8231660231660064</c:v>
                </c:pt>
                <c:pt idx="1067">
                  <c:v>0.82393822393820715</c:v>
                </c:pt>
                <c:pt idx="1068">
                  <c:v>0.8247104247104079</c:v>
                </c:pt>
                <c:pt idx="1069">
                  <c:v>0.82548262548260865</c:v>
                </c:pt>
                <c:pt idx="1070">
                  <c:v>0.82625482625480939</c:v>
                </c:pt>
                <c:pt idx="1071">
                  <c:v>0.82702702702701014</c:v>
                </c:pt>
                <c:pt idx="1072">
                  <c:v>0.82779922779921089</c:v>
                </c:pt>
                <c:pt idx="1073">
                  <c:v>0.82857142857141164</c:v>
                </c:pt>
                <c:pt idx="1074">
                  <c:v>0.82934362934361239</c:v>
                </c:pt>
                <c:pt idx="1075">
                  <c:v>0.83011583011581314</c:v>
                </c:pt>
                <c:pt idx="1076">
                  <c:v>0.83088803088801388</c:v>
                </c:pt>
                <c:pt idx="1077">
                  <c:v>0.83166023166021463</c:v>
                </c:pt>
                <c:pt idx="1078">
                  <c:v>0.83243243243241538</c:v>
                </c:pt>
                <c:pt idx="1079">
                  <c:v>0.83320463320461613</c:v>
                </c:pt>
                <c:pt idx="1080">
                  <c:v>0.83397683397681688</c:v>
                </c:pt>
                <c:pt idx="1081">
                  <c:v>0.83474903474901763</c:v>
                </c:pt>
                <c:pt idx="1082">
                  <c:v>0.83552123552121838</c:v>
                </c:pt>
                <c:pt idx="1083">
                  <c:v>0.83629343629341912</c:v>
                </c:pt>
                <c:pt idx="1084">
                  <c:v>0.83706563706561987</c:v>
                </c:pt>
                <c:pt idx="1085">
                  <c:v>0.83783783783782062</c:v>
                </c:pt>
                <c:pt idx="1086">
                  <c:v>0.83861003861002137</c:v>
                </c:pt>
                <c:pt idx="1087">
                  <c:v>0.83938223938222212</c:v>
                </c:pt>
                <c:pt idx="1088">
                  <c:v>0.84015444015442287</c:v>
                </c:pt>
                <c:pt idx="1089">
                  <c:v>0.84092664092662361</c:v>
                </c:pt>
                <c:pt idx="1090">
                  <c:v>0.84169884169882436</c:v>
                </c:pt>
                <c:pt idx="1091">
                  <c:v>0.84247104247102511</c:v>
                </c:pt>
                <c:pt idx="1092">
                  <c:v>0.84324324324322586</c:v>
                </c:pt>
                <c:pt idx="1093">
                  <c:v>0.84401544401542661</c:v>
                </c:pt>
                <c:pt idx="1094">
                  <c:v>0.84478764478762736</c:v>
                </c:pt>
                <c:pt idx="1095">
                  <c:v>0.8455598455598281</c:v>
                </c:pt>
                <c:pt idx="1096">
                  <c:v>0.84633204633202885</c:v>
                </c:pt>
                <c:pt idx="1097">
                  <c:v>0.8471042471042296</c:v>
                </c:pt>
                <c:pt idx="1098">
                  <c:v>0.84787644787643035</c:v>
                </c:pt>
                <c:pt idx="1099">
                  <c:v>0.8486486486486311</c:v>
                </c:pt>
                <c:pt idx="1100">
                  <c:v>0.84942084942083185</c:v>
                </c:pt>
                <c:pt idx="1101">
                  <c:v>0.8501930501930326</c:v>
                </c:pt>
                <c:pt idx="1102">
                  <c:v>0.85096525096523334</c:v>
                </c:pt>
                <c:pt idx="1103">
                  <c:v>0.85173745173743409</c:v>
                </c:pt>
                <c:pt idx="1104">
                  <c:v>0.85250965250963484</c:v>
                </c:pt>
                <c:pt idx="1105">
                  <c:v>0.85328185328183559</c:v>
                </c:pt>
                <c:pt idx="1106">
                  <c:v>0.85405405405403634</c:v>
                </c:pt>
                <c:pt idx="1107">
                  <c:v>0.85482625482623709</c:v>
                </c:pt>
                <c:pt idx="1108">
                  <c:v>0.85559845559843783</c:v>
                </c:pt>
                <c:pt idx="1109">
                  <c:v>0.85637065637063858</c:v>
                </c:pt>
                <c:pt idx="1110">
                  <c:v>0.85714285714283933</c:v>
                </c:pt>
                <c:pt idx="1111">
                  <c:v>0.85791505791504008</c:v>
                </c:pt>
                <c:pt idx="1112">
                  <c:v>0.85868725868724083</c:v>
                </c:pt>
                <c:pt idx="1113">
                  <c:v>0.85945945945944158</c:v>
                </c:pt>
                <c:pt idx="1114">
                  <c:v>0.86023166023164233</c:v>
                </c:pt>
                <c:pt idx="1115">
                  <c:v>0.86100386100384307</c:v>
                </c:pt>
                <c:pt idx="1116">
                  <c:v>0.86177606177604382</c:v>
                </c:pt>
                <c:pt idx="1117">
                  <c:v>0.86254826254824457</c:v>
                </c:pt>
                <c:pt idx="1118">
                  <c:v>0.86332046332044532</c:v>
                </c:pt>
                <c:pt idx="1119">
                  <c:v>0.86409266409264607</c:v>
                </c:pt>
                <c:pt idx="1120">
                  <c:v>0.86486486486484682</c:v>
                </c:pt>
                <c:pt idx="1121">
                  <c:v>0.86563706563704756</c:v>
                </c:pt>
                <c:pt idx="1122">
                  <c:v>0.86640926640924831</c:v>
                </c:pt>
                <c:pt idx="1123">
                  <c:v>0.86718146718144906</c:v>
                </c:pt>
                <c:pt idx="1124">
                  <c:v>0.86795366795364981</c:v>
                </c:pt>
                <c:pt idx="1125">
                  <c:v>0.86872586872585056</c:v>
                </c:pt>
                <c:pt idx="1126">
                  <c:v>0.86949806949805131</c:v>
                </c:pt>
                <c:pt idx="1127">
                  <c:v>0.87027027027025206</c:v>
                </c:pt>
                <c:pt idx="1128">
                  <c:v>0.8710424710424528</c:v>
                </c:pt>
                <c:pt idx="1129">
                  <c:v>0.87181467181465355</c:v>
                </c:pt>
                <c:pt idx="1130">
                  <c:v>0.8725868725868543</c:v>
                </c:pt>
                <c:pt idx="1131">
                  <c:v>0.87335907335905505</c:v>
                </c:pt>
                <c:pt idx="1132">
                  <c:v>0.8741312741312558</c:v>
                </c:pt>
                <c:pt idx="1133">
                  <c:v>0.87490347490345655</c:v>
                </c:pt>
                <c:pt idx="1134">
                  <c:v>0.87567567567565729</c:v>
                </c:pt>
                <c:pt idx="1135">
                  <c:v>0.87644787644785804</c:v>
                </c:pt>
                <c:pt idx="1136">
                  <c:v>0.87722007722005879</c:v>
                </c:pt>
                <c:pt idx="1137">
                  <c:v>0.87799227799225954</c:v>
                </c:pt>
                <c:pt idx="1138">
                  <c:v>0.87876447876446029</c:v>
                </c:pt>
                <c:pt idx="1139">
                  <c:v>0.87953667953666104</c:v>
                </c:pt>
                <c:pt idx="1140">
                  <c:v>0.88030888030886179</c:v>
                </c:pt>
                <c:pt idx="1141">
                  <c:v>0.88108108108106253</c:v>
                </c:pt>
                <c:pt idx="1142">
                  <c:v>0.88185328185326328</c:v>
                </c:pt>
                <c:pt idx="1143">
                  <c:v>0.88262548262546403</c:v>
                </c:pt>
                <c:pt idx="1144">
                  <c:v>0.88339768339766478</c:v>
                </c:pt>
                <c:pt idx="1145">
                  <c:v>0.88416988416986553</c:v>
                </c:pt>
                <c:pt idx="1146">
                  <c:v>0.88494208494206628</c:v>
                </c:pt>
                <c:pt idx="1147">
                  <c:v>0.88571428571426702</c:v>
                </c:pt>
                <c:pt idx="1148">
                  <c:v>0.88648648648646777</c:v>
                </c:pt>
                <c:pt idx="1149">
                  <c:v>0.88725868725866852</c:v>
                </c:pt>
                <c:pt idx="1150">
                  <c:v>0.88803088803086927</c:v>
                </c:pt>
                <c:pt idx="1151">
                  <c:v>0.88880308880307002</c:v>
                </c:pt>
                <c:pt idx="1152">
                  <c:v>0.88957528957527077</c:v>
                </c:pt>
                <c:pt idx="1153">
                  <c:v>0.89034749034747152</c:v>
                </c:pt>
                <c:pt idx="1154">
                  <c:v>0.89111969111967226</c:v>
                </c:pt>
                <c:pt idx="1155">
                  <c:v>0.89189189189187301</c:v>
                </c:pt>
                <c:pt idx="1156">
                  <c:v>0.89266409266407376</c:v>
                </c:pt>
                <c:pt idx="1157">
                  <c:v>0.89343629343627451</c:v>
                </c:pt>
                <c:pt idx="1158">
                  <c:v>0.89420849420847526</c:v>
                </c:pt>
                <c:pt idx="1159">
                  <c:v>0.89498069498067601</c:v>
                </c:pt>
                <c:pt idx="1160">
                  <c:v>0.89575289575287675</c:v>
                </c:pt>
                <c:pt idx="1161">
                  <c:v>0.8965250965250775</c:v>
                </c:pt>
                <c:pt idx="1162">
                  <c:v>0.89729729729727825</c:v>
                </c:pt>
                <c:pt idx="1163">
                  <c:v>0.898069498069479</c:v>
                </c:pt>
                <c:pt idx="1164">
                  <c:v>0.89884169884167975</c:v>
                </c:pt>
                <c:pt idx="1165">
                  <c:v>0.8996138996138805</c:v>
                </c:pt>
                <c:pt idx="1166">
                  <c:v>0.90038610038608125</c:v>
                </c:pt>
                <c:pt idx="1167">
                  <c:v>0.90115830115828199</c:v>
                </c:pt>
                <c:pt idx="1168">
                  <c:v>0.90193050193048274</c:v>
                </c:pt>
                <c:pt idx="1169">
                  <c:v>0.90270270270268349</c:v>
                </c:pt>
                <c:pt idx="1170">
                  <c:v>0.90347490347488424</c:v>
                </c:pt>
                <c:pt idx="1171">
                  <c:v>0.90424710424708499</c:v>
                </c:pt>
                <c:pt idx="1172">
                  <c:v>0.90501930501928574</c:v>
                </c:pt>
                <c:pt idx="1173">
                  <c:v>0.90579150579148648</c:v>
                </c:pt>
                <c:pt idx="1174">
                  <c:v>0.90656370656368723</c:v>
                </c:pt>
                <c:pt idx="1175">
                  <c:v>0.90733590733588798</c:v>
                </c:pt>
                <c:pt idx="1176">
                  <c:v>0.90810810810808873</c:v>
                </c:pt>
                <c:pt idx="1177">
                  <c:v>0.90888030888028948</c:v>
                </c:pt>
                <c:pt idx="1178">
                  <c:v>0.90965250965249023</c:v>
                </c:pt>
                <c:pt idx="1179">
                  <c:v>0.91042471042469097</c:v>
                </c:pt>
                <c:pt idx="1180">
                  <c:v>0.91119691119689172</c:v>
                </c:pt>
                <c:pt idx="1181">
                  <c:v>0.91196911196909247</c:v>
                </c:pt>
                <c:pt idx="1182">
                  <c:v>0.91274131274129322</c:v>
                </c:pt>
                <c:pt idx="1183">
                  <c:v>0.91351351351349397</c:v>
                </c:pt>
                <c:pt idx="1184">
                  <c:v>0.91428571428569472</c:v>
                </c:pt>
                <c:pt idx="1185">
                  <c:v>0.91505791505789547</c:v>
                </c:pt>
                <c:pt idx="1186">
                  <c:v>0.91583011583009621</c:v>
                </c:pt>
                <c:pt idx="1187">
                  <c:v>0.91660231660229696</c:v>
                </c:pt>
                <c:pt idx="1188">
                  <c:v>0.91737451737449771</c:v>
                </c:pt>
                <c:pt idx="1189">
                  <c:v>0.91814671814669846</c:v>
                </c:pt>
                <c:pt idx="1190">
                  <c:v>0.91891891891889921</c:v>
                </c:pt>
                <c:pt idx="1191">
                  <c:v>0.91969111969109996</c:v>
                </c:pt>
                <c:pt idx="1192">
                  <c:v>0.9204633204633007</c:v>
                </c:pt>
                <c:pt idx="1193">
                  <c:v>0.92123552123550145</c:v>
                </c:pt>
                <c:pt idx="1194">
                  <c:v>0.9220077220077022</c:v>
                </c:pt>
                <c:pt idx="1195">
                  <c:v>0.92277992277990295</c:v>
                </c:pt>
                <c:pt idx="1196">
                  <c:v>0.9235521235521037</c:v>
                </c:pt>
                <c:pt idx="1197">
                  <c:v>0.92432432432430445</c:v>
                </c:pt>
                <c:pt idx="1198">
                  <c:v>0.9250965250965052</c:v>
                </c:pt>
                <c:pt idx="1199">
                  <c:v>0.92586872586870594</c:v>
                </c:pt>
                <c:pt idx="1200">
                  <c:v>0.92664092664090669</c:v>
                </c:pt>
                <c:pt idx="1201">
                  <c:v>0.92741312741310744</c:v>
                </c:pt>
                <c:pt idx="1202">
                  <c:v>0.92818532818530819</c:v>
                </c:pt>
                <c:pt idx="1203">
                  <c:v>0.92895752895750894</c:v>
                </c:pt>
                <c:pt idx="1204">
                  <c:v>0.92972972972970969</c:v>
                </c:pt>
                <c:pt idx="1205">
                  <c:v>0.93050193050191043</c:v>
                </c:pt>
                <c:pt idx="1206">
                  <c:v>0.93127413127411118</c:v>
                </c:pt>
                <c:pt idx="1207">
                  <c:v>0.93204633204631193</c:v>
                </c:pt>
                <c:pt idx="1208">
                  <c:v>0.93281853281851268</c:v>
                </c:pt>
                <c:pt idx="1209">
                  <c:v>0.93359073359071343</c:v>
                </c:pt>
                <c:pt idx="1210">
                  <c:v>0.93436293436291418</c:v>
                </c:pt>
                <c:pt idx="1211">
                  <c:v>0.93513513513511493</c:v>
                </c:pt>
                <c:pt idx="1212">
                  <c:v>0.93590733590731567</c:v>
                </c:pt>
                <c:pt idx="1213">
                  <c:v>0.93667953667951642</c:v>
                </c:pt>
                <c:pt idx="1214">
                  <c:v>0.93745173745171717</c:v>
                </c:pt>
                <c:pt idx="1215">
                  <c:v>0.93822393822391792</c:v>
                </c:pt>
                <c:pt idx="1216">
                  <c:v>0.93899613899611867</c:v>
                </c:pt>
                <c:pt idx="1217">
                  <c:v>0.93976833976831942</c:v>
                </c:pt>
                <c:pt idx="1218">
                  <c:v>0.94054054054052016</c:v>
                </c:pt>
                <c:pt idx="1219">
                  <c:v>0.94131274131272091</c:v>
                </c:pt>
                <c:pt idx="1220">
                  <c:v>0.94208494208492166</c:v>
                </c:pt>
                <c:pt idx="1221">
                  <c:v>0.94285714285712241</c:v>
                </c:pt>
                <c:pt idx="1222">
                  <c:v>0.94362934362932316</c:v>
                </c:pt>
                <c:pt idx="1223">
                  <c:v>0.94440154440152391</c:v>
                </c:pt>
                <c:pt idx="1224">
                  <c:v>0.94517374517372466</c:v>
                </c:pt>
                <c:pt idx="1225">
                  <c:v>0.9459459459459254</c:v>
                </c:pt>
                <c:pt idx="1226">
                  <c:v>0.94671814671812615</c:v>
                </c:pt>
                <c:pt idx="1227">
                  <c:v>0.9474903474903269</c:v>
                </c:pt>
                <c:pt idx="1228">
                  <c:v>0.94826254826252765</c:v>
                </c:pt>
                <c:pt idx="1229">
                  <c:v>0.9490347490347284</c:v>
                </c:pt>
                <c:pt idx="1230">
                  <c:v>0.94980694980692915</c:v>
                </c:pt>
                <c:pt idx="1231">
                  <c:v>0.95057915057912989</c:v>
                </c:pt>
                <c:pt idx="1232">
                  <c:v>0.95135135135133064</c:v>
                </c:pt>
                <c:pt idx="1233">
                  <c:v>0.95212355212353139</c:v>
                </c:pt>
                <c:pt idx="1234">
                  <c:v>0.95289575289573214</c:v>
                </c:pt>
                <c:pt idx="1235">
                  <c:v>0.95366795366793289</c:v>
                </c:pt>
                <c:pt idx="1236">
                  <c:v>0.95444015444013364</c:v>
                </c:pt>
                <c:pt idx="1237">
                  <c:v>0.95521235521233439</c:v>
                </c:pt>
                <c:pt idx="1238">
                  <c:v>0.95598455598453513</c:v>
                </c:pt>
                <c:pt idx="1239">
                  <c:v>0.95675675675673588</c:v>
                </c:pt>
                <c:pt idx="1240">
                  <c:v>0.95752895752893663</c:v>
                </c:pt>
                <c:pt idx="1241">
                  <c:v>0.95830115830113738</c:v>
                </c:pt>
                <c:pt idx="1242">
                  <c:v>0.95907335907333813</c:v>
                </c:pt>
                <c:pt idx="1243">
                  <c:v>0.95984555984553888</c:v>
                </c:pt>
                <c:pt idx="1244">
                  <c:v>0.96061776061773962</c:v>
                </c:pt>
                <c:pt idx="1245">
                  <c:v>0.96138996138994037</c:v>
                </c:pt>
                <c:pt idx="1246">
                  <c:v>0.96216216216214112</c:v>
                </c:pt>
                <c:pt idx="1247">
                  <c:v>0.96293436293434187</c:v>
                </c:pt>
                <c:pt idx="1248">
                  <c:v>0.96370656370654262</c:v>
                </c:pt>
                <c:pt idx="1249">
                  <c:v>0.96447876447874337</c:v>
                </c:pt>
                <c:pt idx="1250">
                  <c:v>0.96525096525094412</c:v>
                </c:pt>
                <c:pt idx="1251">
                  <c:v>0.96602316602314486</c:v>
                </c:pt>
                <c:pt idx="1252">
                  <c:v>0.96679536679534561</c:v>
                </c:pt>
                <c:pt idx="1253">
                  <c:v>0.96756756756754636</c:v>
                </c:pt>
                <c:pt idx="1254">
                  <c:v>0.96833976833974711</c:v>
                </c:pt>
                <c:pt idx="1255">
                  <c:v>0.96911196911194786</c:v>
                </c:pt>
                <c:pt idx="1256">
                  <c:v>0.96988416988414861</c:v>
                </c:pt>
                <c:pt idx="1257">
                  <c:v>0.97065637065634935</c:v>
                </c:pt>
                <c:pt idx="1258">
                  <c:v>0.9714285714285501</c:v>
                </c:pt>
                <c:pt idx="1259">
                  <c:v>0.97220077220075085</c:v>
                </c:pt>
                <c:pt idx="1260">
                  <c:v>0.9729729729729516</c:v>
                </c:pt>
                <c:pt idx="1261">
                  <c:v>0.97374517374515235</c:v>
                </c:pt>
                <c:pt idx="1262">
                  <c:v>0.9745173745173531</c:v>
                </c:pt>
                <c:pt idx="1263">
                  <c:v>0.97528957528955385</c:v>
                </c:pt>
                <c:pt idx="1264">
                  <c:v>0.97606177606175459</c:v>
                </c:pt>
                <c:pt idx="1265">
                  <c:v>0.97683397683395534</c:v>
                </c:pt>
                <c:pt idx="1266">
                  <c:v>0.97760617760615609</c:v>
                </c:pt>
                <c:pt idx="1267">
                  <c:v>0.97837837837835684</c:v>
                </c:pt>
                <c:pt idx="1268">
                  <c:v>0.97915057915055759</c:v>
                </c:pt>
                <c:pt idx="1269">
                  <c:v>0.97992277992275834</c:v>
                </c:pt>
                <c:pt idx="1270">
                  <c:v>0.98069498069495908</c:v>
                </c:pt>
                <c:pt idx="1271">
                  <c:v>0.98146718146715983</c:v>
                </c:pt>
                <c:pt idx="1272">
                  <c:v>0.98223938223936058</c:v>
                </c:pt>
                <c:pt idx="1273">
                  <c:v>0.98301158301156133</c:v>
                </c:pt>
                <c:pt idx="1274">
                  <c:v>0.98378378378376208</c:v>
                </c:pt>
                <c:pt idx="1275">
                  <c:v>0.98455598455596283</c:v>
                </c:pt>
                <c:pt idx="1276">
                  <c:v>0.98532818532816357</c:v>
                </c:pt>
                <c:pt idx="1277">
                  <c:v>0.98610038610036432</c:v>
                </c:pt>
                <c:pt idx="1278">
                  <c:v>0.98687258687256507</c:v>
                </c:pt>
                <c:pt idx="1279">
                  <c:v>0.98764478764476582</c:v>
                </c:pt>
                <c:pt idx="1280">
                  <c:v>0.98841698841696657</c:v>
                </c:pt>
                <c:pt idx="1281">
                  <c:v>0.98918918918916732</c:v>
                </c:pt>
                <c:pt idx="1282">
                  <c:v>0.98996138996136807</c:v>
                </c:pt>
                <c:pt idx="1283">
                  <c:v>0.99073359073356881</c:v>
                </c:pt>
                <c:pt idx="1284">
                  <c:v>0.99150579150576956</c:v>
                </c:pt>
                <c:pt idx="1285">
                  <c:v>0.99227799227797031</c:v>
                </c:pt>
                <c:pt idx="1286">
                  <c:v>0.99305019305017106</c:v>
                </c:pt>
                <c:pt idx="1287">
                  <c:v>0.99382239382237181</c:v>
                </c:pt>
                <c:pt idx="1288">
                  <c:v>0.99459459459457256</c:v>
                </c:pt>
                <c:pt idx="1289">
                  <c:v>0.9953667953667733</c:v>
                </c:pt>
                <c:pt idx="1290">
                  <c:v>0.99613899613897405</c:v>
                </c:pt>
                <c:pt idx="1291">
                  <c:v>0.9969111969111748</c:v>
                </c:pt>
                <c:pt idx="1292">
                  <c:v>0.99768339768337555</c:v>
                </c:pt>
                <c:pt idx="1293">
                  <c:v>0.9984555984555763</c:v>
                </c:pt>
                <c:pt idx="1294">
                  <c:v>0.99922779922777705</c:v>
                </c:pt>
                <c:pt idx="1295">
                  <c:v>0.9999999999999778</c:v>
                </c:pt>
              </c:numCache>
            </c:numRef>
          </c:xVal>
          <c:yVal>
            <c:numRef>
              <c:f>'E5.3'!$D$8:$D$1303</c:f>
              <c:numCache>
                <c:formatCode>0.000%</c:formatCode>
                <c:ptCount val="1296"/>
                <c:pt idx="0">
                  <c:v>0</c:v>
                </c:pt>
                <c:pt idx="1">
                  <c:v>7.722007722007722E-4</c:v>
                </c:pt>
                <c:pt idx="2">
                  <c:v>1.5444015444015444E-3</c:v>
                </c:pt>
                <c:pt idx="3">
                  <c:v>2.3166023166023165E-3</c:v>
                </c:pt>
                <c:pt idx="4">
                  <c:v>3.0888030888030888E-3</c:v>
                </c:pt>
                <c:pt idx="5">
                  <c:v>3.8610038610038611E-3</c:v>
                </c:pt>
                <c:pt idx="6">
                  <c:v>4.633204633204633E-3</c:v>
                </c:pt>
                <c:pt idx="7">
                  <c:v>5.4054054054054048E-3</c:v>
                </c:pt>
                <c:pt idx="8">
                  <c:v>6.1776061776061767E-3</c:v>
                </c:pt>
                <c:pt idx="9">
                  <c:v>6.9498069498069486E-3</c:v>
                </c:pt>
                <c:pt idx="10">
                  <c:v>7.7220077220077205E-3</c:v>
                </c:pt>
                <c:pt idx="11">
                  <c:v>8.4942084942084932E-3</c:v>
                </c:pt>
                <c:pt idx="12">
                  <c:v>9.2664092664092659E-3</c:v>
                </c:pt>
                <c:pt idx="13">
                  <c:v>1.0038610038610039E-2</c:v>
                </c:pt>
                <c:pt idx="14">
                  <c:v>1.0810810810810811E-2</c:v>
                </c:pt>
                <c:pt idx="15">
                  <c:v>1.1583011583011584E-2</c:v>
                </c:pt>
                <c:pt idx="16">
                  <c:v>1.2355212355212357E-2</c:v>
                </c:pt>
                <c:pt idx="17">
                  <c:v>1.312741312741313E-2</c:v>
                </c:pt>
                <c:pt idx="18">
                  <c:v>1.3899613899613902E-2</c:v>
                </c:pt>
                <c:pt idx="19">
                  <c:v>1.4671814671814675E-2</c:v>
                </c:pt>
                <c:pt idx="20">
                  <c:v>1.5444015444015448E-2</c:v>
                </c:pt>
                <c:pt idx="21">
                  <c:v>1.6216216216216221E-2</c:v>
                </c:pt>
                <c:pt idx="22">
                  <c:v>1.6988416988416993E-2</c:v>
                </c:pt>
                <c:pt idx="23">
                  <c:v>1.7760617760617766E-2</c:v>
                </c:pt>
                <c:pt idx="24">
                  <c:v>1.8532818532818539E-2</c:v>
                </c:pt>
                <c:pt idx="25">
                  <c:v>1.9305019305019312E-2</c:v>
                </c:pt>
                <c:pt idx="26">
                  <c:v>2.0077220077220084E-2</c:v>
                </c:pt>
                <c:pt idx="27">
                  <c:v>2.0849420849420857E-2</c:v>
                </c:pt>
                <c:pt idx="28">
                  <c:v>2.162162162162163E-2</c:v>
                </c:pt>
                <c:pt idx="29">
                  <c:v>2.2393822393822403E-2</c:v>
                </c:pt>
                <c:pt idx="30">
                  <c:v>2.3166023166023175E-2</c:v>
                </c:pt>
                <c:pt idx="31">
                  <c:v>2.3938223938223948E-2</c:v>
                </c:pt>
                <c:pt idx="32">
                  <c:v>2.4710424710424721E-2</c:v>
                </c:pt>
                <c:pt idx="33">
                  <c:v>2.5482625482625493E-2</c:v>
                </c:pt>
                <c:pt idx="34">
                  <c:v>2.6254826254826266E-2</c:v>
                </c:pt>
                <c:pt idx="35">
                  <c:v>2.7027027027027039E-2</c:v>
                </c:pt>
                <c:pt idx="36">
                  <c:v>2.7799227799227812E-2</c:v>
                </c:pt>
                <c:pt idx="37">
                  <c:v>2.8571428571428584E-2</c:v>
                </c:pt>
                <c:pt idx="38">
                  <c:v>2.9343629343629357E-2</c:v>
                </c:pt>
                <c:pt idx="39">
                  <c:v>3.011583011583013E-2</c:v>
                </c:pt>
                <c:pt idx="40">
                  <c:v>3.0888030888030903E-2</c:v>
                </c:pt>
                <c:pt idx="41">
                  <c:v>3.1660231660231672E-2</c:v>
                </c:pt>
                <c:pt idx="42">
                  <c:v>3.2432432432432441E-2</c:v>
                </c:pt>
                <c:pt idx="43">
                  <c:v>3.320463320463321E-2</c:v>
                </c:pt>
                <c:pt idx="44">
                  <c:v>3.397683397683398E-2</c:v>
                </c:pt>
                <c:pt idx="45">
                  <c:v>3.4749034749034749E-2</c:v>
                </c:pt>
                <c:pt idx="46">
                  <c:v>3.5521235521235518E-2</c:v>
                </c:pt>
                <c:pt idx="47">
                  <c:v>3.6293436293436288E-2</c:v>
                </c:pt>
                <c:pt idx="48">
                  <c:v>3.7065637065637057E-2</c:v>
                </c:pt>
                <c:pt idx="49">
                  <c:v>3.7837837837837826E-2</c:v>
                </c:pt>
                <c:pt idx="50">
                  <c:v>3.8610038610038595E-2</c:v>
                </c:pt>
                <c:pt idx="51">
                  <c:v>3.9382239382239365E-2</c:v>
                </c:pt>
                <c:pt idx="52">
                  <c:v>4.0154440154440134E-2</c:v>
                </c:pt>
                <c:pt idx="53">
                  <c:v>4.0926640926640903E-2</c:v>
                </c:pt>
                <c:pt idx="54">
                  <c:v>4.1698841698841672E-2</c:v>
                </c:pt>
                <c:pt idx="55">
                  <c:v>4.2471042471042442E-2</c:v>
                </c:pt>
                <c:pt idx="56">
                  <c:v>4.3243243243243211E-2</c:v>
                </c:pt>
                <c:pt idx="57">
                  <c:v>4.401544401544398E-2</c:v>
                </c:pt>
                <c:pt idx="58">
                  <c:v>4.4787644787644749E-2</c:v>
                </c:pt>
                <c:pt idx="59">
                  <c:v>4.5559845559845519E-2</c:v>
                </c:pt>
                <c:pt idx="60">
                  <c:v>4.6332046332046288E-2</c:v>
                </c:pt>
                <c:pt idx="61">
                  <c:v>4.7104247104247057E-2</c:v>
                </c:pt>
                <c:pt idx="62">
                  <c:v>4.7876447876447827E-2</c:v>
                </c:pt>
                <c:pt idx="63">
                  <c:v>4.8648648648648596E-2</c:v>
                </c:pt>
                <c:pt idx="64">
                  <c:v>4.9420849420849365E-2</c:v>
                </c:pt>
                <c:pt idx="65">
                  <c:v>5.0193050193050134E-2</c:v>
                </c:pt>
                <c:pt idx="66">
                  <c:v>5.0965250965250904E-2</c:v>
                </c:pt>
                <c:pt idx="67">
                  <c:v>5.1737451737451673E-2</c:v>
                </c:pt>
                <c:pt idx="68">
                  <c:v>5.2509652509652442E-2</c:v>
                </c:pt>
                <c:pt idx="69">
                  <c:v>5.3281853281853211E-2</c:v>
                </c:pt>
                <c:pt idx="70">
                  <c:v>5.4054054054053981E-2</c:v>
                </c:pt>
                <c:pt idx="71">
                  <c:v>5.482625482625475E-2</c:v>
                </c:pt>
                <c:pt idx="72">
                  <c:v>5.5598455598455519E-2</c:v>
                </c:pt>
                <c:pt idx="73">
                  <c:v>5.6370656370656289E-2</c:v>
                </c:pt>
                <c:pt idx="74">
                  <c:v>5.7142857142857058E-2</c:v>
                </c:pt>
                <c:pt idx="75">
                  <c:v>5.7915057915057827E-2</c:v>
                </c:pt>
                <c:pt idx="76">
                  <c:v>5.8687258687258596E-2</c:v>
                </c:pt>
                <c:pt idx="77">
                  <c:v>5.9459459459459366E-2</c:v>
                </c:pt>
                <c:pt idx="78">
                  <c:v>6.0231660231660135E-2</c:v>
                </c:pt>
                <c:pt idx="79">
                  <c:v>6.1003861003860904E-2</c:v>
                </c:pt>
                <c:pt idx="80">
                  <c:v>6.1776061776061673E-2</c:v>
                </c:pt>
                <c:pt idx="81">
                  <c:v>6.2548262548262443E-2</c:v>
                </c:pt>
                <c:pt idx="82">
                  <c:v>6.3320463320463219E-2</c:v>
                </c:pt>
                <c:pt idx="83">
                  <c:v>6.4092664092663995E-2</c:v>
                </c:pt>
                <c:pt idx="84">
                  <c:v>6.4864864864864771E-2</c:v>
                </c:pt>
                <c:pt idx="85">
                  <c:v>6.5637065637065548E-2</c:v>
                </c:pt>
                <c:pt idx="86">
                  <c:v>6.6409266409266324E-2</c:v>
                </c:pt>
                <c:pt idx="87">
                  <c:v>6.71814671814671E-2</c:v>
                </c:pt>
                <c:pt idx="88">
                  <c:v>6.7953667953667876E-2</c:v>
                </c:pt>
                <c:pt idx="89">
                  <c:v>6.8725868725868652E-2</c:v>
                </c:pt>
                <c:pt idx="90">
                  <c:v>6.9498069498069429E-2</c:v>
                </c:pt>
                <c:pt idx="91">
                  <c:v>7.0270270270270205E-2</c:v>
                </c:pt>
                <c:pt idx="92">
                  <c:v>7.1042471042470981E-2</c:v>
                </c:pt>
                <c:pt idx="93">
                  <c:v>7.1814671814671757E-2</c:v>
                </c:pt>
                <c:pt idx="94">
                  <c:v>7.2586872586872533E-2</c:v>
                </c:pt>
                <c:pt idx="95">
                  <c:v>7.335907335907331E-2</c:v>
                </c:pt>
                <c:pt idx="96">
                  <c:v>7.4131274131274086E-2</c:v>
                </c:pt>
                <c:pt idx="97">
                  <c:v>7.4903474903474862E-2</c:v>
                </c:pt>
                <c:pt idx="98">
                  <c:v>7.5675675675675638E-2</c:v>
                </c:pt>
                <c:pt idx="99">
                  <c:v>7.6447876447876414E-2</c:v>
                </c:pt>
                <c:pt idx="100">
                  <c:v>7.7220077220077191E-2</c:v>
                </c:pt>
                <c:pt idx="101">
                  <c:v>7.7992277992277967E-2</c:v>
                </c:pt>
                <c:pt idx="102">
                  <c:v>7.8764478764478743E-2</c:v>
                </c:pt>
                <c:pt idx="103">
                  <c:v>7.9536679536679519E-2</c:v>
                </c:pt>
                <c:pt idx="104">
                  <c:v>8.0308880308880295E-2</c:v>
                </c:pt>
                <c:pt idx="105">
                  <c:v>8.1081081081081072E-2</c:v>
                </c:pt>
                <c:pt idx="106">
                  <c:v>8.1853281853281848E-2</c:v>
                </c:pt>
                <c:pt idx="107">
                  <c:v>8.2625482625482624E-2</c:v>
                </c:pt>
                <c:pt idx="108">
                  <c:v>8.33976833976834E-2</c:v>
                </c:pt>
                <c:pt idx="109">
                  <c:v>8.4169884169884177E-2</c:v>
                </c:pt>
                <c:pt idx="110">
                  <c:v>8.4942084942084953E-2</c:v>
                </c:pt>
                <c:pt idx="111">
                  <c:v>8.5714285714285729E-2</c:v>
                </c:pt>
                <c:pt idx="112">
                  <c:v>8.6486486486486505E-2</c:v>
                </c:pt>
                <c:pt idx="113">
                  <c:v>8.7258687258687281E-2</c:v>
                </c:pt>
                <c:pt idx="114">
                  <c:v>8.8030888030888058E-2</c:v>
                </c:pt>
                <c:pt idx="115">
                  <c:v>8.8803088803088834E-2</c:v>
                </c:pt>
                <c:pt idx="116">
                  <c:v>8.957528957528961E-2</c:v>
                </c:pt>
                <c:pt idx="117">
                  <c:v>9.0347490347490386E-2</c:v>
                </c:pt>
                <c:pt idx="118">
                  <c:v>9.1119691119691162E-2</c:v>
                </c:pt>
                <c:pt idx="119">
                  <c:v>9.1891891891891939E-2</c:v>
                </c:pt>
                <c:pt idx="120">
                  <c:v>9.2664092664092715E-2</c:v>
                </c:pt>
                <c:pt idx="121">
                  <c:v>9.3436293436293491E-2</c:v>
                </c:pt>
                <c:pt idx="122">
                  <c:v>9.4208494208494267E-2</c:v>
                </c:pt>
                <c:pt idx="123">
                  <c:v>9.4980694980695043E-2</c:v>
                </c:pt>
                <c:pt idx="124">
                  <c:v>9.575289575289582E-2</c:v>
                </c:pt>
                <c:pt idx="125">
                  <c:v>9.6525096525096596E-2</c:v>
                </c:pt>
                <c:pt idx="126">
                  <c:v>9.7297297297297372E-2</c:v>
                </c:pt>
                <c:pt idx="127">
                  <c:v>9.8069498069498148E-2</c:v>
                </c:pt>
                <c:pt idx="128">
                  <c:v>9.8841698841698925E-2</c:v>
                </c:pt>
                <c:pt idx="129">
                  <c:v>9.9613899613899701E-2</c:v>
                </c:pt>
                <c:pt idx="130">
                  <c:v>0.10038610038610048</c:v>
                </c:pt>
                <c:pt idx="131">
                  <c:v>0.10115830115830125</c:v>
                </c:pt>
                <c:pt idx="132">
                  <c:v>0.10193050193050203</c:v>
                </c:pt>
                <c:pt idx="133">
                  <c:v>0.10270270270270281</c:v>
                </c:pt>
                <c:pt idx="134">
                  <c:v>0.10347490347490358</c:v>
                </c:pt>
                <c:pt idx="135">
                  <c:v>0.10424710424710436</c:v>
                </c:pt>
                <c:pt idx="136">
                  <c:v>0.10501930501930513</c:v>
                </c:pt>
                <c:pt idx="137">
                  <c:v>0.10579150579150591</c:v>
                </c:pt>
                <c:pt idx="138">
                  <c:v>0.10656370656370669</c:v>
                </c:pt>
                <c:pt idx="139">
                  <c:v>0.10733590733590746</c:v>
                </c:pt>
                <c:pt idx="140">
                  <c:v>0.10810810810810824</c:v>
                </c:pt>
                <c:pt idx="141">
                  <c:v>0.10888030888030902</c:v>
                </c:pt>
                <c:pt idx="142">
                  <c:v>0.10965250965250979</c:v>
                </c:pt>
                <c:pt idx="143">
                  <c:v>0.11042471042471057</c:v>
                </c:pt>
                <c:pt idx="144">
                  <c:v>0.11119691119691134</c:v>
                </c:pt>
                <c:pt idx="145">
                  <c:v>0.11196911196911212</c:v>
                </c:pt>
                <c:pt idx="146">
                  <c:v>0.1127413127413129</c:v>
                </c:pt>
                <c:pt idx="147">
                  <c:v>0.11351351351351367</c:v>
                </c:pt>
                <c:pt idx="148">
                  <c:v>0.11428571428571445</c:v>
                </c:pt>
                <c:pt idx="149">
                  <c:v>0.11505791505791522</c:v>
                </c:pt>
                <c:pt idx="150">
                  <c:v>0.115830115830116</c:v>
                </c:pt>
                <c:pt idx="151">
                  <c:v>0.11660231660231678</c:v>
                </c:pt>
                <c:pt idx="152">
                  <c:v>0.11737451737451755</c:v>
                </c:pt>
                <c:pt idx="153">
                  <c:v>0.11814671814671833</c:v>
                </c:pt>
                <c:pt idx="154">
                  <c:v>0.11891891891891911</c:v>
                </c:pt>
                <c:pt idx="155">
                  <c:v>0.11969111969111988</c:v>
                </c:pt>
                <c:pt idx="156">
                  <c:v>0.12046332046332066</c:v>
                </c:pt>
                <c:pt idx="157">
                  <c:v>0.12123552123552143</c:v>
                </c:pt>
                <c:pt idx="158">
                  <c:v>0.12200772200772221</c:v>
                </c:pt>
                <c:pt idx="159">
                  <c:v>0.12277992277992299</c:v>
                </c:pt>
                <c:pt idx="160">
                  <c:v>0.12355212355212376</c:v>
                </c:pt>
                <c:pt idx="161">
                  <c:v>0.12432432432432454</c:v>
                </c:pt>
                <c:pt idx="162">
                  <c:v>0.1250965250965253</c:v>
                </c:pt>
                <c:pt idx="163">
                  <c:v>0.12586872586872608</c:v>
                </c:pt>
                <c:pt idx="164">
                  <c:v>0.12664092664092685</c:v>
                </c:pt>
                <c:pt idx="165">
                  <c:v>0.12741312741312763</c:v>
                </c:pt>
                <c:pt idx="166">
                  <c:v>0.12818532818532841</c:v>
                </c:pt>
                <c:pt idx="167">
                  <c:v>0.12895752895752918</c:v>
                </c:pt>
                <c:pt idx="168">
                  <c:v>0.12972972972972996</c:v>
                </c:pt>
                <c:pt idx="169">
                  <c:v>0.13050193050193074</c:v>
                </c:pt>
                <c:pt idx="170">
                  <c:v>0.13127413127413151</c:v>
                </c:pt>
                <c:pt idx="171">
                  <c:v>0.13204633204633229</c:v>
                </c:pt>
                <c:pt idx="172">
                  <c:v>0.13281853281853306</c:v>
                </c:pt>
                <c:pt idx="173">
                  <c:v>0.13359073359073384</c:v>
                </c:pt>
                <c:pt idx="174">
                  <c:v>0.13436293436293462</c:v>
                </c:pt>
                <c:pt idx="175">
                  <c:v>0.13513513513513539</c:v>
                </c:pt>
                <c:pt idx="176">
                  <c:v>0.13590733590733617</c:v>
                </c:pt>
                <c:pt idx="177">
                  <c:v>0.13667953667953694</c:v>
                </c:pt>
                <c:pt idx="178">
                  <c:v>0.13745173745173772</c:v>
                </c:pt>
                <c:pt idx="179">
                  <c:v>0.1382239382239385</c:v>
                </c:pt>
                <c:pt idx="180">
                  <c:v>0.13899613899613927</c:v>
                </c:pt>
                <c:pt idx="181">
                  <c:v>0.13976833976834005</c:v>
                </c:pt>
                <c:pt idx="182">
                  <c:v>0.14054054054054083</c:v>
                </c:pt>
                <c:pt idx="183">
                  <c:v>0.1413127413127416</c:v>
                </c:pt>
                <c:pt idx="184">
                  <c:v>0.14208494208494238</c:v>
                </c:pt>
                <c:pt idx="185">
                  <c:v>0.14285714285714315</c:v>
                </c:pt>
                <c:pt idx="186">
                  <c:v>0.14362934362934393</c:v>
                </c:pt>
                <c:pt idx="187">
                  <c:v>0.14440154440154471</c:v>
                </c:pt>
                <c:pt idx="188">
                  <c:v>0.14517374517374548</c:v>
                </c:pt>
                <c:pt idx="189">
                  <c:v>0.14594594594594626</c:v>
                </c:pt>
                <c:pt idx="190">
                  <c:v>0.14671814671814704</c:v>
                </c:pt>
                <c:pt idx="191">
                  <c:v>0.14749034749034781</c:v>
                </c:pt>
                <c:pt idx="192">
                  <c:v>0.14826254826254859</c:v>
                </c:pt>
                <c:pt idx="193">
                  <c:v>0.14903474903474936</c:v>
                </c:pt>
                <c:pt idx="194">
                  <c:v>0.14980694980695014</c:v>
                </c:pt>
                <c:pt idx="195">
                  <c:v>0.15057915057915092</c:v>
                </c:pt>
                <c:pt idx="196">
                  <c:v>0.15135135135135169</c:v>
                </c:pt>
                <c:pt idx="197">
                  <c:v>0.15212355212355247</c:v>
                </c:pt>
                <c:pt idx="198">
                  <c:v>0.15289575289575325</c:v>
                </c:pt>
                <c:pt idx="199">
                  <c:v>0.15366795366795402</c:v>
                </c:pt>
                <c:pt idx="200">
                  <c:v>0.1544401544401548</c:v>
                </c:pt>
                <c:pt idx="201">
                  <c:v>0.15521235521235557</c:v>
                </c:pt>
                <c:pt idx="202">
                  <c:v>0.15598455598455635</c:v>
                </c:pt>
                <c:pt idx="203">
                  <c:v>0.15675675675675713</c:v>
                </c:pt>
                <c:pt idx="204">
                  <c:v>0.1575289575289579</c:v>
                </c:pt>
                <c:pt idx="205">
                  <c:v>0.15830115830115868</c:v>
                </c:pt>
                <c:pt idx="206">
                  <c:v>0.15907335907335945</c:v>
                </c:pt>
                <c:pt idx="207">
                  <c:v>0.15984555984556023</c:v>
                </c:pt>
                <c:pt idx="208">
                  <c:v>0.16061776061776101</c:v>
                </c:pt>
                <c:pt idx="209">
                  <c:v>0.16138996138996178</c:v>
                </c:pt>
                <c:pt idx="210">
                  <c:v>0.16216216216216256</c:v>
                </c:pt>
                <c:pt idx="211">
                  <c:v>0.16293436293436334</c:v>
                </c:pt>
                <c:pt idx="212">
                  <c:v>0.16370656370656411</c:v>
                </c:pt>
                <c:pt idx="213">
                  <c:v>0.16447876447876489</c:v>
                </c:pt>
                <c:pt idx="214">
                  <c:v>0.16525096525096566</c:v>
                </c:pt>
                <c:pt idx="215">
                  <c:v>0.16602316602316644</c:v>
                </c:pt>
                <c:pt idx="216">
                  <c:v>0.16679536679536722</c:v>
                </c:pt>
                <c:pt idx="217">
                  <c:v>0.16756756756756799</c:v>
                </c:pt>
                <c:pt idx="218">
                  <c:v>0.16833976833976877</c:v>
                </c:pt>
                <c:pt idx="219">
                  <c:v>0.16911196911196955</c:v>
                </c:pt>
                <c:pt idx="220">
                  <c:v>0.16988416988417032</c:v>
                </c:pt>
                <c:pt idx="221">
                  <c:v>0.1706563706563711</c:v>
                </c:pt>
                <c:pt idx="222">
                  <c:v>0.17142857142857187</c:v>
                </c:pt>
                <c:pt idx="223">
                  <c:v>0.17220077220077265</c:v>
                </c:pt>
                <c:pt idx="224">
                  <c:v>0.17297297297297343</c:v>
                </c:pt>
                <c:pt idx="225">
                  <c:v>0.1737451737451742</c:v>
                </c:pt>
                <c:pt idx="226">
                  <c:v>0.17451737451737498</c:v>
                </c:pt>
                <c:pt idx="227">
                  <c:v>0.17528957528957576</c:v>
                </c:pt>
                <c:pt idx="228">
                  <c:v>0.17606177606177653</c:v>
                </c:pt>
                <c:pt idx="229">
                  <c:v>0.17683397683397731</c:v>
                </c:pt>
                <c:pt idx="230">
                  <c:v>0.17760617760617808</c:v>
                </c:pt>
                <c:pt idx="231">
                  <c:v>0.17837837837837886</c:v>
                </c:pt>
                <c:pt idx="232">
                  <c:v>0.17915057915057964</c:v>
                </c:pt>
                <c:pt idx="233">
                  <c:v>0.17992277992278041</c:v>
                </c:pt>
                <c:pt idx="234">
                  <c:v>0.18069498069498119</c:v>
                </c:pt>
                <c:pt idx="235">
                  <c:v>0.18146718146718196</c:v>
                </c:pt>
                <c:pt idx="236">
                  <c:v>0.18223938223938274</c:v>
                </c:pt>
                <c:pt idx="237">
                  <c:v>0.18301158301158352</c:v>
                </c:pt>
                <c:pt idx="238">
                  <c:v>0.18378378378378429</c:v>
                </c:pt>
                <c:pt idx="239">
                  <c:v>0.18455598455598507</c:v>
                </c:pt>
                <c:pt idx="240">
                  <c:v>0.18532818532818585</c:v>
                </c:pt>
                <c:pt idx="241">
                  <c:v>0.18610038610038662</c:v>
                </c:pt>
                <c:pt idx="242">
                  <c:v>0.1868725868725874</c:v>
                </c:pt>
                <c:pt idx="243">
                  <c:v>0.18764478764478817</c:v>
                </c:pt>
                <c:pt idx="244">
                  <c:v>0.18841698841698895</c:v>
                </c:pt>
                <c:pt idx="245">
                  <c:v>0.18918918918918973</c:v>
                </c:pt>
                <c:pt idx="246">
                  <c:v>0.1899613899613905</c:v>
                </c:pt>
                <c:pt idx="247">
                  <c:v>0.19073359073359128</c:v>
                </c:pt>
                <c:pt idx="248">
                  <c:v>0.19150579150579206</c:v>
                </c:pt>
                <c:pt idx="249">
                  <c:v>0.19227799227799283</c:v>
                </c:pt>
                <c:pt idx="250">
                  <c:v>0.19305019305019361</c:v>
                </c:pt>
                <c:pt idx="251">
                  <c:v>0.19382239382239438</c:v>
                </c:pt>
                <c:pt idx="252">
                  <c:v>0.19459459459459516</c:v>
                </c:pt>
                <c:pt idx="253">
                  <c:v>0.19536679536679594</c:v>
                </c:pt>
                <c:pt idx="254">
                  <c:v>0.19613899613899671</c:v>
                </c:pt>
                <c:pt idx="255">
                  <c:v>0.19691119691119749</c:v>
                </c:pt>
                <c:pt idx="256">
                  <c:v>0.19768339768339827</c:v>
                </c:pt>
                <c:pt idx="257">
                  <c:v>0.19845559845559904</c:v>
                </c:pt>
                <c:pt idx="258">
                  <c:v>0.19922779922779982</c:v>
                </c:pt>
                <c:pt idx="259">
                  <c:v>0.20000000000000059</c:v>
                </c:pt>
                <c:pt idx="260">
                  <c:v>0.20077220077220137</c:v>
                </c:pt>
                <c:pt idx="261">
                  <c:v>0.20154440154440215</c:v>
                </c:pt>
                <c:pt idx="262">
                  <c:v>0.20231660231660292</c:v>
                </c:pt>
                <c:pt idx="263">
                  <c:v>0.2030888030888037</c:v>
                </c:pt>
                <c:pt idx="264">
                  <c:v>0.20386100386100448</c:v>
                </c:pt>
                <c:pt idx="265">
                  <c:v>0.20463320463320525</c:v>
                </c:pt>
                <c:pt idx="266">
                  <c:v>0.20540540540540603</c:v>
                </c:pt>
                <c:pt idx="267">
                  <c:v>0.2061776061776068</c:v>
                </c:pt>
                <c:pt idx="268">
                  <c:v>0.20694980694980758</c:v>
                </c:pt>
                <c:pt idx="269">
                  <c:v>0.20772200772200836</c:v>
                </c:pt>
                <c:pt idx="270">
                  <c:v>0.20849420849420913</c:v>
                </c:pt>
                <c:pt idx="271">
                  <c:v>0.20926640926640991</c:v>
                </c:pt>
                <c:pt idx="272">
                  <c:v>0.21003861003861068</c:v>
                </c:pt>
                <c:pt idx="273">
                  <c:v>0.21081081081081146</c:v>
                </c:pt>
                <c:pt idx="274">
                  <c:v>0.21158301158301224</c:v>
                </c:pt>
                <c:pt idx="275">
                  <c:v>0.21235521235521301</c:v>
                </c:pt>
                <c:pt idx="276">
                  <c:v>0.21312741312741379</c:v>
                </c:pt>
                <c:pt idx="277">
                  <c:v>0.21389961389961457</c:v>
                </c:pt>
                <c:pt idx="278">
                  <c:v>0.21467181467181534</c:v>
                </c:pt>
                <c:pt idx="279">
                  <c:v>0.21544401544401612</c:v>
                </c:pt>
                <c:pt idx="280">
                  <c:v>0.21621621621621689</c:v>
                </c:pt>
                <c:pt idx="281">
                  <c:v>0.21698841698841767</c:v>
                </c:pt>
                <c:pt idx="282">
                  <c:v>0.21776061776061845</c:v>
                </c:pt>
                <c:pt idx="283">
                  <c:v>0.21853281853281922</c:v>
                </c:pt>
                <c:pt idx="284">
                  <c:v>0.21930501930502</c:v>
                </c:pt>
                <c:pt idx="285">
                  <c:v>0.22007722007722078</c:v>
                </c:pt>
                <c:pt idx="286">
                  <c:v>0.22084942084942155</c:v>
                </c:pt>
                <c:pt idx="287">
                  <c:v>0.22162162162162233</c:v>
                </c:pt>
                <c:pt idx="288">
                  <c:v>0.2223938223938231</c:v>
                </c:pt>
                <c:pt idx="289">
                  <c:v>0.22316602316602388</c:v>
                </c:pt>
                <c:pt idx="290">
                  <c:v>0.22393822393822466</c:v>
                </c:pt>
                <c:pt idx="291">
                  <c:v>0.22471042471042543</c:v>
                </c:pt>
                <c:pt idx="292">
                  <c:v>0.22548262548262621</c:v>
                </c:pt>
                <c:pt idx="293">
                  <c:v>0.22625482625482699</c:v>
                </c:pt>
                <c:pt idx="294">
                  <c:v>0.22702702702702776</c:v>
                </c:pt>
                <c:pt idx="295">
                  <c:v>0.22779922779922854</c:v>
                </c:pt>
                <c:pt idx="296">
                  <c:v>0.22857142857142931</c:v>
                </c:pt>
                <c:pt idx="297">
                  <c:v>0.22934362934363009</c:v>
                </c:pt>
                <c:pt idx="298">
                  <c:v>0.23011583011583087</c:v>
                </c:pt>
                <c:pt idx="299">
                  <c:v>0.23088803088803164</c:v>
                </c:pt>
                <c:pt idx="300">
                  <c:v>0.23166023166023242</c:v>
                </c:pt>
                <c:pt idx="301">
                  <c:v>0.23243243243243319</c:v>
                </c:pt>
                <c:pt idx="302">
                  <c:v>0.23320463320463397</c:v>
                </c:pt>
                <c:pt idx="303">
                  <c:v>0.23397683397683475</c:v>
                </c:pt>
                <c:pt idx="304">
                  <c:v>0.23474903474903552</c:v>
                </c:pt>
                <c:pt idx="305">
                  <c:v>0.2355212355212363</c:v>
                </c:pt>
                <c:pt idx="306">
                  <c:v>0.23629343629343708</c:v>
                </c:pt>
                <c:pt idx="307">
                  <c:v>0.23706563706563785</c:v>
                </c:pt>
                <c:pt idx="308">
                  <c:v>0.23783783783783863</c:v>
                </c:pt>
                <c:pt idx="309">
                  <c:v>0.2386100386100394</c:v>
                </c:pt>
                <c:pt idx="310">
                  <c:v>0.23938223938224018</c:v>
                </c:pt>
                <c:pt idx="311">
                  <c:v>0.24015444015444096</c:v>
                </c:pt>
                <c:pt idx="312">
                  <c:v>0.24092664092664173</c:v>
                </c:pt>
                <c:pt idx="313">
                  <c:v>0.24169884169884251</c:v>
                </c:pt>
                <c:pt idx="314">
                  <c:v>0.24247104247104329</c:v>
                </c:pt>
                <c:pt idx="315">
                  <c:v>0.24324324324324406</c:v>
                </c:pt>
                <c:pt idx="316">
                  <c:v>0.24401544401544484</c:v>
                </c:pt>
                <c:pt idx="317">
                  <c:v>0.24478764478764561</c:v>
                </c:pt>
                <c:pt idx="318">
                  <c:v>0.24555984555984639</c:v>
                </c:pt>
                <c:pt idx="319">
                  <c:v>0.24633204633204717</c:v>
                </c:pt>
                <c:pt idx="320">
                  <c:v>0.24710424710424794</c:v>
                </c:pt>
                <c:pt idx="321">
                  <c:v>0.24787644787644872</c:v>
                </c:pt>
                <c:pt idx="322">
                  <c:v>0.2486486486486495</c:v>
                </c:pt>
                <c:pt idx="323">
                  <c:v>0.24942084942085027</c:v>
                </c:pt>
                <c:pt idx="324">
                  <c:v>0.25019305019305105</c:v>
                </c:pt>
                <c:pt idx="325">
                  <c:v>0.2509652509652518</c:v>
                </c:pt>
                <c:pt idx="326">
                  <c:v>0.25173745173745254</c:v>
                </c:pt>
                <c:pt idx="327">
                  <c:v>0.25250965250965329</c:v>
                </c:pt>
                <c:pt idx="328">
                  <c:v>0.25328185328185404</c:v>
                </c:pt>
                <c:pt idx="329">
                  <c:v>0.25405405405405479</c:v>
                </c:pt>
                <c:pt idx="330">
                  <c:v>0.25482625482625554</c:v>
                </c:pt>
                <c:pt idx="331">
                  <c:v>0.25559845559845629</c:v>
                </c:pt>
                <c:pt idx="332">
                  <c:v>0.25637065637065704</c:v>
                </c:pt>
                <c:pt idx="333">
                  <c:v>0.25714285714285778</c:v>
                </c:pt>
                <c:pt idx="334">
                  <c:v>0.25791505791505853</c:v>
                </c:pt>
                <c:pt idx="335">
                  <c:v>0.25868725868725928</c:v>
                </c:pt>
                <c:pt idx="336">
                  <c:v>0.25945945945946003</c:v>
                </c:pt>
                <c:pt idx="337">
                  <c:v>0.26023166023166078</c:v>
                </c:pt>
                <c:pt idx="338">
                  <c:v>0.26100386100386153</c:v>
                </c:pt>
                <c:pt idx="339">
                  <c:v>0.26177606177606227</c:v>
                </c:pt>
                <c:pt idx="340">
                  <c:v>0.26254826254826302</c:v>
                </c:pt>
                <c:pt idx="341">
                  <c:v>0.26332046332046377</c:v>
                </c:pt>
                <c:pt idx="342">
                  <c:v>0.26409266409266452</c:v>
                </c:pt>
                <c:pt idx="343">
                  <c:v>0.26486486486486527</c:v>
                </c:pt>
                <c:pt idx="344">
                  <c:v>0.26563706563706602</c:v>
                </c:pt>
                <c:pt idx="345">
                  <c:v>0.26640926640926677</c:v>
                </c:pt>
                <c:pt idx="346">
                  <c:v>0.26718146718146751</c:v>
                </c:pt>
                <c:pt idx="347">
                  <c:v>0.26795366795366826</c:v>
                </c:pt>
                <c:pt idx="348">
                  <c:v>0.26872586872586901</c:v>
                </c:pt>
                <c:pt idx="349">
                  <c:v>0.26949806949806976</c:v>
                </c:pt>
                <c:pt idx="350">
                  <c:v>0.27027027027027051</c:v>
                </c:pt>
                <c:pt idx="351">
                  <c:v>0.27104247104247126</c:v>
                </c:pt>
                <c:pt idx="352">
                  <c:v>0.271814671814672</c:v>
                </c:pt>
                <c:pt idx="353">
                  <c:v>0.27258687258687275</c:v>
                </c:pt>
                <c:pt idx="354">
                  <c:v>0.2733590733590735</c:v>
                </c:pt>
                <c:pt idx="355">
                  <c:v>0.27413127413127425</c:v>
                </c:pt>
                <c:pt idx="356">
                  <c:v>0.274903474903475</c:v>
                </c:pt>
                <c:pt idx="357">
                  <c:v>0.27567567567567575</c:v>
                </c:pt>
                <c:pt idx="358">
                  <c:v>0.27644787644787649</c:v>
                </c:pt>
                <c:pt idx="359">
                  <c:v>0.27722007722007724</c:v>
                </c:pt>
                <c:pt idx="360">
                  <c:v>0.27799227799227799</c:v>
                </c:pt>
                <c:pt idx="361">
                  <c:v>0.27876447876447874</c:v>
                </c:pt>
                <c:pt idx="362">
                  <c:v>0.27953667953667949</c:v>
                </c:pt>
                <c:pt idx="363">
                  <c:v>0.28030888030888024</c:v>
                </c:pt>
                <c:pt idx="364">
                  <c:v>0.28108108108108099</c:v>
                </c:pt>
                <c:pt idx="365">
                  <c:v>0.28185328185328173</c:v>
                </c:pt>
                <c:pt idx="366">
                  <c:v>0.28262548262548248</c:v>
                </c:pt>
                <c:pt idx="367">
                  <c:v>0.28339768339768323</c:v>
                </c:pt>
                <c:pt idx="368">
                  <c:v>0.28416988416988398</c:v>
                </c:pt>
                <c:pt idx="369">
                  <c:v>0.28494208494208473</c:v>
                </c:pt>
                <c:pt idx="370">
                  <c:v>0.28571428571428548</c:v>
                </c:pt>
                <c:pt idx="371">
                  <c:v>0.28648648648648622</c:v>
                </c:pt>
                <c:pt idx="372">
                  <c:v>0.28725868725868697</c:v>
                </c:pt>
                <c:pt idx="373">
                  <c:v>0.28803088803088772</c:v>
                </c:pt>
                <c:pt idx="374">
                  <c:v>0.28880308880308847</c:v>
                </c:pt>
                <c:pt idx="375">
                  <c:v>0.28957528957528922</c:v>
                </c:pt>
                <c:pt idx="376">
                  <c:v>0.29034749034748997</c:v>
                </c:pt>
                <c:pt idx="377">
                  <c:v>0.29111969111969072</c:v>
                </c:pt>
                <c:pt idx="378">
                  <c:v>0.29189189189189146</c:v>
                </c:pt>
                <c:pt idx="379">
                  <c:v>0.29266409266409221</c:v>
                </c:pt>
                <c:pt idx="380">
                  <c:v>0.29343629343629296</c:v>
                </c:pt>
                <c:pt idx="381">
                  <c:v>0.29420849420849371</c:v>
                </c:pt>
                <c:pt idx="382">
                  <c:v>0.29498069498069446</c:v>
                </c:pt>
                <c:pt idx="383">
                  <c:v>0.29575289575289521</c:v>
                </c:pt>
                <c:pt idx="384">
                  <c:v>0.29652509652509595</c:v>
                </c:pt>
                <c:pt idx="385">
                  <c:v>0.2972972972972967</c:v>
                </c:pt>
                <c:pt idx="386">
                  <c:v>0.29806949806949745</c:v>
                </c:pt>
                <c:pt idx="387">
                  <c:v>0.2988416988416982</c:v>
                </c:pt>
                <c:pt idx="388">
                  <c:v>0.29961389961389895</c:v>
                </c:pt>
                <c:pt idx="389">
                  <c:v>0.3003861003860997</c:v>
                </c:pt>
                <c:pt idx="390">
                  <c:v>0.30115830115830045</c:v>
                </c:pt>
                <c:pt idx="391">
                  <c:v>0.30193050193050119</c:v>
                </c:pt>
                <c:pt idx="392">
                  <c:v>0.30270270270270194</c:v>
                </c:pt>
                <c:pt idx="393">
                  <c:v>0.30347490347490269</c:v>
                </c:pt>
                <c:pt idx="394">
                  <c:v>0.30424710424710344</c:v>
                </c:pt>
                <c:pt idx="395">
                  <c:v>0.30501930501930419</c:v>
                </c:pt>
                <c:pt idx="396">
                  <c:v>0.30579150579150494</c:v>
                </c:pt>
                <c:pt idx="397">
                  <c:v>0.30656370656370568</c:v>
                </c:pt>
                <c:pt idx="398">
                  <c:v>0.30733590733590643</c:v>
                </c:pt>
                <c:pt idx="399">
                  <c:v>0.30810810810810718</c:v>
                </c:pt>
                <c:pt idx="400">
                  <c:v>0.30888030888030793</c:v>
                </c:pt>
                <c:pt idx="401">
                  <c:v>0.30965250965250868</c:v>
                </c:pt>
                <c:pt idx="402">
                  <c:v>0.31042471042470943</c:v>
                </c:pt>
                <c:pt idx="403">
                  <c:v>0.31119691119691018</c:v>
                </c:pt>
                <c:pt idx="404">
                  <c:v>0.31196911196911092</c:v>
                </c:pt>
                <c:pt idx="405">
                  <c:v>0.31274131274131167</c:v>
                </c:pt>
                <c:pt idx="406">
                  <c:v>0.31351351351351242</c:v>
                </c:pt>
                <c:pt idx="407">
                  <c:v>0.31428571428571317</c:v>
                </c:pt>
                <c:pt idx="408">
                  <c:v>0.31505791505791392</c:v>
                </c:pt>
                <c:pt idx="409">
                  <c:v>0.31583011583011467</c:v>
                </c:pt>
                <c:pt idx="410">
                  <c:v>0.31660231660231541</c:v>
                </c:pt>
                <c:pt idx="411">
                  <c:v>0.31737451737451616</c:v>
                </c:pt>
                <c:pt idx="412">
                  <c:v>0.31814671814671691</c:v>
                </c:pt>
                <c:pt idx="413">
                  <c:v>0.31891891891891766</c:v>
                </c:pt>
                <c:pt idx="414">
                  <c:v>0.31969111969111841</c:v>
                </c:pt>
                <c:pt idx="415">
                  <c:v>0.32046332046331916</c:v>
                </c:pt>
                <c:pt idx="416">
                  <c:v>0.32123552123551991</c:v>
                </c:pt>
                <c:pt idx="417">
                  <c:v>0.32200772200772065</c:v>
                </c:pt>
                <c:pt idx="418">
                  <c:v>0.3227799227799214</c:v>
                </c:pt>
                <c:pt idx="419">
                  <c:v>0.32355212355212215</c:v>
                </c:pt>
                <c:pt idx="420">
                  <c:v>0.3243243243243229</c:v>
                </c:pt>
                <c:pt idx="421">
                  <c:v>0.32509652509652365</c:v>
                </c:pt>
                <c:pt idx="422">
                  <c:v>0.3258687258687244</c:v>
                </c:pt>
                <c:pt idx="423">
                  <c:v>0.32664092664092514</c:v>
                </c:pt>
                <c:pt idx="424">
                  <c:v>0.32741312741312589</c:v>
                </c:pt>
                <c:pt idx="425">
                  <c:v>0.32818532818532664</c:v>
                </c:pt>
                <c:pt idx="426">
                  <c:v>0.32895752895752739</c:v>
                </c:pt>
                <c:pt idx="427">
                  <c:v>0.32972972972972814</c:v>
                </c:pt>
                <c:pt idx="428">
                  <c:v>0.33050193050192889</c:v>
                </c:pt>
                <c:pt idx="429">
                  <c:v>0.33127413127412964</c:v>
                </c:pt>
                <c:pt idx="430">
                  <c:v>0.33204633204633038</c:v>
                </c:pt>
                <c:pt idx="431">
                  <c:v>0.33281853281853113</c:v>
                </c:pt>
                <c:pt idx="432">
                  <c:v>0.33359073359073188</c:v>
                </c:pt>
                <c:pt idx="433">
                  <c:v>0.33436293436293263</c:v>
                </c:pt>
                <c:pt idx="434">
                  <c:v>0.33513513513513338</c:v>
                </c:pt>
                <c:pt idx="435">
                  <c:v>0.33590733590733413</c:v>
                </c:pt>
                <c:pt idx="436">
                  <c:v>0.33667953667953487</c:v>
                </c:pt>
                <c:pt idx="437">
                  <c:v>0.33745173745173562</c:v>
                </c:pt>
                <c:pt idx="438">
                  <c:v>0.33822393822393637</c:v>
                </c:pt>
                <c:pt idx="439">
                  <c:v>0.33899613899613712</c:v>
                </c:pt>
                <c:pt idx="440">
                  <c:v>0.33976833976833787</c:v>
                </c:pt>
                <c:pt idx="441">
                  <c:v>0.34054054054053862</c:v>
                </c:pt>
                <c:pt idx="442">
                  <c:v>0.34131274131273937</c:v>
                </c:pt>
                <c:pt idx="443">
                  <c:v>0.34208494208494011</c:v>
                </c:pt>
                <c:pt idx="444">
                  <c:v>0.34285714285714086</c:v>
                </c:pt>
                <c:pt idx="445">
                  <c:v>0.34362934362934161</c:v>
                </c:pt>
                <c:pt idx="446">
                  <c:v>0.34440154440154236</c:v>
                </c:pt>
                <c:pt idx="447">
                  <c:v>0.34517374517374311</c:v>
                </c:pt>
                <c:pt idx="448">
                  <c:v>0.34594594594594386</c:v>
                </c:pt>
                <c:pt idx="449">
                  <c:v>0.3467181467181446</c:v>
                </c:pt>
                <c:pt idx="450">
                  <c:v>0.34749034749034535</c:v>
                </c:pt>
                <c:pt idx="451">
                  <c:v>0.3482625482625461</c:v>
                </c:pt>
                <c:pt idx="452">
                  <c:v>0.34903474903474685</c:v>
                </c:pt>
                <c:pt idx="453">
                  <c:v>0.3498069498069476</c:v>
                </c:pt>
                <c:pt idx="454">
                  <c:v>0.35057915057914835</c:v>
                </c:pt>
                <c:pt idx="455">
                  <c:v>0.35135135135134909</c:v>
                </c:pt>
                <c:pt idx="456">
                  <c:v>0.35212355212354984</c:v>
                </c:pt>
                <c:pt idx="457">
                  <c:v>0.35289575289575059</c:v>
                </c:pt>
                <c:pt idx="458">
                  <c:v>0.35366795366795134</c:v>
                </c:pt>
                <c:pt idx="459">
                  <c:v>0.35444015444015209</c:v>
                </c:pt>
                <c:pt idx="460">
                  <c:v>0.35521235521235284</c:v>
                </c:pt>
                <c:pt idx="461">
                  <c:v>0.35598455598455359</c:v>
                </c:pt>
                <c:pt idx="462">
                  <c:v>0.35675675675675433</c:v>
                </c:pt>
                <c:pt idx="463">
                  <c:v>0.35752895752895508</c:v>
                </c:pt>
                <c:pt idx="464">
                  <c:v>0.35830115830115583</c:v>
                </c:pt>
                <c:pt idx="465">
                  <c:v>0.35907335907335658</c:v>
                </c:pt>
                <c:pt idx="466">
                  <c:v>0.35984555984555733</c:v>
                </c:pt>
                <c:pt idx="467">
                  <c:v>0.36061776061775808</c:v>
                </c:pt>
                <c:pt idx="468">
                  <c:v>0.36138996138995882</c:v>
                </c:pt>
                <c:pt idx="469">
                  <c:v>0.36216216216215957</c:v>
                </c:pt>
                <c:pt idx="470">
                  <c:v>0.36293436293436032</c:v>
                </c:pt>
                <c:pt idx="471">
                  <c:v>0.36370656370656107</c:v>
                </c:pt>
                <c:pt idx="472">
                  <c:v>0.36447876447876182</c:v>
                </c:pt>
                <c:pt idx="473">
                  <c:v>0.36525096525096257</c:v>
                </c:pt>
                <c:pt idx="474">
                  <c:v>0.36602316602316332</c:v>
                </c:pt>
                <c:pt idx="475">
                  <c:v>0.36679536679536406</c:v>
                </c:pt>
                <c:pt idx="476">
                  <c:v>0.36756756756756481</c:v>
                </c:pt>
                <c:pt idx="477">
                  <c:v>0.36833976833976556</c:v>
                </c:pt>
                <c:pt idx="478">
                  <c:v>0.36911196911196631</c:v>
                </c:pt>
                <c:pt idx="479">
                  <c:v>0.36988416988416706</c:v>
                </c:pt>
                <c:pt idx="480">
                  <c:v>0.37065637065636781</c:v>
                </c:pt>
                <c:pt idx="481">
                  <c:v>0.37142857142856855</c:v>
                </c:pt>
                <c:pt idx="482">
                  <c:v>0.3722007722007693</c:v>
                </c:pt>
                <c:pt idx="483">
                  <c:v>0.37297297297297005</c:v>
                </c:pt>
                <c:pt idx="484">
                  <c:v>0.3737451737451708</c:v>
                </c:pt>
                <c:pt idx="485">
                  <c:v>0.37451737451737155</c:v>
                </c:pt>
                <c:pt idx="486">
                  <c:v>0.3752895752895723</c:v>
                </c:pt>
                <c:pt idx="487">
                  <c:v>0.37606177606177305</c:v>
                </c:pt>
                <c:pt idx="488">
                  <c:v>0.37683397683397379</c:v>
                </c:pt>
                <c:pt idx="489">
                  <c:v>0.37760617760617454</c:v>
                </c:pt>
                <c:pt idx="490">
                  <c:v>0.37837837837837529</c:v>
                </c:pt>
                <c:pt idx="491">
                  <c:v>0.37915057915057604</c:v>
                </c:pt>
                <c:pt idx="492">
                  <c:v>0.37992277992277679</c:v>
                </c:pt>
                <c:pt idx="493">
                  <c:v>0.38069498069497754</c:v>
                </c:pt>
                <c:pt idx="494">
                  <c:v>0.38146718146717828</c:v>
                </c:pt>
                <c:pt idx="495">
                  <c:v>0.38223938223937903</c:v>
                </c:pt>
                <c:pt idx="496">
                  <c:v>0.38301158301157978</c:v>
                </c:pt>
                <c:pt idx="497">
                  <c:v>0.38378378378378053</c:v>
                </c:pt>
                <c:pt idx="498">
                  <c:v>0.38455598455598128</c:v>
                </c:pt>
                <c:pt idx="499">
                  <c:v>0.38532818532818203</c:v>
                </c:pt>
                <c:pt idx="500">
                  <c:v>0.38610038610038278</c:v>
                </c:pt>
                <c:pt idx="501">
                  <c:v>0.38687258687258352</c:v>
                </c:pt>
                <c:pt idx="502">
                  <c:v>0.38764478764478427</c:v>
                </c:pt>
                <c:pt idx="503">
                  <c:v>0.38841698841698502</c:v>
                </c:pt>
                <c:pt idx="504">
                  <c:v>0.38918918918918577</c:v>
                </c:pt>
                <c:pt idx="505">
                  <c:v>0.38996138996138652</c:v>
                </c:pt>
                <c:pt idx="506">
                  <c:v>0.39073359073358727</c:v>
                </c:pt>
                <c:pt idx="507">
                  <c:v>0.39150579150578801</c:v>
                </c:pt>
                <c:pt idx="508">
                  <c:v>0.39227799227798876</c:v>
                </c:pt>
                <c:pt idx="509">
                  <c:v>0.39305019305018951</c:v>
                </c:pt>
                <c:pt idx="510">
                  <c:v>0.39382239382239026</c:v>
                </c:pt>
                <c:pt idx="511">
                  <c:v>0.39459459459459101</c:v>
                </c:pt>
                <c:pt idx="512">
                  <c:v>0.39536679536679176</c:v>
                </c:pt>
                <c:pt idx="513">
                  <c:v>0.39613899613899251</c:v>
                </c:pt>
                <c:pt idx="514">
                  <c:v>0.39691119691119325</c:v>
                </c:pt>
                <c:pt idx="515">
                  <c:v>0.397683397683394</c:v>
                </c:pt>
                <c:pt idx="516">
                  <c:v>0.39845559845559475</c:v>
                </c:pt>
                <c:pt idx="517">
                  <c:v>0.3992277992277955</c:v>
                </c:pt>
                <c:pt idx="518">
                  <c:v>0.39999999999999625</c:v>
                </c:pt>
                <c:pt idx="519">
                  <c:v>0.400772200772197</c:v>
                </c:pt>
                <c:pt idx="520">
                  <c:v>0.40154440154439774</c:v>
                </c:pt>
                <c:pt idx="521">
                  <c:v>0.40231660231659849</c:v>
                </c:pt>
                <c:pt idx="522">
                  <c:v>0.40308880308879924</c:v>
                </c:pt>
                <c:pt idx="523">
                  <c:v>0.40386100386099999</c:v>
                </c:pt>
                <c:pt idx="524">
                  <c:v>0.40463320463320074</c:v>
                </c:pt>
                <c:pt idx="525">
                  <c:v>0.40540540540540149</c:v>
                </c:pt>
                <c:pt idx="526">
                  <c:v>0.40617760617760224</c:v>
                </c:pt>
                <c:pt idx="527">
                  <c:v>0.40694980694980298</c:v>
                </c:pt>
                <c:pt idx="528">
                  <c:v>0.40772200772200373</c:v>
                </c:pt>
                <c:pt idx="529">
                  <c:v>0.40849420849420448</c:v>
                </c:pt>
                <c:pt idx="530">
                  <c:v>0.40926640926640523</c:v>
                </c:pt>
                <c:pt idx="531">
                  <c:v>0.41003861003860598</c:v>
                </c:pt>
                <c:pt idx="532">
                  <c:v>0.41081081081080673</c:v>
                </c:pt>
                <c:pt idx="533">
                  <c:v>0.41158301158300747</c:v>
                </c:pt>
                <c:pt idx="534">
                  <c:v>0.41235521235520822</c:v>
                </c:pt>
                <c:pt idx="535">
                  <c:v>0.41312741312740897</c:v>
                </c:pt>
                <c:pt idx="536">
                  <c:v>0.41389961389960972</c:v>
                </c:pt>
                <c:pt idx="537">
                  <c:v>0.41467181467181047</c:v>
                </c:pt>
                <c:pt idx="538">
                  <c:v>0.41544401544401122</c:v>
                </c:pt>
                <c:pt idx="539">
                  <c:v>0.41621621621621196</c:v>
                </c:pt>
                <c:pt idx="540">
                  <c:v>0.41698841698841271</c:v>
                </c:pt>
                <c:pt idx="541">
                  <c:v>0.41776061776061346</c:v>
                </c:pt>
                <c:pt idx="542">
                  <c:v>0.41853281853281421</c:v>
                </c:pt>
                <c:pt idx="543">
                  <c:v>0.41930501930501496</c:v>
                </c:pt>
                <c:pt idx="544">
                  <c:v>0.42007722007721571</c:v>
                </c:pt>
                <c:pt idx="545">
                  <c:v>0.42084942084941646</c:v>
                </c:pt>
                <c:pt idx="546">
                  <c:v>0.4216216216216172</c:v>
                </c:pt>
                <c:pt idx="547">
                  <c:v>0.42239382239381795</c:v>
                </c:pt>
                <c:pt idx="548">
                  <c:v>0.4231660231660187</c:v>
                </c:pt>
                <c:pt idx="549">
                  <c:v>0.42393822393821945</c:v>
                </c:pt>
                <c:pt idx="550">
                  <c:v>0.4247104247104202</c:v>
                </c:pt>
                <c:pt idx="551">
                  <c:v>0.42548262548262095</c:v>
                </c:pt>
                <c:pt idx="552">
                  <c:v>0.42625482625482169</c:v>
                </c:pt>
                <c:pt idx="553">
                  <c:v>0.42702702702702244</c:v>
                </c:pt>
                <c:pt idx="554">
                  <c:v>0.42779922779922319</c:v>
                </c:pt>
                <c:pt idx="555">
                  <c:v>0.42857142857142394</c:v>
                </c:pt>
                <c:pt idx="556">
                  <c:v>0.42934362934362469</c:v>
                </c:pt>
                <c:pt idx="557">
                  <c:v>0.43011583011582544</c:v>
                </c:pt>
                <c:pt idx="558">
                  <c:v>0.43088803088802619</c:v>
                </c:pt>
                <c:pt idx="559">
                  <c:v>0.43166023166022693</c:v>
                </c:pt>
                <c:pt idx="560">
                  <c:v>0.43243243243242768</c:v>
                </c:pt>
                <c:pt idx="561">
                  <c:v>0.43320463320462843</c:v>
                </c:pt>
                <c:pt idx="562">
                  <c:v>0.43397683397682918</c:v>
                </c:pt>
                <c:pt idx="563">
                  <c:v>0.43474903474902993</c:v>
                </c:pt>
                <c:pt idx="564">
                  <c:v>0.43552123552123068</c:v>
                </c:pt>
                <c:pt idx="565">
                  <c:v>0.43629343629343142</c:v>
                </c:pt>
                <c:pt idx="566">
                  <c:v>0.43706563706563217</c:v>
                </c:pt>
                <c:pt idx="567">
                  <c:v>0.43783783783783292</c:v>
                </c:pt>
                <c:pt idx="568">
                  <c:v>0.43861003861003367</c:v>
                </c:pt>
                <c:pt idx="569">
                  <c:v>0.43938223938223442</c:v>
                </c:pt>
                <c:pt idx="570">
                  <c:v>0.44015444015443517</c:v>
                </c:pt>
                <c:pt idx="571">
                  <c:v>0.44092664092663592</c:v>
                </c:pt>
                <c:pt idx="572">
                  <c:v>0.44169884169883666</c:v>
                </c:pt>
                <c:pt idx="573">
                  <c:v>0.44247104247103741</c:v>
                </c:pt>
                <c:pt idx="574">
                  <c:v>0.44324324324323816</c:v>
                </c:pt>
                <c:pt idx="575">
                  <c:v>0.44401544401543891</c:v>
                </c:pt>
                <c:pt idx="576">
                  <c:v>0.44478764478763966</c:v>
                </c:pt>
                <c:pt idx="577">
                  <c:v>0.44555984555984041</c:v>
                </c:pt>
                <c:pt idx="578">
                  <c:v>0.44633204633204115</c:v>
                </c:pt>
                <c:pt idx="579">
                  <c:v>0.4471042471042419</c:v>
                </c:pt>
                <c:pt idx="580">
                  <c:v>0.44787644787644265</c:v>
                </c:pt>
                <c:pt idx="581">
                  <c:v>0.4486486486486434</c:v>
                </c:pt>
                <c:pt idx="582">
                  <c:v>0.44942084942084415</c:v>
                </c:pt>
                <c:pt idx="583">
                  <c:v>0.4501930501930449</c:v>
                </c:pt>
                <c:pt idx="584">
                  <c:v>0.45096525096524565</c:v>
                </c:pt>
                <c:pt idx="585">
                  <c:v>0.45173745173744639</c:v>
                </c:pt>
                <c:pt idx="586">
                  <c:v>0.45250965250964714</c:v>
                </c:pt>
                <c:pt idx="587">
                  <c:v>0.45328185328184789</c:v>
                </c:pt>
                <c:pt idx="588">
                  <c:v>0.45405405405404864</c:v>
                </c:pt>
                <c:pt idx="589">
                  <c:v>0.45482625482624939</c:v>
                </c:pt>
                <c:pt idx="590">
                  <c:v>0.45559845559845014</c:v>
                </c:pt>
                <c:pt idx="591">
                  <c:v>0.45637065637065088</c:v>
                </c:pt>
                <c:pt idx="592">
                  <c:v>0.45714285714285163</c:v>
                </c:pt>
                <c:pt idx="593">
                  <c:v>0.45791505791505238</c:v>
                </c:pt>
                <c:pt idx="594">
                  <c:v>0.45868725868725313</c:v>
                </c:pt>
                <c:pt idx="595">
                  <c:v>0.45945945945945388</c:v>
                </c:pt>
                <c:pt idx="596">
                  <c:v>0.46023166023165463</c:v>
                </c:pt>
                <c:pt idx="597">
                  <c:v>0.46100386100385538</c:v>
                </c:pt>
                <c:pt idx="598">
                  <c:v>0.46177606177605612</c:v>
                </c:pt>
                <c:pt idx="599">
                  <c:v>0.46254826254825687</c:v>
                </c:pt>
                <c:pt idx="600">
                  <c:v>0.46332046332045762</c:v>
                </c:pt>
                <c:pt idx="601">
                  <c:v>0.46409266409265837</c:v>
                </c:pt>
                <c:pt idx="602">
                  <c:v>0.46486486486485912</c:v>
                </c:pt>
                <c:pt idx="603">
                  <c:v>0.46563706563705987</c:v>
                </c:pt>
                <c:pt idx="604">
                  <c:v>0.46640926640926061</c:v>
                </c:pt>
                <c:pt idx="605">
                  <c:v>0.46718146718146136</c:v>
                </c:pt>
                <c:pt idx="606">
                  <c:v>0.46795366795366211</c:v>
                </c:pt>
                <c:pt idx="607">
                  <c:v>0.46872586872586286</c:v>
                </c:pt>
                <c:pt idx="608">
                  <c:v>0.46949806949806361</c:v>
                </c:pt>
                <c:pt idx="609">
                  <c:v>0.47027027027026436</c:v>
                </c:pt>
                <c:pt idx="610">
                  <c:v>0.47104247104246511</c:v>
                </c:pt>
                <c:pt idx="611">
                  <c:v>0.47181467181466585</c:v>
                </c:pt>
                <c:pt idx="612">
                  <c:v>0.4725868725868666</c:v>
                </c:pt>
                <c:pt idx="613">
                  <c:v>0.47335907335906735</c:v>
                </c:pt>
                <c:pt idx="614">
                  <c:v>0.4741312741312681</c:v>
                </c:pt>
                <c:pt idx="615">
                  <c:v>0.47490347490346885</c:v>
                </c:pt>
                <c:pt idx="616">
                  <c:v>0.4756756756756696</c:v>
                </c:pt>
                <c:pt idx="617">
                  <c:v>0.47644787644787034</c:v>
                </c:pt>
                <c:pt idx="618">
                  <c:v>0.47722007722007109</c:v>
                </c:pt>
                <c:pt idx="619">
                  <c:v>0.47799227799227184</c:v>
                </c:pt>
                <c:pt idx="620">
                  <c:v>0.47876447876447259</c:v>
                </c:pt>
                <c:pt idx="621">
                  <c:v>0.47953667953667334</c:v>
                </c:pt>
                <c:pt idx="622">
                  <c:v>0.48030888030887409</c:v>
                </c:pt>
                <c:pt idx="623">
                  <c:v>0.48108108108107484</c:v>
                </c:pt>
                <c:pt idx="624">
                  <c:v>0.48185328185327558</c:v>
                </c:pt>
                <c:pt idx="625">
                  <c:v>0.48262548262547633</c:v>
                </c:pt>
                <c:pt idx="626">
                  <c:v>0.48339768339767708</c:v>
                </c:pt>
                <c:pt idx="627">
                  <c:v>0.48416988416987783</c:v>
                </c:pt>
                <c:pt idx="628">
                  <c:v>0.48494208494207858</c:v>
                </c:pt>
                <c:pt idx="629">
                  <c:v>0.48571428571427933</c:v>
                </c:pt>
                <c:pt idx="630">
                  <c:v>0.48648648648648007</c:v>
                </c:pt>
                <c:pt idx="631">
                  <c:v>0.48725868725868082</c:v>
                </c:pt>
                <c:pt idx="632">
                  <c:v>0.48803088803088157</c:v>
                </c:pt>
                <c:pt idx="633">
                  <c:v>0.48880308880308232</c:v>
                </c:pt>
                <c:pt idx="634">
                  <c:v>0.48957528957528307</c:v>
                </c:pt>
                <c:pt idx="635">
                  <c:v>0.49034749034748382</c:v>
                </c:pt>
                <c:pt idx="636">
                  <c:v>0.49111969111968456</c:v>
                </c:pt>
                <c:pt idx="637">
                  <c:v>0.49189189189188531</c:v>
                </c:pt>
                <c:pt idx="638">
                  <c:v>0.49266409266408606</c:v>
                </c:pt>
                <c:pt idx="639">
                  <c:v>0.49343629343628681</c:v>
                </c:pt>
                <c:pt idx="640">
                  <c:v>0.49420849420848756</c:v>
                </c:pt>
                <c:pt idx="641">
                  <c:v>0.49498069498068831</c:v>
                </c:pt>
                <c:pt idx="642">
                  <c:v>0.49575289575288906</c:v>
                </c:pt>
                <c:pt idx="643">
                  <c:v>0.4965250965250898</c:v>
                </c:pt>
                <c:pt idx="644">
                  <c:v>0.49729729729729055</c:v>
                </c:pt>
                <c:pt idx="645">
                  <c:v>0.4980694980694913</c:v>
                </c:pt>
                <c:pt idx="646">
                  <c:v>0.49884169884169205</c:v>
                </c:pt>
                <c:pt idx="647">
                  <c:v>0.4996138996138928</c:v>
                </c:pt>
                <c:pt idx="648">
                  <c:v>0.50038610038609355</c:v>
                </c:pt>
                <c:pt idx="649">
                  <c:v>0.50115830115829429</c:v>
                </c:pt>
                <c:pt idx="650">
                  <c:v>0.50193050193049504</c:v>
                </c:pt>
                <c:pt idx="651">
                  <c:v>0.50270270270269579</c:v>
                </c:pt>
                <c:pt idx="652">
                  <c:v>0.50347490347489654</c:v>
                </c:pt>
                <c:pt idx="653">
                  <c:v>0.50424710424709729</c:v>
                </c:pt>
                <c:pt idx="654">
                  <c:v>0.50501930501929804</c:v>
                </c:pt>
                <c:pt idx="655">
                  <c:v>0.50579150579149879</c:v>
                </c:pt>
                <c:pt idx="656">
                  <c:v>0.50656370656369953</c:v>
                </c:pt>
                <c:pt idx="657">
                  <c:v>0.50733590733590028</c:v>
                </c:pt>
                <c:pt idx="658">
                  <c:v>0.50810810810810103</c:v>
                </c:pt>
                <c:pt idx="659">
                  <c:v>0.50888030888030178</c:v>
                </c:pt>
                <c:pt idx="660">
                  <c:v>0.50965250965250253</c:v>
                </c:pt>
                <c:pt idx="661">
                  <c:v>0.51042471042470328</c:v>
                </c:pt>
                <c:pt idx="662">
                  <c:v>0.51119691119690402</c:v>
                </c:pt>
                <c:pt idx="663">
                  <c:v>0.51196911196910477</c:v>
                </c:pt>
                <c:pt idx="664">
                  <c:v>0.51274131274130552</c:v>
                </c:pt>
                <c:pt idx="665">
                  <c:v>0.51351351351350627</c:v>
                </c:pt>
                <c:pt idx="666">
                  <c:v>0.51428571428570702</c:v>
                </c:pt>
                <c:pt idx="667">
                  <c:v>0.51505791505790777</c:v>
                </c:pt>
                <c:pt idx="668">
                  <c:v>0.51583011583010852</c:v>
                </c:pt>
                <c:pt idx="669">
                  <c:v>0.51660231660230926</c:v>
                </c:pt>
                <c:pt idx="670">
                  <c:v>0.51737451737451001</c:v>
                </c:pt>
                <c:pt idx="671">
                  <c:v>0.51814671814671076</c:v>
                </c:pt>
                <c:pt idx="672">
                  <c:v>0.51891891891891151</c:v>
                </c:pt>
                <c:pt idx="673">
                  <c:v>0.51969111969111226</c:v>
                </c:pt>
                <c:pt idx="674">
                  <c:v>0.52046332046331301</c:v>
                </c:pt>
                <c:pt idx="675">
                  <c:v>0.52123552123551375</c:v>
                </c:pt>
                <c:pt idx="676">
                  <c:v>0.5220077220077145</c:v>
                </c:pt>
                <c:pt idx="677">
                  <c:v>0.52277992277991525</c:v>
                </c:pt>
                <c:pt idx="678">
                  <c:v>0.523552123552116</c:v>
                </c:pt>
                <c:pt idx="679">
                  <c:v>0.52432432432431675</c:v>
                </c:pt>
                <c:pt idx="680">
                  <c:v>0.5250965250965175</c:v>
                </c:pt>
                <c:pt idx="681">
                  <c:v>0.52586872586871825</c:v>
                </c:pt>
                <c:pt idx="682">
                  <c:v>0.52664092664091899</c:v>
                </c:pt>
                <c:pt idx="683">
                  <c:v>0.52741312741311974</c:v>
                </c:pt>
                <c:pt idx="684">
                  <c:v>0.52818532818532049</c:v>
                </c:pt>
                <c:pt idx="685">
                  <c:v>0.52895752895752124</c:v>
                </c:pt>
                <c:pt idx="686">
                  <c:v>0.52972972972972199</c:v>
                </c:pt>
                <c:pt idx="687">
                  <c:v>0.53050193050192274</c:v>
                </c:pt>
                <c:pt idx="688">
                  <c:v>0.53127413127412348</c:v>
                </c:pt>
                <c:pt idx="689">
                  <c:v>0.53204633204632423</c:v>
                </c:pt>
                <c:pt idx="690">
                  <c:v>0.53281853281852498</c:v>
                </c:pt>
                <c:pt idx="691">
                  <c:v>0.53359073359072573</c:v>
                </c:pt>
                <c:pt idx="692">
                  <c:v>0.53436293436292648</c:v>
                </c:pt>
                <c:pt idx="693">
                  <c:v>0.53513513513512723</c:v>
                </c:pt>
                <c:pt idx="694">
                  <c:v>0.53590733590732798</c:v>
                </c:pt>
                <c:pt idx="695">
                  <c:v>0.53667953667952872</c:v>
                </c:pt>
                <c:pt idx="696">
                  <c:v>0.53745173745172947</c:v>
                </c:pt>
                <c:pt idx="697">
                  <c:v>0.53822393822393022</c:v>
                </c:pt>
                <c:pt idx="698">
                  <c:v>0.53899613899613097</c:v>
                </c:pt>
                <c:pt idx="699">
                  <c:v>0.53976833976833172</c:v>
                </c:pt>
                <c:pt idx="700">
                  <c:v>0.54054054054053247</c:v>
                </c:pt>
                <c:pt idx="701">
                  <c:v>0.54131274131273321</c:v>
                </c:pt>
                <c:pt idx="702">
                  <c:v>0.54208494208493396</c:v>
                </c:pt>
                <c:pt idx="703">
                  <c:v>0.54285714285713471</c:v>
                </c:pt>
                <c:pt idx="704">
                  <c:v>0.54362934362933546</c:v>
                </c:pt>
                <c:pt idx="705">
                  <c:v>0.54440154440153621</c:v>
                </c:pt>
                <c:pt idx="706">
                  <c:v>0.54517374517373696</c:v>
                </c:pt>
                <c:pt idx="707">
                  <c:v>0.54594594594593771</c:v>
                </c:pt>
                <c:pt idx="708">
                  <c:v>0.54671814671813845</c:v>
                </c:pt>
                <c:pt idx="709">
                  <c:v>0.5474903474903392</c:v>
                </c:pt>
                <c:pt idx="710">
                  <c:v>0.54826254826253995</c:v>
                </c:pt>
                <c:pt idx="711">
                  <c:v>0.5490347490347407</c:v>
                </c:pt>
                <c:pt idx="712">
                  <c:v>0.54980694980694145</c:v>
                </c:pt>
                <c:pt idx="713">
                  <c:v>0.5505791505791422</c:v>
                </c:pt>
                <c:pt idx="714">
                  <c:v>0.55135135135134294</c:v>
                </c:pt>
                <c:pt idx="715">
                  <c:v>0.55212355212354369</c:v>
                </c:pt>
                <c:pt idx="716">
                  <c:v>0.55289575289574444</c:v>
                </c:pt>
                <c:pt idx="717">
                  <c:v>0.55366795366794519</c:v>
                </c:pt>
                <c:pt idx="718">
                  <c:v>0.55444015444014594</c:v>
                </c:pt>
                <c:pt idx="719">
                  <c:v>0.55521235521234669</c:v>
                </c:pt>
                <c:pt idx="720">
                  <c:v>0.55598455598454743</c:v>
                </c:pt>
                <c:pt idx="721">
                  <c:v>0.55675675675674818</c:v>
                </c:pt>
                <c:pt idx="722">
                  <c:v>0.55752895752894893</c:v>
                </c:pt>
                <c:pt idx="723">
                  <c:v>0.55830115830114968</c:v>
                </c:pt>
                <c:pt idx="724">
                  <c:v>0.55907335907335043</c:v>
                </c:pt>
                <c:pt idx="725">
                  <c:v>0.55984555984555118</c:v>
                </c:pt>
                <c:pt idx="726">
                  <c:v>0.56061776061775193</c:v>
                </c:pt>
                <c:pt idx="727">
                  <c:v>0.56138996138995267</c:v>
                </c:pt>
                <c:pt idx="728">
                  <c:v>0.56216216216215342</c:v>
                </c:pt>
                <c:pt idx="729">
                  <c:v>0.56293436293435417</c:v>
                </c:pt>
                <c:pt idx="730">
                  <c:v>0.56370656370655492</c:v>
                </c:pt>
                <c:pt idx="731">
                  <c:v>0.56447876447875567</c:v>
                </c:pt>
                <c:pt idx="732">
                  <c:v>0.56525096525095642</c:v>
                </c:pt>
                <c:pt idx="733">
                  <c:v>0.56602316602315716</c:v>
                </c:pt>
                <c:pt idx="734">
                  <c:v>0.56679536679535791</c:v>
                </c:pt>
                <c:pt idx="735">
                  <c:v>0.56756756756755866</c:v>
                </c:pt>
                <c:pt idx="736">
                  <c:v>0.56833976833975941</c:v>
                </c:pt>
                <c:pt idx="737">
                  <c:v>0.56911196911196016</c:v>
                </c:pt>
                <c:pt idx="738">
                  <c:v>0.56988416988416091</c:v>
                </c:pt>
                <c:pt idx="739">
                  <c:v>0.57065637065636166</c:v>
                </c:pt>
                <c:pt idx="740">
                  <c:v>0.5714285714285624</c:v>
                </c:pt>
                <c:pt idx="741">
                  <c:v>0.57220077220076315</c:v>
                </c:pt>
                <c:pt idx="742">
                  <c:v>0.5729729729729639</c:v>
                </c:pt>
                <c:pt idx="743">
                  <c:v>0.57374517374516465</c:v>
                </c:pt>
                <c:pt idx="744">
                  <c:v>0.5745173745173654</c:v>
                </c:pt>
                <c:pt idx="745">
                  <c:v>0.57528957528956615</c:v>
                </c:pt>
                <c:pt idx="746">
                  <c:v>0.57606177606176689</c:v>
                </c:pt>
                <c:pt idx="747">
                  <c:v>0.57683397683396764</c:v>
                </c:pt>
                <c:pt idx="748">
                  <c:v>0.57760617760616839</c:v>
                </c:pt>
                <c:pt idx="749">
                  <c:v>0.57837837837836914</c:v>
                </c:pt>
                <c:pt idx="750">
                  <c:v>0.57915057915056989</c:v>
                </c:pt>
                <c:pt idx="751">
                  <c:v>0.57992277992277064</c:v>
                </c:pt>
                <c:pt idx="752">
                  <c:v>0.58069498069497139</c:v>
                </c:pt>
                <c:pt idx="753">
                  <c:v>0.58146718146717213</c:v>
                </c:pt>
                <c:pt idx="754">
                  <c:v>0.58223938223937288</c:v>
                </c:pt>
                <c:pt idx="755">
                  <c:v>0.58301158301157363</c:v>
                </c:pt>
                <c:pt idx="756">
                  <c:v>0.58378378378377438</c:v>
                </c:pt>
                <c:pt idx="757">
                  <c:v>0.58455598455597513</c:v>
                </c:pt>
                <c:pt idx="758">
                  <c:v>0.58532818532817588</c:v>
                </c:pt>
                <c:pt idx="759">
                  <c:v>0.58610038610037662</c:v>
                </c:pt>
                <c:pt idx="760">
                  <c:v>0.58687258687257737</c:v>
                </c:pt>
                <c:pt idx="761">
                  <c:v>0.58764478764477812</c:v>
                </c:pt>
                <c:pt idx="762">
                  <c:v>0.58841698841697887</c:v>
                </c:pt>
                <c:pt idx="763">
                  <c:v>0.58918918918917962</c:v>
                </c:pt>
                <c:pt idx="764">
                  <c:v>0.58996138996138037</c:v>
                </c:pt>
                <c:pt idx="765">
                  <c:v>0.59073359073358112</c:v>
                </c:pt>
                <c:pt idx="766">
                  <c:v>0.59150579150578186</c:v>
                </c:pt>
                <c:pt idx="767">
                  <c:v>0.59227799227798261</c:v>
                </c:pt>
                <c:pt idx="768">
                  <c:v>0.59305019305018336</c:v>
                </c:pt>
                <c:pt idx="769">
                  <c:v>0.59382239382238411</c:v>
                </c:pt>
                <c:pt idx="770">
                  <c:v>0.59459459459458486</c:v>
                </c:pt>
                <c:pt idx="771">
                  <c:v>0.59536679536678561</c:v>
                </c:pt>
                <c:pt idx="772">
                  <c:v>0.59613899613898635</c:v>
                </c:pt>
                <c:pt idx="773">
                  <c:v>0.5969111969111871</c:v>
                </c:pt>
                <c:pt idx="774">
                  <c:v>0.59768339768338785</c:v>
                </c:pt>
                <c:pt idx="775">
                  <c:v>0.5984555984555886</c:v>
                </c:pt>
                <c:pt idx="776">
                  <c:v>0.59922779922778935</c:v>
                </c:pt>
                <c:pt idx="777">
                  <c:v>0.5999999999999901</c:v>
                </c:pt>
                <c:pt idx="778">
                  <c:v>0.60077220077219085</c:v>
                </c:pt>
                <c:pt idx="779">
                  <c:v>0.60154440154439159</c:v>
                </c:pt>
                <c:pt idx="780">
                  <c:v>0.60231660231659234</c:v>
                </c:pt>
                <c:pt idx="781">
                  <c:v>0.60308880308879309</c:v>
                </c:pt>
                <c:pt idx="782">
                  <c:v>0.60386100386099384</c:v>
                </c:pt>
                <c:pt idx="783">
                  <c:v>0.60463320463319459</c:v>
                </c:pt>
                <c:pt idx="784">
                  <c:v>0.60540540540539534</c:v>
                </c:pt>
                <c:pt idx="785">
                  <c:v>0.60617760617759608</c:v>
                </c:pt>
                <c:pt idx="786">
                  <c:v>0.60694980694979683</c:v>
                </c:pt>
                <c:pt idx="787">
                  <c:v>0.60772200772199758</c:v>
                </c:pt>
                <c:pt idx="788">
                  <c:v>0.60849420849419833</c:v>
                </c:pt>
                <c:pt idx="789">
                  <c:v>0.60926640926639908</c:v>
                </c:pt>
                <c:pt idx="790">
                  <c:v>0.61003861003859983</c:v>
                </c:pt>
                <c:pt idx="791">
                  <c:v>0.61081081081080058</c:v>
                </c:pt>
                <c:pt idx="792">
                  <c:v>0.61158301158300132</c:v>
                </c:pt>
                <c:pt idx="793">
                  <c:v>0.61235521235520207</c:v>
                </c:pt>
                <c:pt idx="794">
                  <c:v>0.61312741312740282</c:v>
                </c:pt>
                <c:pt idx="795">
                  <c:v>0.61389961389960357</c:v>
                </c:pt>
                <c:pt idx="796">
                  <c:v>0.61467181467180432</c:v>
                </c:pt>
                <c:pt idx="797">
                  <c:v>0.61544401544400507</c:v>
                </c:pt>
                <c:pt idx="798">
                  <c:v>0.61621621621620581</c:v>
                </c:pt>
                <c:pt idx="799">
                  <c:v>0.61698841698840656</c:v>
                </c:pt>
                <c:pt idx="800">
                  <c:v>0.61776061776060731</c:v>
                </c:pt>
                <c:pt idx="801">
                  <c:v>0.61853281853280806</c:v>
                </c:pt>
                <c:pt idx="802">
                  <c:v>0.61930501930500881</c:v>
                </c:pt>
                <c:pt idx="803">
                  <c:v>0.62007722007720956</c:v>
                </c:pt>
                <c:pt idx="804">
                  <c:v>0.62084942084941031</c:v>
                </c:pt>
                <c:pt idx="805">
                  <c:v>0.62162162162161105</c:v>
                </c:pt>
                <c:pt idx="806">
                  <c:v>0.6223938223938118</c:v>
                </c:pt>
                <c:pt idx="807">
                  <c:v>0.62316602316601255</c:v>
                </c:pt>
                <c:pt idx="808">
                  <c:v>0.6239382239382133</c:v>
                </c:pt>
                <c:pt idx="809">
                  <c:v>0.62471042471041405</c:v>
                </c:pt>
                <c:pt idx="810">
                  <c:v>0.6254826254826148</c:v>
                </c:pt>
                <c:pt idx="811">
                  <c:v>0.62625482625481554</c:v>
                </c:pt>
                <c:pt idx="812">
                  <c:v>0.62702702702701629</c:v>
                </c:pt>
                <c:pt idx="813">
                  <c:v>0.62779922779921704</c:v>
                </c:pt>
                <c:pt idx="814">
                  <c:v>0.62857142857141779</c:v>
                </c:pt>
                <c:pt idx="815">
                  <c:v>0.62934362934361854</c:v>
                </c:pt>
                <c:pt idx="816">
                  <c:v>0.63011583011581929</c:v>
                </c:pt>
                <c:pt idx="817">
                  <c:v>0.63088803088802003</c:v>
                </c:pt>
                <c:pt idx="818">
                  <c:v>0.63166023166022078</c:v>
                </c:pt>
                <c:pt idx="819">
                  <c:v>0.63243243243242153</c:v>
                </c:pt>
                <c:pt idx="820">
                  <c:v>0.63320463320462228</c:v>
                </c:pt>
                <c:pt idx="821">
                  <c:v>0.63397683397682303</c:v>
                </c:pt>
                <c:pt idx="822">
                  <c:v>0.63474903474902378</c:v>
                </c:pt>
                <c:pt idx="823">
                  <c:v>0.63552123552122453</c:v>
                </c:pt>
                <c:pt idx="824">
                  <c:v>0.63629343629342527</c:v>
                </c:pt>
                <c:pt idx="825">
                  <c:v>0.63706563706562602</c:v>
                </c:pt>
                <c:pt idx="826">
                  <c:v>0.63783783783782677</c:v>
                </c:pt>
                <c:pt idx="827">
                  <c:v>0.63861003861002752</c:v>
                </c:pt>
                <c:pt idx="828">
                  <c:v>0.63938223938222827</c:v>
                </c:pt>
                <c:pt idx="829">
                  <c:v>0.64015444015442902</c:v>
                </c:pt>
                <c:pt idx="830">
                  <c:v>0.64092664092662976</c:v>
                </c:pt>
                <c:pt idx="831">
                  <c:v>0.64169884169883051</c:v>
                </c:pt>
                <c:pt idx="832">
                  <c:v>0.64247104247103126</c:v>
                </c:pt>
                <c:pt idx="833">
                  <c:v>0.64324324324323201</c:v>
                </c:pt>
                <c:pt idx="834">
                  <c:v>0.64401544401543276</c:v>
                </c:pt>
                <c:pt idx="835">
                  <c:v>0.64478764478763351</c:v>
                </c:pt>
                <c:pt idx="836">
                  <c:v>0.64555984555983426</c:v>
                </c:pt>
                <c:pt idx="837">
                  <c:v>0.646332046332035</c:v>
                </c:pt>
                <c:pt idx="838">
                  <c:v>0.64710424710423575</c:v>
                </c:pt>
                <c:pt idx="839">
                  <c:v>0.6478764478764365</c:v>
                </c:pt>
                <c:pt idx="840">
                  <c:v>0.64864864864863725</c:v>
                </c:pt>
                <c:pt idx="841">
                  <c:v>0.649420849420838</c:v>
                </c:pt>
                <c:pt idx="842">
                  <c:v>0.65019305019303875</c:v>
                </c:pt>
                <c:pt idx="843">
                  <c:v>0.65096525096523949</c:v>
                </c:pt>
                <c:pt idx="844">
                  <c:v>0.65173745173744024</c:v>
                </c:pt>
                <c:pt idx="845">
                  <c:v>0.65250965250964099</c:v>
                </c:pt>
                <c:pt idx="846">
                  <c:v>0.65328185328184174</c:v>
                </c:pt>
                <c:pt idx="847">
                  <c:v>0.65405405405404249</c:v>
                </c:pt>
                <c:pt idx="848">
                  <c:v>0.65482625482624324</c:v>
                </c:pt>
                <c:pt idx="849">
                  <c:v>0.65559845559844399</c:v>
                </c:pt>
                <c:pt idx="850">
                  <c:v>0.65637065637064473</c:v>
                </c:pt>
                <c:pt idx="851">
                  <c:v>0.65714285714284548</c:v>
                </c:pt>
                <c:pt idx="852">
                  <c:v>0.65791505791504623</c:v>
                </c:pt>
                <c:pt idx="853">
                  <c:v>0.65868725868724698</c:v>
                </c:pt>
                <c:pt idx="854">
                  <c:v>0.65945945945944773</c:v>
                </c:pt>
                <c:pt idx="855">
                  <c:v>0.66023166023164848</c:v>
                </c:pt>
                <c:pt idx="856">
                  <c:v>0.66100386100384922</c:v>
                </c:pt>
                <c:pt idx="857">
                  <c:v>0.66177606177604997</c:v>
                </c:pt>
                <c:pt idx="858">
                  <c:v>0.66254826254825072</c:v>
                </c:pt>
                <c:pt idx="859">
                  <c:v>0.66332046332045147</c:v>
                </c:pt>
                <c:pt idx="860">
                  <c:v>0.66409266409265222</c:v>
                </c:pt>
                <c:pt idx="861">
                  <c:v>0.66486486486485297</c:v>
                </c:pt>
                <c:pt idx="862">
                  <c:v>0.66563706563705372</c:v>
                </c:pt>
                <c:pt idx="863">
                  <c:v>0.66640926640925446</c:v>
                </c:pt>
                <c:pt idx="864">
                  <c:v>0.66718146718145521</c:v>
                </c:pt>
                <c:pt idx="865">
                  <c:v>0.66795366795365596</c:v>
                </c:pt>
                <c:pt idx="866">
                  <c:v>0.66872586872585671</c:v>
                </c:pt>
                <c:pt idx="867">
                  <c:v>0.66949806949805746</c:v>
                </c:pt>
                <c:pt idx="868">
                  <c:v>0.67027027027025821</c:v>
                </c:pt>
                <c:pt idx="869">
                  <c:v>0.67104247104245895</c:v>
                </c:pt>
                <c:pt idx="870">
                  <c:v>0.6718146718146597</c:v>
                </c:pt>
                <c:pt idx="871">
                  <c:v>0.67258687258686045</c:v>
                </c:pt>
                <c:pt idx="872">
                  <c:v>0.6733590733590612</c:v>
                </c:pt>
                <c:pt idx="873">
                  <c:v>0.67413127413126195</c:v>
                </c:pt>
                <c:pt idx="874">
                  <c:v>0.6749034749034627</c:v>
                </c:pt>
                <c:pt idx="875">
                  <c:v>0.67567567567566345</c:v>
                </c:pt>
                <c:pt idx="876">
                  <c:v>0.67644787644786419</c:v>
                </c:pt>
                <c:pt idx="877">
                  <c:v>0.67722007722006494</c:v>
                </c:pt>
                <c:pt idx="878">
                  <c:v>0.67799227799226569</c:v>
                </c:pt>
                <c:pt idx="879">
                  <c:v>0.67876447876446644</c:v>
                </c:pt>
                <c:pt idx="880">
                  <c:v>0.67953667953666719</c:v>
                </c:pt>
                <c:pt idx="881">
                  <c:v>0.68030888030886794</c:v>
                </c:pt>
                <c:pt idx="882">
                  <c:v>0.68108108108106868</c:v>
                </c:pt>
                <c:pt idx="883">
                  <c:v>0.68185328185326943</c:v>
                </c:pt>
                <c:pt idx="884">
                  <c:v>0.68262548262547018</c:v>
                </c:pt>
                <c:pt idx="885">
                  <c:v>0.68339768339767093</c:v>
                </c:pt>
                <c:pt idx="886">
                  <c:v>0.68416988416987168</c:v>
                </c:pt>
                <c:pt idx="887">
                  <c:v>0.68494208494207243</c:v>
                </c:pt>
                <c:pt idx="888">
                  <c:v>0.68571428571427318</c:v>
                </c:pt>
                <c:pt idx="889">
                  <c:v>0.68648648648647392</c:v>
                </c:pt>
                <c:pt idx="890">
                  <c:v>0.68725868725867467</c:v>
                </c:pt>
                <c:pt idx="891">
                  <c:v>0.68803088803087542</c:v>
                </c:pt>
                <c:pt idx="892">
                  <c:v>0.68880308880307617</c:v>
                </c:pt>
                <c:pt idx="893">
                  <c:v>0.68957528957527692</c:v>
                </c:pt>
                <c:pt idx="894">
                  <c:v>0.69034749034747767</c:v>
                </c:pt>
                <c:pt idx="895">
                  <c:v>0.69111969111967841</c:v>
                </c:pt>
                <c:pt idx="896">
                  <c:v>0.69189189189187916</c:v>
                </c:pt>
                <c:pt idx="897">
                  <c:v>0.69266409266407991</c:v>
                </c:pt>
                <c:pt idx="898">
                  <c:v>0.69343629343628066</c:v>
                </c:pt>
                <c:pt idx="899">
                  <c:v>0.69420849420848141</c:v>
                </c:pt>
                <c:pt idx="900">
                  <c:v>0.69498069498068216</c:v>
                </c:pt>
                <c:pt idx="901">
                  <c:v>0.69575289575288291</c:v>
                </c:pt>
                <c:pt idx="902">
                  <c:v>0.69652509652508365</c:v>
                </c:pt>
                <c:pt idx="903">
                  <c:v>0.6972972972972844</c:v>
                </c:pt>
                <c:pt idx="904">
                  <c:v>0.69806949806948515</c:v>
                </c:pt>
                <c:pt idx="905">
                  <c:v>0.6988416988416859</c:v>
                </c:pt>
                <c:pt idx="906">
                  <c:v>0.69961389961388665</c:v>
                </c:pt>
                <c:pt idx="907">
                  <c:v>0.7003861003860874</c:v>
                </c:pt>
                <c:pt idx="908">
                  <c:v>0.70115830115828814</c:v>
                </c:pt>
                <c:pt idx="909">
                  <c:v>0.70193050193048889</c:v>
                </c:pt>
                <c:pt idx="910">
                  <c:v>0.70270270270268964</c:v>
                </c:pt>
                <c:pt idx="911">
                  <c:v>0.70347490347489039</c:v>
                </c:pt>
                <c:pt idx="912">
                  <c:v>0.70424710424709114</c:v>
                </c:pt>
                <c:pt idx="913">
                  <c:v>0.70501930501929189</c:v>
                </c:pt>
                <c:pt idx="914">
                  <c:v>0.70579150579149263</c:v>
                </c:pt>
                <c:pt idx="915">
                  <c:v>0.70656370656369338</c:v>
                </c:pt>
                <c:pt idx="916">
                  <c:v>0.70733590733589413</c:v>
                </c:pt>
                <c:pt idx="917">
                  <c:v>0.70810810810809488</c:v>
                </c:pt>
                <c:pt idx="918">
                  <c:v>0.70888030888029563</c:v>
                </c:pt>
                <c:pt idx="919">
                  <c:v>0.70965250965249638</c:v>
                </c:pt>
                <c:pt idx="920">
                  <c:v>0.71042471042469713</c:v>
                </c:pt>
                <c:pt idx="921">
                  <c:v>0.71119691119689787</c:v>
                </c:pt>
                <c:pt idx="922">
                  <c:v>0.71196911196909862</c:v>
                </c:pt>
                <c:pt idx="923">
                  <c:v>0.71274131274129937</c:v>
                </c:pt>
                <c:pt idx="924">
                  <c:v>0.71351351351350012</c:v>
                </c:pt>
                <c:pt idx="925">
                  <c:v>0.71428571428570087</c:v>
                </c:pt>
                <c:pt idx="926">
                  <c:v>0.71505791505790162</c:v>
                </c:pt>
                <c:pt idx="927">
                  <c:v>0.71583011583010236</c:v>
                </c:pt>
                <c:pt idx="928">
                  <c:v>0.71660231660230311</c:v>
                </c:pt>
                <c:pt idx="929">
                  <c:v>0.71737451737450386</c:v>
                </c:pt>
                <c:pt idx="930">
                  <c:v>0.71814671814670461</c:v>
                </c:pt>
                <c:pt idx="931">
                  <c:v>0.71891891891890536</c:v>
                </c:pt>
                <c:pt idx="932">
                  <c:v>0.71969111969110611</c:v>
                </c:pt>
                <c:pt idx="933">
                  <c:v>0.72046332046330686</c:v>
                </c:pt>
                <c:pt idx="934">
                  <c:v>0.7212355212355076</c:v>
                </c:pt>
                <c:pt idx="935">
                  <c:v>0.72200772200770835</c:v>
                </c:pt>
                <c:pt idx="936">
                  <c:v>0.7227799227799091</c:v>
                </c:pt>
                <c:pt idx="937">
                  <c:v>0.72355212355210985</c:v>
                </c:pt>
                <c:pt idx="938">
                  <c:v>0.7243243243243106</c:v>
                </c:pt>
                <c:pt idx="939">
                  <c:v>0.72509652509651135</c:v>
                </c:pt>
                <c:pt idx="940">
                  <c:v>0.72586872586871209</c:v>
                </c:pt>
                <c:pt idx="941">
                  <c:v>0.72664092664091284</c:v>
                </c:pt>
                <c:pt idx="942">
                  <c:v>0.72741312741311359</c:v>
                </c:pt>
                <c:pt idx="943">
                  <c:v>0.72818532818531434</c:v>
                </c:pt>
                <c:pt idx="944">
                  <c:v>0.72895752895751509</c:v>
                </c:pt>
                <c:pt idx="945">
                  <c:v>0.72972972972971584</c:v>
                </c:pt>
                <c:pt idx="946">
                  <c:v>0.73050193050191659</c:v>
                </c:pt>
                <c:pt idx="947">
                  <c:v>0.73127413127411733</c:v>
                </c:pt>
                <c:pt idx="948">
                  <c:v>0.73204633204631808</c:v>
                </c:pt>
                <c:pt idx="949">
                  <c:v>0.73281853281851883</c:v>
                </c:pt>
                <c:pt idx="950">
                  <c:v>0.73359073359071958</c:v>
                </c:pt>
                <c:pt idx="951">
                  <c:v>0.73436293436292033</c:v>
                </c:pt>
                <c:pt idx="952">
                  <c:v>0.73513513513512108</c:v>
                </c:pt>
                <c:pt idx="953">
                  <c:v>0.73590733590732182</c:v>
                </c:pt>
                <c:pt idx="954">
                  <c:v>0.73667953667952257</c:v>
                </c:pt>
                <c:pt idx="955">
                  <c:v>0.73745173745172332</c:v>
                </c:pt>
                <c:pt idx="956">
                  <c:v>0.73822393822392407</c:v>
                </c:pt>
                <c:pt idx="957">
                  <c:v>0.73899613899612482</c:v>
                </c:pt>
                <c:pt idx="958">
                  <c:v>0.73976833976832557</c:v>
                </c:pt>
                <c:pt idx="959">
                  <c:v>0.74054054054052632</c:v>
                </c:pt>
                <c:pt idx="960">
                  <c:v>0.74131274131272706</c:v>
                </c:pt>
                <c:pt idx="961">
                  <c:v>0.74208494208492781</c:v>
                </c:pt>
                <c:pt idx="962">
                  <c:v>0.74285714285712856</c:v>
                </c:pt>
                <c:pt idx="963">
                  <c:v>0.74362934362932931</c:v>
                </c:pt>
                <c:pt idx="964">
                  <c:v>0.74440154440153006</c:v>
                </c:pt>
                <c:pt idx="965">
                  <c:v>0.74517374517373081</c:v>
                </c:pt>
                <c:pt idx="966">
                  <c:v>0.74594594594593155</c:v>
                </c:pt>
                <c:pt idx="967">
                  <c:v>0.7467181467181323</c:v>
                </c:pt>
                <c:pt idx="968">
                  <c:v>0.74749034749033305</c:v>
                </c:pt>
                <c:pt idx="969">
                  <c:v>0.7482625482625338</c:v>
                </c:pt>
                <c:pt idx="970">
                  <c:v>0.74903474903473455</c:v>
                </c:pt>
                <c:pt idx="971">
                  <c:v>0.7498069498069353</c:v>
                </c:pt>
                <c:pt idx="972">
                  <c:v>0.75057915057913605</c:v>
                </c:pt>
                <c:pt idx="973">
                  <c:v>0.75135135135133679</c:v>
                </c:pt>
                <c:pt idx="974">
                  <c:v>0.75212355212353754</c:v>
                </c:pt>
                <c:pt idx="975">
                  <c:v>0.75289575289573829</c:v>
                </c:pt>
                <c:pt idx="976">
                  <c:v>0.75366795366793904</c:v>
                </c:pt>
                <c:pt idx="977">
                  <c:v>0.75444015444013979</c:v>
                </c:pt>
                <c:pt idx="978">
                  <c:v>0.75521235521234054</c:v>
                </c:pt>
                <c:pt idx="979">
                  <c:v>0.75598455598454128</c:v>
                </c:pt>
                <c:pt idx="980">
                  <c:v>0.75675675675674203</c:v>
                </c:pt>
                <c:pt idx="981">
                  <c:v>0.75752895752894278</c:v>
                </c:pt>
                <c:pt idx="982">
                  <c:v>0.75830115830114353</c:v>
                </c:pt>
                <c:pt idx="983">
                  <c:v>0.75907335907334428</c:v>
                </c:pt>
                <c:pt idx="984">
                  <c:v>0.75984555984554503</c:v>
                </c:pt>
                <c:pt idx="985">
                  <c:v>0.76061776061774578</c:v>
                </c:pt>
                <c:pt idx="986">
                  <c:v>0.76138996138994652</c:v>
                </c:pt>
                <c:pt idx="987">
                  <c:v>0.76216216216214727</c:v>
                </c:pt>
                <c:pt idx="988">
                  <c:v>0.76293436293434802</c:v>
                </c:pt>
                <c:pt idx="989">
                  <c:v>0.76370656370654877</c:v>
                </c:pt>
                <c:pt idx="990">
                  <c:v>0.76447876447874952</c:v>
                </c:pt>
                <c:pt idx="991">
                  <c:v>0.76525096525095027</c:v>
                </c:pt>
                <c:pt idx="992">
                  <c:v>0.76602316602315101</c:v>
                </c:pt>
                <c:pt idx="993">
                  <c:v>0.76679536679535176</c:v>
                </c:pt>
                <c:pt idx="994">
                  <c:v>0.76756756756755251</c:v>
                </c:pt>
                <c:pt idx="995">
                  <c:v>0.76833976833975326</c:v>
                </c:pt>
                <c:pt idx="996">
                  <c:v>0.76911196911195401</c:v>
                </c:pt>
                <c:pt idx="997">
                  <c:v>0.76988416988415476</c:v>
                </c:pt>
                <c:pt idx="998">
                  <c:v>0.7706563706563555</c:v>
                </c:pt>
                <c:pt idx="999">
                  <c:v>0.77142857142855625</c:v>
                </c:pt>
                <c:pt idx="1000">
                  <c:v>0.772200772200757</c:v>
                </c:pt>
                <c:pt idx="1001">
                  <c:v>0.77297297297295775</c:v>
                </c:pt>
                <c:pt idx="1002">
                  <c:v>0.7737451737451585</c:v>
                </c:pt>
                <c:pt idx="1003">
                  <c:v>0.77451737451735925</c:v>
                </c:pt>
                <c:pt idx="1004">
                  <c:v>0.77528957528956</c:v>
                </c:pt>
                <c:pt idx="1005">
                  <c:v>0.77606177606176074</c:v>
                </c:pt>
                <c:pt idx="1006">
                  <c:v>0.77683397683396149</c:v>
                </c:pt>
                <c:pt idx="1007">
                  <c:v>0.77760617760616224</c:v>
                </c:pt>
                <c:pt idx="1008">
                  <c:v>0.77837837837836299</c:v>
                </c:pt>
                <c:pt idx="1009">
                  <c:v>0.77915057915056374</c:v>
                </c:pt>
                <c:pt idx="1010">
                  <c:v>0.77992277992276449</c:v>
                </c:pt>
                <c:pt idx="1011">
                  <c:v>0.78069498069496523</c:v>
                </c:pt>
                <c:pt idx="1012">
                  <c:v>0.78146718146716598</c:v>
                </c:pt>
                <c:pt idx="1013">
                  <c:v>0.78223938223936673</c:v>
                </c:pt>
                <c:pt idx="1014">
                  <c:v>0.78301158301156748</c:v>
                </c:pt>
                <c:pt idx="1015">
                  <c:v>0.78378378378376823</c:v>
                </c:pt>
                <c:pt idx="1016">
                  <c:v>0.78455598455596898</c:v>
                </c:pt>
                <c:pt idx="1017">
                  <c:v>0.78532818532816973</c:v>
                </c:pt>
                <c:pt idx="1018">
                  <c:v>0.78610038610037047</c:v>
                </c:pt>
                <c:pt idx="1019">
                  <c:v>0.78687258687257122</c:v>
                </c:pt>
                <c:pt idx="1020">
                  <c:v>0.78764478764477197</c:v>
                </c:pt>
                <c:pt idx="1021">
                  <c:v>0.78841698841697272</c:v>
                </c:pt>
                <c:pt idx="1022">
                  <c:v>0.78918918918917347</c:v>
                </c:pt>
                <c:pt idx="1023">
                  <c:v>0.78996138996137422</c:v>
                </c:pt>
                <c:pt idx="1024">
                  <c:v>0.79073359073357496</c:v>
                </c:pt>
                <c:pt idx="1025">
                  <c:v>0.79150579150577571</c:v>
                </c:pt>
                <c:pt idx="1026">
                  <c:v>0.79227799227797646</c:v>
                </c:pt>
                <c:pt idx="1027">
                  <c:v>0.79305019305017721</c:v>
                </c:pt>
                <c:pt idx="1028">
                  <c:v>0.79382239382237796</c:v>
                </c:pt>
                <c:pt idx="1029">
                  <c:v>0.79459459459457871</c:v>
                </c:pt>
                <c:pt idx="1030">
                  <c:v>0.79536679536677946</c:v>
                </c:pt>
                <c:pt idx="1031">
                  <c:v>0.7961389961389802</c:v>
                </c:pt>
                <c:pt idx="1032">
                  <c:v>0.79691119691118095</c:v>
                </c:pt>
                <c:pt idx="1033">
                  <c:v>0.7976833976833817</c:v>
                </c:pt>
                <c:pt idx="1034">
                  <c:v>0.79845559845558245</c:v>
                </c:pt>
                <c:pt idx="1035">
                  <c:v>0.7992277992277832</c:v>
                </c:pt>
                <c:pt idx="1036">
                  <c:v>0.79999999999998395</c:v>
                </c:pt>
                <c:pt idx="1037">
                  <c:v>0.80077220077218469</c:v>
                </c:pt>
                <c:pt idx="1038">
                  <c:v>0.80154440154438544</c:v>
                </c:pt>
                <c:pt idx="1039">
                  <c:v>0.80231660231658619</c:v>
                </c:pt>
                <c:pt idx="1040">
                  <c:v>0.80308880308878694</c:v>
                </c:pt>
                <c:pt idx="1041">
                  <c:v>0.80386100386098769</c:v>
                </c:pt>
                <c:pt idx="1042">
                  <c:v>0.80463320463318844</c:v>
                </c:pt>
                <c:pt idx="1043">
                  <c:v>0.80540540540538919</c:v>
                </c:pt>
                <c:pt idx="1044">
                  <c:v>0.80617760617758993</c:v>
                </c:pt>
                <c:pt idx="1045">
                  <c:v>0.80694980694979068</c:v>
                </c:pt>
                <c:pt idx="1046">
                  <c:v>0.80772200772199143</c:v>
                </c:pt>
                <c:pt idx="1047">
                  <c:v>0.80849420849419218</c:v>
                </c:pt>
                <c:pt idx="1048">
                  <c:v>0.80926640926639293</c:v>
                </c:pt>
                <c:pt idx="1049">
                  <c:v>0.81003861003859368</c:v>
                </c:pt>
                <c:pt idx="1050">
                  <c:v>0.81081081081079442</c:v>
                </c:pt>
                <c:pt idx="1051">
                  <c:v>0.81158301158299517</c:v>
                </c:pt>
                <c:pt idx="1052">
                  <c:v>0.81235521235519592</c:v>
                </c:pt>
                <c:pt idx="1053">
                  <c:v>0.81312741312739667</c:v>
                </c:pt>
                <c:pt idx="1054">
                  <c:v>0.81389961389959742</c:v>
                </c:pt>
                <c:pt idx="1055">
                  <c:v>0.81467181467179817</c:v>
                </c:pt>
                <c:pt idx="1056">
                  <c:v>0.81544401544399892</c:v>
                </c:pt>
                <c:pt idx="1057">
                  <c:v>0.81621621621619966</c:v>
                </c:pt>
                <c:pt idx="1058">
                  <c:v>0.81698841698840041</c:v>
                </c:pt>
                <c:pt idx="1059">
                  <c:v>0.81776061776060116</c:v>
                </c:pt>
                <c:pt idx="1060">
                  <c:v>0.81853281853280191</c:v>
                </c:pt>
                <c:pt idx="1061">
                  <c:v>0.81930501930500266</c:v>
                </c:pt>
                <c:pt idx="1062">
                  <c:v>0.82007722007720341</c:v>
                </c:pt>
                <c:pt idx="1063">
                  <c:v>0.82084942084940415</c:v>
                </c:pt>
                <c:pt idx="1064">
                  <c:v>0.8216216216216049</c:v>
                </c:pt>
                <c:pt idx="1065">
                  <c:v>0.82239382239380565</c:v>
                </c:pt>
                <c:pt idx="1066">
                  <c:v>0.8231660231660064</c:v>
                </c:pt>
                <c:pt idx="1067">
                  <c:v>0.82393822393820715</c:v>
                </c:pt>
                <c:pt idx="1068">
                  <c:v>0.8247104247104079</c:v>
                </c:pt>
                <c:pt idx="1069">
                  <c:v>0.82548262548260865</c:v>
                </c:pt>
                <c:pt idx="1070">
                  <c:v>0.82625482625480939</c:v>
                </c:pt>
                <c:pt idx="1071">
                  <c:v>0.82702702702701014</c:v>
                </c:pt>
                <c:pt idx="1072">
                  <c:v>0.82779922779921089</c:v>
                </c:pt>
                <c:pt idx="1073">
                  <c:v>0.82857142857141164</c:v>
                </c:pt>
                <c:pt idx="1074">
                  <c:v>0.82934362934361239</c:v>
                </c:pt>
                <c:pt idx="1075">
                  <c:v>0.83011583011581314</c:v>
                </c:pt>
                <c:pt idx="1076">
                  <c:v>0.83088803088801388</c:v>
                </c:pt>
                <c:pt idx="1077">
                  <c:v>0.83166023166021463</c:v>
                </c:pt>
                <c:pt idx="1078">
                  <c:v>0.83243243243241538</c:v>
                </c:pt>
                <c:pt idx="1079">
                  <c:v>0.83320463320461613</c:v>
                </c:pt>
                <c:pt idx="1080">
                  <c:v>0.83397683397681688</c:v>
                </c:pt>
                <c:pt idx="1081">
                  <c:v>0.83474903474901763</c:v>
                </c:pt>
                <c:pt idx="1082">
                  <c:v>0.83552123552121838</c:v>
                </c:pt>
                <c:pt idx="1083">
                  <c:v>0.83629343629341912</c:v>
                </c:pt>
                <c:pt idx="1084">
                  <c:v>0.83706563706561987</c:v>
                </c:pt>
                <c:pt idx="1085">
                  <c:v>0.83783783783782062</c:v>
                </c:pt>
                <c:pt idx="1086">
                  <c:v>0.83861003861002137</c:v>
                </c:pt>
                <c:pt idx="1087">
                  <c:v>0.83938223938222212</c:v>
                </c:pt>
                <c:pt idx="1088">
                  <c:v>0.84015444015442287</c:v>
                </c:pt>
                <c:pt idx="1089">
                  <c:v>0.84092664092662361</c:v>
                </c:pt>
                <c:pt idx="1090">
                  <c:v>0.84169884169882436</c:v>
                </c:pt>
                <c:pt idx="1091">
                  <c:v>0.84247104247102511</c:v>
                </c:pt>
                <c:pt idx="1092">
                  <c:v>0.84324324324322586</c:v>
                </c:pt>
                <c:pt idx="1093">
                  <c:v>0.84401544401542661</c:v>
                </c:pt>
                <c:pt idx="1094">
                  <c:v>0.84478764478762736</c:v>
                </c:pt>
                <c:pt idx="1095">
                  <c:v>0.8455598455598281</c:v>
                </c:pt>
                <c:pt idx="1096">
                  <c:v>0.84633204633202885</c:v>
                </c:pt>
                <c:pt idx="1097">
                  <c:v>0.8471042471042296</c:v>
                </c:pt>
                <c:pt idx="1098">
                  <c:v>0.84787644787643035</c:v>
                </c:pt>
                <c:pt idx="1099">
                  <c:v>0.8486486486486311</c:v>
                </c:pt>
                <c:pt idx="1100">
                  <c:v>0.84942084942083185</c:v>
                </c:pt>
                <c:pt idx="1101">
                  <c:v>0.8501930501930326</c:v>
                </c:pt>
                <c:pt idx="1102">
                  <c:v>0.85096525096523334</c:v>
                </c:pt>
                <c:pt idx="1103">
                  <c:v>0.85173745173743409</c:v>
                </c:pt>
                <c:pt idx="1104">
                  <c:v>0.85250965250963484</c:v>
                </c:pt>
                <c:pt idx="1105">
                  <c:v>0.85328185328183559</c:v>
                </c:pt>
                <c:pt idx="1106">
                  <c:v>0.85405405405403634</c:v>
                </c:pt>
                <c:pt idx="1107">
                  <c:v>0.85482625482623709</c:v>
                </c:pt>
                <c:pt idx="1108">
                  <c:v>0.85559845559843783</c:v>
                </c:pt>
                <c:pt idx="1109">
                  <c:v>0.85637065637063858</c:v>
                </c:pt>
                <c:pt idx="1110">
                  <c:v>0.85714285714283933</c:v>
                </c:pt>
                <c:pt idx="1111">
                  <c:v>0.85791505791504008</c:v>
                </c:pt>
                <c:pt idx="1112">
                  <c:v>0.85868725868724083</c:v>
                </c:pt>
                <c:pt idx="1113">
                  <c:v>0.85945945945944158</c:v>
                </c:pt>
                <c:pt idx="1114">
                  <c:v>0.86023166023164233</c:v>
                </c:pt>
                <c:pt idx="1115">
                  <c:v>0.86100386100384307</c:v>
                </c:pt>
                <c:pt idx="1116">
                  <c:v>0.86177606177604382</c:v>
                </c:pt>
                <c:pt idx="1117">
                  <c:v>0.86254826254824457</c:v>
                </c:pt>
                <c:pt idx="1118">
                  <c:v>0.86332046332044532</c:v>
                </c:pt>
                <c:pt idx="1119">
                  <c:v>0.86409266409264607</c:v>
                </c:pt>
                <c:pt idx="1120">
                  <c:v>0.86486486486484682</c:v>
                </c:pt>
                <c:pt idx="1121">
                  <c:v>0.86563706563704756</c:v>
                </c:pt>
                <c:pt idx="1122">
                  <c:v>0.86640926640924831</c:v>
                </c:pt>
                <c:pt idx="1123">
                  <c:v>0.86718146718144906</c:v>
                </c:pt>
                <c:pt idx="1124">
                  <c:v>0.86795366795364981</c:v>
                </c:pt>
                <c:pt idx="1125">
                  <c:v>0.86872586872585056</c:v>
                </c:pt>
                <c:pt idx="1126">
                  <c:v>0.86949806949805131</c:v>
                </c:pt>
                <c:pt idx="1127">
                  <c:v>0.87027027027025206</c:v>
                </c:pt>
                <c:pt idx="1128">
                  <c:v>0.8710424710424528</c:v>
                </c:pt>
                <c:pt idx="1129">
                  <c:v>0.87181467181465355</c:v>
                </c:pt>
                <c:pt idx="1130">
                  <c:v>0.8725868725868543</c:v>
                </c:pt>
                <c:pt idx="1131">
                  <c:v>0.87335907335905505</c:v>
                </c:pt>
                <c:pt idx="1132">
                  <c:v>0.8741312741312558</c:v>
                </c:pt>
                <c:pt idx="1133">
                  <c:v>0.87490347490345655</c:v>
                </c:pt>
                <c:pt idx="1134">
                  <c:v>0.87567567567565729</c:v>
                </c:pt>
                <c:pt idx="1135">
                  <c:v>0.87644787644785804</c:v>
                </c:pt>
                <c:pt idx="1136">
                  <c:v>0.87722007722005879</c:v>
                </c:pt>
                <c:pt idx="1137">
                  <c:v>0.87799227799225954</c:v>
                </c:pt>
                <c:pt idx="1138">
                  <c:v>0.87876447876446029</c:v>
                </c:pt>
                <c:pt idx="1139">
                  <c:v>0.87953667953666104</c:v>
                </c:pt>
                <c:pt idx="1140">
                  <c:v>0.88030888030886179</c:v>
                </c:pt>
                <c:pt idx="1141">
                  <c:v>0.88108108108106253</c:v>
                </c:pt>
                <c:pt idx="1142">
                  <c:v>0.88185328185326328</c:v>
                </c:pt>
                <c:pt idx="1143">
                  <c:v>0.88262548262546403</c:v>
                </c:pt>
                <c:pt idx="1144">
                  <c:v>0.88339768339766478</c:v>
                </c:pt>
                <c:pt idx="1145">
                  <c:v>0.88416988416986553</c:v>
                </c:pt>
                <c:pt idx="1146">
                  <c:v>0.88494208494206628</c:v>
                </c:pt>
                <c:pt idx="1147">
                  <c:v>0.88571428571426702</c:v>
                </c:pt>
                <c:pt idx="1148">
                  <c:v>0.88648648648646777</c:v>
                </c:pt>
                <c:pt idx="1149">
                  <c:v>0.88725868725866852</c:v>
                </c:pt>
                <c:pt idx="1150">
                  <c:v>0.88803088803086927</c:v>
                </c:pt>
                <c:pt idx="1151">
                  <c:v>0.88880308880307002</c:v>
                </c:pt>
                <c:pt idx="1152">
                  <c:v>0.88957528957527077</c:v>
                </c:pt>
                <c:pt idx="1153">
                  <c:v>0.89034749034747152</c:v>
                </c:pt>
                <c:pt idx="1154">
                  <c:v>0.89111969111967226</c:v>
                </c:pt>
                <c:pt idx="1155">
                  <c:v>0.89189189189187301</c:v>
                </c:pt>
                <c:pt idx="1156">
                  <c:v>0.89266409266407376</c:v>
                </c:pt>
                <c:pt idx="1157">
                  <c:v>0.89343629343627451</c:v>
                </c:pt>
                <c:pt idx="1158">
                  <c:v>0.89420849420847526</c:v>
                </c:pt>
                <c:pt idx="1159">
                  <c:v>0.89498069498067601</c:v>
                </c:pt>
                <c:pt idx="1160">
                  <c:v>0.89575289575287675</c:v>
                </c:pt>
                <c:pt idx="1161">
                  <c:v>0.8965250965250775</c:v>
                </c:pt>
                <c:pt idx="1162">
                  <c:v>0.89729729729727825</c:v>
                </c:pt>
                <c:pt idx="1163">
                  <c:v>0.898069498069479</c:v>
                </c:pt>
                <c:pt idx="1164">
                  <c:v>0.89884169884167975</c:v>
                </c:pt>
                <c:pt idx="1165">
                  <c:v>0.8996138996138805</c:v>
                </c:pt>
                <c:pt idx="1166">
                  <c:v>0.90038610038608125</c:v>
                </c:pt>
                <c:pt idx="1167">
                  <c:v>0.90115830115828199</c:v>
                </c:pt>
                <c:pt idx="1168">
                  <c:v>0.90193050193048274</c:v>
                </c:pt>
                <c:pt idx="1169">
                  <c:v>0.90270270270268349</c:v>
                </c:pt>
                <c:pt idx="1170">
                  <c:v>0.90347490347488424</c:v>
                </c:pt>
                <c:pt idx="1171">
                  <c:v>0.90424710424708499</c:v>
                </c:pt>
                <c:pt idx="1172">
                  <c:v>0.90501930501928574</c:v>
                </c:pt>
                <c:pt idx="1173">
                  <c:v>0.90579150579148648</c:v>
                </c:pt>
                <c:pt idx="1174">
                  <c:v>0.90656370656368723</c:v>
                </c:pt>
                <c:pt idx="1175">
                  <c:v>0.90733590733588798</c:v>
                </c:pt>
                <c:pt idx="1176">
                  <c:v>0.90810810810808873</c:v>
                </c:pt>
                <c:pt idx="1177">
                  <c:v>0.90888030888028948</c:v>
                </c:pt>
                <c:pt idx="1178">
                  <c:v>0.90965250965249023</c:v>
                </c:pt>
                <c:pt idx="1179">
                  <c:v>0.91042471042469097</c:v>
                </c:pt>
                <c:pt idx="1180">
                  <c:v>0.91119691119689172</c:v>
                </c:pt>
                <c:pt idx="1181">
                  <c:v>0.91196911196909247</c:v>
                </c:pt>
                <c:pt idx="1182">
                  <c:v>0.91274131274129322</c:v>
                </c:pt>
                <c:pt idx="1183">
                  <c:v>0.91351351351349397</c:v>
                </c:pt>
                <c:pt idx="1184">
                  <c:v>0.91428571428569472</c:v>
                </c:pt>
                <c:pt idx="1185">
                  <c:v>0.91505791505789547</c:v>
                </c:pt>
                <c:pt idx="1186">
                  <c:v>0.91583011583009621</c:v>
                </c:pt>
                <c:pt idx="1187">
                  <c:v>0.91660231660229696</c:v>
                </c:pt>
                <c:pt idx="1188">
                  <c:v>0.91737451737449771</c:v>
                </c:pt>
                <c:pt idx="1189">
                  <c:v>0.91814671814669846</c:v>
                </c:pt>
                <c:pt idx="1190">
                  <c:v>0.91891891891889921</c:v>
                </c:pt>
                <c:pt idx="1191">
                  <c:v>0.91969111969109996</c:v>
                </c:pt>
                <c:pt idx="1192">
                  <c:v>0.9204633204633007</c:v>
                </c:pt>
                <c:pt idx="1193">
                  <c:v>0.92123552123550145</c:v>
                </c:pt>
                <c:pt idx="1194">
                  <c:v>0.9220077220077022</c:v>
                </c:pt>
                <c:pt idx="1195">
                  <c:v>0.92277992277990295</c:v>
                </c:pt>
                <c:pt idx="1196">
                  <c:v>0.9235521235521037</c:v>
                </c:pt>
                <c:pt idx="1197">
                  <c:v>0.92432432432430445</c:v>
                </c:pt>
                <c:pt idx="1198">
                  <c:v>0.9250965250965052</c:v>
                </c:pt>
                <c:pt idx="1199">
                  <c:v>0.92586872586870594</c:v>
                </c:pt>
                <c:pt idx="1200">
                  <c:v>0.92664092664090669</c:v>
                </c:pt>
                <c:pt idx="1201">
                  <c:v>0.92741312741310744</c:v>
                </c:pt>
                <c:pt idx="1202">
                  <c:v>0.92818532818530819</c:v>
                </c:pt>
                <c:pt idx="1203">
                  <c:v>0.92895752895750894</c:v>
                </c:pt>
                <c:pt idx="1204">
                  <c:v>0.92972972972970969</c:v>
                </c:pt>
                <c:pt idx="1205">
                  <c:v>0.93050193050191043</c:v>
                </c:pt>
                <c:pt idx="1206">
                  <c:v>0.93127413127411118</c:v>
                </c:pt>
                <c:pt idx="1207">
                  <c:v>0.93204633204631193</c:v>
                </c:pt>
                <c:pt idx="1208">
                  <c:v>0.93281853281851268</c:v>
                </c:pt>
                <c:pt idx="1209">
                  <c:v>0.93359073359071343</c:v>
                </c:pt>
                <c:pt idx="1210">
                  <c:v>0.93436293436291418</c:v>
                </c:pt>
                <c:pt idx="1211">
                  <c:v>0.93513513513511493</c:v>
                </c:pt>
                <c:pt idx="1212">
                  <c:v>0.93590733590731567</c:v>
                </c:pt>
                <c:pt idx="1213">
                  <c:v>0.93667953667951642</c:v>
                </c:pt>
                <c:pt idx="1214">
                  <c:v>0.93745173745171717</c:v>
                </c:pt>
                <c:pt idx="1215">
                  <c:v>0.93822393822391792</c:v>
                </c:pt>
                <c:pt idx="1216">
                  <c:v>0.93899613899611867</c:v>
                </c:pt>
                <c:pt idx="1217">
                  <c:v>0.93976833976831942</c:v>
                </c:pt>
                <c:pt idx="1218">
                  <c:v>0.94054054054052016</c:v>
                </c:pt>
                <c:pt idx="1219">
                  <c:v>0.94131274131272091</c:v>
                </c:pt>
                <c:pt idx="1220">
                  <c:v>0.94208494208492166</c:v>
                </c:pt>
                <c:pt idx="1221">
                  <c:v>0.94285714285712241</c:v>
                </c:pt>
                <c:pt idx="1222">
                  <c:v>0.94362934362932316</c:v>
                </c:pt>
                <c:pt idx="1223">
                  <c:v>0.94440154440152391</c:v>
                </c:pt>
                <c:pt idx="1224">
                  <c:v>0.94517374517372466</c:v>
                </c:pt>
                <c:pt idx="1225">
                  <c:v>0.9459459459459254</c:v>
                </c:pt>
                <c:pt idx="1226">
                  <c:v>0.94671814671812615</c:v>
                </c:pt>
                <c:pt idx="1227">
                  <c:v>0.9474903474903269</c:v>
                </c:pt>
                <c:pt idx="1228">
                  <c:v>0.94826254826252765</c:v>
                </c:pt>
                <c:pt idx="1229">
                  <c:v>0.9490347490347284</c:v>
                </c:pt>
                <c:pt idx="1230">
                  <c:v>0.94980694980692915</c:v>
                </c:pt>
                <c:pt idx="1231">
                  <c:v>0.95057915057912989</c:v>
                </c:pt>
                <c:pt idx="1232">
                  <c:v>0.95135135135133064</c:v>
                </c:pt>
                <c:pt idx="1233">
                  <c:v>0.95212355212353139</c:v>
                </c:pt>
                <c:pt idx="1234">
                  <c:v>0.95289575289573214</c:v>
                </c:pt>
                <c:pt idx="1235">
                  <c:v>0.95366795366793289</c:v>
                </c:pt>
                <c:pt idx="1236">
                  <c:v>0.95444015444013364</c:v>
                </c:pt>
                <c:pt idx="1237">
                  <c:v>0.95521235521233439</c:v>
                </c:pt>
                <c:pt idx="1238">
                  <c:v>0.95598455598453513</c:v>
                </c:pt>
                <c:pt idx="1239">
                  <c:v>0.95675675675673588</c:v>
                </c:pt>
                <c:pt idx="1240">
                  <c:v>0.95752895752893663</c:v>
                </c:pt>
                <c:pt idx="1241">
                  <c:v>0.95830115830113738</c:v>
                </c:pt>
                <c:pt idx="1242">
                  <c:v>0.95907335907333813</c:v>
                </c:pt>
                <c:pt idx="1243">
                  <c:v>0.95984555984553888</c:v>
                </c:pt>
                <c:pt idx="1244">
                  <c:v>0.96061776061773962</c:v>
                </c:pt>
                <c:pt idx="1245">
                  <c:v>0.96138996138994037</c:v>
                </c:pt>
                <c:pt idx="1246">
                  <c:v>0.96216216216214112</c:v>
                </c:pt>
                <c:pt idx="1247">
                  <c:v>0.96293436293434187</c:v>
                </c:pt>
                <c:pt idx="1248">
                  <c:v>0.96370656370654262</c:v>
                </c:pt>
                <c:pt idx="1249">
                  <c:v>0.96447876447874337</c:v>
                </c:pt>
                <c:pt idx="1250">
                  <c:v>0.96525096525094412</c:v>
                </c:pt>
                <c:pt idx="1251">
                  <c:v>0.96602316602314486</c:v>
                </c:pt>
                <c:pt idx="1252">
                  <c:v>0.96679536679534561</c:v>
                </c:pt>
                <c:pt idx="1253">
                  <c:v>0.96756756756754636</c:v>
                </c:pt>
                <c:pt idx="1254">
                  <c:v>0.96833976833974711</c:v>
                </c:pt>
                <c:pt idx="1255">
                  <c:v>0.96911196911194786</c:v>
                </c:pt>
                <c:pt idx="1256">
                  <c:v>0.96988416988414861</c:v>
                </c:pt>
                <c:pt idx="1257">
                  <c:v>0.97065637065634935</c:v>
                </c:pt>
                <c:pt idx="1258">
                  <c:v>0.9714285714285501</c:v>
                </c:pt>
                <c:pt idx="1259">
                  <c:v>0.97220077220075085</c:v>
                </c:pt>
                <c:pt idx="1260">
                  <c:v>0.9729729729729516</c:v>
                </c:pt>
                <c:pt idx="1261">
                  <c:v>0.97374517374515235</c:v>
                </c:pt>
                <c:pt idx="1262">
                  <c:v>0.9745173745173531</c:v>
                </c:pt>
                <c:pt idx="1263">
                  <c:v>0.97528957528955385</c:v>
                </c:pt>
                <c:pt idx="1264">
                  <c:v>0.97606177606175459</c:v>
                </c:pt>
                <c:pt idx="1265">
                  <c:v>0.97683397683395534</c:v>
                </c:pt>
                <c:pt idx="1266">
                  <c:v>0.97760617760615609</c:v>
                </c:pt>
                <c:pt idx="1267">
                  <c:v>0.97837837837835684</c:v>
                </c:pt>
                <c:pt idx="1268">
                  <c:v>0.97915057915055759</c:v>
                </c:pt>
                <c:pt idx="1269">
                  <c:v>0.97992277992275834</c:v>
                </c:pt>
                <c:pt idx="1270">
                  <c:v>0.98069498069495908</c:v>
                </c:pt>
                <c:pt idx="1271">
                  <c:v>0.98146718146715983</c:v>
                </c:pt>
                <c:pt idx="1272">
                  <c:v>0.98223938223936058</c:v>
                </c:pt>
                <c:pt idx="1273">
                  <c:v>0.98301158301156133</c:v>
                </c:pt>
                <c:pt idx="1274">
                  <c:v>0.98378378378376208</c:v>
                </c:pt>
                <c:pt idx="1275">
                  <c:v>0.98455598455596283</c:v>
                </c:pt>
                <c:pt idx="1276">
                  <c:v>0.98532818532816357</c:v>
                </c:pt>
                <c:pt idx="1277">
                  <c:v>0.98610038610036432</c:v>
                </c:pt>
                <c:pt idx="1278">
                  <c:v>0.98687258687256507</c:v>
                </c:pt>
                <c:pt idx="1279">
                  <c:v>0.98764478764476582</c:v>
                </c:pt>
                <c:pt idx="1280">
                  <c:v>0.98841698841696657</c:v>
                </c:pt>
                <c:pt idx="1281">
                  <c:v>0.98918918918916732</c:v>
                </c:pt>
                <c:pt idx="1282">
                  <c:v>0.98996138996136807</c:v>
                </c:pt>
                <c:pt idx="1283">
                  <c:v>0.99073359073356881</c:v>
                </c:pt>
                <c:pt idx="1284">
                  <c:v>0.99150579150576956</c:v>
                </c:pt>
                <c:pt idx="1285">
                  <c:v>0.99227799227797031</c:v>
                </c:pt>
                <c:pt idx="1286">
                  <c:v>0.99305019305017106</c:v>
                </c:pt>
                <c:pt idx="1287">
                  <c:v>0.99382239382237181</c:v>
                </c:pt>
                <c:pt idx="1288">
                  <c:v>0.99459459459457256</c:v>
                </c:pt>
                <c:pt idx="1289">
                  <c:v>0.9953667953667733</c:v>
                </c:pt>
                <c:pt idx="1290">
                  <c:v>0.99613899613897405</c:v>
                </c:pt>
                <c:pt idx="1291">
                  <c:v>0.9969111969111748</c:v>
                </c:pt>
                <c:pt idx="1292">
                  <c:v>0.99768339768337555</c:v>
                </c:pt>
                <c:pt idx="1293">
                  <c:v>0.9984555984555763</c:v>
                </c:pt>
                <c:pt idx="1294">
                  <c:v>0.99922779922777705</c:v>
                </c:pt>
                <c:pt idx="1295">
                  <c:v>0.9999999999999778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BD-49B5-9E51-B65C4E79535D}"/>
            </c:ext>
          </c:extLst>
        </c:ser>
        <c:ser>
          <c:idx val="2"/>
          <c:order val="2"/>
          <c:tx>
            <c:v>Átlagpont</c:v>
          </c:tx>
          <c:marker>
            <c:symbol val="circle"/>
            <c:size val="8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</c:spPr>
          </c:marker>
          <c:xVal>
            <c:numRef>
              <c:f>'E5.3'!$J$44</c:f>
              <c:numCache>
                <c:formatCode>0.0%</c:formatCode>
                <c:ptCount val="1"/>
                <c:pt idx="0">
                  <c:v>0.7243243243243106</c:v>
                </c:pt>
              </c:numCache>
            </c:numRef>
          </c:xVal>
          <c:yVal>
            <c:numRef>
              <c:f>'E5.3'!$K$44</c:f>
              <c:numCache>
                <c:formatCode>0.0%</c:formatCode>
                <c:ptCount val="1"/>
                <c:pt idx="0">
                  <c:v>0.22729527222517867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BD-49B5-9E51-B65C4E795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53680"/>
        <c:axId val="294353120"/>
      </c:scatterChart>
      <c:valAx>
        <c:axId val="294353680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0.94701686121919582"/>
              <c:y val="0.8805128160949247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120"/>
        <c:crosses val="autoZero"/>
        <c:crossBetween val="midCat"/>
        <c:majorUnit val="0.1"/>
      </c:valAx>
      <c:valAx>
        <c:axId val="29435312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Z'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2.4735234943881041E-2"/>
              <c:y val="6.6914159070365173E-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4353680"/>
        <c:crossesAt val="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233" r="0.75000000000000233" t="1" header="0.5" footer="0.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Lorenz-görbék</a:t>
            </a:r>
          </a:p>
        </c:rich>
      </c:tx>
      <c:layout>
        <c:manualLayout>
          <c:xMode val="edge"/>
          <c:yMode val="edge"/>
          <c:x val="0.39068825910931176"/>
          <c:y val="3.21888412017167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923076923076927E-2"/>
          <c:y val="9.4917514118292939E-2"/>
          <c:w val="0.8502024291497976"/>
          <c:h val="0.8321220954354781"/>
        </c:manualLayout>
      </c:layout>
      <c:lineChart>
        <c:grouping val="standard"/>
        <c:varyColors val="0"/>
        <c:ser>
          <c:idx val="3"/>
          <c:order val="0"/>
          <c:tx>
            <c:strRef>
              <c:f>'E5.4'!$E$21</c:f>
              <c:strCache>
                <c:ptCount val="1"/>
                <c:pt idx="0">
                  <c:v>2020</c:v>
                </c:pt>
              </c:strCache>
            </c:strRef>
          </c:tx>
          <c:spPr>
            <a:ln w="22225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  <a:prstDash val="solid"/>
              </a:ln>
            </c:spPr>
          </c:marker>
          <c:cat>
            <c:numRef>
              <c:f>'E5.4'!$B$22:$B$32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'E5.4'!$E$22:$E$32</c:f>
              <c:numCache>
                <c:formatCode>0.0</c:formatCode>
                <c:ptCount val="11"/>
                <c:pt idx="0" formatCode="General">
                  <c:v>0</c:v>
                </c:pt>
                <c:pt idx="1">
                  <c:v>1.2</c:v>
                </c:pt>
                <c:pt idx="2">
                  <c:v>2.8</c:v>
                </c:pt>
                <c:pt idx="3">
                  <c:v>4.8</c:v>
                </c:pt>
                <c:pt idx="4">
                  <c:v>6.9</c:v>
                </c:pt>
                <c:pt idx="5">
                  <c:v>19</c:v>
                </c:pt>
                <c:pt idx="6">
                  <c:v>21.4</c:v>
                </c:pt>
                <c:pt idx="7">
                  <c:v>24.5</c:v>
                </c:pt>
                <c:pt idx="8">
                  <c:v>28.8</c:v>
                </c:pt>
                <c:pt idx="9">
                  <c:v>34.200000000000003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D-40F9-AA66-996C9D50FA84}"/>
            </c:ext>
          </c:extLst>
        </c:ser>
        <c:ser>
          <c:idx val="2"/>
          <c:order val="1"/>
          <c:tx>
            <c:strRef>
              <c:f>'E5.4'!$D$21</c:f>
              <c:strCache>
                <c:ptCount val="1"/>
                <c:pt idx="0">
                  <c:v>2017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  <a:prstDash val="solid"/>
              </a:ln>
            </c:spPr>
          </c:marker>
          <c:cat>
            <c:numRef>
              <c:f>'E5.4'!$B$22:$B$32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'E5.4'!$D$22:$D$32</c:f>
              <c:numCache>
                <c:formatCode>0.0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2.4</c:v>
                </c:pt>
                <c:pt idx="3">
                  <c:v>4.0999999999999996</c:v>
                </c:pt>
                <c:pt idx="4">
                  <c:v>6.3999999999999995</c:v>
                </c:pt>
                <c:pt idx="5">
                  <c:v>15.899999999999999</c:v>
                </c:pt>
                <c:pt idx="6">
                  <c:v>18.299999999999997</c:v>
                </c:pt>
                <c:pt idx="7">
                  <c:v>21.199999999999996</c:v>
                </c:pt>
                <c:pt idx="8">
                  <c:v>25.299999999999997</c:v>
                </c:pt>
                <c:pt idx="9">
                  <c:v>30.999999999999996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D-40F9-AA66-996C9D50FA84}"/>
            </c:ext>
          </c:extLst>
        </c:ser>
        <c:ser>
          <c:idx val="1"/>
          <c:order val="2"/>
          <c:tx>
            <c:strRef>
              <c:f>'E5.4'!$C$21</c:f>
              <c:strCache>
                <c:ptCount val="1"/>
                <c:pt idx="0">
                  <c:v>2014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  <a:prstDash val="solid"/>
              </a:ln>
            </c:spPr>
          </c:marker>
          <c:cat>
            <c:numRef>
              <c:f>'E5.4'!$B$22:$B$32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'E5.4'!$C$22:$C$32</c:f>
              <c:numCache>
                <c:formatCode>0.0</c:formatCode>
                <c:ptCount val="11"/>
                <c:pt idx="0" formatCode="General">
                  <c:v>0</c:v>
                </c:pt>
                <c:pt idx="1">
                  <c:v>1.7</c:v>
                </c:pt>
                <c:pt idx="2">
                  <c:v>3.5</c:v>
                </c:pt>
                <c:pt idx="3">
                  <c:v>5.7</c:v>
                </c:pt>
                <c:pt idx="4">
                  <c:v>8.1</c:v>
                </c:pt>
                <c:pt idx="5">
                  <c:v>17.899999999999999</c:v>
                </c:pt>
                <c:pt idx="6">
                  <c:v>20.9</c:v>
                </c:pt>
                <c:pt idx="7">
                  <c:v>24.2</c:v>
                </c:pt>
                <c:pt idx="8">
                  <c:v>28.4</c:v>
                </c:pt>
                <c:pt idx="9">
                  <c:v>34.6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D-40F9-AA66-996C9D50FA84}"/>
            </c:ext>
          </c:extLst>
        </c:ser>
        <c:ser>
          <c:idx val="4"/>
          <c:order val="3"/>
          <c:tx>
            <c:v>Egyenletes</c:v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'E5.4'!$B$22:$B$32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'E5.4'!$B$22:$B$32</c:f>
              <c:numCache>
                <c:formatCode>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CD-40F9-AA66-996C9D50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331728"/>
        <c:axId val="318332288"/>
      </c:lineChart>
      <c:catAx>
        <c:axId val="318331728"/>
        <c:scaling>
          <c:orientation val="minMax"/>
        </c:scaling>
        <c:delete val="0"/>
        <c:axPos val="b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</a:t>
                </a: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(%)</a:t>
                </a:r>
              </a:p>
            </c:rich>
          </c:tx>
          <c:layout>
            <c:manualLayout>
              <c:xMode val="edge"/>
              <c:yMode val="edge"/>
              <c:x val="0.95015826673351222"/>
              <c:y val="0.908189418826892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318332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1833228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z'</a:t>
                </a:r>
                <a:r>
                  <a:rPr lang="hu-HU" sz="10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i </a:t>
                </a:r>
                <a:r>
                  <a:rPr lang="hu-HU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(%)</a:t>
                </a:r>
              </a:p>
            </c:rich>
          </c:tx>
          <c:layout>
            <c:manualLayout>
              <c:xMode val="edge"/>
              <c:yMode val="edge"/>
              <c:x val="1.417004048582996E-2"/>
              <c:y val="4.0772532188841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318331728"/>
        <c:crosses val="autoZero"/>
        <c:crossBetween val="midCat"/>
      </c:valAx>
      <c:spPr>
        <a:noFill/>
        <a:ln w="952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728744939271255"/>
          <c:y val="0.1609442060085837"/>
          <c:w val="0.19635627530364372"/>
          <c:h val="0.173819742489270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chemeClr val="bg1">
          <a:lumMod val="75000"/>
        </a:schemeClr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344" r="0.75000000000000344" t="1" header="0.5" footer="0.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Lorenz- görbe</a:t>
            </a:r>
          </a:p>
        </c:rich>
      </c:tx>
      <c:layout>
        <c:manualLayout>
          <c:xMode val="edge"/>
          <c:yMode val="edge"/>
          <c:x val="0.37264200465507846"/>
          <c:y val="1.77215189873417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547264873305659E-2"/>
          <c:y val="9.8734177215190067E-2"/>
          <c:w val="0.86556703452866413"/>
          <c:h val="0.81265822784810404"/>
        </c:manualLayout>
      </c:layout>
      <c:scatterChart>
        <c:scatterStyle val="smoothMarker"/>
        <c:varyColors val="0"/>
        <c:ser>
          <c:idx val="0"/>
          <c:order val="0"/>
          <c:tx>
            <c:v>Egyenletes</c:v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'B.2.4.bc'!$F$60:$F$68</c:f>
              <c:numCache>
                <c:formatCode>0.000</c:formatCode>
                <c:ptCount val="9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</c:numCache>
            </c:numRef>
          </c:xVal>
          <c:yVal>
            <c:numRef>
              <c:f>'B.2.4.bc'!$F$60:$F$68</c:f>
              <c:numCache>
                <c:formatCode>0.000</c:formatCode>
                <c:ptCount val="9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9B-42BF-AD12-7F4946B91F1A}"/>
            </c:ext>
          </c:extLst>
        </c:ser>
        <c:ser>
          <c:idx val="1"/>
          <c:order val="1"/>
          <c:tx>
            <c:strRef>
              <c:f>'B.2.4.bc'!$G$59</c:f>
              <c:strCache>
                <c:ptCount val="1"/>
                <c:pt idx="0">
                  <c:v>Nyomott </c:v>
                </c:pt>
              </c:strCache>
            </c:strRef>
          </c:tx>
          <c:spPr>
            <a:ln w="25400">
              <a:solidFill>
                <a:srgbClr val="003366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99CCFF"/>
              </a:solidFill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'B.2.4.bc'!$F$60:$F$68</c:f>
              <c:numCache>
                <c:formatCode>0.000</c:formatCode>
                <c:ptCount val="9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</c:numCache>
            </c:numRef>
          </c:xVal>
          <c:yVal>
            <c:numRef>
              <c:f>'B.2.4.bc'!$G$60:$G$68</c:f>
              <c:numCache>
                <c:formatCode>#\ ##0.000</c:formatCode>
                <c:ptCount val="9"/>
                <c:pt idx="0">
                  <c:v>0</c:v>
                </c:pt>
                <c:pt idx="1">
                  <c:v>2.2844331061299947E-2</c:v>
                </c:pt>
                <c:pt idx="2">
                  <c:v>5.8508324857693542E-2</c:v>
                </c:pt>
                <c:pt idx="3">
                  <c:v>0.12723574266271825</c:v>
                </c:pt>
                <c:pt idx="4">
                  <c:v>0.21056074083647541</c:v>
                </c:pt>
                <c:pt idx="5">
                  <c:v>0.29997920892779878</c:v>
                </c:pt>
                <c:pt idx="6">
                  <c:v>0.43058984833755709</c:v>
                </c:pt>
                <c:pt idx="7">
                  <c:v>0.69163917937076103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9B-42BF-AD12-7F4946B91F1A}"/>
            </c:ext>
          </c:extLst>
        </c:ser>
        <c:ser>
          <c:idx val="2"/>
          <c:order val="2"/>
          <c:tx>
            <c:strRef>
              <c:f>'B.2.4.bc'!$H$59</c:f>
              <c:strCache>
                <c:ptCount val="1"/>
                <c:pt idx="0">
                  <c:v>Értékesített 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CC99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xVal>
            <c:numRef>
              <c:f>'B.2.4.bc'!$F$60:$F$68</c:f>
              <c:numCache>
                <c:formatCode>0.000</c:formatCode>
                <c:ptCount val="9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</c:numCache>
            </c:numRef>
          </c:xVal>
          <c:yVal>
            <c:numRef>
              <c:f>'B.2.4.bc'!$H$60:$H$68</c:f>
              <c:numCache>
                <c:formatCode>#\ ##0.000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2.3766171751926777E-2</c:v>
                </c:pt>
                <c:pt idx="3">
                  <c:v>6.649440599074434E-2</c:v>
                </c:pt>
                <c:pt idx="4">
                  <c:v>0.16603519294534519</c:v>
                </c:pt>
                <c:pt idx="5">
                  <c:v>0.29670562614078072</c:v>
                </c:pt>
                <c:pt idx="6">
                  <c:v>0.43462796602983766</c:v>
                </c:pt>
                <c:pt idx="7">
                  <c:v>0.61181324443611396</c:v>
                </c:pt>
                <c:pt idx="8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9B-42BF-AD12-7F4946B91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040752"/>
        <c:axId val="322041312"/>
      </c:scatterChart>
      <c:valAx>
        <c:axId val="322040752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322041312"/>
        <c:crosses val="autoZero"/>
        <c:crossBetween val="midCat"/>
        <c:majorUnit val="0.1"/>
      </c:valAx>
      <c:valAx>
        <c:axId val="322041312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322040752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56628534640716"/>
          <c:y val="0.15189873417721519"/>
          <c:w val="0.28066062496904864"/>
          <c:h val="0.17215189873417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266" r="0.75000000000000266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739140</xdr:colOff>
      <xdr:row>19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17</xdr:col>
      <xdr:colOff>7620</xdr:colOff>
      <xdr:row>63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Diagra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9525</xdr:rowOff>
    </xdr:from>
    <xdr:to>
      <xdr:col>13</xdr:col>
      <xdr:colOff>438150</xdr:colOff>
      <xdr:row>31</xdr:row>
      <xdr:rowOff>161925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27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19</xdr:row>
      <xdr:rowOff>38100</xdr:rowOff>
    </xdr:from>
    <xdr:to>
      <xdr:col>17</xdr:col>
      <xdr:colOff>9525</xdr:colOff>
      <xdr:row>41</xdr:row>
      <xdr:rowOff>38100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17</xdr:col>
      <xdr:colOff>7620</xdr:colOff>
      <xdr:row>63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9524</xdr:rowOff>
    </xdr:from>
    <xdr:to>
      <xdr:col>16</xdr:col>
      <xdr:colOff>7620</xdr:colOff>
      <xdr:row>41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69</xdr:row>
      <xdr:rowOff>0</xdr:rowOff>
    </xdr:from>
    <xdr:to>
      <xdr:col>5</xdr:col>
      <xdr:colOff>0</xdr:colOff>
      <xdr:row>93</xdr:row>
      <xdr:rowOff>7620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Q3185"/>
  <sheetViews>
    <sheetView tabSelected="1" workbookViewId="0"/>
  </sheetViews>
  <sheetFormatPr defaultColWidth="8.85546875" defaultRowHeight="12.75" x14ac:dyDescent="0.2"/>
  <cols>
    <col min="1" max="1" width="2.7109375" style="142" customWidth="1"/>
    <col min="2" max="2" width="19.5703125" style="142" customWidth="1"/>
    <col min="3" max="6" width="12.42578125" style="142" customWidth="1"/>
    <col min="7" max="7" width="6.28515625" style="142" customWidth="1"/>
    <col min="8" max="8" width="3.140625" style="152" customWidth="1"/>
    <col min="9" max="11" width="10.7109375" style="142" customWidth="1"/>
    <col min="12" max="14" width="10.85546875" style="142" customWidth="1"/>
    <col min="15" max="15" width="11.7109375" style="142" customWidth="1"/>
    <col min="16" max="16" width="12.28515625" style="142" customWidth="1"/>
    <col min="17" max="17" width="11.7109375" style="142" customWidth="1"/>
    <col min="18" max="16384" width="8.85546875" style="142"/>
  </cols>
  <sheetData>
    <row r="1" spans="2:17" s="125" customFormat="1" ht="14.45" customHeight="1" thickBot="1" x14ac:dyDescent="0.25">
      <c r="H1" s="149"/>
    </row>
    <row r="2" spans="2:17" s="125" customFormat="1" ht="14.45" customHeight="1" thickBot="1" x14ac:dyDescent="0.25">
      <c r="B2" s="244" t="s">
        <v>3281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6"/>
    </row>
    <row r="3" spans="2:17" s="125" customFormat="1" ht="14.45" customHeight="1" thickBot="1" x14ac:dyDescent="0.25"/>
    <row r="4" spans="2:17" s="125" customFormat="1" ht="28.15" customHeight="1" thickBot="1" x14ac:dyDescent="0.25">
      <c r="B4" s="247" t="s">
        <v>3309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9"/>
    </row>
    <row r="5" spans="2:17" s="127" customFormat="1" ht="14.45" customHeight="1" thickBot="1" x14ac:dyDescent="0.25">
      <c r="B5" s="126"/>
      <c r="C5" s="126"/>
      <c r="D5" s="126"/>
      <c r="E5" s="126"/>
      <c r="F5" s="126"/>
      <c r="G5" s="126"/>
      <c r="H5" s="150"/>
      <c r="I5" s="126"/>
      <c r="J5" s="126"/>
      <c r="K5" s="126"/>
      <c r="L5" s="126"/>
      <c r="M5" s="126"/>
      <c r="N5" s="126"/>
    </row>
    <row r="6" spans="2:17" s="125" customFormat="1" ht="14.45" customHeight="1" thickBot="1" x14ac:dyDescent="0.25">
      <c r="H6" s="149"/>
    </row>
    <row r="7" spans="2:17" ht="28.9" customHeight="1" thickBot="1" x14ac:dyDescent="0.25">
      <c r="B7" s="11" t="s">
        <v>3165</v>
      </c>
      <c r="C7" s="145" t="s">
        <v>3164</v>
      </c>
      <c r="D7" s="145" t="s">
        <v>3252</v>
      </c>
      <c r="E7" s="145" t="s">
        <v>3265</v>
      </c>
      <c r="F7" s="146" t="s">
        <v>3249</v>
      </c>
      <c r="H7" s="151"/>
      <c r="I7" s="11" t="s">
        <v>3166</v>
      </c>
      <c r="J7" s="250" t="s">
        <v>7</v>
      </c>
      <c r="K7" s="251"/>
      <c r="L7" s="128" t="s">
        <v>3254</v>
      </c>
      <c r="M7" s="129" t="s">
        <v>3253</v>
      </c>
      <c r="N7" s="129" t="s">
        <v>3252</v>
      </c>
      <c r="O7" s="128" t="s">
        <v>3251</v>
      </c>
      <c r="P7" s="129" t="s">
        <v>3250</v>
      </c>
      <c r="Q7" s="130" t="s">
        <v>3249</v>
      </c>
    </row>
    <row r="8" spans="2:17" x14ac:dyDescent="0.2">
      <c r="B8" s="122"/>
      <c r="C8" s="121"/>
      <c r="D8" s="147">
        <v>0</v>
      </c>
      <c r="E8" s="147"/>
      <c r="F8" s="148">
        <v>0</v>
      </c>
      <c r="I8" s="131">
        <v>1</v>
      </c>
      <c r="J8" s="120">
        <f>MIN(C:C)</f>
        <v>13</v>
      </c>
      <c r="K8" s="120">
        <f>_xlfn.PERCENTILE.EXC($C$9:$C$3185,I8/10)</f>
        <v>159</v>
      </c>
      <c r="L8" s="120">
        <f t="array" ref="L8:L17">FREQUENCY(C:C,K8:K17)</f>
        <v>319</v>
      </c>
      <c r="M8" s="118">
        <f t="shared" ref="M8:M18" si="0">L8/L$18</f>
        <v>0.10040919106074914</v>
      </c>
      <c r="N8" s="118">
        <f>M8</f>
        <v>0.10040919106074914</v>
      </c>
      <c r="O8" s="120">
        <f>SUMIFS($C$9:$C$3185,$C$9:$C$3185,"&gt;="&amp;J8,$C$9:$C$3185,"&lt;="&amp;K8)</f>
        <v>31047</v>
      </c>
      <c r="P8" s="118">
        <f t="shared" ref="P8:P17" si="1">O8/O$18</f>
        <v>3.2545724084967957E-3</v>
      </c>
      <c r="Q8" s="118">
        <f>P8</f>
        <v>3.2545724084967957E-3</v>
      </c>
    </row>
    <row r="9" spans="2:17" x14ac:dyDescent="0.2">
      <c r="B9" s="235" t="s">
        <v>2607</v>
      </c>
      <c r="C9" s="234">
        <v>13</v>
      </c>
      <c r="D9" s="147">
        <f>D8+1/$L$18</f>
        <v>3.1476235442241108E-4</v>
      </c>
      <c r="E9" s="148">
        <f t="shared" ref="E9:E72" si="2">C9/$O$18</f>
        <v>1.3627545756581422E-6</v>
      </c>
      <c r="F9" s="148">
        <f>F8+E9</f>
        <v>1.3627545756581422E-6</v>
      </c>
      <c r="I9" s="132">
        <v>2</v>
      </c>
      <c r="J9" s="119">
        <f>K8</f>
        <v>159</v>
      </c>
      <c r="K9" s="120">
        <f t="shared" ref="K9:K16" si="3">_xlfn.PERCENTILE.EXC($C$9:$C$3185,I9/10)</f>
        <v>271</v>
      </c>
      <c r="L9" s="119">
        <v>317</v>
      </c>
      <c r="M9" s="239">
        <f t="shared" si="0"/>
        <v>9.9779666351904314E-2</v>
      </c>
      <c r="N9" s="239">
        <f>N8+M9</f>
        <v>0.20018885741265346</v>
      </c>
      <c r="O9" s="120">
        <f>SUMIFS($C$9:$C$3185,$C$9:$C$3185,"&gt;"&amp;J9,$C$9:$C$3185,"&lt;="&amp;K9)</f>
        <v>68691</v>
      </c>
      <c r="P9" s="118">
        <f t="shared" si="1"/>
        <v>7.2006903505025732E-3</v>
      </c>
      <c r="Q9" s="239">
        <f t="shared" ref="Q9:Q14" si="4">Q8+P9</f>
        <v>1.0455262758999368E-2</v>
      </c>
    </row>
    <row r="10" spans="2:17" x14ac:dyDescent="0.2">
      <c r="B10" s="115" t="s">
        <v>2088</v>
      </c>
      <c r="C10" s="114">
        <v>13</v>
      </c>
      <c r="D10" s="147">
        <f t="shared" ref="D10:D73" si="5">D9+1/$L$18</f>
        <v>6.2952470884482215E-4</v>
      </c>
      <c r="E10" s="148">
        <f t="shared" si="2"/>
        <v>1.3627545756581422E-6</v>
      </c>
      <c r="F10" s="148">
        <f t="shared" ref="F10:F73" si="6">F9+E10</f>
        <v>2.7255091513162845E-6</v>
      </c>
      <c r="I10" s="132">
        <v>3</v>
      </c>
      <c r="J10" s="119">
        <f t="shared" ref="J10:J16" si="7">K9</f>
        <v>271</v>
      </c>
      <c r="K10" s="120">
        <f t="shared" si="3"/>
        <v>388.79999999999995</v>
      </c>
      <c r="L10" s="119">
        <v>317</v>
      </c>
      <c r="M10" s="239">
        <f t="shared" si="0"/>
        <v>9.9779666351904314E-2</v>
      </c>
      <c r="N10" s="239">
        <f t="shared" ref="N10:N17" si="8">N9+M10</f>
        <v>0.29996852376455779</v>
      </c>
      <c r="O10" s="120">
        <f t="shared" ref="O10:O17" si="9">SUMIFS($C$9:$C$3185,$C$9:$C$3185,"&gt;"&amp;J10,$C$9:$C$3185,"&lt;="&amp;K10)</f>
        <v>103424</v>
      </c>
      <c r="P10" s="118">
        <f t="shared" si="1"/>
        <v>1.0841656094835977E-2</v>
      </c>
      <c r="Q10" s="239">
        <f t="shared" si="4"/>
        <v>2.1296918853835348E-2</v>
      </c>
    </row>
    <row r="11" spans="2:17" x14ac:dyDescent="0.2">
      <c r="B11" s="115" t="s">
        <v>2398</v>
      </c>
      <c r="C11" s="114">
        <v>15</v>
      </c>
      <c r="D11" s="147">
        <f t="shared" si="5"/>
        <v>9.4428706326723328E-4</v>
      </c>
      <c r="E11" s="148">
        <f t="shared" si="2"/>
        <v>1.572409125759395E-6</v>
      </c>
      <c r="F11" s="148">
        <f t="shared" si="6"/>
        <v>4.2979182770756791E-6</v>
      </c>
      <c r="I11" s="132">
        <v>4</v>
      </c>
      <c r="J11" s="119">
        <f t="shared" si="7"/>
        <v>388.79999999999995</v>
      </c>
      <c r="K11" s="120">
        <f t="shared" si="3"/>
        <v>558</v>
      </c>
      <c r="L11" s="119">
        <v>319</v>
      </c>
      <c r="M11" s="239">
        <f t="shared" si="0"/>
        <v>0.10040919106074914</v>
      </c>
      <c r="N11" s="239">
        <f t="shared" si="8"/>
        <v>0.40037771482530693</v>
      </c>
      <c r="O11" s="120">
        <f t="shared" si="9"/>
        <v>150651</v>
      </c>
      <c r="P11" s="118">
        <f>O11/O$18</f>
        <v>1.5792333813651908E-2</v>
      </c>
      <c r="Q11" s="239">
        <f t="shared" si="4"/>
        <v>3.7089252667487256E-2</v>
      </c>
    </row>
    <row r="12" spans="2:17" x14ac:dyDescent="0.2">
      <c r="B12" s="206" t="s">
        <v>1022</v>
      </c>
      <c r="C12" s="205">
        <v>16</v>
      </c>
      <c r="D12" s="147">
        <f t="shared" si="5"/>
        <v>1.2590494176896443E-3</v>
      </c>
      <c r="E12" s="148">
        <f t="shared" si="2"/>
        <v>1.6772364008100213E-6</v>
      </c>
      <c r="F12" s="148">
        <f t="shared" si="6"/>
        <v>5.9751546778857006E-6</v>
      </c>
      <c r="I12" s="132">
        <v>5</v>
      </c>
      <c r="J12" s="119">
        <f t="shared" si="7"/>
        <v>558</v>
      </c>
      <c r="K12" s="120">
        <f t="shared" si="3"/>
        <v>751</v>
      </c>
      <c r="L12" s="119">
        <v>317</v>
      </c>
      <c r="M12" s="239">
        <f t="shared" si="0"/>
        <v>9.9779666351904314E-2</v>
      </c>
      <c r="N12" s="239">
        <f t="shared" si="8"/>
        <v>0.5001573811772112</v>
      </c>
      <c r="O12" s="120">
        <f t="shared" si="9"/>
        <v>206438</v>
      </c>
      <c r="P12" s="118">
        <f t="shared" si="1"/>
        <v>2.16403330069012E-2</v>
      </c>
      <c r="Q12" s="239">
        <f t="shared" si="4"/>
        <v>5.8729585674388456E-2</v>
      </c>
    </row>
    <row r="13" spans="2:17" x14ac:dyDescent="0.2">
      <c r="B13" s="115" t="s">
        <v>1252</v>
      </c>
      <c r="C13" s="114">
        <v>18</v>
      </c>
      <c r="D13" s="147">
        <f t="shared" si="5"/>
        <v>1.5738117721120553E-3</v>
      </c>
      <c r="E13" s="148">
        <f t="shared" si="2"/>
        <v>1.8868909509112739E-6</v>
      </c>
      <c r="F13" s="148">
        <f t="shared" si="6"/>
        <v>7.8620456287969752E-6</v>
      </c>
      <c r="I13" s="132">
        <v>6</v>
      </c>
      <c r="J13" s="119">
        <f t="shared" si="7"/>
        <v>751</v>
      </c>
      <c r="K13" s="120">
        <f t="shared" si="3"/>
        <v>1071.8</v>
      </c>
      <c r="L13" s="119">
        <v>317</v>
      </c>
      <c r="M13" s="239">
        <f t="shared" si="0"/>
        <v>9.9779666351904314E-2</v>
      </c>
      <c r="N13" s="239">
        <f t="shared" si="8"/>
        <v>0.59993704752911547</v>
      </c>
      <c r="O13" s="120">
        <f t="shared" si="9"/>
        <v>287742</v>
      </c>
      <c r="P13" s="118">
        <f t="shared" si="1"/>
        <v>3.0163209777617321E-2</v>
      </c>
      <c r="Q13" s="239">
        <f t="shared" si="4"/>
        <v>8.8892795452005777E-2</v>
      </c>
    </row>
    <row r="14" spans="2:17" x14ac:dyDescent="0.2">
      <c r="B14" s="115" t="s">
        <v>1882</v>
      </c>
      <c r="C14" s="114">
        <v>21</v>
      </c>
      <c r="D14" s="147">
        <f t="shared" si="5"/>
        <v>1.8885741265344664E-3</v>
      </c>
      <c r="E14" s="148">
        <f t="shared" si="2"/>
        <v>2.2013727760631528E-6</v>
      </c>
      <c r="F14" s="148">
        <f t="shared" si="6"/>
        <v>1.0063418404860128E-5</v>
      </c>
      <c r="I14" s="132">
        <v>7</v>
      </c>
      <c r="J14" s="119">
        <f t="shared" si="7"/>
        <v>1071.8</v>
      </c>
      <c r="K14" s="120">
        <f t="shared" si="3"/>
        <v>1570</v>
      </c>
      <c r="L14" s="119">
        <v>320</v>
      </c>
      <c r="M14" s="239">
        <f t="shared" si="0"/>
        <v>0.10072395341517154</v>
      </c>
      <c r="N14" s="239">
        <f t="shared" si="8"/>
        <v>0.70066100094428707</v>
      </c>
      <c r="O14" s="120">
        <f t="shared" si="9"/>
        <v>419415</v>
      </c>
      <c r="P14" s="118">
        <f t="shared" si="1"/>
        <v>4.3966131565358446E-2</v>
      </c>
      <c r="Q14" s="239">
        <f t="shared" si="4"/>
        <v>0.13285892701736424</v>
      </c>
    </row>
    <row r="15" spans="2:17" x14ac:dyDescent="0.2">
      <c r="B15" s="206" t="s">
        <v>951</v>
      </c>
      <c r="C15" s="205">
        <v>21</v>
      </c>
      <c r="D15" s="147">
        <f t="shared" si="5"/>
        <v>2.2033364809568774E-3</v>
      </c>
      <c r="E15" s="148">
        <f t="shared" si="2"/>
        <v>2.2013727760631528E-6</v>
      </c>
      <c r="F15" s="148">
        <f t="shared" si="6"/>
        <v>1.226479118092328E-5</v>
      </c>
      <c r="I15" s="132">
        <v>8</v>
      </c>
      <c r="J15" s="119">
        <f t="shared" si="7"/>
        <v>1570</v>
      </c>
      <c r="K15" s="120">
        <f t="shared" si="3"/>
        <v>2345.2000000000003</v>
      </c>
      <c r="L15" s="119">
        <v>316</v>
      </c>
      <c r="M15" s="239">
        <f t="shared" si="0"/>
        <v>9.9464903997481896E-2</v>
      </c>
      <c r="N15" s="239">
        <f t="shared" si="8"/>
        <v>0.80012590494176894</v>
      </c>
      <c r="O15" s="120">
        <f t="shared" si="9"/>
        <v>607117</v>
      </c>
      <c r="P15" s="118">
        <f t="shared" si="1"/>
        <v>6.3642420746911108E-2</v>
      </c>
      <c r="Q15" s="239">
        <f t="shared" ref="Q15:Q17" si="10">Q14+P15</f>
        <v>0.19650134776427536</v>
      </c>
    </row>
    <row r="16" spans="2:17" x14ac:dyDescent="0.2">
      <c r="B16" s="206" t="s">
        <v>411</v>
      </c>
      <c r="C16" s="205">
        <v>22</v>
      </c>
      <c r="D16" s="147">
        <f t="shared" si="5"/>
        <v>2.5180988353792886E-3</v>
      </c>
      <c r="E16" s="148">
        <f t="shared" si="2"/>
        <v>2.3062000511137793E-6</v>
      </c>
      <c r="F16" s="148">
        <f t="shared" si="6"/>
        <v>1.457099123203706E-5</v>
      </c>
      <c r="I16" s="133">
        <v>9</v>
      </c>
      <c r="J16" s="119">
        <f t="shared" si="7"/>
        <v>2345.2000000000003</v>
      </c>
      <c r="K16" s="120">
        <f t="shared" si="3"/>
        <v>4640.0000000000127</v>
      </c>
      <c r="L16" s="119">
        <v>318</v>
      </c>
      <c r="M16" s="239">
        <f t="shared" si="0"/>
        <v>0.10009442870632672</v>
      </c>
      <c r="N16" s="239">
        <f t="shared" si="8"/>
        <v>0.90022033364809562</v>
      </c>
      <c r="O16" s="120">
        <f t="shared" si="9"/>
        <v>1015201</v>
      </c>
      <c r="P16" s="118">
        <f t="shared" si="1"/>
        <v>0.1064207544586709</v>
      </c>
      <c r="Q16" s="239">
        <f t="shared" si="10"/>
        <v>0.30292210222294624</v>
      </c>
    </row>
    <row r="17" spans="2:17" ht="13.5" thickBot="1" x14ac:dyDescent="0.25">
      <c r="B17" s="206" t="s">
        <v>313</v>
      </c>
      <c r="C17" s="205">
        <v>24</v>
      </c>
      <c r="D17" s="147">
        <f t="shared" si="5"/>
        <v>2.8328611898016999E-3</v>
      </c>
      <c r="E17" s="148">
        <f t="shared" si="2"/>
        <v>2.5158546012150319E-6</v>
      </c>
      <c r="F17" s="148">
        <f t="shared" si="6"/>
        <v>1.7086845833252091E-5</v>
      </c>
      <c r="I17" s="134">
        <v>10</v>
      </c>
      <c r="J17" s="119">
        <f>K16</f>
        <v>4640.0000000000127</v>
      </c>
      <c r="K17" s="119">
        <f>MAX(C9:C3185)</f>
        <v>202130</v>
      </c>
      <c r="L17" s="119">
        <v>317</v>
      </c>
      <c r="M17" s="239">
        <f t="shared" si="0"/>
        <v>9.9779666351904314E-2</v>
      </c>
      <c r="N17" s="239">
        <f t="shared" si="8"/>
        <v>0.99999999999999989</v>
      </c>
      <c r="O17" s="120">
        <f t="shared" si="9"/>
        <v>6649776</v>
      </c>
      <c r="P17" s="118">
        <f t="shared" si="1"/>
        <v>0.69707789777705376</v>
      </c>
      <c r="Q17" s="239">
        <f t="shared" si="10"/>
        <v>1</v>
      </c>
    </row>
    <row r="18" spans="2:17" ht="13.5" thickBot="1" x14ac:dyDescent="0.25">
      <c r="B18" s="206" t="s">
        <v>312</v>
      </c>
      <c r="C18" s="205">
        <v>24</v>
      </c>
      <c r="D18" s="147">
        <f t="shared" si="5"/>
        <v>3.1476235442241111E-3</v>
      </c>
      <c r="E18" s="148">
        <f t="shared" si="2"/>
        <v>2.5158546012150319E-6</v>
      </c>
      <c r="F18" s="148">
        <f t="shared" si="6"/>
        <v>1.9602700434467123E-5</v>
      </c>
      <c r="I18" s="12"/>
      <c r="J18" s="252" t="s">
        <v>4</v>
      </c>
      <c r="K18" s="253"/>
      <c r="L18" s="195">
        <f>SUM(L8:L17)</f>
        <v>3177</v>
      </c>
      <c r="M18" s="240">
        <f t="shared" si="0"/>
        <v>1</v>
      </c>
      <c r="N18" s="196" t="s">
        <v>5</v>
      </c>
      <c r="O18" s="195">
        <f>SUM(O8:O17)</f>
        <v>9539502</v>
      </c>
      <c r="P18" s="240">
        <f>SUM(P8:P17)</f>
        <v>1</v>
      </c>
      <c r="Q18" s="241" t="s">
        <v>5</v>
      </c>
    </row>
    <row r="19" spans="2:17" ht="13.5" thickBot="1" x14ac:dyDescent="0.25">
      <c r="B19" s="115" t="s">
        <v>1491</v>
      </c>
      <c r="C19" s="114">
        <v>25</v>
      </c>
      <c r="D19" s="147">
        <f t="shared" si="5"/>
        <v>3.4623858986465223E-3</v>
      </c>
      <c r="E19" s="148">
        <f t="shared" si="2"/>
        <v>2.6206818762656584E-6</v>
      </c>
      <c r="F19" s="148">
        <f t="shared" si="6"/>
        <v>2.2223382310732782E-5</v>
      </c>
      <c r="J19" s="117"/>
      <c r="K19" s="116"/>
      <c r="L19" s="116"/>
    </row>
    <row r="20" spans="2:17" ht="15" customHeight="1" thickBot="1" x14ac:dyDescent="0.25">
      <c r="B20" s="115" t="s">
        <v>760</v>
      </c>
      <c r="C20" s="114">
        <v>27</v>
      </c>
      <c r="D20" s="147">
        <f t="shared" si="5"/>
        <v>3.7771482530689336E-3</v>
      </c>
      <c r="E20" s="148">
        <f t="shared" si="2"/>
        <v>2.830336426366911E-6</v>
      </c>
      <c r="F20" s="148">
        <f t="shared" si="6"/>
        <v>2.5053718737099692E-5</v>
      </c>
      <c r="H20" s="152" t="s">
        <v>0</v>
      </c>
      <c r="I20" s="135" t="s">
        <v>3261</v>
      </c>
      <c r="J20" s="136" t="s">
        <v>3262</v>
      </c>
      <c r="K20" s="137" t="s">
        <v>3259</v>
      </c>
    </row>
    <row r="21" spans="2:17" x14ac:dyDescent="0.2">
      <c r="B21" s="115" t="s">
        <v>2675</v>
      </c>
      <c r="C21" s="114">
        <v>28</v>
      </c>
      <c r="D21" s="147">
        <f t="shared" si="5"/>
        <v>4.0919106074913444E-3</v>
      </c>
      <c r="E21" s="148">
        <f t="shared" si="2"/>
        <v>2.9351637014175375E-6</v>
      </c>
      <c r="F21" s="148">
        <f t="shared" si="6"/>
        <v>2.798888243851723E-5</v>
      </c>
      <c r="I21" s="138">
        <v>0</v>
      </c>
      <c r="J21" s="138">
        <v>0</v>
      </c>
      <c r="K21" s="143"/>
    </row>
    <row r="22" spans="2:17" x14ac:dyDescent="0.2">
      <c r="B22" s="206" t="s">
        <v>1621</v>
      </c>
      <c r="C22" s="205">
        <v>28</v>
      </c>
      <c r="D22" s="147">
        <f t="shared" si="5"/>
        <v>4.4066729619137556E-3</v>
      </c>
      <c r="E22" s="148">
        <f t="shared" si="2"/>
        <v>2.9351637014175375E-6</v>
      </c>
      <c r="F22" s="148">
        <f t="shared" si="6"/>
        <v>3.0924046139934766E-5</v>
      </c>
      <c r="I22" s="139">
        <f t="shared" ref="I22:I31" si="11">N8</f>
        <v>0.10040919106074914</v>
      </c>
      <c r="J22" s="139">
        <f t="shared" ref="J22:J31" si="12">Q8</f>
        <v>3.2545724084967957E-3</v>
      </c>
      <c r="K22" s="144">
        <f t="shared" ref="K22:K31" si="13">0.1*(J22+J21)/2</f>
        <v>1.6272862042483979E-4</v>
      </c>
    </row>
    <row r="23" spans="2:17" x14ac:dyDescent="0.2">
      <c r="B23" s="115" t="s">
        <v>2687</v>
      </c>
      <c r="C23" s="114">
        <v>29</v>
      </c>
      <c r="D23" s="147">
        <f t="shared" si="5"/>
        <v>4.7214353163361669E-3</v>
      </c>
      <c r="E23" s="148">
        <f t="shared" si="2"/>
        <v>3.0399909764681636E-6</v>
      </c>
      <c r="F23" s="148">
        <f t="shared" si="6"/>
        <v>3.396403711640293E-5</v>
      </c>
      <c r="I23" s="139">
        <f t="shared" si="11"/>
        <v>0.20018885741265346</v>
      </c>
      <c r="J23" s="139">
        <f t="shared" si="12"/>
        <v>1.0455262758999368E-2</v>
      </c>
      <c r="K23" s="144">
        <f t="shared" si="13"/>
        <v>6.8549175837480825E-4</v>
      </c>
    </row>
    <row r="24" spans="2:17" x14ac:dyDescent="0.2">
      <c r="B24" s="206" t="s">
        <v>891</v>
      </c>
      <c r="C24" s="205">
        <v>29</v>
      </c>
      <c r="D24" s="147">
        <f t="shared" si="5"/>
        <v>5.0361976707585781E-3</v>
      </c>
      <c r="E24" s="148">
        <f t="shared" si="2"/>
        <v>3.0399909764681636E-6</v>
      </c>
      <c r="F24" s="148">
        <f t="shared" si="6"/>
        <v>3.7004028092871095E-5</v>
      </c>
      <c r="I24" s="139">
        <f t="shared" si="11"/>
        <v>0.29996852376455779</v>
      </c>
      <c r="J24" s="139">
        <f t="shared" si="12"/>
        <v>2.1296918853835348E-2</v>
      </c>
      <c r="K24" s="144">
        <f t="shared" si="13"/>
        <v>1.5876090806417359E-3</v>
      </c>
    </row>
    <row r="25" spans="2:17" x14ac:dyDescent="0.2">
      <c r="B25" s="206" t="s">
        <v>1635</v>
      </c>
      <c r="C25" s="205">
        <v>30</v>
      </c>
      <c r="D25" s="147">
        <f t="shared" si="5"/>
        <v>5.3509600251809893E-3</v>
      </c>
      <c r="E25" s="148">
        <f t="shared" si="2"/>
        <v>3.1448182515187901E-6</v>
      </c>
      <c r="F25" s="148">
        <f t="shared" si="6"/>
        <v>4.0148846344389885E-5</v>
      </c>
      <c r="I25" s="139">
        <f t="shared" si="11"/>
        <v>0.40037771482530693</v>
      </c>
      <c r="J25" s="139">
        <f t="shared" si="12"/>
        <v>3.7089252667487256E-2</v>
      </c>
      <c r="K25" s="144">
        <f t="shared" si="13"/>
        <v>2.9193085760661304E-3</v>
      </c>
    </row>
    <row r="26" spans="2:17" x14ac:dyDescent="0.2">
      <c r="B26" s="206" t="s">
        <v>1611</v>
      </c>
      <c r="C26" s="205">
        <v>31</v>
      </c>
      <c r="D26" s="147">
        <f t="shared" si="5"/>
        <v>5.6657223796034006E-3</v>
      </c>
      <c r="E26" s="148">
        <f t="shared" si="2"/>
        <v>3.2496455265694162E-6</v>
      </c>
      <c r="F26" s="148">
        <f t="shared" si="6"/>
        <v>4.33984918709593E-5</v>
      </c>
      <c r="I26" s="139">
        <f t="shared" si="11"/>
        <v>0.5001573811772112</v>
      </c>
      <c r="J26" s="139">
        <f t="shared" si="12"/>
        <v>5.8729585674388456E-2</v>
      </c>
      <c r="K26" s="144">
        <f t="shared" si="13"/>
        <v>4.7909419170937863E-3</v>
      </c>
    </row>
    <row r="27" spans="2:17" x14ac:dyDescent="0.2">
      <c r="B27" s="115" t="s">
        <v>2341</v>
      </c>
      <c r="C27" s="114">
        <v>33</v>
      </c>
      <c r="D27" s="147">
        <f t="shared" si="5"/>
        <v>5.9804847340258118E-3</v>
      </c>
      <c r="E27" s="148">
        <f t="shared" si="2"/>
        <v>3.4593000766706692E-6</v>
      </c>
      <c r="F27" s="148">
        <f t="shared" si="6"/>
        <v>4.6857791947629967E-5</v>
      </c>
      <c r="I27" s="139">
        <f t="shared" si="11"/>
        <v>0.59993704752911547</v>
      </c>
      <c r="J27" s="139">
        <f t="shared" si="12"/>
        <v>8.8892795452005777E-2</v>
      </c>
      <c r="K27" s="144">
        <f t="shared" si="13"/>
        <v>7.3811190563197113E-3</v>
      </c>
    </row>
    <row r="28" spans="2:17" x14ac:dyDescent="0.2">
      <c r="B28" s="115" t="s">
        <v>1723</v>
      </c>
      <c r="C28" s="114">
        <v>33</v>
      </c>
      <c r="D28" s="147">
        <f t="shared" si="5"/>
        <v>6.295247088448223E-3</v>
      </c>
      <c r="E28" s="148">
        <f t="shared" si="2"/>
        <v>3.4593000766706692E-6</v>
      </c>
      <c r="F28" s="148">
        <f t="shared" si="6"/>
        <v>5.0317092024300634E-5</v>
      </c>
      <c r="I28" s="139">
        <f t="shared" si="11"/>
        <v>0.70066100094428707</v>
      </c>
      <c r="J28" s="139">
        <f t="shared" si="12"/>
        <v>0.13285892701736424</v>
      </c>
      <c r="K28" s="144">
        <f t="shared" si="13"/>
        <v>1.1087586123468503E-2</v>
      </c>
    </row>
    <row r="29" spans="2:17" x14ac:dyDescent="0.2">
      <c r="B29" s="115" t="s">
        <v>631</v>
      </c>
      <c r="C29" s="114">
        <v>34</v>
      </c>
      <c r="D29" s="147">
        <f t="shared" si="5"/>
        <v>6.6100094428706343E-3</v>
      </c>
      <c r="E29" s="148">
        <f t="shared" si="2"/>
        <v>3.5641273517212953E-6</v>
      </c>
      <c r="F29" s="148">
        <f t="shared" si="6"/>
        <v>5.3881219376021927E-5</v>
      </c>
      <c r="I29" s="139">
        <f t="shared" si="11"/>
        <v>0.80012590494176894</v>
      </c>
      <c r="J29" s="139">
        <f t="shared" si="12"/>
        <v>0.19650134776427536</v>
      </c>
      <c r="K29" s="144">
        <f t="shared" si="13"/>
        <v>1.646801373908198E-2</v>
      </c>
    </row>
    <row r="30" spans="2:17" x14ac:dyDescent="0.2">
      <c r="B30" s="206" t="s">
        <v>49</v>
      </c>
      <c r="C30" s="205">
        <v>36</v>
      </c>
      <c r="D30" s="147">
        <f t="shared" si="5"/>
        <v>6.9247717972930455E-3</v>
      </c>
      <c r="E30" s="148">
        <f t="shared" si="2"/>
        <v>3.7737819018225478E-6</v>
      </c>
      <c r="F30" s="148">
        <f t="shared" si="6"/>
        <v>5.7655001277844478E-5</v>
      </c>
      <c r="I30" s="139">
        <f t="shared" si="11"/>
        <v>0.90022033364809562</v>
      </c>
      <c r="J30" s="139">
        <f t="shared" si="12"/>
        <v>0.30292210222294624</v>
      </c>
      <c r="K30" s="144">
        <f t="shared" si="13"/>
        <v>2.497117249936108E-2</v>
      </c>
    </row>
    <row r="31" spans="2:17" x14ac:dyDescent="0.2">
      <c r="B31" s="115" t="s">
        <v>1573</v>
      </c>
      <c r="C31" s="114">
        <v>38</v>
      </c>
      <c r="D31" s="147">
        <f t="shared" si="5"/>
        <v>7.2395341517154568E-3</v>
      </c>
      <c r="E31" s="148">
        <f t="shared" si="2"/>
        <v>3.9834364519238004E-6</v>
      </c>
      <c r="F31" s="148">
        <f t="shared" si="6"/>
        <v>6.163843772976828E-5</v>
      </c>
      <c r="I31" s="139">
        <f t="shared" si="11"/>
        <v>0.99999999999999989</v>
      </c>
      <c r="J31" s="139">
        <f t="shared" si="12"/>
        <v>1</v>
      </c>
      <c r="K31" s="144">
        <f t="shared" si="13"/>
        <v>6.5146105111147309E-2</v>
      </c>
    </row>
    <row r="32" spans="2:17" ht="13.5" thickBot="1" x14ac:dyDescent="0.25">
      <c r="B32" s="115" t="s">
        <v>66</v>
      </c>
      <c r="C32" s="114">
        <v>38</v>
      </c>
      <c r="D32" s="147">
        <f t="shared" si="5"/>
        <v>7.554296506137868E-3</v>
      </c>
      <c r="E32" s="148">
        <f t="shared" si="2"/>
        <v>3.9834364519238004E-6</v>
      </c>
      <c r="F32" s="148">
        <f t="shared" si="6"/>
        <v>6.5621874181692082E-5</v>
      </c>
      <c r="L32" s="116"/>
    </row>
    <row r="33" spans="2:12" ht="13.5" thickBot="1" x14ac:dyDescent="0.25">
      <c r="B33" s="206" t="s">
        <v>2920</v>
      </c>
      <c r="C33" s="205">
        <v>40</v>
      </c>
      <c r="D33" s="147">
        <f t="shared" si="5"/>
        <v>7.8690588605602792E-3</v>
      </c>
      <c r="E33" s="148">
        <f t="shared" si="2"/>
        <v>4.1930910020250534E-6</v>
      </c>
      <c r="F33" s="148">
        <f t="shared" si="6"/>
        <v>6.9814965183717136E-5</v>
      </c>
      <c r="I33" s="135" t="s">
        <v>3260</v>
      </c>
      <c r="J33" s="140">
        <f>1-SUM(K22:K31)/0.5</f>
        <v>0.72959984703604019</v>
      </c>
      <c r="K33" s="140" cm="1">
        <f t="array" ref="K33">1-(0.1*SUM(J22:J31+J21:J30)/2)/0.5</f>
        <v>0.72959984703604019</v>
      </c>
    </row>
    <row r="34" spans="2:12" x14ac:dyDescent="0.2">
      <c r="B34" s="206" t="s">
        <v>2327</v>
      </c>
      <c r="C34" s="205">
        <v>40</v>
      </c>
      <c r="D34" s="147">
        <f t="shared" si="5"/>
        <v>8.1838212149826905E-3</v>
      </c>
      <c r="E34" s="148">
        <f t="shared" si="2"/>
        <v>4.1930910020250534E-6</v>
      </c>
      <c r="F34" s="148">
        <f t="shared" si="6"/>
        <v>7.4008056185742189E-5</v>
      </c>
      <c r="K34" s="116"/>
      <c r="L34" s="116"/>
    </row>
    <row r="35" spans="2:12" x14ac:dyDescent="0.2">
      <c r="B35" s="206" t="s">
        <v>2557</v>
      </c>
      <c r="C35" s="205">
        <v>43</v>
      </c>
      <c r="D35" s="147">
        <f t="shared" si="5"/>
        <v>8.4985835694051017E-3</v>
      </c>
      <c r="E35" s="148">
        <f t="shared" si="2"/>
        <v>4.5075728271769321E-6</v>
      </c>
      <c r="F35" s="148">
        <f t="shared" si="6"/>
        <v>7.851562901291912E-5</v>
      </c>
      <c r="K35" s="141"/>
      <c r="L35" s="116"/>
    </row>
    <row r="36" spans="2:12" x14ac:dyDescent="0.2">
      <c r="B36" s="206" t="s">
        <v>1634</v>
      </c>
      <c r="C36" s="205">
        <v>43</v>
      </c>
      <c r="D36" s="147">
        <f t="shared" si="5"/>
        <v>8.813345923827513E-3</v>
      </c>
      <c r="E36" s="148">
        <f t="shared" si="2"/>
        <v>4.5075728271769321E-6</v>
      </c>
      <c r="F36" s="148">
        <f t="shared" si="6"/>
        <v>8.302320184009605E-5</v>
      </c>
      <c r="K36" s="116"/>
      <c r="L36" s="116"/>
    </row>
    <row r="37" spans="2:12" x14ac:dyDescent="0.2">
      <c r="B37" s="206" t="s">
        <v>659</v>
      </c>
      <c r="C37" s="205">
        <v>43</v>
      </c>
      <c r="D37" s="147">
        <f t="shared" si="5"/>
        <v>9.1281082782499242E-3</v>
      </c>
      <c r="E37" s="148">
        <f t="shared" si="2"/>
        <v>4.5075728271769321E-6</v>
      </c>
      <c r="F37" s="148">
        <f t="shared" si="6"/>
        <v>8.753077466727298E-5</v>
      </c>
      <c r="K37" s="116"/>
      <c r="L37" s="116"/>
    </row>
    <row r="38" spans="2:12" x14ac:dyDescent="0.2">
      <c r="B38" s="206" t="s">
        <v>3040</v>
      </c>
      <c r="C38" s="205">
        <v>44</v>
      </c>
      <c r="D38" s="147">
        <f t="shared" si="5"/>
        <v>9.4428706326723354E-3</v>
      </c>
      <c r="E38" s="148">
        <f t="shared" si="2"/>
        <v>4.6124001022275586E-6</v>
      </c>
      <c r="F38" s="148">
        <f t="shared" si="6"/>
        <v>9.2143174769500536E-5</v>
      </c>
      <c r="K38" s="116"/>
      <c r="L38" s="116"/>
    </row>
    <row r="39" spans="2:12" x14ac:dyDescent="0.2">
      <c r="B39" s="206" t="s">
        <v>2781</v>
      </c>
      <c r="C39" s="205">
        <v>44</v>
      </c>
      <c r="D39" s="147">
        <f t="shared" si="5"/>
        <v>9.7576329870947467E-3</v>
      </c>
      <c r="E39" s="148">
        <f t="shared" si="2"/>
        <v>4.6124001022275586E-6</v>
      </c>
      <c r="F39" s="148">
        <f t="shared" si="6"/>
        <v>9.6755574871728092E-5</v>
      </c>
      <c r="K39" s="116"/>
      <c r="L39" s="116"/>
    </row>
    <row r="40" spans="2:12" x14ac:dyDescent="0.2">
      <c r="B40" s="206" t="s">
        <v>1386</v>
      </c>
      <c r="C40" s="205">
        <v>44</v>
      </c>
      <c r="D40" s="147">
        <f t="shared" si="5"/>
        <v>1.0072395341517158E-2</v>
      </c>
      <c r="E40" s="148">
        <f t="shared" si="2"/>
        <v>4.6124001022275586E-6</v>
      </c>
      <c r="F40" s="148">
        <f t="shared" si="6"/>
        <v>1.0136797497395565E-4</v>
      </c>
      <c r="K40" s="116"/>
      <c r="L40" s="116"/>
    </row>
    <row r="41" spans="2:12" x14ac:dyDescent="0.2">
      <c r="B41" s="206" t="s">
        <v>1645</v>
      </c>
      <c r="C41" s="205">
        <v>47</v>
      </c>
      <c r="D41" s="147">
        <f t="shared" si="5"/>
        <v>1.0387157695939569E-2</v>
      </c>
      <c r="E41" s="148">
        <f t="shared" si="2"/>
        <v>4.9268819273794373E-6</v>
      </c>
      <c r="F41" s="148">
        <f t="shared" si="6"/>
        <v>1.0629485690133508E-4</v>
      </c>
      <c r="K41" s="116"/>
      <c r="L41" s="116"/>
    </row>
    <row r="42" spans="2:12" ht="13.5" thickBot="1" x14ac:dyDescent="0.25">
      <c r="B42" s="115" t="s">
        <v>3016</v>
      </c>
      <c r="C42" s="114">
        <v>48</v>
      </c>
      <c r="D42" s="147">
        <f t="shared" si="5"/>
        <v>1.070192005036198E-2</v>
      </c>
      <c r="E42" s="148">
        <f t="shared" si="2"/>
        <v>5.0317092024300638E-6</v>
      </c>
      <c r="F42" s="148">
        <f t="shared" si="6"/>
        <v>1.1132656610376514E-4</v>
      </c>
      <c r="K42" s="116"/>
      <c r="L42" s="116"/>
    </row>
    <row r="43" spans="2:12" ht="13.5" thickBot="1" x14ac:dyDescent="0.25">
      <c r="B43" s="206" t="s">
        <v>1815</v>
      </c>
      <c r="C43" s="205">
        <v>48</v>
      </c>
      <c r="D43" s="147">
        <f t="shared" si="5"/>
        <v>1.1016682404784392E-2</v>
      </c>
      <c r="E43" s="148">
        <f t="shared" si="2"/>
        <v>5.0317092024300638E-6</v>
      </c>
      <c r="F43" s="148">
        <f t="shared" si="6"/>
        <v>1.163582753061952E-4</v>
      </c>
      <c r="H43" s="152" t="s">
        <v>1</v>
      </c>
      <c r="I43" s="157" t="s">
        <v>3</v>
      </c>
      <c r="J43" s="155">
        <f>AVERAGE(C:C)</f>
        <v>3002.6761095372995</v>
      </c>
      <c r="K43" s="116"/>
      <c r="L43" s="116"/>
    </row>
    <row r="44" spans="2:12" ht="13.5" thickBot="1" x14ac:dyDescent="0.25">
      <c r="B44" s="206" t="s">
        <v>1169</v>
      </c>
      <c r="C44" s="205">
        <v>49</v>
      </c>
      <c r="D44" s="147">
        <f t="shared" si="5"/>
        <v>1.1331444759206803E-2</v>
      </c>
      <c r="E44" s="148">
        <f t="shared" si="2"/>
        <v>5.1365364774806903E-6</v>
      </c>
      <c r="F44" s="148">
        <f t="shared" si="6"/>
        <v>1.2149481178367588E-4</v>
      </c>
      <c r="I44" s="156" t="s">
        <v>3263</v>
      </c>
      <c r="J44" s="154">
        <f>D2703</f>
        <v>0.84828454516838103</v>
      </c>
      <c r="K44" s="140">
        <f>F2703</f>
        <v>0.23866445019876309</v>
      </c>
      <c r="L44" s="116"/>
    </row>
    <row r="45" spans="2:12" ht="13.5" thickBot="1" x14ac:dyDescent="0.25">
      <c r="B45" s="206" t="s">
        <v>855</v>
      </c>
      <c r="C45" s="205">
        <v>49</v>
      </c>
      <c r="D45" s="147">
        <f t="shared" si="5"/>
        <v>1.1646207113629214E-2</v>
      </c>
      <c r="E45" s="148">
        <f t="shared" si="2"/>
        <v>5.1365364774806903E-6</v>
      </c>
      <c r="F45" s="148">
        <f t="shared" si="6"/>
        <v>1.2663134826115658E-4</v>
      </c>
      <c r="K45" s="116"/>
      <c r="L45" s="116"/>
    </row>
    <row r="46" spans="2:12" ht="13.5" thickBot="1" x14ac:dyDescent="0.25">
      <c r="B46" s="115" t="s">
        <v>2079</v>
      </c>
      <c r="C46" s="114">
        <v>50</v>
      </c>
      <c r="D46" s="147">
        <f t="shared" si="5"/>
        <v>1.1960969468051625E-2</v>
      </c>
      <c r="E46" s="148">
        <f t="shared" si="2"/>
        <v>5.2413637525313168E-6</v>
      </c>
      <c r="F46" s="148">
        <f t="shared" si="6"/>
        <v>1.3187271201368789E-4</v>
      </c>
      <c r="I46" s="158" t="s">
        <v>3264</v>
      </c>
      <c r="J46" s="153">
        <f>K12</f>
        <v>751</v>
      </c>
      <c r="K46" s="116"/>
      <c r="L46" s="116"/>
    </row>
    <row r="47" spans="2:12" ht="13.5" thickBot="1" x14ac:dyDescent="0.25">
      <c r="B47" s="115" t="s">
        <v>535</v>
      </c>
      <c r="C47" s="114">
        <v>50</v>
      </c>
      <c r="D47" s="147">
        <f t="shared" si="5"/>
        <v>1.2275731822474037E-2</v>
      </c>
      <c r="E47" s="148">
        <f t="shared" si="2"/>
        <v>5.2413637525313168E-6</v>
      </c>
      <c r="F47" s="148">
        <f t="shared" si="6"/>
        <v>1.371140757662192E-4</v>
      </c>
      <c r="K47" s="116"/>
      <c r="L47" s="116"/>
    </row>
    <row r="48" spans="2:12" ht="13.9" customHeight="1" thickBot="1" x14ac:dyDescent="0.25">
      <c r="B48" s="115" t="s">
        <v>195</v>
      </c>
      <c r="C48" s="114">
        <v>50</v>
      </c>
      <c r="D48" s="147">
        <f t="shared" si="5"/>
        <v>1.2590494176896448E-2</v>
      </c>
      <c r="E48" s="148">
        <f t="shared" si="2"/>
        <v>5.2413637525313168E-6</v>
      </c>
      <c r="F48" s="148">
        <f t="shared" si="6"/>
        <v>1.4235543951875051E-4</v>
      </c>
      <c r="I48" s="135" t="s">
        <v>3308</v>
      </c>
      <c r="J48" s="305">
        <f>J44-K44</f>
        <v>0.609620094969618</v>
      </c>
    </row>
    <row r="49" spans="2:12" ht="13.5" thickBot="1" x14ac:dyDescent="0.25">
      <c r="B49" s="206" t="s">
        <v>2493</v>
      </c>
      <c r="C49" s="205">
        <v>51</v>
      </c>
      <c r="D49" s="147">
        <f t="shared" si="5"/>
        <v>1.2905256531318859E-2</v>
      </c>
      <c r="E49" s="148">
        <f t="shared" si="2"/>
        <v>5.3461910275819433E-6</v>
      </c>
      <c r="F49" s="148">
        <f t="shared" si="6"/>
        <v>1.4770163054633246E-4</v>
      </c>
    </row>
    <row r="50" spans="2:12" ht="13.15" customHeight="1" x14ac:dyDescent="0.2">
      <c r="B50" s="115" t="s">
        <v>2105</v>
      </c>
      <c r="C50" s="114">
        <v>51</v>
      </c>
      <c r="D50" s="147">
        <f t="shared" si="5"/>
        <v>1.322001888574127E-2</v>
      </c>
      <c r="E50" s="148">
        <f t="shared" si="2"/>
        <v>5.3461910275819433E-6</v>
      </c>
      <c r="F50" s="148">
        <f t="shared" si="6"/>
        <v>1.5304782157391441E-4</v>
      </c>
      <c r="I50" s="254" t="s">
        <v>3310</v>
      </c>
      <c r="J50" s="255"/>
      <c r="K50" s="256"/>
      <c r="L50" s="116"/>
    </row>
    <row r="51" spans="2:12" x14ac:dyDescent="0.2">
      <c r="B51" s="115" t="s">
        <v>2789</v>
      </c>
      <c r="C51" s="114">
        <v>52</v>
      </c>
      <c r="D51" s="147">
        <f t="shared" si="5"/>
        <v>1.3534781240163682E-2</v>
      </c>
      <c r="E51" s="148">
        <f t="shared" si="2"/>
        <v>5.451018302632569E-6</v>
      </c>
      <c r="F51" s="148">
        <f t="shared" si="6"/>
        <v>1.5849883987654697E-4</v>
      </c>
      <c r="I51" s="257"/>
      <c r="J51" s="258"/>
      <c r="K51" s="259"/>
      <c r="L51" s="116"/>
    </row>
    <row r="52" spans="2:12" x14ac:dyDescent="0.2">
      <c r="B52" s="206" t="s">
        <v>1917</v>
      </c>
      <c r="C52" s="205">
        <v>52</v>
      </c>
      <c r="D52" s="147">
        <f t="shared" si="5"/>
        <v>1.3849543594586093E-2</v>
      </c>
      <c r="E52" s="148">
        <f t="shared" si="2"/>
        <v>5.451018302632569E-6</v>
      </c>
      <c r="F52" s="148">
        <f t="shared" si="6"/>
        <v>1.6394985817917953E-4</v>
      </c>
      <c r="I52" s="257"/>
      <c r="J52" s="258"/>
      <c r="K52" s="259"/>
    </row>
    <row r="53" spans="2:12" x14ac:dyDescent="0.2">
      <c r="B53" s="115" t="s">
        <v>1897</v>
      </c>
      <c r="C53" s="114">
        <v>52</v>
      </c>
      <c r="D53" s="147">
        <f t="shared" si="5"/>
        <v>1.4164305949008504E-2</v>
      </c>
      <c r="E53" s="148">
        <f t="shared" si="2"/>
        <v>5.451018302632569E-6</v>
      </c>
      <c r="F53" s="148">
        <f t="shared" si="6"/>
        <v>1.6940087648181209E-4</v>
      </c>
      <c r="I53" s="257"/>
      <c r="J53" s="258"/>
      <c r="K53" s="259"/>
    </row>
    <row r="54" spans="2:12" x14ac:dyDescent="0.2">
      <c r="B54" s="206" t="s">
        <v>3101</v>
      </c>
      <c r="C54" s="205">
        <v>53</v>
      </c>
      <c r="D54" s="147">
        <f t="shared" si="5"/>
        <v>1.4479068303430915E-2</v>
      </c>
      <c r="E54" s="148">
        <f t="shared" si="2"/>
        <v>5.5558455776831955E-6</v>
      </c>
      <c r="F54" s="148">
        <f t="shared" si="6"/>
        <v>1.7495672205949529E-4</v>
      </c>
      <c r="I54" s="257"/>
      <c r="J54" s="258"/>
      <c r="K54" s="259"/>
    </row>
    <row r="55" spans="2:12" x14ac:dyDescent="0.2">
      <c r="B55" s="206" t="s">
        <v>3073</v>
      </c>
      <c r="C55" s="205">
        <v>53</v>
      </c>
      <c r="D55" s="147">
        <f t="shared" si="5"/>
        <v>1.4793830657853327E-2</v>
      </c>
      <c r="E55" s="148">
        <f t="shared" si="2"/>
        <v>5.5558455776831955E-6</v>
      </c>
      <c r="F55" s="148">
        <f t="shared" si="6"/>
        <v>1.8051256763717849E-4</v>
      </c>
      <c r="I55" s="257"/>
      <c r="J55" s="258"/>
      <c r="K55" s="259"/>
    </row>
    <row r="56" spans="2:12" x14ac:dyDescent="0.2">
      <c r="B56" s="206" t="s">
        <v>2090</v>
      </c>
      <c r="C56" s="205">
        <v>53</v>
      </c>
      <c r="D56" s="147">
        <f t="shared" si="5"/>
        <v>1.5108593012275738E-2</v>
      </c>
      <c r="E56" s="148">
        <f t="shared" si="2"/>
        <v>5.5558455776831955E-6</v>
      </c>
      <c r="F56" s="148">
        <f t="shared" si="6"/>
        <v>1.860684132148617E-4</v>
      </c>
      <c r="I56" s="257"/>
      <c r="J56" s="258"/>
      <c r="K56" s="259"/>
    </row>
    <row r="57" spans="2:12" x14ac:dyDescent="0.2">
      <c r="B57" s="206" t="s">
        <v>1959</v>
      </c>
      <c r="C57" s="205">
        <v>54</v>
      </c>
      <c r="D57" s="147">
        <f t="shared" si="5"/>
        <v>1.5423355366698149E-2</v>
      </c>
      <c r="E57" s="148">
        <f t="shared" si="2"/>
        <v>5.660672852733822E-6</v>
      </c>
      <c r="F57" s="148">
        <f t="shared" si="6"/>
        <v>1.9172908606759551E-4</v>
      </c>
      <c r="I57" s="257"/>
      <c r="J57" s="258"/>
      <c r="K57" s="259"/>
    </row>
    <row r="58" spans="2:12" x14ac:dyDescent="0.2">
      <c r="B58" s="115" t="s">
        <v>1525</v>
      </c>
      <c r="C58" s="114">
        <v>54</v>
      </c>
      <c r="D58" s="147">
        <f t="shared" si="5"/>
        <v>1.5738117721120558E-2</v>
      </c>
      <c r="E58" s="148">
        <f t="shared" si="2"/>
        <v>5.660672852733822E-6</v>
      </c>
      <c r="F58" s="148">
        <f t="shared" si="6"/>
        <v>1.9738975892032932E-4</v>
      </c>
      <c r="I58" s="257"/>
      <c r="J58" s="258"/>
      <c r="K58" s="259"/>
    </row>
    <row r="59" spans="2:12" x14ac:dyDescent="0.2">
      <c r="B59" s="206" t="s">
        <v>1048</v>
      </c>
      <c r="C59" s="205">
        <v>54</v>
      </c>
      <c r="D59" s="147">
        <f t="shared" si="5"/>
        <v>1.605288007554297E-2</v>
      </c>
      <c r="E59" s="148">
        <f t="shared" si="2"/>
        <v>5.660672852733822E-6</v>
      </c>
      <c r="F59" s="148">
        <f t="shared" si="6"/>
        <v>2.0305043177306313E-4</v>
      </c>
      <c r="I59" s="257"/>
      <c r="J59" s="258"/>
      <c r="K59" s="259"/>
    </row>
    <row r="60" spans="2:12" x14ac:dyDescent="0.2">
      <c r="B60" s="115" t="s">
        <v>2099</v>
      </c>
      <c r="C60" s="114">
        <v>55</v>
      </c>
      <c r="D60" s="147">
        <f t="shared" si="5"/>
        <v>1.6367642429965381E-2</v>
      </c>
      <c r="E60" s="148">
        <f t="shared" si="2"/>
        <v>5.7655001277844485E-6</v>
      </c>
      <c r="F60" s="148">
        <f t="shared" si="6"/>
        <v>2.0881593190084759E-4</v>
      </c>
      <c r="I60" s="257"/>
      <c r="J60" s="258"/>
      <c r="K60" s="259"/>
    </row>
    <row r="61" spans="2:12" x14ac:dyDescent="0.2">
      <c r="B61" s="206" t="s">
        <v>1769</v>
      </c>
      <c r="C61" s="205">
        <v>55</v>
      </c>
      <c r="D61" s="147">
        <f t="shared" si="5"/>
        <v>1.6682404784387792E-2</v>
      </c>
      <c r="E61" s="148">
        <f t="shared" si="2"/>
        <v>5.7655001277844485E-6</v>
      </c>
      <c r="F61" s="148">
        <f t="shared" si="6"/>
        <v>2.1458143202863204E-4</v>
      </c>
      <c r="I61" s="257"/>
      <c r="J61" s="258"/>
      <c r="K61" s="259"/>
    </row>
    <row r="62" spans="2:12" x14ac:dyDescent="0.2">
      <c r="B62" s="206" t="s">
        <v>1211</v>
      </c>
      <c r="C62" s="205">
        <v>57</v>
      </c>
      <c r="D62" s="147">
        <f t="shared" si="5"/>
        <v>1.6997167138810203E-2</v>
      </c>
      <c r="E62" s="148">
        <f t="shared" si="2"/>
        <v>5.9751546778857006E-6</v>
      </c>
      <c r="F62" s="148">
        <f t="shared" si="6"/>
        <v>2.2055658670651774E-4</v>
      </c>
      <c r="I62" s="257"/>
      <c r="J62" s="258"/>
      <c r="K62" s="259"/>
    </row>
    <row r="63" spans="2:12" x14ac:dyDescent="0.2">
      <c r="B63" s="115" t="s">
        <v>1076</v>
      </c>
      <c r="C63" s="114">
        <v>58</v>
      </c>
      <c r="D63" s="147">
        <f t="shared" si="5"/>
        <v>1.7311929493232615E-2</v>
      </c>
      <c r="E63" s="148">
        <f t="shared" si="2"/>
        <v>6.0799819529363271E-6</v>
      </c>
      <c r="F63" s="148">
        <f t="shared" si="6"/>
        <v>2.2663656865945406E-4</v>
      </c>
      <c r="I63" s="257"/>
      <c r="J63" s="258"/>
      <c r="K63" s="259"/>
    </row>
    <row r="64" spans="2:12" x14ac:dyDescent="0.2">
      <c r="B64" s="206" t="s">
        <v>2176</v>
      </c>
      <c r="C64" s="205">
        <v>59</v>
      </c>
      <c r="D64" s="147">
        <f t="shared" si="5"/>
        <v>1.7626691847655026E-2</v>
      </c>
      <c r="E64" s="148">
        <f t="shared" si="2"/>
        <v>6.1848092279869537E-6</v>
      </c>
      <c r="F64" s="148">
        <f t="shared" si="6"/>
        <v>2.3282137788744101E-4</v>
      </c>
      <c r="I64" s="257"/>
      <c r="J64" s="258"/>
      <c r="K64" s="259"/>
    </row>
    <row r="65" spans="2:11" x14ac:dyDescent="0.2">
      <c r="B65" s="115" t="s">
        <v>215</v>
      </c>
      <c r="C65" s="114">
        <v>59</v>
      </c>
      <c r="D65" s="147">
        <f t="shared" si="5"/>
        <v>1.7941454202077437E-2</v>
      </c>
      <c r="E65" s="148">
        <f t="shared" si="2"/>
        <v>6.1848092279869537E-6</v>
      </c>
      <c r="F65" s="148">
        <f t="shared" si="6"/>
        <v>2.3900618711542796E-4</v>
      </c>
      <c r="I65" s="257"/>
      <c r="J65" s="258"/>
      <c r="K65" s="259"/>
    </row>
    <row r="66" spans="2:11" x14ac:dyDescent="0.2">
      <c r="B66" s="206" t="s">
        <v>955</v>
      </c>
      <c r="C66" s="205">
        <v>60</v>
      </c>
      <c r="D66" s="147">
        <f t="shared" si="5"/>
        <v>1.8256216556499848E-2</v>
      </c>
      <c r="E66" s="148">
        <f t="shared" si="2"/>
        <v>6.2896365030375802E-6</v>
      </c>
      <c r="F66" s="148">
        <f t="shared" si="6"/>
        <v>2.4529582361846556E-4</v>
      </c>
      <c r="I66" s="257"/>
      <c r="J66" s="258"/>
      <c r="K66" s="259"/>
    </row>
    <row r="67" spans="2:11" x14ac:dyDescent="0.2">
      <c r="B67" s="115" t="s">
        <v>419</v>
      </c>
      <c r="C67" s="114">
        <v>60</v>
      </c>
      <c r="D67" s="147">
        <f t="shared" si="5"/>
        <v>1.857097891092226E-2</v>
      </c>
      <c r="E67" s="148">
        <f t="shared" si="2"/>
        <v>6.2896365030375802E-6</v>
      </c>
      <c r="F67" s="148">
        <f t="shared" si="6"/>
        <v>2.5158546012150315E-4</v>
      </c>
      <c r="I67" s="257"/>
      <c r="J67" s="258"/>
      <c r="K67" s="259"/>
    </row>
    <row r="68" spans="2:11" ht="13.5" thickBot="1" x14ac:dyDescent="0.25">
      <c r="B68" s="206" t="s">
        <v>106</v>
      </c>
      <c r="C68" s="205">
        <v>60</v>
      </c>
      <c r="D68" s="147">
        <f t="shared" si="5"/>
        <v>1.8885741265344671E-2</v>
      </c>
      <c r="E68" s="148">
        <f t="shared" si="2"/>
        <v>6.2896365030375802E-6</v>
      </c>
      <c r="F68" s="148">
        <f t="shared" si="6"/>
        <v>2.5787509662454075E-4</v>
      </c>
      <c r="I68" s="260"/>
      <c r="J68" s="261"/>
      <c r="K68" s="262"/>
    </row>
    <row r="69" spans="2:11" x14ac:dyDescent="0.2">
      <c r="B69" s="115" t="s">
        <v>2750</v>
      </c>
      <c r="C69" s="114">
        <v>61</v>
      </c>
      <c r="D69" s="147">
        <f t="shared" si="5"/>
        <v>1.9200503619767082E-2</v>
      </c>
      <c r="E69" s="148">
        <f t="shared" si="2"/>
        <v>6.3944637780882067E-6</v>
      </c>
      <c r="F69" s="148">
        <f t="shared" si="6"/>
        <v>2.6426956040262895E-4</v>
      </c>
      <c r="J69" s="116"/>
      <c r="K69" s="116"/>
    </row>
    <row r="70" spans="2:11" x14ac:dyDescent="0.2">
      <c r="B70" s="206" t="s">
        <v>880</v>
      </c>
      <c r="C70" s="205">
        <v>61</v>
      </c>
      <c r="D70" s="147">
        <f t="shared" si="5"/>
        <v>1.9515265974189493E-2</v>
      </c>
      <c r="E70" s="148">
        <f t="shared" si="2"/>
        <v>6.3944637780882067E-6</v>
      </c>
      <c r="F70" s="148">
        <f t="shared" si="6"/>
        <v>2.7066402418071716E-4</v>
      </c>
      <c r="J70" s="116"/>
      <c r="K70" s="116"/>
    </row>
    <row r="71" spans="2:11" x14ac:dyDescent="0.2">
      <c r="B71" s="206" t="s">
        <v>1979</v>
      </c>
      <c r="C71" s="205">
        <v>62</v>
      </c>
      <c r="D71" s="147">
        <f t="shared" si="5"/>
        <v>1.9830028328611905E-2</v>
      </c>
      <c r="E71" s="148">
        <f t="shared" si="2"/>
        <v>6.4992910531388323E-6</v>
      </c>
      <c r="F71" s="148">
        <f t="shared" si="6"/>
        <v>2.7716331523385598E-4</v>
      </c>
      <c r="J71" s="116"/>
      <c r="K71" s="116"/>
    </row>
    <row r="72" spans="2:11" x14ac:dyDescent="0.2">
      <c r="B72" s="206" t="s">
        <v>1527</v>
      </c>
      <c r="C72" s="205">
        <v>62</v>
      </c>
      <c r="D72" s="147">
        <f t="shared" si="5"/>
        <v>2.0144790683034316E-2</v>
      </c>
      <c r="E72" s="148">
        <f t="shared" si="2"/>
        <v>6.4992910531388323E-6</v>
      </c>
      <c r="F72" s="148">
        <f t="shared" si="6"/>
        <v>2.8366260628699479E-4</v>
      </c>
      <c r="J72" s="116"/>
      <c r="K72" s="116"/>
    </row>
    <row r="73" spans="2:11" x14ac:dyDescent="0.2">
      <c r="B73" s="206" t="s">
        <v>618</v>
      </c>
      <c r="C73" s="205">
        <v>62</v>
      </c>
      <c r="D73" s="147">
        <f t="shared" si="5"/>
        <v>2.0459553037456727E-2</v>
      </c>
      <c r="E73" s="148">
        <f t="shared" ref="E73:E136" si="14">C73/$O$18</f>
        <v>6.4992910531388323E-6</v>
      </c>
      <c r="F73" s="148">
        <f t="shared" si="6"/>
        <v>2.9016189734013361E-4</v>
      </c>
      <c r="J73" s="116"/>
      <c r="K73" s="116"/>
    </row>
    <row r="74" spans="2:11" x14ac:dyDescent="0.2">
      <c r="B74" s="206" t="s">
        <v>64</v>
      </c>
      <c r="C74" s="205">
        <v>62</v>
      </c>
      <c r="D74" s="147">
        <f t="shared" ref="D74:D137" si="15">D73+1/$L$18</f>
        <v>2.0774315391879138E-2</v>
      </c>
      <c r="E74" s="148">
        <f t="shared" si="14"/>
        <v>6.4992910531388323E-6</v>
      </c>
      <c r="F74" s="148">
        <f t="shared" ref="F74:F137" si="16">F73+E74</f>
        <v>2.9666118839327243E-4</v>
      </c>
      <c r="J74" s="116"/>
      <c r="K74" s="116"/>
    </row>
    <row r="75" spans="2:11" x14ac:dyDescent="0.2">
      <c r="B75" s="206" t="s">
        <v>51</v>
      </c>
      <c r="C75" s="205">
        <v>62</v>
      </c>
      <c r="D75" s="147">
        <f t="shared" si="15"/>
        <v>2.108907774630155E-2</v>
      </c>
      <c r="E75" s="148">
        <f t="shared" si="14"/>
        <v>6.4992910531388323E-6</v>
      </c>
      <c r="F75" s="148">
        <f t="shared" si="16"/>
        <v>3.0316047944641125E-4</v>
      </c>
      <c r="J75" s="116"/>
      <c r="K75" s="116"/>
    </row>
    <row r="76" spans="2:11" x14ac:dyDescent="0.2">
      <c r="B76" s="206" t="s">
        <v>37</v>
      </c>
      <c r="C76" s="205">
        <v>62</v>
      </c>
      <c r="D76" s="147">
        <f t="shared" si="15"/>
        <v>2.1403840100723961E-2</v>
      </c>
      <c r="E76" s="148">
        <f t="shared" si="14"/>
        <v>6.4992910531388323E-6</v>
      </c>
      <c r="F76" s="148">
        <f t="shared" si="16"/>
        <v>3.0965977049955006E-4</v>
      </c>
      <c r="J76" s="116"/>
      <c r="K76" s="116"/>
    </row>
    <row r="77" spans="2:11" x14ac:dyDescent="0.2">
      <c r="B77" s="115" t="s">
        <v>1664</v>
      </c>
      <c r="C77" s="114">
        <v>63</v>
      </c>
      <c r="D77" s="147">
        <f t="shared" si="15"/>
        <v>2.1718602455146372E-2</v>
      </c>
      <c r="E77" s="148">
        <f t="shared" si="14"/>
        <v>6.6041183281894588E-6</v>
      </c>
      <c r="F77" s="148">
        <f t="shared" si="16"/>
        <v>3.1626388882773955E-4</v>
      </c>
      <c r="J77" s="116"/>
      <c r="K77" s="116"/>
    </row>
    <row r="78" spans="2:11" x14ac:dyDescent="0.2">
      <c r="B78" s="206" t="s">
        <v>3157</v>
      </c>
      <c r="C78" s="205">
        <v>64</v>
      </c>
      <c r="D78" s="147">
        <f t="shared" si="15"/>
        <v>2.2033364809568783E-2</v>
      </c>
      <c r="E78" s="148">
        <f t="shared" si="14"/>
        <v>6.7089456032400853E-6</v>
      </c>
      <c r="F78" s="148">
        <f t="shared" si="16"/>
        <v>3.2297283443097965E-4</v>
      </c>
      <c r="J78" s="116"/>
      <c r="K78" s="116"/>
    </row>
    <row r="79" spans="2:11" x14ac:dyDescent="0.2">
      <c r="B79" s="206" t="s">
        <v>1787</v>
      </c>
      <c r="C79" s="205">
        <v>65</v>
      </c>
      <c r="D79" s="147">
        <f t="shared" si="15"/>
        <v>2.2348127163991195E-2</v>
      </c>
      <c r="E79" s="148">
        <f t="shared" si="14"/>
        <v>6.8137728782907118E-6</v>
      </c>
      <c r="F79" s="148">
        <f t="shared" si="16"/>
        <v>3.2978660730927035E-4</v>
      </c>
      <c r="J79" s="116"/>
      <c r="K79" s="116"/>
    </row>
    <row r="80" spans="2:11" x14ac:dyDescent="0.2">
      <c r="B80" s="206" t="s">
        <v>1727</v>
      </c>
      <c r="C80" s="205">
        <v>65</v>
      </c>
      <c r="D80" s="147">
        <f t="shared" si="15"/>
        <v>2.2662889518413606E-2</v>
      </c>
      <c r="E80" s="148">
        <f t="shared" si="14"/>
        <v>6.8137728782907118E-6</v>
      </c>
      <c r="F80" s="148">
        <f t="shared" si="16"/>
        <v>3.3660038018756106E-4</v>
      </c>
      <c r="J80" s="116"/>
      <c r="K80" s="116"/>
    </row>
    <row r="81" spans="2:11" x14ac:dyDescent="0.2">
      <c r="B81" s="206" t="s">
        <v>2288</v>
      </c>
      <c r="C81" s="205">
        <v>66</v>
      </c>
      <c r="D81" s="147">
        <f t="shared" si="15"/>
        <v>2.2977651872836017E-2</v>
      </c>
      <c r="E81" s="148">
        <f t="shared" si="14"/>
        <v>6.9186001533413383E-6</v>
      </c>
      <c r="F81" s="148">
        <f t="shared" si="16"/>
        <v>3.4351898034090238E-4</v>
      </c>
      <c r="J81" s="116"/>
      <c r="K81" s="116"/>
    </row>
    <row r="82" spans="2:11" x14ac:dyDescent="0.2">
      <c r="B82" s="115" t="s">
        <v>1618</v>
      </c>
      <c r="C82" s="114">
        <v>66</v>
      </c>
      <c r="D82" s="147">
        <f t="shared" si="15"/>
        <v>2.3292414227258428E-2</v>
      </c>
      <c r="E82" s="148">
        <f t="shared" si="14"/>
        <v>6.9186001533413383E-6</v>
      </c>
      <c r="F82" s="148">
        <f t="shared" si="16"/>
        <v>3.504375804942437E-4</v>
      </c>
      <c r="J82" s="116"/>
      <c r="K82" s="116"/>
    </row>
    <row r="83" spans="2:11" x14ac:dyDescent="0.2">
      <c r="B83" s="115" t="s">
        <v>1522</v>
      </c>
      <c r="C83" s="114">
        <v>66</v>
      </c>
      <c r="D83" s="147">
        <f t="shared" si="15"/>
        <v>2.3607176581680839E-2</v>
      </c>
      <c r="E83" s="148">
        <f t="shared" si="14"/>
        <v>6.9186001533413383E-6</v>
      </c>
      <c r="F83" s="148">
        <f t="shared" si="16"/>
        <v>3.5735618064758502E-4</v>
      </c>
      <c r="J83" s="116"/>
      <c r="K83" s="116"/>
    </row>
    <row r="84" spans="2:11" x14ac:dyDescent="0.2">
      <c r="B84" s="206" t="s">
        <v>2285</v>
      </c>
      <c r="C84" s="205">
        <v>67</v>
      </c>
      <c r="D84" s="147">
        <f t="shared" si="15"/>
        <v>2.3921938936103251E-2</v>
      </c>
      <c r="E84" s="148">
        <f t="shared" si="14"/>
        <v>7.023427428391964E-6</v>
      </c>
      <c r="F84" s="148">
        <f t="shared" si="16"/>
        <v>3.6437960807597701E-4</v>
      </c>
      <c r="J84" s="116"/>
      <c r="K84" s="116"/>
    </row>
    <row r="85" spans="2:11" x14ac:dyDescent="0.2">
      <c r="B85" s="206" t="s">
        <v>769</v>
      </c>
      <c r="C85" s="205">
        <v>67</v>
      </c>
      <c r="D85" s="147">
        <f t="shared" si="15"/>
        <v>2.4236701290525662E-2</v>
      </c>
      <c r="E85" s="148">
        <f t="shared" si="14"/>
        <v>7.023427428391964E-6</v>
      </c>
      <c r="F85" s="148">
        <f t="shared" si="16"/>
        <v>3.71403035504369E-4</v>
      </c>
      <c r="J85" s="116"/>
      <c r="K85" s="116"/>
    </row>
    <row r="86" spans="2:11" x14ac:dyDescent="0.2">
      <c r="B86" s="206" t="s">
        <v>2706</v>
      </c>
      <c r="C86" s="205">
        <v>69</v>
      </c>
      <c r="D86" s="147">
        <f t="shared" si="15"/>
        <v>2.4551463644948073E-2</v>
      </c>
      <c r="E86" s="148">
        <f t="shared" si="14"/>
        <v>7.233081978493217E-6</v>
      </c>
      <c r="F86" s="148">
        <f t="shared" si="16"/>
        <v>3.7863611748286221E-4</v>
      </c>
      <c r="J86" s="116"/>
      <c r="K86" s="116"/>
    </row>
    <row r="87" spans="2:11" x14ac:dyDescent="0.2">
      <c r="B87" s="206" t="s">
        <v>2347</v>
      </c>
      <c r="C87" s="205">
        <v>69</v>
      </c>
      <c r="D87" s="147">
        <f t="shared" si="15"/>
        <v>2.4866225999370484E-2</v>
      </c>
      <c r="E87" s="148">
        <f t="shared" si="14"/>
        <v>7.233081978493217E-6</v>
      </c>
      <c r="F87" s="148">
        <f t="shared" si="16"/>
        <v>3.8586919946135542E-4</v>
      </c>
      <c r="J87" s="116"/>
      <c r="K87" s="116"/>
    </row>
    <row r="88" spans="2:11" x14ac:dyDescent="0.2">
      <c r="B88" s="115" t="s">
        <v>2280</v>
      </c>
      <c r="C88" s="114">
        <v>69</v>
      </c>
      <c r="D88" s="147">
        <f t="shared" si="15"/>
        <v>2.5180988353792896E-2</v>
      </c>
      <c r="E88" s="148">
        <f t="shared" si="14"/>
        <v>7.233081978493217E-6</v>
      </c>
      <c r="F88" s="148">
        <f t="shared" si="16"/>
        <v>3.9310228143984863E-4</v>
      </c>
      <c r="J88" s="116"/>
      <c r="K88" s="116"/>
    </row>
    <row r="89" spans="2:11" x14ac:dyDescent="0.2">
      <c r="B89" s="206" t="s">
        <v>964</v>
      </c>
      <c r="C89" s="205">
        <v>69</v>
      </c>
      <c r="D89" s="147">
        <f t="shared" si="15"/>
        <v>2.5495750708215307E-2</v>
      </c>
      <c r="E89" s="148">
        <f t="shared" si="14"/>
        <v>7.233081978493217E-6</v>
      </c>
      <c r="F89" s="148">
        <f t="shared" si="16"/>
        <v>4.0033536341834184E-4</v>
      </c>
      <c r="J89" s="116"/>
      <c r="K89" s="116"/>
    </row>
    <row r="90" spans="2:11" x14ac:dyDescent="0.2">
      <c r="B90" s="115" t="s">
        <v>2097</v>
      </c>
      <c r="C90" s="114">
        <v>70</v>
      </c>
      <c r="D90" s="147">
        <f t="shared" si="15"/>
        <v>2.5810513062637718E-2</v>
      </c>
      <c r="E90" s="148">
        <f t="shared" si="14"/>
        <v>7.3379092535438435E-6</v>
      </c>
      <c r="F90" s="148">
        <f t="shared" si="16"/>
        <v>4.0767327267188567E-4</v>
      </c>
      <c r="J90" s="116"/>
      <c r="K90" s="116"/>
    </row>
    <row r="91" spans="2:11" x14ac:dyDescent="0.2">
      <c r="B91" s="115" t="s">
        <v>1142</v>
      </c>
      <c r="C91" s="114">
        <v>70</v>
      </c>
      <c r="D91" s="147">
        <f t="shared" si="15"/>
        <v>2.6125275417060129E-2</v>
      </c>
      <c r="E91" s="148">
        <f t="shared" si="14"/>
        <v>7.3379092535438435E-6</v>
      </c>
      <c r="F91" s="148">
        <f t="shared" si="16"/>
        <v>4.1501118192542949E-4</v>
      </c>
      <c r="J91" s="116"/>
      <c r="K91" s="116"/>
    </row>
    <row r="92" spans="2:11" x14ac:dyDescent="0.2">
      <c r="B92" s="206" t="s">
        <v>2642</v>
      </c>
      <c r="C92" s="205">
        <v>71</v>
      </c>
      <c r="D92" s="147">
        <f t="shared" si="15"/>
        <v>2.6440037771482541E-2</v>
      </c>
      <c r="E92" s="148">
        <f t="shared" si="14"/>
        <v>7.44273652859447E-6</v>
      </c>
      <c r="F92" s="148">
        <f t="shared" si="16"/>
        <v>4.2245391845402398E-4</v>
      </c>
      <c r="J92" s="116"/>
      <c r="K92" s="116"/>
    </row>
    <row r="93" spans="2:11" x14ac:dyDescent="0.2">
      <c r="B93" s="115" t="s">
        <v>1342</v>
      </c>
      <c r="C93" s="114">
        <v>71</v>
      </c>
      <c r="D93" s="147">
        <f t="shared" si="15"/>
        <v>2.6754800125904952E-2</v>
      </c>
      <c r="E93" s="148">
        <f t="shared" si="14"/>
        <v>7.44273652859447E-6</v>
      </c>
      <c r="F93" s="148">
        <f t="shared" si="16"/>
        <v>4.2989665498261847E-4</v>
      </c>
      <c r="J93" s="116"/>
      <c r="K93" s="116"/>
    </row>
    <row r="94" spans="2:11" x14ac:dyDescent="0.2">
      <c r="B94" s="206" t="s">
        <v>256</v>
      </c>
      <c r="C94" s="205">
        <v>71</v>
      </c>
      <c r="D94" s="147">
        <f t="shared" si="15"/>
        <v>2.7069562480327363E-2</v>
      </c>
      <c r="E94" s="148">
        <f t="shared" si="14"/>
        <v>7.44273652859447E-6</v>
      </c>
      <c r="F94" s="148">
        <f t="shared" si="16"/>
        <v>4.3733939151121296E-4</v>
      </c>
      <c r="J94" s="116"/>
      <c r="K94" s="116"/>
    </row>
    <row r="95" spans="2:11" x14ac:dyDescent="0.2">
      <c r="B95" s="115" t="s">
        <v>149</v>
      </c>
      <c r="C95" s="114">
        <v>71</v>
      </c>
      <c r="D95" s="147">
        <f t="shared" si="15"/>
        <v>2.7384324834749774E-2</v>
      </c>
      <c r="E95" s="148">
        <f t="shared" si="14"/>
        <v>7.44273652859447E-6</v>
      </c>
      <c r="F95" s="148">
        <f t="shared" si="16"/>
        <v>4.4478212803980745E-4</v>
      </c>
      <c r="J95" s="116"/>
      <c r="K95" s="116"/>
    </row>
    <row r="96" spans="2:11" x14ac:dyDescent="0.2">
      <c r="B96" s="115" t="s">
        <v>2366</v>
      </c>
      <c r="C96" s="114">
        <v>72</v>
      </c>
      <c r="D96" s="147">
        <f t="shared" si="15"/>
        <v>2.7699087189172186E-2</v>
      </c>
      <c r="E96" s="148">
        <f t="shared" si="14"/>
        <v>7.5475638036450957E-6</v>
      </c>
      <c r="F96" s="148">
        <f t="shared" si="16"/>
        <v>4.5232969184345255E-4</v>
      </c>
      <c r="J96" s="116"/>
      <c r="K96" s="116"/>
    </row>
    <row r="97" spans="2:11" x14ac:dyDescent="0.2">
      <c r="B97" s="206" t="s">
        <v>3159</v>
      </c>
      <c r="C97" s="205">
        <v>73</v>
      </c>
      <c r="D97" s="147">
        <f t="shared" si="15"/>
        <v>2.8013849543594597E-2</v>
      </c>
      <c r="E97" s="148">
        <f t="shared" si="14"/>
        <v>7.6523910786957222E-6</v>
      </c>
      <c r="F97" s="148">
        <f t="shared" si="16"/>
        <v>4.5998208292214826E-4</v>
      </c>
      <c r="J97" s="116"/>
      <c r="K97" s="116"/>
    </row>
    <row r="98" spans="2:11" x14ac:dyDescent="0.2">
      <c r="B98" s="206" t="s">
        <v>1524</v>
      </c>
      <c r="C98" s="205">
        <v>73</v>
      </c>
      <c r="D98" s="147">
        <f t="shared" si="15"/>
        <v>2.8328611898017008E-2</v>
      </c>
      <c r="E98" s="148">
        <f t="shared" si="14"/>
        <v>7.6523910786957222E-6</v>
      </c>
      <c r="F98" s="148">
        <f t="shared" si="16"/>
        <v>4.6763447400084398E-4</v>
      </c>
      <c r="J98" s="116"/>
      <c r="K98" s="116"/>
    </row>
    <row r="99" spans="2:11" x14ac:dyDescent="0.2">
      <c r="B99" s="206" t="s">
        <v>2345</v>
      </c>
      <c r="C99" s="205">
        <v>74</v>
      </c>
      <c r="D99" s="147">
        <f t="shared" si="15"/>
        <v>2.8643374252439419E-2</v>
      </c>
      <c r="E99" s="148">
        <f t="shared" si="14"/>
        <v>7.7572183537463478E-6</v>
      </c>
      <c r="F99" s="148">
        <f t="shared" si="16"/>
        <v>4.753916923545903E-4</v>
      </c>
      <c r="J99" s="116"/>
      <c r="K99" s="116"/>
    </row>
    <row r="100" spans="2:11" x14ac:dyDescent="0.2">
      <c r="B100" s="115" t="s">
        <v>1132</v>
      </c>
      <c r="C100" s="114">
        <v>74</v>
      </c>
      <c r="D100" s="147">
        <f t="shared" si="15"/>
        <v>2.8958136606861831E-2</v>
      </c>
      <c r="E100" s="148">
        <f t="shared" si="14"/>
        <v>7.7572183537463478E-6</v>
      </c>
      <c r="F100" s="148">
        <f t="shared" si="16"/>
        <v>4.8314891070833663E-4</v>
      </c>
      <c r="J100" s="116"/>
      <c r="K100" s="116"/>
    </row>
    <row r="101" spans="2:11" x14ac:dyDescent="0.2">
      <c r="B101" s="115" t="s">
        <v>816</v>
      </c>
      <c r="C101" s="114">
        <v>74</v>
      </c>
      <c r="D101" s="147">
        <f t="shared" si="15"/>
        <v>2.9272898961284242E-2</v>
      </c>
      <c r="E101" s="148">
        <f t="shared" si="14"/>
        <v>7.7572183537463478E-6</v>
      </c>
      <c r="F101" s="148">
        <f t="shared" si="16"/>
        <v>4.9090612906208301E-4</v>
      </c>
      <c r="J101" s="116"/>
      <c r="K101" s="116"/>
    </row>
    <row r="102" spans="2:11" x14ac:dyDescent="0.2">
      <c r="B102" s="206" t="s">
        <v>3119</v>
      </c>
      <c r="C102" s="205">
        <v>75</v>
      </c>
      <c r="D102" s="147">
        <f t="shared" si="15"/>
        <v>2.9587661315706653E-2</v>
      </c>
      <c r="E102" s="148">
        <f t="shared" si="14"/>
        <v>7.8620456287969752E-6</v>
      </c>
      <c r="F102" s="148">
        <f t="shared" si="16"/>
        <v>4.9876817469087995E-4</v>
      </c>
      <c r="J102" s="116"/>
      <c r="K102" s="116"/>
    </row>
    <row r="103" spans="2:11" x14ac:dyDescent="0.2">
      <c r="B103" s="206" t="s">
        <v>2754</v>
      </c>
      <c r="C103" s="205">
        <v>75</v>
      </c>
      <c r="D103" s="147">
        <f t="shared" si="15"/>
        <v>2.9902423670129064E-2</v>
      </c>
      <c r="E103" s="148">
        <f t="shared" si="14"/>
        <v>7.8620456287969752E-6</v>
      </c>
      <c r="F103" s="148">
        <f t="shared" si="16"/>
        <v>5.0663022031967688E-4</v>
      </c>
      <c r="J103" s="116"/>
      <c r="K103" s="116"/>
    </row>
    <row r="104" spans="2:11" x14ac:dyDescent="0.2">
      <c r="B104" s="206" t="s">
        <v>2061</v>
      </c>
      <c r="C104" s="205">
        <v>76</v>
      </c>
      <c r="D104" s="147">
        <f t="shared" si="15"/>
        <v>3.0217186024551475E-2</v>
      </c>
      <c r="E104" s="148">
        <f t="shared" si="14"/>
        <v>7.9668729038476009E-6</v>
      </c>
      <c r="F104" s="148">
        <f t="shared" si="16"/>
        <v>5.1459709322352449E-4</v>
      </c>
      <c r="J104" s="116"/>
      <c r="K104" s="116"/>
    </row>
    <row r="105" spans="2:11" x14ac:dyDescent="0.2">
      <c r="B105" s="115" t="s">
        <v>1971</v>
      </c>
      <c r="C105" s="114">
        <v>76</v>
      </c>
      <c r="D105" s="147">
        <f t="shared" si="15"/>
        <v>3.0531948378973887E-2</v>
      </c>
      <c r="E105" s="148">
        <f t="shared" si="14"/>
        <v>7.9668729038476009E-6</v>
      </c>
      <c r="F105" s="148">
        <f t="shared" si="16"/>
        <v>5.2256396612737209E-4</v>
      </c>
      <c r="J105" s="116"/>
      <c r="K105" s="116"/>
    </row>
    <row r="106" spans="2:11" x14ac:dyDescent="0.2">
      <c r="B106" s="206" t="s">
        <v>1900</v>
      </c>
      <c r="C106" s="205">
        <v>76</v>
      </c>
      <c r="D106" s="147">
        <f t="shared" si="15"/>
        <v>3.0846710733396298E-2</v>
      </c>
      <c r="E106" s="148">
        <f t="shared" si="14"/>
        <v>7.9668729038476009E-6</v>
      </c>
      <c r="F106" s="148">
        <f t="shared" si="16"/>
        <v>5.305308390312197E-4</v>
      </c>
      <c r="J106" s="116"/>
      <c r="K106" s="116"/>
    </row>
    <row r="107" spans="2:11" x14ac:dyDescent="0.2">
      <c r="B107" s="115" t="s">
        <v>1836</v>
      </c>
      <c r="C107" s="114">
        <v>76</v>
      </c>
      <c r="D107" s="147">
        <f t="shared" si="15"/>
        <v>3.1161473087818709E-2</v>
      </c>
      <c r="E107" s="148">
        <f t="shared" si="14"/>
        <v>7.9668729038476009E-6</v>
      </c>
      <c r="F107" s="148">
        <f t="shared" si="16"/>
        <v>5.384977119350673E-4</v>
      </c>
      <c r="J107" s="116"/>
      <c r="K107" s="116"/>
    </row>
    <row r="108" spans="2:11" x14ac:dyDescent="0.2">
      <c r="B108" s="206" t="s">
        <v>2836</v>
      </c>
      <c r="C108" s="205">
        <v>77</v>
      </c>
      <c r="D108" s="147">
        <f t="shared" si="15"/>
        <v>3.1476235442241117E-2</v>
      </c>
      <c r="E108" s="148">
        <f t="shared" si="14"/>
        <v>8.0717001788982282E-6</v>
      </c>
      <c r="F108" s="148">
        <f t="shared" si="16"/>
        <v>5.4656941211396557E-4</v>
      </c>
      <c r="J108" s="116"/>
      <c r="K108" s="116"/>
    </row>
    <row r="109" spans="2:11" x14ac:dyDescent="0.2">
      <c r="B109" s="206" t="s">
        <v>2378</v>
      </c>
      <c r="C109" s="205">
        <v>77</v>
      </c>
      <c r="D109" s="147">
        <f t="shared" si="15"/>
        <v>3.1790997796663528E-2</v>
      </c>
      <c r="E109" s="148">
        <f t="shared" si="14"/>
        <v>8.0717001788982282E-6</v>
      </c>
      <c r="F109" s="148">
        <f t="shared" si="16"/>
        <v>5.5464111229286384E-4</v>
      </c>
      <c r="J109" s="116"/>
      <c r="K109" s="116"/>
    </row>
    <row r="110" spans="2:11" x14ac:dyDescent="0.2">
      <c r="B110" s="206" t="s">
        <v>2222</v>
      </c>
      <c r="C110" s="205">
        <v>77</v>
      </c>
      <c r="D110" s="147">
        <f t="shared" si="15"/>
        <v>3.2105760151085939E-2</v>
      </c>
      <c r="E110" s="148">
        <f t="shared" si="14"/>
        <v>8.0717001788982282E-6</v>
      </c>
      <c r="F110" s="148">
        <f t="shared" si="16"/>
        <v>5.6271281247176211E-4</v>
      </c>
      <c r="J110" s="116"/>
      <c r="K110" s="116"/>
    </row>
    <row r="111" spans="2:11" x14ac:dyDescent="0.2">
      <c r="B111" s="115" t="s">
        <v>2135</v>
      </c>
      <c r="C111" s="114">
        <v>77</v>
      </c>
      <c r="D111" s="147">
        <f t="shared" si="15"/>
        <v>3.2420522505508351E-2</v>
      </c>
      <c r="E111" s="148">
        <f t="shared" si="14"/>
        <v>8.0717001788982282E-6</v>
      </c>
      <c r="F111" s="148">
        <f t="shared" si="16"/>
        <v>5.7078451265066038E-4</v>
      </c>
      <c r="J111" s="116"/>
      <c r="K111" s="116"/>
    </row>
    <row r="112" spans="2:11" x14ac:dyDescent="0.2">
      <c r="B112" s="115" t="s">
        <v>2073</v>
      </c>
      <c r="C112" s="114">
        <v>77</v>
      </c>
      <c r="D112" s="147">
        <f t="shared" si="15"/>
        <v>3.2735284859930762E-2</v>
      </c>
      <c r="E112" s="148">
        <f t="shared" si="14"/>
        <v>8.0717001788982282E-6</v>
      </c>
      <c r="F112" s="148">
        <f t="shared" si="16"/>
        <v>5.7885621282955865E-4</v>
      </c>
      <c r="J112" s="116"/>
      <c r="K112" s="116"/>
    </row>
    <row r="113" spans="2:11" x14ac:dyDescent="0.2">
      <c r="B113" s="206" t="s">
        <v>1421</v>
      </c>
      <c r="C113" s="205">
        <v>77</v>
      </c>
      <c r="D113" s="147">
        <f t="shared" si="15"/>
        <v>3.3050047214353173E-2</v>
      </c>
      <c r="E113" s="148">
        <f t="shared" si="14"/>
        <v>8.0717001788982282E-6</v>
      </c>
      <c r="F113" s="148">
        <f t="shared" si="16"/>
        <v>5.8692791300845692E-4</v>
      </c>
      <c r="J113" s="116"/>
      <c r="K113" s="116"/>
    </row>
    <row r="114" spans="2:11" x14ac:dyDescent="0.2">
      <c r="B114" s="115" t="s">
        <v>739</v>
      </c>
      <c r="C114" s="114">
        <v>77</v>
      </c>
      <c r="D114" s="147">
        <f t="shared" si="15"/>
        <v>3.3364809568775584E-2</v>
      </c>
      <c r="E114" s="148">
        <f t="shared" si="14"/>
        <v>8.0717001788982282E-6</v>
      </c>
      <c r="F114" s="148">
        <f t="shared" si="16"/>
        <v>5.9499961318735519E-4</v>
      </c>
      <c r="J114" s="116"/>
      <c r="K114" s="116"/>
    </row>
    <row r="115" spans="2:11" x14ac:dyDescent="0.2">
      <c r="B115" s="115" t="s">
        <v>558</v>
      </c>
      <c r="C115" s="114">
        <v>78</v>
      </c>
      <c r="D115" s="147">
        <f t="shared" si="15"/>
        <v>3.3679571923197996E-2</v>
      </c>
      <c r="E115" s="148">
        <f t="shared" si="14"/>
        <v>8.1765274539488539E-6</v>
      </c>
      <c r="F115" s="148">
        <f t="shared" si="16"/>
        <v>6.0317614064130402E-4</v>
      </c>
      <c r="J115" s="116"/>
      <c r="K115" s="116"/>
    </row>
    <row r="116" spans="2:11" x14ac:dyDescent="0.2">
      <c r="B116" s="115" t="s">
        <v>2207</v>
      </c>
      <c r="C116" s="114">
        <v>79</v>
      </c>
      <c r="D116" s="147">
        <f t="shared" si="15"/>
        <v>3.3994334277620407E-2</v>
      </c>
      <c r="E116" s="148">
        <f t="shared" si="14"/>
        <v>8.2813547289994795E-6</v>
      </c>
      <c r="F116" s="148">
        <f t="shared" si="16"/>
        <v>6.1145749537030352E-4</v>
      </c>
      <c r="J116" s="116"/>
      <c r="K116" s="116"/>
    </row>
    <row r="117" spans="2:11" x14ac:dyDescent="0.2">
      <c r="B117" s="206" t="s">
        <v>1088</v>
      </c>
      <c r="C117" s="205">
        <v>80</v>
      </c>
      <c r="D117" s="147">
        <f t="shared" si="15"/>
        <v>3.4309096632042818E-2</v>
      </c>
      <c r="E117" s="148">
        <f t="shared" si="14"/>
        <v>8.3861820040501069E-6</v>
      </c>
      <c r="F117" s="148">
        <f t="shared" si="16"/>
        <v>6.1984367737435357E-4</v>
      </c>
      <c r="J117" s="116"/>
      <c r="K117" s="116"/>
    </row>
    <row r="118" spans="2:11" x14ac:dyDescent="0.2">
      <c r="B118" s="206" t="s">
        <v>501</v>
      </c>
      <c r="C118" s="205">
        <v>80</v>
      </c>
      <c r="D118" s="147">
        <f t="shared" si="15"/>
        <v>3.4623858986465229E-2</v>
      </c>
      <c r="E118" s="148">
        <f t="shared" si="14"/>
        <v>8.3861820040501069E-6</v>
      </c>
      <c r="F118" s="148">
        <f t="shared" si="16"/>
        <v>6.2822985937840362E-4</v>
      </c>
      <c r="J118" s="116"/>
      <c r="K118" s="116"/>
    </row>
    <row r="119" spans="2:11" x14ac:dyDescent="0.2">
      <c r="B119" s="115" t="s">
        <v>732</v>
      </c>
      <c r="C119" s="114">
        <v>81</v>
      </c>
      <c r="D119" s="147">
        <f t="shared" si="15"/>
        <v>3.4938621340887641E-2</v>
      </c>
      <c r="E119" s="148">
        <f t="shared" si="14"/>
        <v>8.4910092791007325E-6</v>
      </c>
      <c r="F119" s="148">
        <f t="shared" si="16"/>
        <v>6.3672086865750434E-4</v>
      </c>
      <c r="J119" s="116"/>
      <c r="K119" s="116"/>
    </row>
    <row r="120" spans="2:11" x14ac:dyDescent="0.2">
      <c r="B120" s="115" t="s">
        <v>2332</v>
      </c>
      <c r="C120" s="114">
        <v>82</v>
      </c>
      <c r="D120" s="147">
        <f t="shared" si="15"/>
        <v>3.5253383695310052E-2</v>
      </c>
      <c r="E120" s="148">
        <f t="shared" si="14"/>
        <v>8.5958365541513599E-6</v>
      </c>
      <c r="F120" s="148">
        <f t="shared" si="16"/>
        <v>6.4531670521165573E-4</v>
      </c>
      <c r="J120" s="116"/>
      <c r="K120" s="116"/>
    </row>
    <row r="121" spans="2:11" x14ac:dyDescent="0.2">
      <c r="B121" s="115" t="s">
        <v>1565</v>
      </c>
      <c r="C121" s="114">
        <v>82</v>
      </c>
      <c r="D121" s="147">
        <f t="shared" si="15"/>
        <v>3.5568146049732463E-2</v>
      </c>
      <c r="E121" s="148">
        <f t="shared" si="14"/>
        <v>8.5958365541513599E-6</v>
      </c>
      <c r="F121" s="148">
        <f t="shared" si="16"/>
        <v>6.5391254176580711E-4</v>
      </c>
      <c r="J121" s="116"/>
      <c r="K121" s="116"/>
    </row>
    <row r="122" spans="2:11" x14ac:dyDescent="0.2">
      <c r="B122" s="115" t="s">
        <v>914</v>
      </c>
      <c r="C122" s="114">
        <v>82</v>
      </c>
      <c r="D122" s="147">
        <f t="shared" si="15"/>
        <v>3.5882908404154874E-2</v>
      </c>
      <c r="E122" s="148">
        <f t="shared" si="14"/>
        <v>8.5958365541513599E-6</v>
      </c>
      <c r="F122" s="148">
        <f t="shared" si="16"/>
        <v>6.625083783199585E-4</v>
      </c>
      <c r="J122" s="116"/>
      <c r="K122" s="116"/>
    </row>
    <row r="123" spans="2:11" x14ac:dyDescent="0.2">
      <c r="B123" s="115" t="s">
        <v>563</v>
      </c>
      <c r="C123" s="114">
        <v>82</v>
      </c>
      <c r="D123" s="147">
        <f t="shared" si="15"/>
        <v>3.6197670758577286E-2</v>
      </c>
      <c r="E123" s="148">
        <f t="shared" si="14"/>
        <v>8.5958365541513599E-6</v>
      </c>
      <c r="F123" s="148">
        <f t="shared" si="16"/>
        <v>6.7110421487410988E-4</v>
      </c>
      <c r="J123" s="116"/>
      <c r="K123" s="116"/>
    </row>
    <row r="124" spans="2:11" x14ac:dyDescent="0.2">
      <c r="B124" s="206" t="s">
        <v>2825</v>
      </c>
      <c r="C124" s="205">
        <v>83</v>
      </c>
      <c r="D124" s="147">
        <f t="shared" si="15"/>
        <v>3.6512433112999697E-2</v>
      </c>
      <c r="E124" s="148">
        <f t="shared" si="14"/>
        <v>8.7006638292019855E-6</v>
      </c>
      <c r="F124" s="148">
        <f t="shared" si="16"/>
        <v>6.7980487870331183E-4</v>
      </c>
      <c r="J124" s="116"/>
      <c r="K124" s="116"/>
    </row>
    <row r="125" spans="2:11" x14ac:dyDescent="0.2">
      <c r="B125" s="206" t="s">
        <v>2458</v>
      </c>
      <c r="C125" s="205">
        <v>83</v>
      </c>
      <c r="D125" s="147">
        <f t="shared" si="15"/>
        <v>3.6827195467422108E-2</v>
      </c>
      <c r="E125" s="148">
        <f t="shared" si="14"/>
        <v>8.7006638292019855E-6</v>
      </c>
      <c r="F125" s="148">
        <f t="shared" si="16"/>
        <v>6.8850554253251377E-4</v>
      </c>
      <c r="J125" s="116"/>
      <c r="K125" s="116"/>
    </row>
    <row r="126" spans="2:11" x14ac:dyDescent="0.2">
      <c r="B126" s="115" t="s">
        <v>1936</v>
      </c>
      <c r="C126" s="114">
        <v>83</v>
      </c>
      <c r="D126" s="147">
        <f t="shared" si="15"/>
        <v>3.7141957821844519E-2</v>
      </c>
      <c r="E126" s="148">
        <f t="shared" si="14"/>
        <v>8.7006638292019855E-6</v>
      </c>
      <c r="F126" s="148">
        <f t="shared" si="16"/>
        <v>6.9720620636171571E-4</v>
      </c>
      <c r="J126" s="116"/>
      <c r="K126" s="116"/>
    </row>
    <row r="127" spans="2:11" x14ac:dyDescent="0.2">
      <c r="B127" s="115" t="s">
        <v>1765</v>
      </c>
      <c r="C127" s="114">
        <v>83</v>
      </c>
      <c r="D127" s="147">
        <f t="shared" si="15"/>
        <v>3.7456720176266931E-2</v>
      </c>
      <c r="E127" s="148">
        <f t="shared" si="14"/>
        <v>8.7006638292019855E-6</v>
      </c>
      <c r="F127" s="148">
        <f t="shared" si="16"/>
        <v>7.0590687019091766E-4</v>
      </c>
      <c r="J127" s="116"/>
      <c r="K127" s="116"/>
    </row>
    <row r="128" spans="2:11" x14ac:dyDescent="0.2">
      <c r="B128" s="115" t="s">
        <v>1171</v>
      </c>
      <c r="C128" s="114">
        <v>83</v>
      </c>
      <c r="D128" s="147">
        <f t="shared" si="15"/>
        <v>3.7771482530689342E-2</v>
      </c>
      <c r="E128" s="148">
        <f t="shared" si="14"/>
        <v>8.7006638292019855E-6</v>
      </c>
      <c r="F128" s="148">
        <f t="shared" si="16"/>
        <v>7.146075340201196E-4</v>
      </c>
      <c r="J128" s="116"/>
      <c r="K128" s="116"/>
    </row>
    <row r="129" spans="2:11" x14ac:dyDescent="0.2">
      <c r="B129" s="206" t="s">
        <v>720</v>
      </c>
      <c r="C129" s="205">
        <v>83</v>
      </c>
      <c r="D129" s="147">
        <f t="shared" si="15"/>
        <v>3.8086244885111753E-2</v>
      </c>
      <c r="E129" s="148">
        <f t="shared" si="14"/>
        <v>8.7006638292019855E-6</v>
      </c>
      <c r="F129" s="148">
        <f t="shared" si="16"/>
        <v>7.2330819784932154E-4</v>
      </c>
      <c r="J129" s="116"/>
      <c r="K129" s="116"/>
    </row>
    <row r="130" spans="2:11" x14ac:dyDescent="0.2">
      <c r="B130" s="206" t="s">
        <v>2609</v>
      </c>
      <c r="C130" s="205">
        <v>84</v>
      </c>
      <c r="D130" s="147">
        <f t="shared" si="15"/>
        <v>3.8401007239534164E-2</v>
      </c>
      <c r="E130" s="148">
        <f t="shared" si="14"/>
        <v>8.8054911042526112E-6</v>
      </c>
      <c r="F130" s="148">
        <f t="shared" si="16"/>
        <v>7.3211368895357415E-4</v>
      </c>
      <c r="J130" s="116"/>
      <c r="K130" s="116"/>
    </row>
    <row r="131" spans="2:11" x14ac:dyDescent="0.2">
      <c r="B131" s="115" t="s">
        <v>3117</v>
      </c>
      <c r="C131" s="114">
        <v>85</v>
      </c>
      <c r="D131" s="147">
        <f t="shared" si="15"/>
        <v>3.8715769593956575E-2</v>
      </c>
      <c r="E131" s="148">
        <f t="shared" si="14"/>
        <v>8.9103183793032386E-6</v>
      </c>
      <c r="F131" s="148">
        <f t="shared" si="16"/>
        <v>7.4102400733287743E-4</v>
      </c>
      <c r="J131" s="116"/>
      <c r="K131" s="116"/>
    </row>
    <row r="132" spans="2:11" x14ac:dyDescent="0.2">
      <c r="B132" s="206" t="s">
        <v>1878</v>
      </c>
      <c r="C132" s="205">
        <v>85</v>
      </c>
      <c r="D132" s="147">
        <f t="shared" si="15"/>
        <v>3.9030531948378987E-2</v>
      </c>
      <c r="E132" s="148">
        <f t="shared" si="14"/>
        <v>8.9103183793032386E-6</v>
      </c>
      <c r="F132" s="148">
        <f t="shared" si="16"/>
        <v>7.499343257121807E-4</v>
      </c>
      <c r="J132" s="116"/>
      <c r="K132" s="116"/>
    </row>
    <row r="133" spans="2:11" x14ac:dyDescent="0.2">
      <c r="B133" s="115" t="s">
        <v>1160</v>
      </c>
      <c r="C133" s="114">
        <v>85</v>
      </c>
      <c r="D133" s="147">
        <f t="shared" si="15"/>
        <v>3.9345294302801398E-2</v>
      </c>
      <c r="E133" s="148">
        <f t="shared" si="14"/>
        <v>8.9103183793032386E-6</v>
      </c>
      <c r="F133" s="148">
        <f t="shared" si="16"/>
        <v>7.5884464409148398E-4</v>
      </c>
      <c r="J133" s="116"/>
      <c r="K133" s="116"/>
    </row>
    <row r="134" spans="2:11" x14ac:dyDescent="0.2">
      <c r="B134" s="115" t="s">
        <v>3112</v>
      </c>
      <c r="C134" s="114">
        <v>86</v>
      </c>
      <c r="D134" s="147">
        <f t="shared" si="15"/>
        <v>3.9660056657223809E-2</v>
      </c>
      <c r="E134" s="148">
        <f t="shared" si="14"/>
        <v>9.0151456543538642E-6</v>
      </c>
      <c r="F134" s="148">
        <f t="shared" si="16"/>
        <v>7.6785978974583781E-4</v>
      </c>
      <c r="J134" s="116"/>
      <c r="K134" s="116"/>
    </row>
    <row r="135" spans="2:11" x14ac:dyDescent="0.2">
      <c r="B135" s="206" t="s">
        <v>2140</v>
      </c>
      <c r="C135" s="205">
        <v>86</v>
      </c>
      <c r="D135" s="147">
        <f t="shared" si="15"/>
        <v>3.997481901164622E-2</v>
      </c>
      <c r="E135" s="148">
        <f t="shared" si="14"/>
        <v>9.0151456543538642E-6</v>
      </c>
      <c r="F135" s="148">
        <f t="shared" si="16"/>
        <v>7.7687493540019165E-4</v>
      </c>
      <c r="J135" s="116"/>
      <c r="K135" s="116"/>
    </row>
    <row r="136" spans="2:11" x14ac:dyDescent="0.2">
      <c r="B136" s="115" t="s">
        <v>1666</v>
      </c>
      <c r="C136" s="114">
        <v>86</v>
      </c>
      <c r="D136" s="147">
        <f t="shared" si="15"/>
        <v>4.0289581366068632E-2</v>
      </c>
      <c r="E136" s="148">
        <f t="shared" si="14"/>
        <v>9.0151456543538642E-6</v>
      </c>
      <c r="F136" s="148">
        <f t="shared" si="16"/>
        <v>7.8589008105454548E-4</v>
      </c>
      <c r="J136" s="116"/>
      <c r="K136" s="116"/>
    </row>
    <row r="137" spans="2:11" x14ac:dyDescent="0.2">
      <c r="B137" s="115" t="s">
        <v>801</v>
      </c>
      <c r="C137" s="114">
        <v>86</v>
      </c>
      <c r="D137" s="147">
        <f t="shared" si="15"/>
        <v>4.0604343720491043E-2</v>
      </c>
      <c r="E137" s="148">
        <f t="shared" ref="E137:E200" si="17">C137/$O$18</f>
        <v>9.0151456543538642E-6</v>
      </c>
      <c r="F137" s="148">
        <f t="shared" si="16"/>
        <v>7.9490522670889931E-4</v>
      </c>
      <c r="J137" s="116"/>
      <c r="K137" s="116"/>
    </row>
    <row r="138" spans="2:11" x14ac:dyDescent="0.2">
      <c r="B138" s="206" t="s">
        <v>2590</v>
      </c>
      <c r="C138" s="205">
        <v>87</v>
      </c>
      <c r="D138" s="147">
        <f t="shared" ref="D138:D201" si="18">D137+1/$L$18</f>
        <v>4.0919106074913454E-2</v>
      </c>
      <c r="E138" s="148">
        <f t="shared" si="17"/>
        <v>9.1199729294044916E-6</v>
      </c>
      <c r="F138" s="148">
        <f t="shared" ref="F138:F201" si="19">F137+E138</f>
        <v>8.0402519963830381E-4</v>
      </c>
      <c r="J138" s="116"/>
      <c r="K138" s="116"/>
    </row>
    <row r="139" spans="2:11" x14ac:dyDescent="0.2">
      <c r="B139" s="115" t="s">
        <v>1035</v>
      </c>
      <c r="C139" s="114">
        <v>87</v>
      </c>
      <c r="D139" s="147">
        <f t="shared" si="18"/>
        <v>4.1233868429335865E-2</v>
      </c>
      <c r="E139" s="148">
        <f t="shared" si="17"/>
        <v>9.1199729294044916E-6</v>
      </c>
      <c r="F139" s="148">
        <f t="shared" si="19"/>
        <v>8.1314517256770831E-4</v>
      </c>
      <c r="J139" s="116"/>
      <c r="K139" s="116"/>
    </row>
    <row r="140" spans="2:11" x14ac:dyDescent="0.2">
      <c r="B140" s="206" t="s">
        <v>408</v>
      </c>
      <c r="C140" s="205">
        <v>87</v>
      </c>
      <c r="D140" s="147">
        <f t="shared" si="18"/>
        <v>4.1548630783758277E-2</v>
      </c>
      <c r="E140" s="148">
        <f t="shared" si="17"/>
        <v>9.1199729294044916E-6</v>
      </c>
      <c r="F140" s="148">
        <f t="shared" si="19"/>
        <v>8.2226514549711281E-4</v>
      </c>
      <c r="J140" s="116"/>
      <c r="K140" s="116"/>
    </row>
    <row r="141" spans="2:11" x14ac:dyDescent="0.2">
      <c r="B141" s="206" t="s">
        <v>191</v>
      </c>
      <c r="C141" s="205">
        <v>87</v>
      </c>
      <c r="D141" s="147">
        <f t="shared" si="18"/>
        <v>4.1863393138180688E-2</v>
      </c>
      <c r="E141" s="148">
        <f t="shared" si="17"/>
        <v>9.1199729294044916E-6</v>
      </c>
      <c r="F141" s="148">
        <f t="shared" si="19"/>
        <v>8.3138511842651731E-4</v>
      </c>
      <c r="J141" s="116"/>
      <c r="K141" s="116"/>
    </row>
    <row r="142" spans="2:11" x14ac:dyDescent="0.2">
      <c r="B142" s="115" t="s">
        <v>1812</v>
      </c>
      <c r="C142" s="114">
        <v>88</v>
      </c>
      <c r="D142" s="147">
        <f t="shared" si="18"/>
        <v>4.2178155492603099E-2</v>
      </c>
      <c r="E142" s="148">
        <f t="shared" si="17"/>
        <v>9.2248002044551172E-6</v>
      </c>
      <c r="F142" s="148">
        <f t="shared" si="19"/>
        <v>8.4060991863097248E-4</v>
      </c>
      <c r="J142" s="116"/>
      <c r="K142" s="116"/>
    </row>
    <row r="143" spans="2:11" x14ac:dyDescent="0.2">
      <c r="B143" s="206" t="s">
        <v>70</v>
      </c>
      <c r="C143" s="205">
        <v>88</v>
      </c>
      <c r="D143" s="147">
        <f t="shared" si="18"/>
        <v>4.249291784702551E-2</v>
      </c>
      <c r="E143" s="148">
        <f t="shared" si="17"/>
        <v>9.2248002044551172E-6</v>
      </c>
      <c r="F143" s="148">
        <f t="shared" si="19"/>
        <v>8.4983471883542765E-4</v>
      </c>
      <c r="J143" s="116"/>
      <c r="K143" s="116"/>
    </row>
    <row r="144" spans="2:11" x14ac:dyDescent="0.2">
      <c r="B144" s="115" t="s">
        <v>2843</v>
      </c>
      <c r="C144" s="114">
        <v>89</v>
      </c>
      <c r="D144" s="147">
        <f t="shared" si="18"/>
        <v>4.2807680201447922E-2</v>
      </c>
      <c r="E144" s="148">
        <f t="shared" si="17"/>
        <v>9.3296274795057429E-6</v>
      </c>
      <c r="F144" s="148">
        <f t="shared" si="19"/>
        <v>8.5916434631493337E-4</v>
      </c>
      <c r="J144" s="116"/>
      <c r="K144" s="116"/>
    </row>
    <row r="145" spans="2:11" x14ac:dyDescent="0.2">
      <c r="B145" s="115" t="s">
        <v>2267</v>
      </c>
      <c r="C145" s="114">
        <v>89</v>
      </c>
      <c r="D145" s="147">
        <f t="shared" si="18"/>
        <v>4.3122442555870333E-2</v>
      </c>
      <c r="E145" s="148">
        <f t="shared" si="17"/>
        <v>9.3296274795057429E-6</v>
      </c>
      <c r="F145" s="148">
        <f t="shared" si="19"/>
        <v>8.684939737944391E-4</v>
      </c>
      <c r="J145" s="116"/>
      <c r="K145" s="116"/>
    </row>
    <row r="146" spans="2:11" x14ac:dyDescent="0.2">
      <c r="B146" s="206" t="s">
        <v>224</v>
      </c>
      <c r="C146" s="205">
        <v>89</v>
      </c>
      <c r="D146" s="147">
        <f t="shared" si="18"/>
        <v>4.3437204910292744E-2</v>
      </c>
      <c r="E146" s="148">
        <f t="shared" si="17"/>
        <v>9.3296274795057429E-6</v>
      </c>
      <c r="F146" s="148">
        <f t="shared" si="19"/>
        <v>8.7782360127394482E-4</v>
      </c>
      <c r="J146" s="116"/>
      <c r="K146" s="116"/>
    </row>
    <row r="147" spans="2:11" x14ac:dyDescent="0.2">
      <c r="B147" s="206" t="s">
        <v>114</v>
      </c>
      <c r="C147" s="205">
        <v>89</v>
      </c>
      <c r="D147" s="147">
        <f t="shared" si="18"/>
        <v>4.3751967264715155E-2</v>
      </c>
      <c r="E147" s="148">
        <f t="shared" si="17"/>
        <v>9.3296274795057429E-6</v>
      </c>
      <c r="F147" s="148">
        <f t="shared" si="19"/>
        <v>8.8715322875345054E-4</v>
      </c>
      <c r="J147" s="116"/>
      <c r="K147" s="116"/>
    </row>
    <row r="148" spans="2:11" x14ac:dyDescent="0.2">
      <c r="B148" s="206" t="s">
        <v>1860</v>
      </c>
      <c r="C148" s="205">
        <v>90</v>
      </c>
      <c r="D148" s="147">
        <f t="shared" si="18"/>
        <v>4.4066729619137567E-2</v>
      </c>
      <c r="E148" s="148">
        <f t="shared" si="17"/>
        <v>9.4344547545563702E-6</v>
      </c>
      <c r="F148" s="148">
        <f t="shared" si="19"/>
        <v>8.9658768350800693E-4</v>
      </c>
      <c r="J148" s="116"/>
      <c r="K148" s="116"/>
    </row>
    <row r="149" spans="2:11" x14ac:dyDescent="0.2">
      <c r="B149" s="115" t="s">
        <v>1071</v>
      </c>
      <c r="C149" s="114">
        <v>90</v>
      </c>
      <c r="D149" s="147">
        <f t="shared" si="18"/>
        <v>4.4381491973559978E-2</v>
      </c>
      <c r="E149" s="148">
        <f t="shared" si="17"/>
        <v>9.4344547545563702E-6</v>
      </c>
      <c r="F149" s="148">
        <f t="shared" si="19"/>
        <v>9.0602213826256332E-4</v>
      </c>
      <c r="J149" s="116"/>
      <c r="K149" s="116"/>
    </row>
    <row r="150" spans="2:11" x14ac:dyDescent="0.2">
      <c r="B150" s="115" t="s">
        <v>959</v>
      </c>
      <c r="C150" s="114">
        <v>90</v>
      </c>
      <c r="D150" s="147">
        <f t="shared" si="18"/>
        <v>4.4696254327982389E-2</v>
      </c>
      <c r="E150" s="148">
        <f t="shared" si="17"/>
        <v>9.4344547545563702E-6</v>
      </c>
      <c r="F150" s="148">
        <f t="shared" si="19"/>
        <v>9.1545659301711972E-4</v>
      </c>
      <c r="J150" s="116"/>
      <c r="K150" s="116"/>
    </row>
    <row r="151" spans="2:11" x14ac:dyDescent="0.2">
      <c r="B151" s="115" t="s">
        <v>2059</v>
      </c>
      <c r="C151" s="114">
        <v>91</v>
      </c>
      <c r="D151" s="147">
        <f t="shared" si="18"/>
        <v>4.50110166824048E-2</v>
      </c>
      <c r="E151" s="148">
        <f t="shared" si="17"/>
        <v>9.5392820296069959E-6</v>
      </c>
      <c r="F151" s="148">
        <f t="shared" si="19"/>
        <v>9.2499587504672666E-4</v>
      </c>
      <c r="J151" s="116"/>
      <c r="K151" s="116"/>
    </row>
    <row r="152" spans="2:11" x14ac:dyDescent="0.2">
      <c r="B152" s="115" t="s">
        <v>1833</v>
      </c>
      <c r="C152" s="114">
        <v>91</v>
      </c>
      <c r="D152" s="147">
        <f t="shared" si="18"/>
        <v>4.5325779036827211E-2</v>
      </c>
      <c r="E152" s="148">
        <f t="shared" si="17"/>
        <v>9.5392820296069959E-6</v>
      </c>
      <c r="F152" s="148">
        <f t="shared" si="19"/>
        <v>9.3453515707633361E-4</v>
      </c>
      <c r="J152" s="116"/>
      <c r="K152" s="116"/>
    </row>
    <row r="153" spans="2:11" x14ac:dyDescent="0.2">
      <c r="B153" s="115" t="s">
        <v>792</v>
      </c>
      <c r="C153" s="114">
        <v>91</v>
      </c>
      <c r="D153" s="147">
        <f t="shared" si="18"/>
        <v>4.5640541391249623E-2</v>
      </c>
      <c r="E153" s="148">
        <f t="shared" si="17"/>
        <v>9.5392820296069959E-6</v>
      </c>
      <c r="F153" s="148">
        <f t="shared" si="19"/>
        <v>9.4407443910594056E-4</v>
      </c>
      <c r="J153" s="116"/>
      <c r="K153" s="116"/>
    </row>
    <row r="154" spans="2:11" x14ac:dyDescent="0.2">
      <c r="B154" s="206" t="s">
        <v>2566</v>
      </c>
      <c r="C154" s="205">
        <v>92</v>
      </c>
      <c r="D154" s="147">
        <f t="shared" si="18"/>
        <v>4.5955303745672034E-2</v>
      </c>
      <c r="E154" s="148">
        <f t="shared" si="17"/>
        <v>9.6441093046576232E-6</v>
      </c>
      <c r="F154" s="148">
        <f t="shared" si="19"/>
        <v>9.5371854841059818E-4</v>
      </c>
      <c r="J154" s="116"/>
      <c r="K154" s="116"/>
    </row>
    <row r="155" spans="2:11" x14ac:dyDescent="0.2">
      <c r="B155" s="206" t="s">
        <v>2388</v>
      </c>
      <c r="C155" s="205">
        <v>92</v>
      </c>
      <c r="D155" s="147">
        <f t="shared" si="18"/>
        <v>4.6270066100094445E-2</v>
      </c>
      <c r="E155" s="148">
        <f t="shared" si="17"/>
        <v>9.6441093046576232E-6</v>
      </c>
      <c r="F155" s="148">
        <f t="shared" si="19"/>
        <v>9.6336265771525579E-4</v>
      </c>
      <c r="J155" s="116"/>
      <c r="K155" s="116"/>
    </row>
    <row r="156" spans="2:11" x14ac:dyDescent="0.2">
      <c r="B156" s="115" t="s">
        <v>512</v>
      </c>
      <c r="C156" s="114">
        <v>92</v>
      </c>
      <c r="D156" s="147">
        <f t="shared" si="18"/>
        <v>4.6584828454516856E-2</v>
      </c>
      <c r="E156" s="148">
        <f t="shared" si="17"/>
        <v>9.6441093046576232E-6</v>
      </c>
      <c r="F156" s="148">
        <f t="shared" si="19"/>
        <v>9.730067670199134E-4</v>
      </c>
      <c r="J156" s="116"/>
    </row>
    <row r="157" spans="2:11" x14ac:dyDescent="0.2">
      <c r="B157" s="115" t="s">
        <v>439</v>
      </c>
      <c r="C157" s="114">
        <v>92</v>
      </c>
      <c r="D157" s="147">
        <f t="shared" si="18"/>
        <v>4.6899590808939268E-2</v>
      </c>
      <c r="E157" s="148">
        <f t="shared" si="17"/>
        <v>9.6441093046576232E-6</v>
      </c>
      <c r="F157" s="148">
        <f t="shared" si="19"/>
        <v>9.8265087632457113E-4</v>
      </c>
    </row>
    <row r="158" spans="2:11" x14ac:dyDescent="0.2">
      <c r="B158" s="206" t="s">
        <v>2616</v>
      </c>
      <c r="C158" s="205">
        <v>95</v>
      </c>
      <c r="D158" s="147">
        <f t="shared" si="18"/>
        <v>4.7214353163361679E-2</v>
      </c>
      <c r="E158" s="148">
        <f t="shared" si="17"/>
        <v>9.9585911298095019E-6</v>
      </c>
      <c r="F158" s="148">
        <f t="shared" si="19"/>
        <v>9.9260946745438053E-4</v>
      </c>
    </row>
    <row r="159" spans="2:11" x14ac:dyDescent="0.2">
      <c r="B159" s="115" t="s">
        <v>1915</v>
      </c>
      <c r="C159" s="114">
        <v>95</v>
      </c>
      <c r="D159" s="147">
        <f t="shared" si="18"/>
        <v>4.752911551778409E-2</v>
      </c>
      <c r="E159" s="148">
        <f t="shared" si="17"/>
        <v>9.9585911298095019E-6</v>
      </c>
      <c r="F159" s="148">
        <f t="shared" si="19"/>
        <v>1.0025680585841899E-3</v>
      </c>
    </row>
    <row r="160" spans="2:11" x14ac:dyDescent="0.2">
      <c r="B160" s="206" t="s">
        <v>622</v>
      </c>
      <c r="C160" s="205">
        <v>95</v>
      </c>
      <c r="D160" s="147">
        <f t="shared" si="18"/>
        <v>4.7843877872206501E-2</v>
      </c>
      <c r="E160" s="148">
        <f t="shared" si="17"/>
        <v>9.9585911298095019E-6</v>
      </c>
      <c r="F160" s="148">
        <f t="shared" si="19"/>
        <v>1.0125266497139993E-3</v>
      </c>
    </row>
    <row r="161" spans="2:6" x14ac:dyDescent="0.2">
      <c r="B161" s="206" t="s">
        <v>331</v>
      </c>
      <c r="C161" s="205">
        <v>95</v>
      </c>
      <c r="D161" s="147">
        <f t="shared" si="18"/>
        <v>4.8158640226628913E-2</v>
      </c>
      <c r="E161" s="148">
        <f t="shared" si="17"/>
        <v>9.9585911298095019E-6</v>
      </c>
      <c r="F161" s="148">
        <f t="shared" si="19"/>
        <v>1.0224852408438087E-3</v>
      </c>
    </row>
    <row r="162" spans="2:6" x14ac:dyDescent="0.2">
      <c r="B162" s="206" t="s">
        <v>3055</v>
      </c>
      <c r="C162" s="205">
        <v>96</v>
      </c>
      <c r="D162" s="147">
        <f t="shared" si="18"/>
        <v>4.8473402581051324E-2</v>
      </c>
      <c r="E162" s="148">
        <f t="shared" si="17"/>
        <v>1.0063418404860128E-5</v>
      </c>
      <c r="F162" s="148">
        <f t="shared" si="19"/>
        <v>1.0325486592486688E-3</v>
      </c>
    </row>
    <row r="163" spans="2:6" x14ac:dyDescent="0.2">
      <c r="B163" s="206" t="s">
        <v>1481</v>
      </c>
      <c r="C163" s="205">
        <v>96</v>
      </c>
      <c r="D163" s="147">
        <f t="shared" si="18"/>
        <v>4.8788164935473735E-2</v>
      </c>
      <c r="E163" s="148">
        <f t="shared" si="17"/>
        <v>1.0063418404860128E-5</v>
      </c>
      <c r="F163" s="148">
        <f t="shared" si="19"/>
        <v>1.0426120776535288E-3</v>
      </c>
    </row>
    <row r="164" spans="2:6" x14ac:dyDescent="0.2">
      <c r="B164" s="206" t="s">
        <v>1407</v>
      </c>
      <c r="C164" s="205">
        <v>96</v>
      </c>
      <c r="D164" s="147">
        <f t="shared" si="18"/>
        <v>4.9102927289896146E-2</v>
      </c>
      <c r="E164" s="148">
        <f t="shared" si="17"/>
        <v>1.0063418404860128E-5</v>
      </c>
      <c r="F164" s="148">
        <f t="shared" si="19"/>
        <v>1.0526754960583889E-3</v>
      </c>
    </row>
    <row r="165" spans="2:6" x14ac:dyDescent="0.2">
      <c r="B165" s="206" t="s">
        <v>222</v>
      </c>
      <c r="C165" s="205">
        <v>96</v>
      </c>
      <c r="D165" s="147">
        <f t="shared" si="18"/>
        <v>4.9417689644318558E-2</v>
      </c>
      <c r="E165" s="148">
        <f t="shared" si="17"/>
        <v>1.0063418404860128E-5</v>
      </c>
      <c r="F165" s="148">
        <f t="shared" si="19"/>
        <v>1.062738914463249E-3</v>
      </c>
    </row>
    <row r="166" spans="2:6" x14ac:dyDescent="0.2">
      <c r="B166" s="115" t="s">
        <v>2051</v>
      </c>
      <c r="C166" s="114">
        <v>97</v>
      </c>
      <c r="D166" s="147">
        <f t="shared" si="18"/>
        <v>4.9732451998740969E-2</v>
      </c>
      <c r="E166" s="148">
        <f t="shared" si="17"/>
        <v>1.0168245679910755E-5</v>
      </c>
      <c r="F166" s="148">
        <f t="shared" si="19"/>
        <v>1.0729071601431597E-3</v>
      </c>
    </row>
    <row r="167" spans="2:6" x14ac:dyDescent="0.2">
      <c r="B167" s="206" t="s">
        <v>1991</v>
      </c>
      <c r="C167" s="205">
        <v>97</v>
      </c>
      <c r="D167" s="147">
        <f t="shared" si="18"/>
        <v>5.004721435316338E-2</v>
      </c>
      <c r="E167" s="148">
        <f t="shared" si="17"/>
        <v>1.0168245679910755E-5</v>
      </c>
      <c r="F167" s="148">
        <f t="shared" si="19"/>
        <v>1.0830754058230704E-3</v>
      </c>
    </row>
    <row r="168" spans="2:6" x14ac:dyDescent="0.2">
      <c r="B168" s="115" t="s">
        <v>566</v>
      </c>
      <c r="C168" s="114">
        <v>97</v>
      </c>
      <c r="D168" s="147">
        <f t="shared" si="18"/>
        <v>5.0361976707585791E-2</v>
      </c>
      <c r="E168" s="148">
        <f t="shared" si="17"/>
        <v>1.0168245679910755E-5</v>
      </c>
      <c r="F168" s="148">
        <f t="shared" si="19"/>
        <v>1.0932436515029812E-3</v>
      </c>
    </row>
    <row r="169" spans="2:6" x14ac:dyDescent="0.2">
      <c r="B169" s="115" t="s">
        <v>213</v>
      </c>
      <c r="C169" s="114">
        <v>97</v>
      </c>
      <c r="D169" s="147">
        <f t="shared" si="18"/>
        <v>5.0676739062008203E-2</v>
      </c>
      <c r="E169" s="148">
        <f t="shared" si="17"/>
        <v>1.0168245679910755E-5</v>
      </c>
      <c r="F169" s="148">
        <f t="shared" si="19"/>
        <v>1.1034118971828919E-3</v>
      </c>
    </row>
    <row r="170" spans="2:6" x14ac:dyDescent="0.2">
      <c r="B170" s="115" t="s">
        <v>123</v>
      </c>
      <c r="C170" s="114">
        <v>97</v>
      </c>
      <c r="D170" s="147">
        <f t="shared" si="18"/>
        <v>5.0991501416430614E-2</v>
      </c>
      <c r="E170" s="148">
        <f t="shared" si="17"/>
        <v>1.0168245679910755E-5</v>
      </c>
      <c r="F170" s="148">
        <f t="shared" si="19"/>
        <v>1.1135801428628026E-3</v>
      </c>
    </row>
    <row r="171" spans="2:6" x14ac:dyDescent="0.2">
      <c r="B171" s="206" t="s">
        <v>2297</v>
      </c>
      <c r="C171" s="205">
        <v>98</v>
      </c>
      <c r="D171" s="147">
        <f t="shared" si="18"/>
        <v>5.1306263770853025E-2</v>
      </c>
      <c r="E171" s="148">
        <f t="shared" si="17"/>
        <v>1.0273072954961381E-5</v>
      </c>
      <c r="F171" s="148">
        <f t="shared" si="19"/>
        <v>1.123853215817764E-3</v>
      </c>
    </row>
    <row r="172" spans="2:6" x14ac:dyDescent="0.2">
      <c r="B172" s="206" t="s">
        <v>1907</v>
      </c>
      <c r="C172" s="205">
        <v>98</v>
      </c>
      <c r="D172" s="147">
        <f t="shared" si="18"/>
        <v>5.1621026125275436E-2</v>
      </c>
      <c r="E172" s="148">
        <f t="shared" si="17"/>
        <v>1.0273072954961381E-5</v>
      </c>
      <c r="F172" s="148">
        <f t="shared" si="19"/>
        <v>1.1341262887727254E-3</v>
      </c>
    </row>
    <row r="173" spans="2:6" x14ac:dyDescent="0.2">
      <c r="B173" s="206" t="s">
        <v>1837</v>
      </c>
      <c r="C173" s="205">
        <v>98</v>
      </c>
      <c r="D173" s="147">
        <f t="shared" si="18"/>
        <v>5.1935788479697848E-2</v>
      </c>
      <c r="E173" s="148">
        <f t="shared" si="17"/>
        <v>1.0273072954961381E-5</v>
      </c>
      <c r="F173" s="148">
        <f t="shared" si="19"/>
        <v>1.1443993617276868E-3</v>
      </c>
    </row>
    <row r="174" spans="2:6" x14ac:dyDescent="0.2">
      <c r="B174" s="206" t="s">
        <v>498</v>
      </c>
      <c r="C174" s="205">
        <v>98</v>
      </c>
      <c r="D174" s="147">
        <f t="shared" si="18"/>
        <v>5.2250550834120259E-2</v>
      </c>
      <c r="E174" s="148">
        <f t="shared" si="17"/>
        <v>1.0273072954961381E-5</v>
      </c>
      <c r="F174" s="148">
        <f t="shared" si="19"/>
        <v>1.1546724346826482E-3</v>
      </c>
    </row>
    <row r="175" spans="2:6" x14ac:dyDescent="0.2">
      <c r="B175" s="206" t="s">
        <v>2547</v>
      </c>
      <c r="C175" s="205">
        <v>99</v>
      </c>
      <c r="D175" s="147">
        <f t="shared" si="18"/>
        <v>5.256531318854267E-2</v>
      </c>
      <c r="E175" s="148">
        <f t="shared" si="17"/>
        <v>1.0377900230012006E-5</v>
      </c>
      <c r="F175" s="148">
        <f t="shared" si="19"/>
        <v>1.1650503349126603E-3</v>
      </c>
    </row>
    <row r="176" spans="2:6" x14ac:dyDescent="0.2">
      <c r="B176" s="206" t="s">
        <v>1146</v>
      </c>
      <c r="C176" s="205">
        <v>99</v>
      </c>
      <c r="D176" s="147">
        <f t="shared" si="18"/>
        <v>5.2880075542965081E-2</v>
      </c>
      <c r="E176" s="148">
        <f t="shared" si="17"/>
        <v>1.0377900230012006E-5</v>
      </c>
      <c r="F176" s="148">
        <f t="shared" si="19"/>
        <v>1.1754282351426723E-3</v>
      </c>
    </row>
    <row r="177" spans="2:6" x14ac:dyDescent="0.2">
      <c r="B177" s="206" t="s">
        <v>2505</v>
      </c>
      <c r="C177" s="205">
        <v>100</v>
      </c>
      <c r="D177" s="147">
        <f t="shared" si="18"/>
        <v>5.3194837897387492E-2</v>
      </c>
      <c r="E177" s="148">
        <f t="shared" si="17"/>
        <v>1.0482727505062634E-5</v>
      </c>
      <c r="F177" s="148">
        <f t="shared" si="19"/>
        <v>1.1859109626477351E-3</v>
      </c>
    </row>
    <row r="178" spans="2:6" x14ac:dyDescent="0.2">
      <c r="B178" s="206" t="s">
        <v>2172</v>
      </c>
      <c r="C178" s="205">
        <v>100</v>
      </c>
      <c r="D178" s="147">
        <f t="shared" si="18"/>
        <v>5.3509600251809904E-2</v>
      </c>
      <c r="E178" s="148">
        <f t="shared" si="17"/>
        <v>1.0482727505062634E-5</v>
      </c>
      <c r="F178" s="148">
        <f t="shared" si="19"/>
        <v>1.1963936901527978E-3</v>
      </c>
    </row>
    <row r="179" spans="2:6" x14ac:dyDescent="0.2">
      <c r="B179" s="206" t="s">
        <v>2900</v>
      </c>
      <c r="C179" s="205">
        <v>101</v>
      </c>
      <c r="D179" s="147">
        <f t="shared" si="18"/>
        <v>5.3824362606232315E-2</v>
      </c>
      <c r="E179" s="148">
        <f t="shared" si="17"/>
        <v>1.0587554780113259E-5</v>
      </c>
      <c r="F179" s="148">
        <f t="shared" si="19"/>
        <v>1.206981244932911E-3</v>
      </c>
    </row>
    <row r="180" spans="2:6" x14ac:dyDescent="0.2">
      <c r="B180" s="115" t="s">
        <v>2878</v>
      </c>
      <c r="C180" s="114">
        <v>101</v>
      </c>
      <c r="D180" s="147">
        <f t="shared" si="18"/>
        <v>5.4139124960654726E-2</v>
      </c>
      <c r="E180" s="148">
        <f t="shared" si="17"/>
        <v>1.0587554780113259E-5</v>
      </c>
      <c r="F180" s="148">
        <f t="shared" si="19"/>
        <v>1.2175687997130241E-3</v>
      </c>
    </row>
    <row r="181" spans="2:6" x14ac:dyDescent="0.2">
      <c r="B181" s="115" t="s">
        <v>503</v>
      </c>
      <c r="C181" s="114">
        <v>101</v>
      </c>
      <c r="D181" s="147">
        <f t="shared" si="18"/>
        <v>5.4453887315077137E-2</v>
      </c>
      <c r="E181" s="148">
        <f t="shared" si="17"/>
        <v>1.0587554780113259E-5</v>
      </c>
      <c r="F181" s="148">
        <f t="shared" si="19"/>
        <v>1.2281563544931373E-3</v>
      </c>
    </row>
    <row r="182" spans="2:6" x14ac:dyDescent="0.2">
      <c r="B182" s="206" t="s">
        <v>1268</v>
      </c>
      <c r="C182" s="205">
        <v>102</v>
      </c>
      <c r="D182" s="147">
        <f t="shared" si="18"/>
        <v>5.4768649669499549E-2</v>
      </c>
      <c r="E182" s="148">
        <f t="shared" si="17"/>
        <v>1.0692382055163887E-5</v>
      </c>
      <c r="F182" s="148">
        <f t="shared" si="19"/>
        <v>1.2388487365483012E-3</v>
      </c>
    </row>
    <row r="183" spans="2:6" x14ac:dyDescent="0.2">
      <c r="B183" s="115" t="s">
        <v>46</v>
      </c>
      <c r="C183" s="114">
        <v>102</v>
      </c>
      <c r="D183" s="147">
        <f t="shared" si="18"/>
        <v>5.508341202392196E-2</v>
      </c>
      <c r="E183" s="148">
        <f t="shared" si="17"/>
        <v>1.0692382055163887E-5</v>
      </c>
      <c r="F183" s="148">
        <f t="shared" si="19"/>
        <v>1.249541118603465E-3</v>
      </c>
    </row>
    <row r="184" spans="2:6" x14ac:dyDescent="0.2">
      <c r="B184" s="115" t="s">
        <v>2940</v>
      </c>
      <c r="C184" s="114">
        <v>103</v>
      </c>
      <c r="D184" s="147">
        <f t="shared" si="18"/>
        <v>5.5398174378344371E-2</v>
      </c>
      <c r="E184" s="148">
        <f t="shared" si="17"/>
        <v>1.0797209330214512E-5</v>
      </c>
      <c r="F184" s="148">
        <f t="shared" si="19"/>
        <v>1.2603383279336795E-3</v>
      </c>
    </row>
    <row r="185" spans="2:6" x14ac:dyDescent="0.2">
      <c r="B185" s="115" t="s">
        <v>582</v>
      </c>
      <c r="C185" s="114">
        <v>103</v>
      </c>
      <c r="D185" s="147">
        <f t="shared" si="18"/>
        <v>5.5712936732766782E-2</v>
      </c>
      <c r="E185" s="148">
        <f t="shared" si="17"/>
        <v>1.0797209330214512E-5</v>
      </c>
      <c r="F185" s="148">
        <f t="shared" si="19"/>
        <v>1.271135537263894E-3</v>
      </c>
    </row>
    <row r="186" spans="2:6" x14ac:dyDescent="0.2">
      <c r="B186" s="206" t="s">
        <v>98</v>
      </c>
      <c r="C186" s="205">
        <v>103</v>
      </c>
      <c r="D186" s="147">
        <f t="shared" si="18"/>
        <v>5.6027699087189194E-2</v>
      </c>
      <c r="E186" s="148">
        <f t="shared" si="17"/>
        <v>1.0797209330214512E-5</v>
      </c>
      <c r="F186" s="148">
        <f t="shared" si="19"/>
        <v>1.2819327465941085E-3</v>
      </c>
    </row>
    <row r="187" spans="2:6" x14ac:dyDescent="0.2">
      <c r="B187" s="115" t="s">
        <v>2379</v>
      </c>
      <c r="C187" s="114">
        <v>104</v>
      </c>
      <c r="D187" s="147">
        <f t="shared" si="18"/>
        <v>5.6342461441611605E-2</v>
      </c>
      <c r="E187" s="148">
        <f t="shared" si="17"/>
        <v>1.0902036605265138E-5</v>
      </c>
      <c r="F187" s="148">
        <f t="shared" si="19"/>
        <v>1.2928347831993737E-3</v>
      </c>
    </row>
    <row r="188" spans="2:6" x14ac:dyDescent="0.2">
      <c r="B188" s="115" t="s">
        <v>1152</v>
      </c>
      <c r="C188" s="114">
        <v>105</v>
      </c>
      <c r="D188" s="147">
        <f t="shared" si="18"/>
        <v>5.6657223796034016E-2</v>
      </c>
      <c r="E188" s="148">
        <f t="shared" si="17"/>
        <v>1.1006863880315765E-5</v>
      </c>
      <c r="F188" s="148">
        <f t="shared" si="19"/>
        <v>1.3038416470796896E-3</v>
      </c>
    </row>
    <row r="189" spans="2:6" x14ac:dyDescent="0.2">
      <c r="B189" s="115" t="s">
        <v>1139</v>
      </c>
      <c r="C189" s="114">
        <v>105</v>
      </c>
      <c r="D189" s="147">
        <f t="shared" si="18"/>
        <v>5.6971986150456427E-2</v>
      </c>
      <c r="E189" s="148">
        <f t="shared" si="17"/>
        <v>1.1006863880315765E-5</v>
      </c>
      <c r="F189" s="148">
        <f t="shared" si="19"/>
        <v>1.3148485109600054E-3</v>
      </c>
    </row>
    <row r="190" spans="2:6" x14ac:dyDescent="0.2">
      <c r="B190" s="206" t="s">
        <v>151</v>
      </c>
      <c r="C190" s="205">
        <v>105</v>
      </c>
      <c r="D190" s="147">
        <f t="shared" si="18"/>
        <v>5.7286748504878839E-2</v>
      </c>
      <c r="E190" s="148">
        <f t="shared" si="17"/>
        <v>1.1006863880315765E-5</v>
      </c>
      <c r="F190" s="148">
        <f t="shared" si="19"/>
        <v>1.3258553748403212E-3</v>
      </c>
    </row>
    <row r="191" spans="2:6" x14ac:dyDescent="0.2">
      <c r="B191" s="115" t="s">
        <v>14</v>
      </c>
      <c r="C191" s="114">
        <v>106</v>
      </c>
      <c r="D191" s="147">
        <f t="shared" si="18"/>
        <v>5.760151085930125E-2</v>
      </c>
      <c r="E191" s="148">
        <f t="shared" si="17"/>
        <v>1.1111691155366391E-5</v>
      </c>
      <c r="F191" s="148">
        <f t="shared" si="19"/>
        <v>1.3369670659956875E-3</v>
      </c>
    </row>
    <row r="192" spans="2:6" x14ac:dyDescent="0.2">
      <c r="B192" s="115" t="s">
        <v>1036</v>
      </c>
      <c r="C192" s="114">
        <v>107</v>
      </c>
      <c r="D192" s="147">
        <f t="shared" si="18"/>
        <v>5.7916273213723661E-2</v>
      </c>
      <c r="E192" s="148">
        <f t="shared" si="17"/>
        <v>1.1216518430417018E-5</v>
      </c>
      <c r="F192" s="148">
        <f t="shared" si="19"/>
        <v>1.3481835844261045E-3</v>
      </c>
    </row>
    <row r="193" spans="2:6" x14ac:dyDescent="0.2">
      <c r="B193" s="206" t="s">
        <v>555</v>
      </c>
      <c r="C193" s="205">
        <v>107</v>
      </c>
      <c r="D193" s="147">
        <f t="shared" si="18"/>
        <v>5.8231035568146072E-2</v>
      </c>
      <c r="E193" s="148">
        <f t="shared" si="17"/>
        <v>1.1216518430417018E-5</v>
      </c>
      <c r="F193" s="148">
        <f t="shared" si="19"/>
        <v>1.3594001028565215E-3</v>
      </c>
    </row>
    <row r="194" spans="2:6" x14ac:dyDescent="0.2">
      <c r="B194" s="206" t="s">
        <v>2946</v>
      </c>
      <c r="C194" s="205">
        <v>108</v>
      </c>
      <c r="D194" s="147">
        <f t="shared" si="18"/>
        <v>5.8545797922568484E-2</v>
      </c>
      <c r="E194" s="148">
        <f t="shared" si="17"/>
        <v>1.1321345705467644E-5</v>
      </c>
      <c r="F194" s="148">
        <f t="shared" si="19"/>
        <v>1.3707214485619891E-3</v>
      </c>
    </row>
    <row r="195" spans="2:6" x14ac:dyDescent="0.2">
      <c r="B195" s="115" t="s">
        <v>1343</v>
      </c>
      <c r="C195" s="114">
        <v>108</v>
      </c>
      <c r="D195" s="147">
        <f t="shared" si="18"/>
        <v>5.8860560276990895E-2</v>
      </c>
      <c r="E195" s="148">
        <f t="shared" si="17"/>
        <v>1.1321345705467644E-5</v>
      </c>
      <c r="F195" s="148">
        <f t="shared" si="19"/>
        <v>1.3820427942674567E-3</v>
      </c>
    </row>
    <row r="196" spans="2:6" x14ac:dyDescent="0.2">
      <c r="B196" s="115" t="s">
        <v>188</v>
      </c>
      <c r="C196" s="114">
        <v>108</v>
      </c>
      <c r="D196" s="147">
        <f t="shared" si="18"/>
        <v>5.9175322631413306E-2</v>
      </c>
      <c r="E196" s="148">
        <f t="shared" si="17"/>
        <v>1.1321345705467644E-5</v>
      </c>
      <c r="F196" s="148">
        <f t="shared" si="19"/>
        <v>1.3933641399729243E-3</v>
      </c>
    </row>
    <row r="197" spans="2:6" x14ac:dyDescent="0.2">
      <c r="B197" s="115" t="s">
        <v>1746</v>
      </c>
      <c r="C197" s="114">
        <v>109</v>
      </c>
      <c r="D197" s="147">
        <f t="shared" si="18"/>
        <v>5.9490084985835717E-2</v>
      </c>
      <c r="E197" s="148">
        <f t="shared" si="17"/>
        <v>1.142617298051827E-5</v>
      </c>
      <c r="F197" s="148">
        <f t="shared" si="19"/>
        <v>1.4047903129534426E-3</v>
      </c>
    </row>
    <row r="198" spans="2:6" x14ac:dyDescent="0.2">
      <c r="B198" s="115" t="s">
        <v>2549</v>
      </c>
      <c r="C198" s="114">
        <v>110</v>
      </c>
      <c r="D198" s="147">
        <f t="shared" si="18"/>
        <v>5.9804847340258128E-2</v>
      </c>
      <c r="E198" s="148">
        <f t="shared" si="17"/>
        <v>1.1531000255568897E-5</v>
      </c>
      <c r="F198" s="148">
        <f t="shared" si="19"/>
        <v>1.4163213132090116E-3</v>
      </c>
    </row>
    <row r="199" spans="2:6" x14ac:dyDescent="0.2">
      <c r="B199" s="206" t="s">
        <v>567</v>
      </c>
      <c r="C199" s="205">
        <v>110</v>
      </c>
      <c r="D199" s="147">
        <f t="shared" si="18"/>
        <v>6.011960969468054E-2</v>
      </c>
      <c r="E199" s="148">
        <f t="shared" si="17"/>
        <v>1.1531000255568897E-5</v>
      </c>
      <c r="F199" s="148">
        <f t="shared" si="19"/>
        <v>1.4278523134645805E-3</v>
      </c>
    </row>
    <row r="200" spans="2:6" x14ac:dyDescent="0.2">
      <c r="B200" s="115" t="s">
        <v>1781</v>
      </c>
      <c r="C200" s="114">
        <v>111</v>
      </c>
      <c r="D200" s="147">
        <f t="shared" si="18"/>
        <v>6.0434372049102951E-2</v>
      </c>
      <c r="E200" s="148">
        <f t="shared" si="17"/>
        <v>1.1635827530619523E-5</v>
      </c>
      <c r="F200" s="148">
        <f t="shared" si="19"/>
        <v>1.4394881409952002E-3</v>
      </c>
    </row>
    <row r="201" spans="2:6" x14ac:dyDescent="0.2">
      <c r="B201" s="115" t="s">
        <v>1313</v>
      </c>
      <c r="C201" s="114">
        <v>111</v>
      </c>
      <c r="D201" s="147">
        <f t="shared" si="18"/>
        <v>6.0749134403525362E-2</v>
      </c>
      <c r="E201" s="148">
        <f t="shared" ref="E201:E264" si="20">C201/$O$18</f>
        <v>1.1635827530619523E-5</v>
      </c>
      <c r="F201" s="148">
        <f t="shared" si="19"/>
        <v>1.4511239685258198E-3</v>
      </c>
    </row>
    <row r="202" spans="2:6" x14ac:dyDescent="0.2">
      <c r="B202" s="115" t="s">
        <v>1250</v>
      </c>
      <c r="C202" s="114">
        <v>111</v>
      </c>
      <c r="D202" s="147">
        <f t="shared" ref="D202:D265" si="21">D201+1/$L$18</f>
        <v>6.1063896757947773E-2</v>
      </c>
      <c r="E202" s="148">
        <f t="shared" si="20"/>
        <v>1.1635827530619523E-5</v>
      </c>
      <c r="F202" s="148">
        <f t="shared" ref="F202:F265" si="22">F201+E202</f>
        <v>1.4627597960564394E-3</v>
      </c>
    </row>
    <row r="203" spans="2:6" x14ac:dyDescent="0.2">
      <c r="B203" s="206" t="s">
        <v>1823</v>
      </c>
      <c r="C203" s="205">
        <v>112</v>
      </c>
      <c r="D203" s="147">
        <f t="shared" si="21"/>
        <v>6.1378659112370185E-2</v>
      </c>
      <c r="E203" s="148">
        <f t="shared" si="20"/>
        <v>1.174065480567015E-5</v>
      </c>
      <c r="F203" s="148">
        <f t="shared" si="22"/>
        <v>1.4745004508621095E-3</v>
      </c>
    </row>
    <row r="204" spans="2:6" x14ac:dyDescent="0.2">
      <c r="B204" s="206" t="s">
        <v>3096</v>
      </c>
      <c r="C204" s="205">
        <v>113</v>
      </c>
      <c r="D204" s="147">
        <f t="shared" si="21"/>
        <v>6.1693421466792596E-2</v>
      </c>
      <c r="E204" s="148">
        <f t="shared" si="20"/>
        <v>1.1845482080720776E-5</v>
      </c>
      <c r="F204" s="148">
        <f t="shared" si="22"/>
        <v>1.4863459329428302E-3</v>
      </c>
    </row>
    <row r="205" spans="2:6" x14ac:dyDescent="0.2">
      <c r="B205" s="206" t="s">
        <v>3079</v>
      </c>
      <c r="C205" s="205">
        <v>113</v>
      </c>
      <c r="D205" s="147">
        <f t="shared" si="21"/>
        <v>6.2008183821215007E-2</v>
      </c>
      <c r="E205" s="148">
        <f t="shared" si="20"/>
        <v>1.1845482080720776E-5</v>
      </c>
      <c r="F205" s="148">
        <f t="shared" si="22"/>
        <v>1.498191415023551E-3</v>
      </c>
    </row>
    <row r="206" spans="2:6" x14ac:dyDescent="0.2">
      <c r="B206" s="115" t="s">
        <v>1094</v>
      </c>
      <c r="C206" s="114">
        <v>113</v>
      </c>
      <c r="D206" s="147">
        <f t="shared" si="21"/>
        <v>6.2322946175637418E-2</v>
      </c>
      <c r="E206" s="148">
        <f t="shared" si="20"/>
        <v>1.1845482080720776E-5</v>
      </c>
      <c r="F206" s="148">
        <f t="shared" si="22"/>
        <v>1.5100368971042717E-3</v>
      </c>
    </row>
    <row r="207" spans="2:6" x14ac:dyDescent="0.2">
      <c r="B207" s="115" t="s">
        <v>2239</v>
      </c>
      <c r="C207" s="114">
        <v>114</v>
      </c>
      <c r="D207" s="147">
        <f t="shared" si="21"/>
        <v>6.263770853005983E-2</v>
      </c>
      <c r="E207" s="148">
        <f t="shared" si="20"/>
        <v>1.1950309355771401E-5</v>
      </c>
      <c r="F207" s="148">
        <f t="shared" si="22"/>
        <v>1.5219872064600431E-3</v>
      </c>
    </row>
    <row r="208" spans="2:6" x14ac:dyDescent="0.2">
      <c r="B208" s="115" t="s">
        <v>2191</v>
      </c>
      <c r="C208" s="114">
        <v>114</v>
      </c>
      <c r="D208" s="147">
        <f t="shared" si="21"/>
        <v>6.2952470884482234E-2</v>
      </c>
      <c r="E208" s="148">
        <f t="shared" si="20"/>
        <v>1.1950309355771401E-5</v>
      </c>
      <c r="F208" s="148">
        <f t="shared" si="22"/>
        <v>1.5339375158158145E-3</v>
      </c>
    </row>
    <row r="209" spans="2:6" x14ac:dyDescent="0.2">
      <c r="B209" s="206" t="s">
        <v>1829</v>
      </c>
      <c r="C209" s="205">
        <v>114</v>
      </c>
      <c r="D209" s="147">
        <f t="shared" si="21"/>
        <v>6.3267233238904638E-2</v>
      </c>
      <c r="E209" s="148">
        <f t="shared" si="20"/>
        <v>1.1950309355771401E-5</v>
      </c>
      <c r="F209" s="148">
        <f t="shared" si="22"/>
        <v>1.5458878251715859E-3</v>
      </c>
    </row>
    <row r="210" spans="2:6" x14ac:dyDescent="0.2">
      <c r="B210" s="206" t="s">
        <v>1468</v>
      </c>
      <c r="C210" s="205">
        <v>114</v>
      </c>
      <c r="D210" s="147">
        <f t="shared" si="21"/>
        <v>6.3581995593327043E-2</v>
      </c>
      <c r="E210" s="148">
        <f t="shared" si="20"/>
        <v>1.1950309355771401E-5</v>
      </c>
      <c r="F210" s="148">
        <f t="shared" si="22"/>
        <v>1.5578381345273573E-3</v>
      </c>
    </row>
    <row r="211" spans="2:6" x14ac:dyDescent="0.2">
      <c r="B211" s="115" t="s">
        <v>669</v>
      </c>
      <c r="C211" s="114">
        <v>114</v>
      </c>
      <c r="D211" s="147">
        <f t="shared" si="21"/>
        <v>6.3896757947749447E-2</v>
      </c>
      <c r="E211" s="148">
        <f t="shared" si="20"/>
        <v>1.1950309355771401E-5</v>
      </c>
      <c r="F211" s="148">
        <f t="shared" si="22"/>
        <v>1.5697884438831287E-3</v>
      </c>
    </row>
    <row r="212" spans="2:6" x14ac:dyDescent="0.2">
      <c r="B212" s="115" t="s">
        <v>1830</v>
      </c>
      <c r="C212" s="114">
        <v>115</v>
      </c>
      <c r="D212" s="147">
        <f t="shared" si="21"/>
        <v>6.4211520302171851E-2</v>
      </c>
      <c r="E212" s="148">
        <f t="shared" si="20"/>
        <v>1.2055136630822029E-5</v>
      </c>
      <c r="F212" s="148">
        <f t="shared" si="22"/>
        <v>1.5818435805139508E-3</v>
      </c>
    </row>
    <row r="213" spans="2:6" x14ac:dyDescent="0.2">
      <c r="B213" s="115" t="s">
        <v>1240</v>
      </c>
      <c r="C213" s="114">
        <v>115</v>
      </c>
      <c r="D213" s="147">
        <f t="shared" si="21"/>
        <v>6.4526282656594255E-2</v>
      </c>
      <c r="E213" s="148">
        <f t="shared" si="20"/>
        <v>1.2055136630822029E-5</v>
      </c>
      <c r="F213" s="148">
        <f t="shared" si="22"/>
        <v>1.5938987171447729E-3</v>
      </c>
    </row>
    <row r="214" spans="2:6" x14ac:dyDescent="0.2">
      <c r="B214" s="115" t="s">
        <v>731</v>
      </c>
      <c r="C214" s="114">
        <v>116</v>
      </c>
      <c r="D214" s="147">
        <f t="shared" si="21"/>
        <v>6.484104501101666E-2</v>
      </c>
      <c r="E214" s="148">
        <f t="shared" si="20"/>
        <v>1.2159963905872654E-5</v>
      </c>
      <c r="F214" s="148">
        <f t="shared" si="22"/>
        <v>1.6060586810506456E-3</v>
      </c>
    </row>
    <row r="215" spans="2:6" x14ac:dyDescent="0.2">
      <c r="B215" s="206" t="s">
        <v>2414</v>
      </c>
      <c r="C215" s="205">
        <v>117</v>
      </c>
      <c r="D215" s="147">
        <f t="shared" si="21"/>
        <v>6.5155807365439064E-2</v>
      </c>
      <c r="E215" s="148">
        <f t="shared" si="20"/>
        <v>1.2264791180923282E-5</v>
      </c>
      <c r="F215" s="148">
        <f t="shared" si="22"/>
        <v>1.6183234722315688E-3</v>
      </c>
    </row>
    <row r="216" spans="2:6" x14ac:dyDescent="0.2">
      <c r="B216" s="115" t="s">
        <v>115</v>
      </c>
      <c r="C216" s="114">
        <v>117</v>
      </c>
      <c r="D216" s="147">
        <f t="shared" si="21"/>
        <v>6.5470569719861468E-2</v>
      </c>
      <c r="E216" s="148">
        <f t="shared" si="20"/>
        <v>1.2264791180923282E-5</v>
      </c>
      <c r="F216" s="148">
        <f t="shared" si="22"/>
        <v>1.630588263412492E-3</v>
      </c>
    </row>
    <row r="217" spans="2:6" x14ac:dyDescent="0.2">
      <c r="B217" s="206" t="s">
        <v>2179</v>
      </c>
      <c r="C217" s="205">
        <v>118</v>
      </c>
      <c r="D217" s="147">
        <f t="shared" si="21"/>
        <v>6.5785332074283873E-2</v>
      </c>
      <c r="E217" s="148">
        <f t="shared" si="20"/>
        <v>1.2369618455973907E-5</v>
      </c>
      <c r="F217" s="148">
        <f t="shared" si="22"/>
        <v>1.6429578818684658E-3</v>
      </c>
    </row>
    <row r="218" spans="2:6" x14ac:dyDescent="0.2">
      <c r="B218" s="206" t="s">
        <v>1994</v>
      </c>
      <c r="C218" s="205">
        <v>118</v>
      </c>
      <c r="D218" s="147">
        <f t="shared" si="21"/>
        <v>6.6100094428706277E-2</v>
      </c>
      <c r="E218" s="148">
        <f t="shared" si="20"/>
        <v>1.2369618455973907E-5</v>
      </c>
      <c r="F218" s="148">
        <f t="shared" si="22"/>
        <v>1.6553275003244397E-3</v>
      </c>
    </row>
    <row r="219" spans="2:6" x14ac:dyDescent="0.2">
      <c r="B219" s="206" t="s">
        <v>594</v>
      </c>
      <c r="C219" s="205">
        <v>118</v>
      </c>
      <c r="D219" s="147">
        <f t="shared" si="21"/>
        <v>6.6414856783128681E-2</v>
      </c>
      <c r="E219" s="148">
        <f t="shared" si="20"/>
        <v>1.2369618455973907E-5</v>
      </c>
      <c r="F219" s="148">
        <f t="shared" si="22"/>
        <v>1.6676971187804136E-3</v>
      </c>
    </row>
    <row r="220" spans="2:6" x14ac:dyDescent="0.2">
      <c r="B220" s="206" t="s">
        <v>275</v>
      </c>
      <c r="C220" s="205">
        <v>118</v>
      </c>
      <c r="D220" s="147">
        <f t="shared" si="21"/>
        <v>6.6729619137551086E-2</v>
      </c>
      <c r="E220" s="148">
        <f t="shared" si="20"/>
        <v>1.2369618455973907E-5</v>
      </c>
      <c r="F220" s="148">
        <f t="shared" si="22"/>
        <v>1.6800667372363874E-3</v>
      </c>
    </row>
    <row r="221" spans="2:6" x14ac:dyDescent="0.2">
      <c r="B221" s="206" t="s">
        <v>2942</v>
      </c>
      <c r="C221" s="205">
        <v>119</v>
      </c>
      <c r="D221" s="147">
        <f t="shared" si="21"/>
        <v>6.704438149197349E-2</v>
      </c>
      <c r="E221" s="148">
        <f t="shared" si="20"/>
        <v>1.2474445731024533E-5</v>
      </c>
      <c r="F221" s="148">
        <f t="shared" si="22"/>
        <v>1.6925411829674119E-3</v>
      </c>
    </row>
    <row r="222" spans="2:6" x14ac:dyDescent="0.2">
      <c r="B222" s="115" t="s">
        <v>2680</v>
      </c>
      <c r="C222" s="114">
        <v>119</v>
      </c>
      <c r="D222" s="147">
        <f t="shared" si="21"/>
        <v>6.7359143846395894E-2</v>
      </c>
      <c r="E222" s="148">
        <f t="shared" si="20"/>
        <v>1.2474445731024533E-5</v>
      </c>
      <c r="F222" s="148">
        <f t="shared" si="22"/>
        <v>1.7050156286984365E-3</v>
      </c>
    </row>
    <row r="223" spans="2:6" x14ac:dyDescent="0.2">
      <c r="B223" s="115" t="s">
        <v>2798</v>
      </c>
      <c r="C223" s="114">
        <v>120</v>
      </c>
      <c r="D223" s="147">
        <f t="shared" si="21"/>
        <v>6.7673906200818298E-2</v>
      </c>
      <c r="E223" s="148">
        <f t="shared" si="20"/>
        <v>1.257927300607516E-5</v>
      </c>
      <c r="F223" s="148">
        <f t="shared" si="22"/>
        <v>1.7175949017045116E-3</v>
      </c>
    </row>
    <row r="224" spans="2:6" x14ac:dyDescent="0.2">
      <c r="B224" s="206" t="s">
        <v>506</v>
      </c>
      <c r="C224" s="205">
        <v>120</v>
      </c>
      <c r="D224" s="147">
        <f t="shared" si="21"/>
        <v>6.7988668555240703E-2</v>
      </c>
      <c r="E224" s="148">
        <f t="shared" si="20"/>
        <v>1.257927300607516E-5</v>
      </c>
      <c r="F224" s="148">
        <f t="shared" si="22"/>
        <v>1.7301741747105868E-3</v>
      </c>
    </row>
    <row r="225" spans="2:6" x14ac:dyDescent="0.2">
      <c r="B225" s="206" t="s">
        <v>95</v>
      </c>
      <c r="C225" s="205">
        <v>120</v>
      </c>
      <c r="D225" s="147">
        <f t="shared" si="21"/>
        <v>6.8303430909663107E-2</v>
      </c>
      <c r="E225" s="148">
        <f t="shared" si="20"/>
        <v>1.257927300607516E-5</v>
      </c>
      <c r="F225" s="148">
        <f t="shared" si="22"/>
        <v>1.742753447716662E-3</v>
      </c>
    </row>
    <row r="226" spans="2:6" x14ac:dyDescent="0.2">
      <c r="B226" s="206" t="s">
        <v>157</v>
      </c>
      <c r="C226" s="205">
        <v>121</v>
      </c>
      <c r="D226" s="147">
        <f t="shared" si="21"/>
        <v>6.8618193264085511E-2</v>
      </c>
      <c r="E226" s="148">
        <f t="shared" si="20"/>
        <v>1.2684100281125786E-5</v>
      </c>
      <c r="F226" s="148">
        <f t="shared" si="22"/>
        <v>1.7554375479977879E-3</v>
      </c>
    </row>
    <row r="227" spans="2:6" x14ac:dyDescent="0.2">
      <c r="B227" s="206" t="s">
        <v>2761</v>
      </c>
      <c r="C227" s="205">
        <v>122</v>
      </c>
      <c r="D227" s="147">
        <f t="shared" si="21"/>
        <v>6.8932955618507916E-2</v>
      </c>
      <c r="E227" s="148">
        <f t="shared" si="20"/>
        <v>1.2788927556176413E-5</v>
      </c>
      <c r="F227" s="148">
        <f t="shared" si="22"/>
        <v>1.7682264755539644E-3</v>
      </c>
    </row>
    <row r="228" spans="2:6" x14ac:dyDescent="0.2">
      <c r="B228" s="206" t="s">
        <v>1880</v>
      </c>
      <c r="C228" s="205">
        <v>122</v>
      </c>
      <c r="D228" s="147">
        <f t="shared" si="21"/>
        <v>6.924771797293032E-2</v>
      </c>
      <c r="E228" s="148">
        <f t="shared" si="20"/>
        <v>1.2788927556176413E-5</v>
      </c>
      <c r="F228" s="148">
        <f t="shared" si="22"/>
        <v>1.7810154031101409E-3</v>
      </c>
    </row>
    <row r="229" spans="2:6" x14ac:dyDescent="0.2">
      <c r="B229" s="206" t="s">
        <v>2985</v>
      </c>
      <c r="C229" s="205">
        <v>123</v>
      </c>
      <c r="D229" s="147">
        <f t="shared" si="21"/>
        <v>6.9562480327352724E-2</v>
      </c>
      <c r="E229" s="148">
        <f t="shared" si="20"/>
        <v>1.2893754831227039E-5</v>
      </c>
      <c r="F229" s="148">
        <f t="shared" si="22"/>
        <v>1.7939091579413679E-3</v>
      </c>
    </row>
    <row r="230" spans="2:6" x14ac:dyDescent="0.2">
      <c r="B230" s="115" t="s">
        <v>2582</v>
      </c>
      <c r="C230" s="114">
        <v>123</v>
      </c>
      <c r="D230" s="147">
        <f t="shared" si="21"/>
        <v>6.9877242681775129E-2</v>
      </c>
      <c r="E230" s="148">
        <f t="shared" si="20"/>
        <v>1.2893754831227039E-5</v>
      </c>
      <c r="F230" s="148">
        <f t="shared" si="22"/>
        <v>1.8068029127725949E-3</v>
      </c>
    </row>
    <row r="231" spans="2:6" x14ac:dyDescent="0.2">
      <c r="B231" s="115" t="s">
        <v>2354</v>
      </c>
      <c r="C231" s="114">
        <v>123</v>
      </c>
      <c r="D231" s="147">
        <f t="shared" si="21"/>
        <v>7.0192005036197533E-2</v>
      </c>
      <c r="E231" s="148">
        <f t="shared" si="20"/>
        <v>1.2893754831227039E-5</v>
      </c>
      <c r="F231" s="148">
        <f t="shared" si="22"/>
        <v>1.8196966676038218E-3</v>
      </c>
    </row>
    <row r="232" spans="2:6" x14ac:dyDescent="0.2">
      <c r="B232" s="206" t="s">
        <v>2255</v>
      </c>
      <c r="C232" s="205">
        <v>123</v>
      </c>
      <c r="D232" s="147">
        <f t="shared" si="21"/>
        <v>7.0506767390619937E-2</v>
      </c>
      <c r="E232" s="148">
        <f t="shared" si="20"/>
        <v>1.2893754831227039E-5</v>
      </c>
      <c r="F232" s="148">
        <f t="shared" si="22"/>
        <v>1.8325904224350488E-3</v>
      </c>
    </row>
    <row r="233" spans="2:6" x14ac:dyDescent="0.2">
      <c r="B233" s="206" t="s">
        <v>484</v>
      </c>
      <c r="C233" s="205">
        <v>123</v>
      </c>
      <c r="D233" s="147">
        <f t="shared" si="21"/>
        <v>7.0821529745042341E-2</v>
      </c>
      <c r="E233" s="148">
        <f t="shared" si="20"/>
        <v>1.2893754831227039E-5</v>
      </c>
      <c r="F233" s="148">
        <f t="shared" si="22"/>
        <v>1.8454841772662758E-3</v>
      </c>
    </row>
    <row r="234" spans="2:6" x14ac:dyDescent="0.2">
      <c r="B234" s="206" t="s">
        <v>2324</v>
      </c>
      <c r="C234" s="205">
        <v>124</v>
      </c>
      <c r="D234" s="147">
        <f t="shared" si="21"/>
        <v>7.1136292099464746E-2</v>
      </c>
      <c r="E234" s="148">
        <f t="shared" si="20"/>
        <v>1.2998582106277665E-5</v>
      </c>
      <c r="F234" s="148">
        <f t="shared" si="22"/>
        <v>1.8584827593725534E-3</v>
      </c>
    </row>
    <row r="235" spans="2:6" x14ac:dyDescent="0.2">
      <c r="B235" s="115" t="s">
        <v>2149</v>
      </c>
      <c r="C235" s="114">
        <v>124</v>
      </c>
      <c r="D235" s="147">
        <f t="shared" si="21"/>
        <v>7.145105445388715E-2</v>
      </c>
      <c r="E235" s="148">
        <f t="shared" si="20"/>
        <v>1.2998582106277665E-5</v>
      </c>
      <c r="F235" s="148">
        <f t="shared" si="22"/>
        <v>1.871481341478831E-3</v>
      </c>
    </row>
    <row r="236" spans="2:6" x14ac:dyDescent="0.2">
      <c r="B236" s="206" t="s">
        <v>1987</v>
      </c>
      <c r="C236" s="205">
        <v>124</v>
      </c>
      <c r="D236" s="147">
        <f t="shared" si="21"/>
        <v>7.1765816808309554E-2</v>
      </c>
      <c r="E236" s="148">
        <f t="shared" si="20"/>
        <v>1.2998582106277665E-5</v>
      </c>
      <c r="F236" s="148">
        <f t="shared" si="22"/>
        <v>1.8844799235851087E-3</v>
      </c>
    </row>
    <row r="237" spans="2:6" x14ac:dyDescent="0.2">
      <c r="B237" s="206" t="s">
        <v>1879</v>
      </c>
      <c r="C237" s="205">
        <v>124</v>
      </c>
      <c r="D237" s="147">
        <f t="shared" si="21"/>
        <v>7.2080579162731959E-2</v>
      </c>
      <c r="E237" s="148">
        <f t="shared" si="20"/>
        <v>1.2998582106277665E-5</v>
      </c>
      <c r="F237" s="148">
        <f t="shared" si="22"/>
        <v>1.8974785056913863E-3</v>
      </c>
    </row>
    <row r="238" spans="2:6" x14ac:dyDescent="0.2">
      <c r="B238" s="206" t="s">
        <v>1362</v>
      </c>
      <c r="C238" s="205">
        <v>124</v>
      </c>
      <c r="D238" s="147">
        <f t="shared" si="21"/>
        <v>7.2395341517154363E-2</v>
      </c>
      <c r="E238" s="148">
        <f t="shared" si="20"/>
        <v>1.2998582106277665E-5</v>
      </c>
      <c r="F238" s="148">
        <f t="shared" si="22"/>
        <v>1.9104770877976639E-3</v>
      </c>
    </row>
    <row r="239" spans="2:6" x14ac:dyDescent="0.2">
      <c r="B239" s="115" t="s">
        <v>199</v>
      </c>
      <c r="C239" s="114">
        <v>124</v>
      </c>
      <c r="D239" s="147">
        <f t="shared" si="21"/>
        <v>7.2710103871576767E-2</v>
      </c>
      <c r="E239" s="148">
        <f t="shared" si="20"/>
        <v>1.2998582106277665E-5</v>
      </c>
      <c r="F239" s="148">
        <f t="shared" si="22"/>
        <v>1.9234756699039416E-3</v>
      </c>
    </row>
    <row r="240" spans="2:6" x14ac:dyDescent="0.2">
      <c r="B240" s="115" t="s">
        <v>3046</v>
      </c>
      <c r="C240" s="114">
        <v>125</v>
      </c>
      <c r="D240" s="147">
        <f t="shared" si="21"/>
        <v>7.3024866225999172E-2</v>
      </c>
      <c r="E240" s="148">
        <f t="shared" si="20"/>
        <v>1.3103409381328292E-5</v>
      </c>
      <c r="F240" s="148">
        <f t="shared" si="22"/>
        <v>1.9365790792852699E-3</v>
      </c>
    </row>
    <row r="241" spans="2:6" x14ac:dyDescent="0.2">
      <c r="B241" s="115" t="s">
        <v>19</v>
      </c>
      <c r="C241" s="114">
        <v>126</v>
      </c>
      <c r="D241" s="147">
        <f t="shared" si="21"/>
        <v>7.3339628580421576E-2</v>
      </c>
      <c r="E241" s="148">
        <f t="shared" si="20"/>
        <v>1.3208236656378918E-5</v>
      </c>
      <c r="F241" s="148">
        <f t="shared" si="22"/>
        <v>1.9497873159416488E-3</v>
      </c>
    </row>
    <row r="242" spans="2:6" x14ac:dyDescent="0.2">
      <c r="B242" s="115" t="s">
        <v>2392</v>
      </c>
      <c r="C242" s="114">
        <v>127</v>
      </c>
      <c r="D242" s="147">
        <f t="shared" si="21"/>
        <v>7.365439093484398E-2</v>
      </c>
      <c r="E242" s="148">
        <f t="shared" si="20"/>
        <v>1.3313063931429545E-5</v>
      </c>
      <c r="F242" s="148">
        <f t="shared" si="22"/>
        <v>1.9631003798730785E-3</v>
      </c>
    </row>
    <row r="243" spans="2:6" x14ac:dyDescent="0.2">
      <c r="B243" s="115" t="s">
        <v>301</v>
      </c>
      <c r="C243" s="114">
        <v>127</v>
      </c>
      <c r="D243" s="147">
        <f t="shared" si="21"/>
        <v>7.3969153289266384E-2</v>
      </c>
      <c r="E243" s="148">
        <f t="shared" si="20"/>
        <v>1.3313063931429545E-5</v>
      </c>
      <c r="F243" s="148">
        <f t="shared" si="22"/>
        <v>1.9764134438045081E-3</v>
      </c>
    </row>
    <row r="244" spans="2:6" x14ac:dyDescent="0.2">
      <c r="B244" s="115" t="s">
        <v>1935</v>
      </c>
      <c r="C244" s="114">
        <v>128</v>
      </c>
      <c r="D244" s="147">
        <f t="shared" si="21"/>
        <v>7.4283915643688789E-2</v>
      </c>
      <c r="E244" s="148">
        <f t="shared" si="20"/>
        <v>1.3417891206480171E-5</v>
      </c>
      <c r="F244" s="148">
        <f t="shared" si="22"/>
        <v>1.9898313350109882E-3</v>
      </c>
    </row>
    <row r="245" spans="2:6" x14ac:dyDescent="0.2">
      <c r="B245" s="206" t="s">
        <v>872</v>
      </c>
      <c r="C245" s="205">
        <v>128</v>
      </c>
      <c r="D245" s="147">
        <f t="shared" si="21"/>
        <v>7.4598677998111193E-2</v>
      </c>
      <c r="E245" s="148">
        <f t="shared" si="20"/>
        <v>1.3417891206480171E-5</v>
      </c>
      <c r="F245" s="148">
        <f t="shared" si="22"/>
        <v>2.0032492262174683E-3</v>
      </c>
    </row>
    <row r="246" spans="2:6" x14ac:dyDescent="0.2">
      <c r="B246" s="115" t="s">
        <v>1759</v>
      </c>
      <c r="C246" s="114">
        <v>130</v>
      </c>
      <c r="D246" s="147">
        <f t="shared" si="21"/>
        <v>7.4913440352533597E-2</v>
      </c>
      <c r="E246" s="148">
        <f t="shared" si="20"/>
        <v>1.3627545756581424E-5</v>
      </c>
      <c r="F246" s="148">
        <f t="shared" si="22"/>
        <v>2.0168767719740497E-3</v>
      </c>
    </row>
    <row r="247" spans="2:6" x14ac:dyDescent="0.2">
      <c r="B247" s="206" t="s">
        <v>528</v>
      </c>
      <c r="C247" s="205">
        <v>130</v>
      </c>
      <c r="D247" s="147">
        <f t="shared" si="21"/>
        <v>7.5228202706956002E-2</v>
      </c>
      <c r="E247" s="148">
        <f t="shared" si="20"/>
        <v>1.3627545756581424E-5</v>
      </c>
      <c r="F247" s="148">
        <f t="shared" si="22"/>
        <v>2.0305043177306311E-3</v>
      </c>
    </row>
    <row r="248" spans="2:6" x14ac:dyDescent="0.2">
      <c r="B248" s="115" t="s">
        <v>1977</v>
      </c>
      <c r="C248" s="114">
        <v>131</v>
      </c>
      <c r="D248" s="147">
        <f t="shared" si="21"/>
        <v>7.5542965061378406E-2</v>
      </c>
      <c r="E248" s="148">
        <f t="shared" si="20"/>
        <v>1.3732373031632049E-5</v>
      </c>
      <c r="F248" s="148">
        <f t="shared" si="22"/>
        <v>2.044236690762263E-3</v>
      </c>
    </row>
    <row r="249" spans="2:6" x14ac:dyDescent="0.2">
      <c r="B249" s="115" t="s">
        <v>1013</v>
      </c>
      <c r="C249" s="114">
        <v>131</v>
      </c>
      <c r="D249" s="147">
        <f t="shared" si="21"/>
        <v>7.585772741580081E-2</v>
      </c>
      <c r="E249" s="148">
        <f t="shared" si="20"/>
        <v>1.3732373031632049E-5</v>
      </c>
      <c r="F249" s="148">
        <f t="shared" si="22"/>
        <v>2.0579690637938949E-3</v>
      </c>
    </row>
    <row r="250" spans="2:6" x14ac:dyDescent="0.2">
      <c r="B250" s="115" t="s">
        <v>2076</v>
      </c>
      <c r="C250" s="114">
        <v>132</v>
      </c>
      <c r="D250" s="147">
        <f t="shared" si="21"/>
        <v>7.6172489770223215E-2</v>
      </c>
      <c r="E250" s="148">
        <f t="shared" si="20"/>
        <v>1.3837200306682677E-5</v>
      </c>
      <c r="F250" s="148">
        <f t="shared" si="22"/>
        <v>2.0718062641005776E-3</v>
      </c>
    </row>
    <row r="251" spans="2:6" x14ac:dyDescent="0.2">
      <c r="B251" s="115" t="s">
        <v>765</v>
      </c>
      <c r="C251" s="114">
        <v>132</v>
      </c>
      <c r="D251" s="147">
        <f t="shared" si="21"/>
        <v>7.6487252124645619E-2</v>
      </c>
      <c r="E251" s="148">
        <f t="shared" si="20"/>
        <v>1.3837200306682677E-5</v>
      </c>
      <c r="F251" s="148">
        <f t="shared" si="22"/>
        <v>2.0856434644072603E-3</v>
      </c>
    </row>
    <row r="252" spans="2:6" x14ac:dyDescent="0.2">
      <c r="B252" s="206" t="s">
        <v>62</v>
      </c>
      <c r="C252" s="205">
        <v>132</v>
      </c>
      <c r="D252" s="147">
        <f t="shared" si="21"/>
        <v>7.6802014479068023E-2</v>
      </c>
      <c r="E252" s="148">
        <f t="shared" si="20"/>
        <v>1.3837200306682677E-5</v>
      </c>
      <c r="F252" s="148">
        <f t="shared" si="22"/>
        <v>2.0994806647139431E-3</v>
      </c>
    </row>
    <row r="253" spans="2:6" x14ac:dyDescent="0.2">
      <c r="B253" s="115" t="s">
        <v>2716</v>
      </c>
      <c r="C253" s="114">
        <v>133</v>
      </c>
      <c r="D253" s="147">
        <f t="shared" si="21"/>
        <v>7.7116776833490427E-2</v>
      </c>
      <c r="E253" s="148">
        <f t="shared" si="20"/>
        <v>1.3942027581733302E-5</v>
      </c>
      <c r="F253" s="148">
        <f t="shared" si="22"/>
        <v>2.1134226922956763E-3</v>
      </c>
    </row>
    <row r="254" spans="2:6" x14ac:dyDescent="0.2">
      <c r="B254" s="115" t="s">
        <v>1840</v>
      </c>
      <c r="C254" s="114">
        <v>133</v>
      </c>
      <c r="D254" s="147">
        <f t="shared" si="21"/>
        <v>7.7431539187912832E-2</v>
      </c>
      <c r="E254" s="148">
        <f t="shared" si="20"/>
        <v>1.3942027581733302E-5</v>
      </c>
      <c r="F254" s="148">
        <f t="shared" si="22"/>
        <v>2.1273647198774095E-3</v>
      </c>
    </row>
    <row r="255" spans="2:6" x14ac:dyDescent="0.2">
      <c r="B255" s="115" t="s">
        <v>1586</v>
      </c>
      <c r="C255" s="114">
        <v>133</v>
      </c>
      <c r="D255" s="147">
        <f t="shared" si="21"/>
        <v>7.7746301542335236E-2</v>
      </c>
      <c r="E255" s="148">
        <f t="shared" si="20"/>
        <v>1.3942027581733302E-5</v>
      </c>
      <c r="F255" s="148">
        <f t="shared" si="22"/>
        <v>2.1413067474591427E-3</v>
      </c>
    </row>
    <row r="256" spans="2:6" x14ac:dyDescent="0.2">
      <c r="B256" s="115" t="s">
        <v>2349</v>
      </c>
      <c r="C256" s="114">
        <v>134</v>
      </c>
      <c r="D256" s="147">
        <f t="shared" si="21"/>
        <v>7.806106389675764E-2</v>
      </c>
      <c r="E256" s="148">
        <f t="shared" si="20"/>
        <v>1.4046854856783928E-5</v>
      </c>
      <c r="F256" s="148">
        <f t="shared" si="22"/>
        <v>2.1553536023159268E-3</v>
      </c>
    </row>
    <row r="257" spans="2:6" x14ac:dyDescent="0.2">
      <c r="B257" s="115" t="s">
        <v>2178</v>
      </c>
      <c r="C257" s="114">
        <v>134</v>
      </c>
      <c r="D257" s="147">
        <f t="shared" si="21"/>
        <v>7.8375826251180045E-2</v>
      </c>
      <c r="E257" s="148">
        <f t="shared" si="20"/>
        <v>1.4046854856783928E-5</v>
      </c>
      <c r="F257" s="148">
        <f t="shared" si="22"/>
        <v>2.1694004571727109E-3</v>
      </c>
    </row>
    <row r="258" spans="2:6" x14ac:dyDescent="0.2">
      <c r="B258" s="115" t="s">
        <v>730</v>
      </c>
      <c r="C258" s="114">
        <v>134</v>
      </c>
      <c r="D258" s="147">
        <f t="shared" si="21"/>
        <v>7.8690588605602449E-2</v>
      </c>
      <c r="E258" s="148">
        <f t="shared" si="20"/>
        <v>1.4046854856783928E-5</v>
      </c>
      <c r="F258" s="148">
        <f t="shared" si="22"/>
        <v>2.1834473120294949E-3</v>
      </c>
    </row>
    <row r="259" spans="2:6" x14ac:dyDescent="0.2">
      <c r="B259" s="206" t="s">
        <v>152</v>
      </c>
      <c r="C259" s="205">
        <v>134</v>
      </c>
      <c r="D259" s="147">
        <f t="shared" si="21"/>
        <v>7.9005350960024853E-2</v>
      </c>
      <c r="E259" s="148">
        <f t="shared" si="20"/>
        <v>1.4046854856783928E-5</v>
      </c>
      <c r="F259" s="148">
        <f t="shared" si="22"/>
        <v>2.197494166886279E-3</v>
      </c>
    </row>
    <row r="260" spans="2:6" x14ac:dyDescent="0.2">
      <c r="B260" s="206" t="s">
        <v>2551</v>
      </c>
      <c r="C260" s="205">
        <v>135</v>
      </c>
      <c r="D260" s="147">
        <f t="shared" si="21"/>
        <v>7.9320113314447258E-2</v>
      </c>
      <c r="E260" s="148">
        <f t="shared" si="20"/>
        <v>1.4151682131834555E-5</v>
      </c>
      <c r="F260" s="148">
        <f t="shared" si="22"/>
        <v>2.2116458490181136E-3</v>
      </c>
    </row>
    <row r="261" spans="2:6" x14ac:dyDescent="0.2">
      <c r="B261" s="206" t="s">
        <v>398</v>
      </c>
      <c r="C261" s="205">
        <v>135</v>
      </c>
      <c r="D261" s="147">
        <f t="shared" si="21"/>
        <v>7.9634875668869662E-2</v>
      </c>
      <c r="E261" s="148">
        <f t="shared" si="20"/>
        <v>1.4151682131834555E-5</v>
      </c>
      <c r="F261" s="148">
        <f t="shared" si="22"/>
        <v>2.2257975311499481E-3</v>
      </c>
    </row>
    <row r="262" spans="2:6" x14ac:dyDescent="0.2">
      <c r="B262" s="206" t="s">
        <v>3152</v>
      </c>
      <c r="C262" s="205">
        <v>136</v>
      </c>
      <c r="D262" s="147">
        <f t="shared" si="21"/>
        <v>7.9949638023292066E-2</v>
      </c>
      <c r="E262" s="148">
        <f t="shared" si="20"/>
        <v>1.4256509406885181E-5</v>
      </c>
      <c r="F262" s="148">
        <f t="shared" si="22"/>
        <v>2.2400540405568331E-3</v>
      </c>
    </row>
    <row r="263" spans="2:6" x14ac:dyDescent="0.2">
      <c r="B263" s="206" t="s">
        <v>2558</v>
      </c>
      <c r="C263" s="205">
        <v>136</v>
      </c>
      <c r="D263" s="147">
        <f t="shared" si="21"/>
        <v>8.026440037771447E-2</v>
      </c>
      <c r="E263" s="148">
        <f t="shared" si="20"/>
        <v>1.4256509406885181E-5</v>
      </c>
      <c r="F263" s="148">
        <f t="shared" si="22"/>
        <v>2.2543105499637181E-3</v>
      </c>
    </row>
    <row r="264" spans="2:6" x14ac:dyDescent="0.2">
      <c r="B264" s="206" t="s">
        <v>1981</v>
      </c>
      <c r="C264" s="205">
        <v>136</v>
      </c>
      <c r="D264" s="147">
        <f t="shared" si="21"/>
        <v>8.0579162732136875E-2</v>
      </c>
      <c r="E264" s="148">
        <f t="shared" si="20"/>
        <v>1.4256509406885181E-5</v>
      </c>
      <c r="F264" s="148">
        <f t="shared" si="22"/>
        <v>2.268567059370603E-3</v>
      </c>
    </row>
    <row r="265" spans="2:6" x14ac:dyDescent="0.2">
      <c r="B265" s="206" t="s">
        <v>3085</v>
      </c>
      <c r="C265" s="205">
        <v>138</v>
      </c>
      <c r="D265" s="147">
        <f t="shared" si="21"/>
        <v>8.0893925086559279E-2</v>
      </c>
      <c r="E265" s="148">
        <f t="shared" ref="E265:E328" si="23">C265/$O$18</f>
        <v>1.4466163956986434E-5</v>
      </c>
      <c r="F265" s="148">
        <f t="shared" si="22"/>
        <v>2.2830332233275893E-3</v>
      </c>
    </row>
    <row r="266" spans="2:6" x14ac:dyDescent="0.2">
      <c r="B266" s="115" t="s">
        <v>2567</v>
      </c>
      <c r="C266" s="114">
        <v>138</v>
      </c>
      <c r="D266" s="147">
        <f t="shared" ref="D266:D329" si="24">D265+1/$L$18</f>
        <v>8.1208687440981683E-2</v>
      </c>
      <c r="E266" s="148">
        <f t="shared" si="23"/>
        <v>1.4466163956986434E-5</v>
      </c>
      <c r="F266" s="148">
        <f t="shared" ref="F266:F329" si="25">F265+E266</f>
        <v>2.2974993872845757E-3</v>
      </c>
    </row>
    <row r="267" spans="2:6" x14ac:dyDescent="0.2">
      <c r="B267" s="206" t="s">
        <v>1136</v>
      </c>
      <c r="C267" s="205">
        <v>138</v>
      </c>
      <c r="D267" s="147">
        <f t="shared" si="24"/>
        <v>8.1523449795404088E-2</v>
      </c>
      <c r="E267" s="148">
        <f t="shared" si="23"/>
        <v>1.4466163956986434E-5</v>
      </c>
      <c r="F267" s="148">
        <f t="shared" si="25"/>
        <v>2.311965551241562E-3</v>
      </c>
    </row>
    <row r="268" spans="2:6" x14ac:dyDescent="0.2">
      <c r="B268" s="115" t="s">
        <v>59</v>
      </c>
      <c r="C268" s="114">
        <v>138</v>
      </c>
      <c r="D268" s="147">
        <f t="shared" si="24"/>
        <v>8.1838212149826492E-2</v>
      </c>
      <c r="E268" s="148">
        <f t="shared" si="23"/>
        <v>1.4466163956986434E-5</v>
      </c>
      <c r="F268" s="148">
        <f t="shared" si="25"/>
        <v>2.3264317151985483E-3</v>
      </c>
    </row>
    <row r="269" spans="2:6" x14ac:dyDescent="0.2">
      <c r="B269" s="115" t="s">
        <v>2752</v>
      </c>
      <c r="C269" s="114">
        <v>139</v>
      </c>
      <c r="D269" s="147">
        <f t="shared" si="24"/>
        <v>8.2152974504248896E-2</v>
      </c>
      <c r="E269" s="148">
        <f t="shared" si="23"/>
        <v>1.457099123203706E-5</v>
      </c>
      <c r="F269" s="148">
        <f t="shared" si="25"/>
        <v>2.3410027064305855E-3</v>
      </c>
    </row>
    <row r="270" spans="2:6" x14ac:dyDescent="0.2">
      <c r="B270" s="115" t="s">
        <v>2719</v>
      </c>
      <c r="C270" s="114">
        <v>139</v>
      </c>
      <c r="D270" s="147">
        <f t="shared" si="24"/>
        <v>8.2467736858671301E-2</v>
      </c>
      <c r="E270" s="148">
        <f t="shared" si="23"/>
        <v>1.457099123203706E-5</v>
      </c>
      <c r="F270" s="148">
        <f t="shared" si="25"/>
        <v>2.3555736976626227E-3</v>
      </c>
    </row>
    <row r="271" spans="2:6" x14ac:dyDescent="0.2">
      <c r="B271" s="206" t="s">
        <v>1161</v>
      </c>
      <c r="C271" s="205">
        <v>139</v>
      </c>
      <c r="D271" s="147">
        <f t="shared" si="24"/>
        <v>8.2782499213093705E-2</v>
      </c>
      <c r="E271" s="148">
        <f t="shared" si="23"/>
        <v>1.457099123203706E-5</v>
      </c>
      <c r="F271" s="148">
        <f t="shared" si="25"/>
        <v>2.3701446888946599E-3</v>
      </c>
    </row>
    <row r="272" spans="2:6" x14ac:dyDescent="0.2">
      <c r="B272" s="206" t="s">
        <v>1060</v>
      </c>
      <c r="C272" s="205">
        <v>139</v>
      </c>
      <c r="D272" s="147">
        <f t="shared" si="24"/>
        <v>8.3097261567516109E-2</v>
      </c>
      <c r="E272" s="148">
        <f t="shared" si="23"/>
        <v>1.457099123203706E-5</v>
      </c>
      <c r="F272" s="148">
        <f t="shared" si="25"/>
        <v>2.3847156801266971E-3</v>
      </c>
    </row>
    <row r="273" spans="2:6" x14ac:dyDescent="0.2">
      <c r="B273" s="206" t="s">
        <v>2175</v>
      </c>
      <c r="C273" s="205">
        <v>140</v>
      </c>
      <c r="D273" s="147">
        <f t="shared" si="24"/>
        <v>8.3412023921938513E-2</v>
      </c>
      <c r="E273" s="148">
        <f t="shared" si="23"/>
        <v>1.4675818507087687E-5</v>
      </c>
      <c r="F273" s="148">
        <f t="shared" si="25"/>
        <v>2.3993914986337847E-3</v>
      </c>
    </row>
    <row r="274" spans="2:6" x14ac:dyDescent="0.2">
      <c r="B274" s="115" t="s">
        <v>1124</v>
      </c>
      <c r="C274" s="114">
        <v>140</v>
      </c>
      <c r="D274" s="147">
        <f t="shared" si="24"/>
        <v>8.3726786276360918E-2</v>
      </c>
      <c r="E274" s="148">
        <f t="shared" si="23"/>
        <v>1.4675818507087687E-5</v>
      </c>
      <c r="F274" s="148">
        <f t="shared" si="25"/>
        <v>2.4140673171408724E-3</v>
      </c>
    </row>
    <row r="275" spans="2:6" x14ac:dyDescent="0.2">
      <c r="B275" s="206" t="s">
        <v>911</v>
      </c>
      <c r="C275" s="205">
        <v>143</v>
      </c>
      <c r="D275" s="147">
        <f t="shared" si="24"/>
        <v>8.4041548630783322E-2</v>
      </c>
      <c r="E275" s="148">
        <f t="shared" si="23"/>
        <v>1.4990300332239566E-5</v>
      </c>
      <c r="F275" s="148">
        <f t="shared" si="25"/>
        <v>2.4290576174731118E-3</v>
      </c>
    </row>
    <row r="276" spans="2:6" x14ac:dyDescent="0.2">
      <c r="B276" s="115" t="s">
        <v>889</v>
      </c>
      <c r="C276" s="114">
        <v>143</v>
      </c>
      <c r="D276" s="147">
        <f t="shared" si="24"/>
        <v>8.4356310985205726E-2</v>
      </c>
      <c r="E276" s="148">
        <f t="shared" si="23"/>
        <v>1.4990300332239566E-5</v>
      </c>
      <c r="F276" s="148">
        <f t="shared" si="25"/>
        <v>2.4440479178053512E-3</v>
      </c>
    </row>
    <row r="277" spans="2:6" x14ac:dyDescent="0.2">
      <c r="B277" s="115" t="s">
        <v>2870</v>
      </c>
      <c r="C277" s="114">
        <v>144</v>
      </c>
      <c r="D277" s="147">
        <f t="shared" si="24"/>
        <v>8.4671073339628131E-2</v>
      </c>
      <c r="E277" s="148">
        <f t="shared" si="23"/>
        <v>1.5095127607290191E-5</v>
      </c>
      <c r="F277" s="148">
        <f t="shared" si="25"/>
        <v>2.4591430454126415E-3</v>
      </c>
    </row>
    <row r="278" spans="2:6" x14ac:dyDescent="0.2">
      <c r="B278" s="206" t="s">
        <v>1847</v>
      </c>
      <c r="C278" s="205">
        <v>144</v>
      </c>
      <c r="D278" s="147">
        <f t="shared" si="24"/>
        <v>8.4985835694050535E-2</v>
      </c>
      <c r="E278" s="148">
        <f t="shared" si="23"/>
        <v>1.5095127607290191E-5</v>
      </c>
      <c r="F278" s="148">
        <f t="shared" si="25"/>
        <v>2.4742381730199318E-3</v>
      </c>
    </row>
    <row r="279" spans="2:6" x14ac:dyDescent="0.2">
      <c r="B279" s="206" t="s">
        <v>189</v>
      </c>
      <c r="C279" s="205">
        <v>144</v>
      </c>
      <c r="D279" s="147">
        <f t="shared" si="24"/>
        <v>8.5300598048472939E-2</v>
      </c>
      <c r="E279" s="148">
        <f t="shared" si="23"/>
        <v>1.5095127607290191E-5</v>
      </c>
      <c r="F279" s="148">
        <f t="shared" si="25"/>
        <v>2.4893333006272222E-3</v>
      </c>
    </row>
    <row r="280" spans="2:6" x14ac:dyDescent="0.2">
      <c r="B280" s="206" t="s">
        <v>2183</v>
      </c>
      <c r="C280" s="205">
        <v>145</v>
      </c>
      <c r="D280" s="147">
        <f t="shared" si="24"/>
        <v>8.5615360402895344E-2</v>
      </c>
      <c r="E280" s="148">
        <f t="shared" si="23"/>
        <v>1.5199954882340819E-5</v>
      </c>
      <c r="F280" s="148">
        <f t="shared" si="25"/>
        <v>2.5045332555095629E-3</v>
      </c>
    </row>
    <row r="281" spans="2:6" x14ac:dyDescent="0.2">
      <c r="B281" s="206" t="s">
        <v>1648</v>
      </c>
      <c r="C281" s="205">
        <v>145</v>
      </c>
      <c r="D281" s="147">
        <f t="shared" si="24"/>
        <v>8.5930122757317748E-2</v>
      </c>
      <c r="E281" s="148">
        <f t="shared" si="23"/>
        <v>1.5199954882340819E-5</v>
      </c>
      <c r="F281" s="148">
        <f t="shared" si="25"/>
        <v>2.5197332103919037E-3</v>
      </c>
    </row>
    <row r="282" spans="2:6" x14ac:dyDescent="0.2">
      <c r="B282" s="115" t="s">
        <v>1086</v>
      </c>
      <c r="C282" s="114">
        <v>145</v>
      </c>
      <c r="D282" s="147">
        <f t="shared" si="24"/>
        <v>8.6244885111740152E-2</v>
      </c>
      <c r="E282" s="148">
        <f t="shared" si="23"/>
        <v>1.5199954882340819E-5</v>
      </c>
      <c r="F282" s="148">
        <f t="shared" si="25"/>
        <v>2.5349331652742444E-3</v>
      </c>
    </row>
    <row r="283" spans="2:6" x14ac:dyDescent="0.2">
      <c r="B283" s="206" t="s">
        <v>696</v>
      </c>
      <c r="C283" s="205">
        <v>145</v>
      </c>
      <c r="D283" s="147">
        <f t="shared" si="24"/>
        <v>8.6559647466162556E-2</v>
      </c>
      <c r="E283" s="148">
        <f t="shared" si="23"/>
        <v>1.5199954882340819E-5</v>
      </c>
      <c r="F283" s="148">
        <f t="shared" si="25"/>
        <v>2.5501331201565852E-3</v>
      </c>
    </row>
    <row r="284" spans="2:6" x14ac:dyDescent="0.2">
      <c r="B284" s="206" t="s">
        <v>407</v>
      </c>
      <c r="C284" s="205">
        <v>145</v>
      </c>
      <c r="D284" s="147">
        <f t="shared" si="24"/>
        <v>8.6874409820584961E-2</v>
      </c>
      <c r="E284" s="148">
        <f t="shared" si="23"/>
        <v>1.5199954882340819E-5</v>
      </c>
      <c r="F284" s="148">
        <f t="shared" si="25"/>
        <v>2.565333075038926E-3</v>
      </c>
    </row>
    <row r="285" spans="2:6" x14ac:dyDescent="0.2">
      <c r="B285" s="115" t="s">
        <v>3021</v>
      </c>
      <c r="C285" s="114">
        <v>146</v>
      </c>
      <c r="D285" s="147">
        <f t="shared" si="24"/>
        <v>8.7189172175007365E-2</v>
      </c>
      <c r="E285" s="148">
        <f t="shared" si="23"/>
        <v>1.5304782157391444E-5</v>
      </c>
      <c r="F285" s="148">
        <f t="shared" si="25"/>
        <v>2.5806378571963176E-3</v>
      </c>
    </row>
    <row r="286" spans="2:6" x14ac:dyDescent="0.2">
      <c r="B286" s="206" t="s">
        <v>2515</v>
      </c>
      <c r="C286" s="205">
        <v>146</v>
      </c>
      <c r="D286" s="147">
        <f t="shared" si="24"/>
        <v>8.7503934529429769E-2</v>
      </c>
      <c r="E286" s="148">
        <f t="shared" si="23"/>
        <v>1.5304782157391444E-5</v>
      </c>
      <c r="F286" s="148">
        <f t="shared" si="25"/>
        <v>2.5959426393537093E-3</v>
      </c>
    </row>
    <row r="287" spans="2:6" x14ac:dyDescent="0.2">
      <c r="B287" s="206" t="s">
        <v>762</v>
      </c>
      <c r="C287" s="205">
        <v>146</v>
      </c>
      <c r="D287" s="147">
        <f t="shared" si="24"/>
        <v>8.7818696883852174E-2</v>
      </c>
      <c r="E287" s="148">
        <f t="shared" si="23"/>
        <v>1.5304782157391444E-5</v>
      </c>
      <c r="F287" s="148">
        <f t="shared" si="25"/>
        <v>2.6112474215111009E-3</v>
      </c>
    </row>
    <row r="288" spans="2:6" x14ac:dyDescent="0.2">
      <c r="B288" s="115" t="s">
        <v>1256</v>
      </c>
      <c r="C288" s="114">
        <v>147</v>
      </c>
      <c r="D288" s="147">
        <f t="shared" si="24"/>
        <v>8.8133459238274578E-2</v>
      </c>
      <c r="E288" s="148">
        <f t="shared" si="23"/>
        <v>1.540960943244207E-5</v>
      </c>
      <c r="F288" s="148">
        <f t="shared" si="25"/>
        <v>2.626657030943543E-3</v>
      </c>
    </row>
    <row r="289" spans="2:6" x14ac:dyDescent="0.2">
      <c r="B289" s="115" t="s">
        <v>737</v>
      </c>
      <c r="C289" s="114">
        <v>148</v>
      </c>
      <c r="D289" s="147">
        <f t="shared" si="24"/>
        <v>8.8448221592696982E-2</v>
      </c>
      <c r="E289" s="148">
        <f t="shared" si="23"/>
        <v>1.5514436707492696E-5</v>
      </c>
      <c r="F289" s="148">
        <f t="shared" si="25"/>
        <v>2.6421714676510355E-3</v>
      </c>
    </row>
    <row r="290" spans="2:6" x14ac:dyDescent="0.2">
      <c r="B290" s="115" t="s">
        <v>2614</v>
      </c>
      <c r="C290" s="114">
        <v>149</v>
      </c>
      <c r="D290" s="147">
        <f t="shared" si="24"/>
        <v>8.8762983947119387E-2</v>
      </c>
      <c r="E290" s="148">
        <f t="shared" si="23"/>
        <v>1.5619263982543325E-5</v>
      </c>
      <c r="F290" s="148">
        <f t="shared" si="25"/>
        <v>2.657790731633579E-3</v>
      </c>
    </row>
    <row r="291" spans="2:6" x14ac:dyDescent="0.2">
      <c r="B291" s="115" t="s">
        <v>1776</v>
      </c>
      <c r="C291" s="114">
        <v>149</v>
      </c>
      <c r="D291" s="147">
        <f t="shared" si="24"/>
        <v>8.9077746301541791E-2</v>
      </c>
      <c r="E291" s="148">
        <f t="shared" si="23"/>
        <v>1.5619263982543325E-5</v>
      </c>
      <c r="F291" s="148">
        <f t="shared" si="25"/>
        <v>2.6734099956161224E-3</v>
      </c>
    </row>
    <row r="292" spans="2:6" x14ac:dyDescent="0.2">
      <c r="B292" s="206" t="s">
        <v>1760</v>
      </c>
      <c r="C292" s="205">
        <v>149</v>
      </c>
      <c r="D292" s="147">
        <f t="shared" si="24"/>
        <v>8.9392508655964195E-2</v>
      </c>
      <c r="E292" s="148">
        <f t="shared" si="23"/>
        <v>1.5619263982543325E-5</v>
      </c>
      <c r="F292" s="148">
        <f t="shared" si="25"/>
        <v>2.6890292595986658E-3</v>
      </c>
    </row>
    <row r="293" spans="2:6" x14ac:dyDescent="0.2">
      <c r="B293" s="206" t="s">
        <v>1364</v>
      </c>
      <c r="C293" s="205">
        <v>149</v>
      </c>
      <c r="D293" s="147">
        <f t="shared" si="24"/>
        <v>8.9707271010386599E-2</v>
      </c>
      <c r="E293" s="148">
        <f t="shared" si="23"/>
        <v>1.5619263982543325E-5</v>
      </c>
      <c r="F293" s="148">
        <f t="shared" si="25"/>
        <v>2.7046485235812092E-3</v>
      </c>
    </row>
    <row r="294" spans="2:6" x14ac:dyDescent="0.2">
      <c r="B294" s="206" t="s">
        <v>1281</v>
      </c>
      <c r="C294" s="205">
        <v>149</v>
      </c>
      <c r="D294" s="147">
        <f t="shared" si="24"/>
        <v>9.0022033364809004E-2</v>
      </c>
      <c r="E294" s="148">
        <f t="shared" si="23"/>
        <v>1.5619263982543325E-5</v>
      </c>
      <c r="F294" s="148">
        <f t="shared" si="25"/>
        <v>2.7202677875637527E-3</v>
      </c>
    </row>
    <row r="295" spans="2:6" x14ac:dyDescent="0.2">
      <c r="B295" s="115" t="s">
        <v>147</v>
      </c>
      <c r="C295" s="114">
        <v>149</v>
      </c>
      <c r="D295" s="147">
        <f t="shared" si="24"/>
        <v>9.0336795719231408E-2</v>
      </c>
      <c r="E295" s="148">
        <f t="shared" si="23"/>
        <v>1.5619263982543325E-5</v>
      </c>
      <c r="F295" s="148">
        <f t="shared" si="25"/>
        <v>2.7358870515462961E-3</v>
      </c>
    </row>
    <row r="296" spans="2:6" x14ac:dyDescent="0.2">
      <c r="B296" s="206" t="s">
        <v>2545</v>
      </c>
      <c r="C296" s="205">
        <v>150</v>
      </c>
      <c r="D296" s="147">
        <f t="shared" si="24"/>
        <v>9.0651558073653812E-2</v>
      </c>
      <c r="E296" s="148">
        <f t="shared" si="23"/>
        <v>1.572409125759395E-5</v>
      </c>
      <c r="F296" s="148">
        <f t="shared" si="25"/>
        <v>2.75161114280389E-3</v>
      </c>
    </row>
    <row r="297" spans="2:6" x14ac:dyDescent="0.2">
      <c r="B297" s="115" t="s">
        <v>2937</v>
      </c>
      <c r="C297" s="114">
        <v>151</v>
      </c>
      <c r="D297" s="147">
        <f t="shared" si="24"/>
        <v>9.0966320428076217E-2</v>
      </c>
      <c r="E297" s="148">
        <f t="shared" si="23"/>
        <v>1.5828918532644576E-5</v>
      </c>
      <c r="F297" s="148">
        <f t="shared" si="25"/>
        <v>2.7674400613365347E-3</v>
      </c>
    </row>
    <row r="298" spans="2:6" x14ac:dyDescent="0.2">
      <c r="B298" s="206" t="s">
        <v>1474</v>
      </c>
      <c r="C298" s="205">
        <v>151</v>
      </c>
      <c r="D298" s="147">
        <f t="shared" si="24"/>
        <v>9.1281082782498621E-2</v>
      </c>
      <c r="E298" s="148">
        <f t="shared" si="23"/>
        <v>1.5828918532644576E-5</v>
      </c>
      <c r="F298" s="148">
        <f t="shared" si="25"/>
        <v>2.7832689798691795E-3</v>
      </c>
    </row>
    <row r="299" spans="2:6" x14ac:dyDescent="0.2">
      <c r="B299" s="206" t="s">
        <v>981</v>
      </c>
      <c r="C299" s="205">
        <v>151</v>
      </c>
      <c r="D299" s="147">
        <f t="shared" si="24"/>
        <v>9.1595845136921025E-2</v>
      </c>
      <c r="E299" s="148">
        <f t="shared" si="23"/>
        <v>1.5828918532644576E-5</v>
      </c>
      <c r="F299" s="148">
        <f t="shared" si="25"/>
        <v>2.7990978984018242E-3</v>
      </c>
    </row>
    <row r="300" spans="2:6" x14ac:dyDescent="0.2">
      <c r="B300" s="206" t="s">
        <v>153</v>
      </c>
      <c r="C300" s="205">
        <v>151</v>
      </c>
      <c r="D300" s="147">
        <f t="shared" si="24"/>
        <v>9.191060749134343E-2</v>
      </c>
      <c r="E300" s="148">
        <f t="shared" si="23"/>
        <v>1.5828918532644576E-5</v>
      </c>
      <c r="F300" s="148">
        <f t="shared" si="25"/>
        <v>2.814926816934469E-3</v>
      </c>
    </row>
    <row r="301" spans="2:6" x14ac:dyDescent="0.2">
      <c r="B301" s="206" t="s">
        <v>2628</v>
      </c>
      <c r="C301" s="205">
        <v>152</v>
      </c>
      <c r="D301" s="147">
        <f t="shared" si="24"/>
        <v>9.2225369845765834E-2</v>
      </c>
      <c r="E301" s="148">
        <f t="shared" si="23"/>
        <v>1.5933745807695202E-5</v>
      </c>
      <c r="F301" s="148">
        <f t="shared" si="25"/>
        <v>2.8308605627421642E-3</v>
      </c>
    </row>
    <row r="302" spans="2:6" x14ac:dyDescent="0.2">
      <c r="B302" s="115" t="s">
        <v>2180</v>
      </c>
      <c r="C302" s="114">
        <v>152</v>
      </c>
      <c r="D302" s="147">
        <f t="shared" si="24"/>
        <v>9.2540132200188238E-2</v>
      </c>
      <c r="E302" s="148">
        <f t="shared" si="23"/>
        <v>1.5933745807695202E-5</v>
      </c>
      <c r="F302" s="148">
        <f t="shared" si="25"/>
        <v>2.8467943085498594E-3</v>
      </c>
    </row>
    <row r="303" spans="2:6" x14ac:dyDescent="0.2">
      <c r="B303" s="115" t="s">
        <v>2108</v>
      </c>
      <c r="C303" s="114">
        <v>152</v>
      </c>
      <c r="D303" s="147">
        <f t="shared" si="24"/>
        <v>9.2854894554610642E-2</v>
      </c>
      <c r="E303" s="148">
        <f t="shared" si="23"/>
        <v>1.5933745807695202E-5</v>
      </c>
      <c r="F303" s="148">
        <f t="shared" si="25"/>
        <v>2.8627280543575546E-3</v>
      </c>
    </row>
    <row r="304" spans="2:6" x14ac:dyDescent="0.2">
      <c r="B304" s="115" t="s">
        <v>1609</v>
      </c>
      <c r="C304" s="114">
        <v>152</v>
      </c>
      <c r="D304" s="147">
        <f t="shared" si="24"/>
        <v>9.3169656909033047E-2</v>
      </c>
      <c r="E304" s="148">
        <f t="shared" si="23"/>
        <v>1.5933745807695202E-5</v>
      </c>
      <c r="F304" s="148">
        <f t="shared" si="25"/>
        <v>2.8786618001652498E-3</v>
      </c>
    </row>
    <row r="305" spans="2:6" x14ac:dyDescent="0.2">
      <c r="B305" s="206" t="s">
        <v>1477</v>
      </c>
      <c r="C305" s="114">
        <v>152</v>
      </c>
      <c r="D305" s="147">
        <f t="shared" si="24"/>
        <v>9.3484419263455451E-2</v>
      </c>
      <c r="E305" s="148">
        <f t="shared" si="23"/>
        <v>1.5933745807695202E-5</v>
      </c>
      <c r="F305" s="148">
        <f t="shared" si="25"/>
        <v>2.894595545972945E-3</v>
      </c>
    </row>
    <row r="306" spans="2:6" x14ac:dyDescent="0.2">
      <c r="B306" s="206" t="s">
        <v>1415</v>
      </c>
      <c r="C306" s="205">
        <v>152</v>
      </c>
      <c r="D306" s="147">
        <f t="shared" si="24"/>
        <v>9.3799181617877855E-2</v>
      </c>
      <c r="E306" s="148">
        <f t="shared" si="23"/>
        <v>1.5933745807695202E-5</v>
      </c>
      <c r="F306" s="148">
        <f t="shared" si="25"/>
        <v>2.9105292917806403E-3</v>
      </c>
    </row>
    <row r="307" spans="2:6" x14ac:dyDescent="0.2">
      <c r="B307" s="115" t="s">
        <v>3138</v>
      </c>
      <c r="C307" s="114">
        <v>153</v>
      </c>
      <c r="D307" s="147">
        <f t="shared" si="24"/>
        <v>9.411394397230026E-2</v>
      </c>
      <c r="E307" s="148">
        <f t="shared" si="23"/>
        <v>1.6038573082745827E-5</v>
      </c>
      <c r="F307" s="148">
        <f t="shared" si="25"/>
        <v>2.9265678648633859E-3</v>
      </c>
    </row>
    <row r="308" spans="2:6" x14ac:dyDescent="0.2">
      <c r="B308" s="115" t="s">
        <v>2271</v>
      </c>
      <c r="C308" s="114">
        <v>153</v>
      </c>
      <c r="D308" s="147">
        <f t="shared" si="24"/>
        <v>9.4428706326722664E-2</v>
      </c>
      <c r="E308" s="148">
        <f t="shared" si="23"/>
        <v>1.6038573082745827E-5</v>
      </c>
      <c r="F308" s="148">
        <f t="shared" si="25"/>
        <v>2.9426064379461316E-3</v>
      </c>
    </row>
    <row r="309" spans="2:6" x14ac:dyDescent="0.2">
      <c r="B309" s="206" t="s">
        <v>2865</v>
      </c>
      <c r="C309" s="205">
        <v>154</v>
      </c>
      <c r="D309" s="147">
        <f t="shared" si="24"/>
        <v>9.4743468681145068E-2</v>
      </c>
      <c r="E309" s="148">
        <f t="shared" si="23"/>
        <v>1.6143400357796456E-5</v>
      </c>
      <c r="F309" s="148">
        <f t="shared" si="25"/>
        <v>2.9587498383039281E-3</v>
      </c>
    </row>
    <row r="310" spans="2:6" x14ac:dyDescent="0.2">
      <c r="B310" s="206" t="s">
        <v>2550</v>
      </c>
      <c r="C310" s="205">
        <v>154</v>
      </c>
      <c r="D310" s="147">
        <f t="shared" si="24"/>
        <v>9.5058231035567473E-2</v>
      </c>
      <c r="E310" s="148">
        <f t="shared" si="23"/>
        <v>1.6143400357796456E-5</v>
      </c>
      <c r="F310" s="148">
        <f t="shared" si="25"/>
        <v>2.9748932386617247E-3</v>
      </c>
    </row>
    <row r="311" spans="2:6" x14ac:dyDescent="0.2">
      <c r="B311" s="115" t="s">
        <v>2266</v>
      </c>
      <c r="C311" s="114">
        <v>154</v>
      </c>
      <c r="D311" s="147">
        <f t="shared" si="24"/>
        <v>9.5372993389989877E-2</v>
      </c>
      <c r="E311" s="148">
        <f t="shared" si="23"/>
        <v>1.6143400357796456E-5</v>
      </c>
      <c r="F311" s="148">
        <f t="shared" si="25"/>
        <v>2.9910366390195212E-3</v>
      </c>
    </row>
    <row r="312" spans="2:6" x14ac:dyDescent="0.2">
      <c r="B312" s="115" t="s">
        <v>1791</v>
      </c>
      <c r="C312" s="114">
        <v>154</v>
      </c>
      <c r="D312" s="147">
        <f t="shared" si="24"/>
        <v>9.5687755744412281E-2</v>
      </c>
      <c r="E312" s="148">
        <f t="shared" si="23"/>
        <v>1.6143400357796456E-5</v>
      </c>
      <c r="F312" s="148">
        <f t="shared" si="25"/>
        <v>3.0071800393773177E-3</v>
      </c>
    </row>
    <row r="313" spans="2:6" x14ac:dyDescent="0.2">
      <c r="B313" s="115" t="s">
        <v>1021</v>
      </c>
      <c r="C313" s="114">
        <v>154</v>
      </c>
      <c r="D313" s="147">
        <f t="shared" si="24"/>
        <v>9.6002518098834685E-2</v>
      </c>
      <c r="E313" s="148">
        <f t="shared" si="23"/>
        <v>1.6143400357796456E-5</v>
      </c>
      <c r="F313" s="148">
        <f t="shared" si="25"/>
        <v>3.0233234397351143E-3</v>
      </c>
    </row>
    <row r="314" spans="2:6" x14ac:dyDescent="0.2">
      <c r="B314" s="115" t="s">
        <v>177</v>
      </c>
      <c r="C314" s="114">
        <v>154</v>
      </c>
      <c r="D314" s="147">
        <f t="shared" si="24"/>
        <v>9.631728045325709E-2</v>
      </c>
      <c r="E314" s="148">
        <f t="shared" si="23"/>
        <v>1.6143400357796456E-5</v>
      </c>
      <c r="F314" s="148">
        <f t="shared" si="25"/>
        <v>3.0394668400929108E-3</v>
      </c>
    </row>
    <row r="315" spans="2:6" x14ac:dyDescent="0.2">
      <c r="B315" s="115" t="s">
        <v>2554</v>
      </c>
      <c r="C315" s="114">
        <v>155</v>
      </c>
      <c r="D315" s="147">
        <f t="shared" si="24"/>
        <v>9.6632042807679494E-2</v>
      </c>
      <c r="E315" s="148">
        <f t="shared" si="23"/>
        <v>1.6248227632847082E-5</v>
      </c>
      <c r="F315" s="148">
        <f t="shared" si="25"/>
        <v>3.0557150677257578E-3</v>
      </c>
    </row>
    <row r="316" spans="2:6" x14ac:dyDescent="0.2">
      <c r="B316" s="206" t="s">
        <v>652</v>
      </c>
      <c r="C316" s="205">
        <v>155</v>
      </c>
      <c r="D316" s="147">
        <f t="shared" si="24"/>
        <v>9.6946805162101898E-2</v>
      </c>
      <c r="E316" s="148">
        <f t="shared" si="23"/>
        <v>1.6248227632847082E-5</v>
      </c>
      <c r="F316" s="148">
        <f t="shared" si="25"/>
        <v>3.0719632953586048E-3</v>
      </c>
    </row>
    <row r="317" spans="2:6" x14ac:dyDescent="0.2">
      <c r="B317" s="206" t="s">
        <v>310</v>
      </c>
      <c r="C317" s="205">
        <v>157</v>
      </c>
      <c r="D317" s="147">
        <f t="shared" si="24"/>
        <v>9.7261567516524303E-2</v>
      </c>
      <c r="E317" s="148">
        <f t="shared" si="23"/>
        <v>1.6457882182948333E-5</v>
      </c>
      <c r="F317" s="148">
        <f t="shared" si="25"/>
        <v>3.0884211775415531E-3</v>
      </c>
    </row>
    <row r="318" spans="2:6" x14ac:dyDescent="0.2">
      <c r="B318" s="206" t="s">
        <v>2948</v>
      </c>
      <c r="C318" s="205">
        <v>158</v>
      </c>
      <c r="D318" s="147">
        <f t="shared" si="24"/>
        <v>9.7576329870946707E-2</v>
      </c>
      <c r="E318" s="148">
        <f t="shared" si="23"/>
        <v>1.6562709457998959E-5</v>
      </c>
      <c r="F318" s="148">
        <f t="shared" si="25"/>
        <v>3.1049838869995519E-3</v>
      </c>
    </row>
    <row r="319" spans="2:6" x14ac:dyDescent="0.2">
      <c r="B319" s="206" t="s">
        <v>1647</v>
      </c>
      <c r="C319" s="205">
        <v>158</v>
      </c>
      <c r="D319" s="147">
        <f t="shared" si="24"/>
        <v>9.7891092225369111E-2</v>
      </c>
      <c r="E319" s="148">
        <f t="shared" si="23"/>
        <v>1.6562709457998959E-5</v>
      </c>
      <c r="F319" s="148">
        <f t="shared" si="25"/>
        <v>3.1215465964575507E-3</v>
      </c>
    </row>
    <row r="320" spans="2:6" x14ac:dyDescent="0.2">
      <c r="B320" s="115" t="s">
        <v>286</v>
      </c>
      <c r="C320" s="114">
        <v>158</v>
      </c>
      <c r="D320" s="147">
        <f t="shared" si="24"/>
        <v>9.8205854579791516E-2</v>
      </c>
      <c r="E320" s="148">
        <f t="shared" si="23"/>
        <v>1.6562709457998959E-5</v>
      </c>
      <c r="F320" s="148">
        <f t="shared" si="25"/>
        <v>3.1381093059155494E-3</v>
      </c>
    </row>
    <row r="321" spans="2:6" x14ac:dyDescent="0.2">
      <c r="B321" s="206" t="s">
        <v>201</v>
      </c>
      <c r="C321" s="205">
        <v>158</v>
      </c>
      <c r="D321" s="147">
        <f t="shared" si="24"/>
        <v>9.852061693421392E-2</v>
      </c>
      <c r="E321" s="148">
        <f t="shared" si="23"/>
        <v>1.6562709457998959E-5</v>
      </c>
      <c r="F321" s="148">
        <f t="shared" si="25"/>
        <v>3.1546720153735482E-3</v>
      </c>
    </row>
    <row r="322" spans="2:6" x14ac:dyDescent="0.2">
      <c r="B322" s="115" t="s">
        <v>108</v>
      </c>
      <c r="C322" s="114">
        <v>158</v>
      </c>
      <c r="D322" s="147">
        <f t="shared" si="24"/>
        <v>9.8835379288636324E-2</v>
      </c>
      <c r="E322" s="148">
        <f t="shared" si="23"/>
        <v>1.6562709457998959E-5</v>
      </c>
      <c r="F322" s="148">
        <f t="shared" si="25"/>
        <v>3.171234724831547E-3</v>
      </c>
    </row>
    <row r="323" spans="2:6" x14ac:dyDescent="0.2">
      <c r="B323" s="206" t="s">
        <v>3060</v>
      </c>
      <c r="C323" s="205">
        <v>159</v>
      </c>
      <c r="D323" s="147">
        <f t="shared" si="24"/>
        <v>9.9150141643058728E-2</v>
      </c>
      <c r="E323" s="148">
        <f t="shared" si="23"/>
        <v>1.6667536733049588E-5</v>
      </c>
      <c r="F323" s="148">
        <f t="shared" si="25"/>
        <v>3.1879022615645966E-3</v>
      </c>
    </row>
    <row r="324" spans="2:6" x14ac:dyDescent="0.2">
      <c r="B324" s="206" t="s">
        <v>1786</v>
      </c>
      <c r="C324" s="205">
        <v>159</v>
      </c>
      <c r="D324" s="147">
        <f t="shared" si="24"/>
        <v>9.9464903997481133E-2</v>
      </c>
      <c r="E324" s="148">
        <f t="shared" si="23"/>
        <v>1.6667536733049588E-5</v>
      </c>
      <c r="F324" s="148">
        <f t="shared" si="25"/>
        <v>3.2045697982976463E-3</v>
      </c>
    </row>
    <row r="325" spans="2:6" x14ac:dyDescent="0.2">
      <c r="B325" s="206" t="s">
        <v>1671</v>
      </c>
      <c r="C325" s="205">
        <v>159</v>
      </c>
      <c r="D325" s="147">
        <f t="shared" si="24"/>
        <v>9.9779666351903537E-2</v>
      </c>
      <c r="E325" s="148">
        <f t="shared" si="23"/>
        <v>1.6667536733049588E-5</v>
      </c>
      <c r="F325" s="148">
        <f t="shared" si="25"/>
        <v>3.221237335030696E-3</v>
      </c>
    </row>
    <row r="326" spans="2:6" x14ac:dyDescent="0.2">
      <c r="B326" s="115" t="s">
        <v>1288</v>
      </c>
      <c r="C326" s="114">
        <v>159</v>
      </c>
      <c r="D326" s="147">
        <f t="shared" si="24"/>
        <v>0.10009442870632594</v>
      </c>
      <c r="E326" s="148">
        <f t="shared" si="23"/>
        <v>1.6667536733049588E-5</v>
      </c>
      <c r="F326" s="148">
        <f t="shared" si="25"/>
        <v>3.2379048717637456E-3</v>
      </c>
    </row>
    <row r="327" spans="2:6" x14ac:dyDescent="0.2">
      <c r="B327" s="115" t="s">
        <v>257</v>
      </c>
      <c r="C327" s="114">
        <v>159</v>
      </c>
      <c r="D327" s="147">
        <f t="shared" si="24"/>
        <v>0.10040919106074835</v>
      </c>
      <c r="E327" s="148">
        <f t="shared" si="23"/>
        <v>1.6667536733049588E-5</v>
      </c>
      <c r="F327" s="148">
        <f t="shared" si="25"/>
        <v>3.2545724084967953E-3</v>
      </c>
    </row>
    <row r="328" spans="2:6" x14ac:dyDescent="0.2">
      <c r="B328" s="115" t="s">
        <v>3139</v>
      </c>
      <c r="C328" s="114">
        <v>160</v>
      </c>
      <c r="D328" s="147">
        <f t="shared" si="24"/>
        <v>0.10072395341517075</v>
      </c>
      <c r="E328" s="148">
        <f t="shared" si="23"/>
        <v>1.6772364008100214E-5</v>
      </c>
      <c r="F328" s="148">
        <f t="shared" si="25"/>
        <v>3.2713447725048954E-3</v>
      </c>
    </row>
    <row r="329" spans="2:6" x14ac:dyDescent="0.2">
      <c r="B329" s="115" t="s">
        <v>1001</v>
      </c>
      <c r="C329" s="114">
        <v>160</v>
      </c>
      <c r="D329" s="147">
        <f t="shared" si="24"/>
        <v>0.10103871576959315</v>
      </c>
      <c r="E329" s="148">
        <f t="shared" ref="E329:E392" si="26">C329/$O$18</f>
        <v>1.6772364008100214E-5</v>
      </c>
      <c r="F329" s="148">
        <f t="shared" si="25"/>
        <v>3.2881171365129955E-3</v>
      </c>
    </row>
    <row r="330" spans="2:6" x14ac:dyDescent="0.2">
      <c r="B330" s="206" t="s">
        <v>946</v>
      </c>
      <c r="C330" s="205">
        <v>160</v>
      </c>
      <c r="D330" s="147">
        <f t="shared" ref="D330:D393" si="27">D329+1/$L$18</f>
        <v>0.10135347812401556</v>
      </c>
      <c r="E330" s="148">
        <f t="shared" si="26"/>
        <v>1.6772364008100214E-5</v>
      </c>
      <c r="F330" s="148">
        <f t="shared" ref="F330:F393" si="28">F329+E330</f>
        <v>3.3048895005210956E-3</v>
      </c>
    </row>
    <row r="331" spans="2:6" x14ac:dyDescent="0.2">
      <c r="B331" s="206" t="s">
        <v>729</v>
      </c>
      <c r="C331" s="205">
        <v>160</v>
      </c>
      <c r="D331" s="147">
        <f t="shared" si="27"/>
        <v>0.10166824047843796</v>
      </c>
      <c r="E331" s="148">
        <f t="shared" si="26"/>
        <v>1.6772364008100214E-5</v>
      </c>
      <c r="F331" s="148">
        <f t="shared" si="28"/>
        <v>3.3216618645291957E-3</v>
      </c>
    </row>
    <row r="332" spans="2:6" x14ac:dyDescent="0.2">
      <c r="B332" s="206" t="s">
        <v>1725</v>
      </c>
      <c r="C332" s="205">
        <v>161</v>
      </c>
      <c r="D332" s="147">
        <f t="shared" si="27"/>
        <v>0.10198300283286037</v>
      </c>
      <c r="E332" s="148">
        <f t="shared" si="26"/>
        <v>1.6877191283150839E-5</v>
      </c>
      <c r="F332" s="148">
        <f t="shared" si="28"/>
        <v>3.3385390558123467E-3</v>
      </c>
    </row>
    <row r="333" spans="2:6" x14ac:dyDescent="0.2">
      <c r="B333" s="206" t="s">
        <v>1576</v>
      </c>
      <c r="C333" s="205">
        <v>161</v>
      </c>
      <c r="D333" s="147">
        <f t="shared" si="27"/>
        <v>0.10229776518728277</v>
      </c>
      <c r="E333" s="148">
        <f t="shared" si="26"/>
        <v>1.6877191283150839E-5</v>
      </c>
      <c r="F333" s="148">
        <f t="shared" si="28"/>
        <v>3.3554162470954977E-3</v>
      </c>
    </row>
    <row r="334" spans="2:6" x14ac:dyDescent="0.2">
      <c r="B334" s="115" t="s">
        <v>952</v>
      </c>
      <c r="C334" s="114">
        <v>161</v>
      </c>
      <c r="D334" s="147">
        <f t="shared" si="27"/>
        <v>0.10261252754170518</v>
      </c>
      <c r="E334" s="148">
        <f t="shared" si="26"/>
        <v>1.6877191283150839E-5</v>
      </c>
      <c r="F334" s="148">
        <f t="shared" si="28"/>
        <v>3.3722934383786487E-3</v>
      </c>
    </row>
    <row r="335" spans="2:6" x14ac:dyDescent="0.2">
      <c r="B335" s="206" t="s">
        <v>3024</v>
      </c>
      <c r="C335" s="205">
        <v>162</v>
      </c>
      <c r="D335" s="147">
        <f t="shared" si="27"/>
        <v>0.10292728989612758</v>
      </c>
      <c r="E335" s="148">
        <f t="shared" si="26"/>
        <v>1.6982018558201465E-5</v>
      </c>
      <c r="F335" s="148">
        <f t="shared" si="28"/>
        <v>3.3892754569368501E-3</v>
      </c>
    </row>
    <row r="336" spans="2:6" x14ac:dyDescent="0.2">
      <c r="B336" s="206" t="s">
        <v>3031</v>
      </c>
      <c r="C336" s="205">
        <v>163</v>
      </c>
      <c r="D336" s="147">
        <f t="shared" si="27"/>
        <v>0.10324205225054998</v>
      </c>
      <c r="E336" s="148">
        <f t="shared" si="26"/>
        <v>1.7086845833252091E-5</v>
      </c>
      <c r="F336" s="148">
        <f t="shared" si="28"/>
        <v>3.406362302770102E-3</v>
      </c>
    </row>
    <row r="337" spans="2:6" x14ac:dyDescent="0.2">
      <c r="B337" s="115" t="s">
        <v>2091</v>
      </c>
      <c r="C337" s="114">
        <v>163</v>
      </c>
      <c r="D337" s="147">
        <f t="shared" si="27"/>
        <v>0.10355681460497239</v>
      </c>
      <c r="E337" s="148">
        <f t="shared" si="26"/>
        <v>1.7086845833252091E-5</v>
      </c>
      <c r="F337" s="148">
        <f t="shared" si="28"/>
        <v>3.4234491486033539E-3</v>
      </c>
    </row>
    <row r="338" spans="2:6" x14ac:dyDescent="0.2">
      <c r="B338" s="206" t="s">
        <v>1918</v>
      </c>
      <c r="C338" s="205">
        <v>163</v>
      </c>
      <c r="D338" s="147">
        <f t="shared" si="27"/>
        <v>0.10387157695939479</v>
      </c>
      <c r="E338" s="148">
        <f t="shared" si="26"/>
        <v>1.7086845833252091E-5</v>
      </c>
      <c r="F338" s="148">
        <f t="shared" si="28"/>
        <v>3.4405359944366058E-3</v>
      </c>
    </row>
    <row r="339" spans="2:6" x14ac:dyDescent="0.2">
      <c r="B339" s="206" t="s">
        <v>967</v>
      </c>
      <c r="C339" s="205">
        <v>164</v>
      </c>
      <c r="D339" s="147">
        <f t="shared" si="27"/>
        <v>0.1041863393138172</v>
      </c>
      <c r="E339" s="148">
        <f t="shared" si="26"/>
        <v>1.719167310830272E-5</v>
      </c>
      <c r="F339" s="148">
        <f t="shared" si="28"/>
        <v>3.4577276675449085E-3</v>
      </c>
    </row>
    <row r="340" spans="2:6" x14ac:dyDescent="0.2">
      <c r="B340" s="206" t="s">
        <v>948</v>
      </c>
      <c r="C340" s="205">
        <v>164</v>
      </c>
      <c r="D340" s="147">
        <f t="shared" si="27"/>
        <v>0.1045011016682396</v>
      </c>
      <c r="E340" s="148">
        <f t="shared" si="26"/>
        <v>1.719167310830272E-5</v>
      </c>
      <c r="F340" s="148">
        <f t="shared" si="28"/>
        <v>3.4749193406532113E-3</v>
      </c>
    </row>
    <row r="341" spans="2:6" x14ac:dyDescent="0.2">
      <c r="B341" s="206" t="s">
        <v>1253</v>
      </c>
      <c r="C341" s="205">
        <v>166</v>
      </c>
      <c r="D341" s="147">
        <f t="shared" si="27"/>
        <v>0.10481586402266201</v>
      </c>
      <c r="E341" s="148">
        <f t="shared" si="26"/>
        <v>1.7401327658403971E-5</v>
      </c>
      <c r="F341" s="148">
        <f t="shared" si="28"/>
        <v>3.4923206683116154E-3</v>
      </c>
    </row>
    <row r="342" spans="2:6" x14ac:dyDescent="0.2">
      <c r="B342" s="115" t="s">
        <v>441</v>
      </c>
      <c r="C342" s="114">
        <v>166</v>
      </c>
      <c r="D342" s="147">
        <f t="shared" si="27"/>
        <v>0.10513062637708441</v>
      </c>
      <c r="E342" s="148">
        <f t="shared" si="26"/>
        <v>1.7401327658403971E-5</v>
      </c>
      <c r="F342" s="148">
        <f t="shared" si="28"/>
        <v>3.5097219959700195E-3</v>
      </c>
    </row>
    <row r="343" spans="2:6" x14ac:dyDescent="0.2">
      <c r="B343" s="115" t="s">
        <v>2581</v>
      </c>
      <c r="C343" s="114">
        <v>167</v>
      </c>
      <c r="D343" s="147">
        <f t="shared" si="27"/>
        <v>0.10544538873150681</v>
      </c>
      <c r="E343" s="148">
        <f t="shared" si="26"/>
        <v>1.7506154933454597E-5</v>
      </c>
      <c r="F343" s="148">
        <f t="shared" si="28"/>
        <v>3.5272281509034741E-3</v>
      </c>
    </row>
    <row r="344" spans="2:6" x14ac:dyDescent="0.2">
      <c r="B344" s="115" t="s">
        <v>2507</v>
      </c>
      <c r="C344" s="114">
        <v>167</v>
      </c>
      <c r="D344" s="147">
        <f t="shared" si="27"/>
        <v>0.10576015108592922</v>
      </c>
      <c r="E344" s="148">
        <f t="shared" si="26"/>
        <v>1.7506154933454597E-5</v>
      </c>
      <c r="F344" s="148">
        <f t="shared" si="28"/>
        <v>3.5447343058369286E-3</v>
      </c>
    </row>
    <row r="345" spans="2:6" x14ac:dyDescent="0.2">
      <c r="B345" s="206" t="s">
        <v>2412</v>
      </c>
      <c r="C345" s="205">
        <v>168</v>
      </c>
      <c r="D345" s="147">
        <f t="shared" si="27"/>
        <v>0.10607491344035162</v>
      </c>
      <c r="E345" s="148">
        <f t="shared" si="26"/>
        <v>1.7610982208505222E-5</v>
      </c>
      <c r="F345" s="148">
        <f t="shared" si="28"/>
        <v>3.562345288045434E-3</v>
      </c>
    </row>
    <row r="346" spans="2:6" x14ac:dyDescent="0.2">
      <c r="B346" s="115" t="s">
        <v>1870</v>
      </c>
      <c r="C346" s="114">
        <v>168</v>
      </c>
      <c r="D346" s="147">
        <f t="shared" si="27"/>
        <v>0.10638967579477403</v>
      </c>
      <c r="E346" s="148">
        <f t="shared" si="26"/>
        <v>1.7610982208505222E-5</v>
      </c>
      <c r="F346" s="148">
        <f t="shared" si="28"/>
        <v>3.5799562702539395E-3</v>
      </c>
    </row>
    <row r="347" spans="2:6" x14ac:dyDescent="0.2">
      <c r="B347" s="206" t="s">
        <v>1540</v>
      </c>
      <c r="C347" s="205">
        <v>168</v>
      </c>
      <c r="D347" s="147">
        <f t="shared" si="27"/>
        <v>0.10670443814919643</v>
      </c>
      <c r="E347" s="148">
        <f t="shared" si="26"/>
        <v>1.7610982208505222E-5</v>
      </c>
      <c r="F347" s="148">
        <f t="shared" si="28"/>
        <v>3.5975672524624449E-3</v>
      </c>
    </row>
    <row r="348" spans="2:6" x14ac:dyDescent="0.2">
      <c r="B348" s="206" t="s">
        <v>1745</v>
      </c>
      <c r="C348" s="205">
        <v>169</v>
      </c>
      <c r="D348" s="147">
        <f t="shared" si="27"/>
        <v>0.10701920050361884</v>
      </c>
      <c r="E348" s="148">
        <f t="shared" si="26"/>
        <v>1.7715809483555851E-5</v>
      </c>
      <c r="F348" s="148">
        <f t="shared" si="28"/>
        <v>3.6152830619460008E-3</v>
      </c>
    </row>
    <row r="349" spans="2:6" x14ac:dyDescent="0.2">
      <c r="B349" s="206" t="s">
        <v>1104</v>
      </c>
      <c r="C349" s="205">
        <v>169</v>
      </c>
      <c r="D349" s="147">
        <f t="shared" si="27"/>
        <v>0.10733396285804124</v>
      </c>
      <c r="E349" s="148">
        <f t="shared" si="26"/>
        <v>1.7715809483555851E-5</v>
      </c>
      <c r="F349" s="148">
        <f t="shared" si="28"/>
        <v>3.6329988714295567E-3</v>
      </c>
    </row>
    <row r="350" spans="2:6" x14ac:dyDescent="0.2">
      <c r="B350" s="115" t="s">
        <v>570</v>
      </c>
      <c r="C350" s="114">
        <v>169</v>
      </c>
      <c r="D350" s="147">
        <f t="shared" si="27"/>
        <v>0.10764872521246364</v>
      </c>
      <c r="E350" s="148">
        <f t="shared" si="26"/>
        <v>1.7715809483555851E-5</v>
      </c>
      <c r="F350" s="148">
        <f t="shared" si="28"/>
        <v>3.6507146809131126E-3</v>
      </c>
    </row>
    <row r="351" spans="2:6" x14ac:dyDescent="0.2">
      <c r="B351" s="115" t="s">
        <v>2978</v>
      </c>
      <c r="C351" s="114">
        <v>171</v>
      </c>
      <c r="D351" s="147">
        <f t="shared" si="27"/>
        <v>0.10796348756688605</v>
      </c>
      <c r="E351" s="148">
        <f t="shared" si="26"/>
        <v>1.7925464033657103E-5</v>
      </c>
      <c r="F351" s="148">
        <f t="shared" si="28"/>
        <v>3.6686401449467698E-3</v>
      </c>
    </row>
    <row r="352" spans="2:6" x14ac:dyDescent="0.2">
      <c r="B352" s="206" t="s">
        <v>1831</v>
      </c>
      <c r="C352" s="205">
        <v>171</v>
      </c>
      <c r="D352" s="147">
        <f t="shared" si="27"/>
        <v>0.10827824992130845</v>
      </c>
      <c r="E352" s="148">
        <f t="shared" si="26"/>
        <v>1.7925464033657103E-5</v>
      </c>
      <c r="F352" s="148">
        <f t="shared" si="28"/>
        <v>3.686565608980427E-3</v>
      </c>
    </row>
    <row r="353" spans="2:6" x14ac:dyDescent="0.2">
      <c r="B353" s="206" t="s">
        <v>1819</v>
      </c>
      <c r="C353" s="205">
        <v>171</v>
      </c>
      <c r="D353" s="147">
        <f t="shared" si="27"/>
        <v>0.10859301227573086</v>
      </c>
      <c r="E353" s="148">
        <f t="shared" si="26"/>
        <v>1.7925464033657103E-5</v>
      </c>
      <c r="F353" s="148">
        <f t="shared" si="28"/>
        <v>3.7044910730140842E-3</v>
      </c>
    </row>
    <row r="354" spans="2:6" x14ac:dyDescent="0.2">
      <c r="B354" s="115" t="s">
        <v>1785</v>
      </c>
      <c r="C354" s="114">
        <v>171</v>
      </c>
      <c r="D354" s="147">
        <f t="shared" si="27"/>
        <v>0.10890777463015326</v>
      </c>
      <c r="E354" s="148">
        <f t="shared" si="26"/>
        <v>1.7925464033657103E-5</v>
      </c>
      <c r="F354" s="148">
        <f t="shared" si="28"/>
        <v>3.7224165370477414E-3</v>
      </c>
    </row>
    <row r="355" spans="2:6" x14ac:dyDescent="0.2">
      <c r="B355" s="206" t="s">
        <v>1732</v>
      </c>
      <c r="C355" s="205">
        <v>171</v>
      </c>
      <c r="D355" s="147">
        <f t="shared" si="27"/>
        <v>0.10922253698457567</v>
      </c>
      <c r="E355" s="148">
        <f t="shared" si="26"/>
        <v>1.7925464033657103E-5</v>
      </c>
      <c r="F355" s="148">
        <f t="shared" si="28"/>
        <v>3.7403420010813987E-3</v>
      </c>
    </row>
    <row r="356" spans="2:6" x14ac:dyDescent="0.2">
      <c r="B356" s="115" t="s">
        <v>1406</v>
      </c>
      <c r="C356" s="114">
        <v>171</v>
      </c>
      <c r="D356" s="147">
        <f t="shared" si="27"/>
        <v>0.10953729933899807</v>
      </c>
      <c r="E356" s="148">
        <f t="shared" si="26"/>
        <v>1.7925464033657103E-5</v>
      </c>
      <c r="F356" s="148">
        <f t="shared" si="28"/>
        <v>3.7582674651150559E-3</v>
      </c>
    </row>
    <row r="357" spans="2:6" x14ac:dyDescent="0.2">
      <c r="B357" s="115" t="s">
        <v>335</v>
      </c>
      <c r="C357" s="114">
        <v>171</v>
      </c>
      <c r="D357" s="147">
        <f t="shared" si="27"/>
        <v>0.10985206169342047</v>
      </c>
      <c r="E357" s="148">
        <f t="shared" si="26"/>
        <v>1.7925464033657103E-5</v>
      </c>
      <c r="F357" s="148">
        <f t="shared" si="28"/>
        <v>3.7761929291487131E-3</v>
      </c>
    </row>
    <row r="358" spans="2:6" x14ac:dyDescent="0.2">
      <c r="B358" s="115" t="s">
        <v>179</v>
      </c>
      <c r="C358" s="114">
        <v>171</v>
      </c>
      <c r="D358" s="147">
        <f t="shared" si="27"/>
        <v>0.11016682404784288</v>
      </c>
      <c r="E358" s="148">
        <f t="shared" si="26"/>
        <v>1.7925464033657103E-5</v>
      </c>
      <c r="F358" s="148">
        <f t="shared" si="28"/>
        <v>3.7941183931823703E-3</v>
      </c>
    </row>
    <row r="359" spans="2:6" x14ac:dyDescent="0.2">
      <c r="B359" s="115" t="s">
        <v>1822</v>
      </c>
      <c r="C359" s="114">
        <v>172</v>
      </c>
      <c r="D359" s="147">
        <f t="shared" si="27"/>
        <v>0.11048158640226528</v>
      </c>
      <c r="E359" s="148">
        <f t="shared" si="26"/>
        <v>1.8030291308707728E-5</v>
      </c>
      <c r="F359" s="148">
        <f t="shared" si="28"/>
        <v>3.812148684491078E-3</v>
      </c>
    </row>
    <row r="360" spans="2:6" x14ac:dyDescent="0.2">
      <c r="B360" s="206" t="s">
        <v>526</v>
      </c>
      <c r="C360" s="205">
        <v>172</v>
      </c>
      <c r="D360" s="147">
        <f t="shared" si="27"/>
        <v>0.11079634875668769</v>
      </c>
      <c r="E360" s="148">
        <f t="shared" si="26"/>
        <v>1.8030291308707728E-5</v>
      </c>
      <c r="F360" s="148">
        <f t="shared" si="28"/>
        <v>3.8301789757997856E-3</v>
      </c>
    </row>
    <row r="361" spans="2:6" x14ac:dyDescent="0.2">
      <c r="B361" s="206" t="s">
        <v>192</v>
      </c>
      <c r="C361" s="205">
        <v>172</v>
      </c>
      <c r="D361" s="147">
        <f t="shared" si="27"/>
        <v>0.11111111111111009</v>
      </c>
      <c r="E361" s="148">
        <f t="shared" si="26"/>
        <v>1.8030291308707728E-5</v>
      </c>
      <c r="F361" s="148">
        <f t="shared" si="28"/>
        <v>3.8482092671084933E-3</v>
      </c>
    </row>
    <row r="362" spans="2:6" x14ac:dyDescent="0.2">
      <c r="B362" s="206" t="s">
        <v>1437</v>
      </c>
      <c r="C362" s="205">
        <v>174</v>
      </c>
      <c r="D362" s="147">
        <f t="shared" si="27"/>
        <v>0.1114258734655325</v>
      </c>
      <c r="E362" s="148">
        <f t="shared" si="26"/>
        <v>1.8239945858808983E-5</v>
      </c>
      <c r="F362" s="148">
        <f t="shared" si="28"/>
        <v>3.8664492129673023E-3</v>
      </c>
    </row>
    <row r="363" spans="2:6" x14ac:dyDescent="0.2">
      <c r="B363" s="115" t="s">
        <v>908</v>
      </c>
      <c r="C363" s="114">
        <v>174</v>
      </c>
      <c r="D363" s="147">
        <f t="shared" si="27"/>
        <v>0.1117406358199549</v>
      </c>
      <c r="E363" s="148">
        <f t="shared" si="26"/>
        <v>1.8239945858808983E-5</v>
      </c>
      <c r="F363" s="148">
        <f t="shared" si="28"/>
        <v>3.8846891588261113E-3</v>
      </c>
    </row>
    <row r="364" spans="2:6" x14ac:dyDescent="0.2">
      <c r="B364" s="206" t="s">
        <v>879</v>
      </c>
      <c r="C364" s="205">
        <v>174</v>
      </c>
      <c r="D364" s="147">
        <f t="shared" si="27"/>
        <v>0.1120553981743773</v>
      </c>
      <c r="E364" s="148">
        <f t="shared" si="26"/>
        <v>1.8239945858808983E-5</v>
      </c>
      <c r="F364" s="148">
        <f t="shared" si="28"/>
        <v>3.9029291046849203E-3</v>
      </c>
    </row>
    <row r="365" spans="2:6" x14ac:dyDescent="0.2">
      <c r="B365" s="206" t="s">
        <v>1615</v>
      </c>
      <c r="C365" s="205">
        <v>175</v>
      </c>
      <c r="D365" s="147">
        <f t="shared" si="27"/>
        <v>0.11237016052879971</v>
      </c>
      <c r="E365" s="148">
        <f t="shared" si="26"/>
        <v>1.8344773133859609E-5</v>
      </c>
      <c r="F365" s="148">
        <f t="shared" si="28"/>
        <v>3.9212738778187798E-3</v>
      </c>
    </row>
    <row r="366" spans="2:6" x14ac:dyDescent="0.2">
      <c r="B366" s="206" t="s">
        <v>987</v>
      </c>
      <c r="C366" s="205">
        <v>175</v>
      </c>
      <c r="D366" s="147">
        <f t="shared" si="27"/>
        <v>0.11268492288322211</v>
      </c>
      <c r="E366" s="148">
        <f t="shared" si="26"/>
        <v>1.8344773133859609E-5</v>
      </c>
      <c r="F366" s="148">
        <f t="shared" si="28"/>
        <v>3.9396186509526396E-3</v>
      </c>
    </row>
    <row r="367" spans="2:6" x14ac:dyDescent="0.2">
      <c r="B367" s="115" t="s">
        <v>945</v>
      </c>
      <c r="C367" s="114">
        <v>176</v>
      </c>
      <c r="D367" s="147">
        <f t="shared" si="27"/>
        <v>0.11299968523764452</v>
      </c>
      <c r="E367" s="148">
        <f t="shared" si="26"/>
        <v>1.8449600408910234E-5</v>
      </c>
      <c r="F367" s="148">
        <f t="shared" si="28"/>
        <v>3.95806825136155E-3</v>
      </c>
    </row>
    <row r="368" spans="2:6" x14ac:dyDescent="0.2">
      <c r="B368" s="206" t="s">
        <v>2872</v>
      </c>
      <c r="C368" s="205">
        <v>178</v>
      </c>
      <c r="D368" s="147">
        <f t="shared" si="27"/>
        <v>0.11331444759206692</v>
      </c>
      <c r="E368" s="148">
        <f t="shared" si="26"/>
        <v>1.8659254959011486E-5</v>
      </c>
      <c r="F368" s="148">
        <f t="shared" si="28"/>
        <v>3.9767275063205612E-3</v>
      </c>
    </row>
    <row r="369" spans="2:6" x14ac:dyDescent="0.2">
      <c r="B369" s="206" t="s">
        <v>2553</v>
      </c>
      <c r="C369" s="205">
        <v>178</v>
      </c>
      <c r="D369" s="147">
        <f t="shared" si="27"/>
        <v>0.11362920994648933</v>
      </c>
      <c r="E369" s="148">
        <f t="shared" si="26"/>
        <v>1.8659254959011486E-5</v>
      </c>
      <c r="F369" s="148">
        <f t="shared" si="28"/>
        <v>3.9953867612795724E-3</v>
      </c>
    </row>
    <row r="370" spans="2:6" x14ac:dyDescent="0.2">
      <c r="B370" s="206" t="s">
        <v>859</v>
      </c>
      <c r="C370" s="205">
        <v>178</v>
      </c>
      <c r="D370" s="147">
        <f t="shared" si="27"/>
        <v>0.11394397230091173</v>
      </c>
      <c r="E370" s="148">
        <f t="shared" si="26"/>
        <v>1.8659254959011486E-5</v>
      </c>
      <c r="F370" s="148">
        <f t="shared" si="28"/>
        <v>4.0140460162385837E-3</v>
      </c>
    </row>
    <row r="371" spans="2:6" x14ac:dyDescent="0.2">
      <c r="B371" s="206" t="s">
        <v>735</v>
      </c>
      <c r="C371" s="205">
        <v>178</v>
      </c>
      <c r="D371" s="147">
        <f t="shared" si="27"/>
        <v>0.11425873465533413</v>
      </c>
      <c r="E371" s="148">
        <f t="shared" si="26"/>
        <v>1.8659254959011486E-5</v>
      </c>
      <c r="F371" s="148">
        <f t="shared" si="28"/>
        <v>4.0327052711975949E-3</v>
      </c>
    </row>
    <row r="372" spans="2:6" x14ac:dyDescent="0.2">
      <c r="B372" s="206" t="s">
        <v>43</v>
      </c>
      <c r="C372" s="205">
        <v>178</v>
      </c>
      <c r="D372" s="147">
        <f t="shared" si="27"/>
        <v>0.11457349700975654</v>
      </c>
      <c r="E372" s="148">
        <f t="shared" si="26"/>
        <v>1.8659254959011486E-5</v>
      </c>
      <c r="F372" s="148">
        <f t="shared" si="28"/>
        <v>4.0513645261566061E-3</v>
      </c>
    </row>
    <row r="373" spans="2:6" x14ac:dyDescent="0.2">
      <c r="B373" s="115" t="s">
        <v>2648</v>
      </c>
      <c r="C373" s="114">
        <v>179</v>
      </c>
      <c r="D373" s="147">
        <f t="shared" si="27"/>
        <v>0.11488825936417894</v>
      </c>
      <c r="E373" s="148">
        <f t="shared" si="26"/>
        <v>1.8764082234062115E-5</v>
      </c>
      <c r="F373" s="148">
        <f t="shared" si="28"/>
        <v>4.0701286083906687E-3</v>
      </c>
    </row>
    <row r="374" spans="2:6" x14ac:dyDescent="0.2">
      <c r="B374" s="206" t="s">
        <v>2429</v>
      </c>
      <c r="C374" s="205">
        <v>179</v>
      </c>
      <c r="D374" s="147">
        <f t="shared" si="27"/>
        <v>0.11520302171860135</v>
      </c>
      <c r="E374" s="148">
        <f t="shared" si="26"/>
        <v>1.8764082234062115E-5</v>
      </c>
      <c r="F374" s="148">
        <f t="shared" si="28"/>
        <v>4.0888926906247312E-3</v>
      </c>
    </row>
    <row r="375" spans="2:6" x14ac:dyDescent="0.2">
      <c r="B375" s="115" t="s">
        <v>2089</v>
      </c>
      <c r="C375" s="114">
        <v>179</v>
      </c>
      <c r="D375" s="147">
        <f t="shared" si="27"/>
        <v>0.11551778407302375</v>
      </c>
      <c r="E375" s="148">
        <f t="shared" si="26"/>
        <v>1.8764082234062115E-5</v>
      </c>
      <c r="F375" s="148">
        <f t="shared" si="28"/>
        <v>4.1076567728587938E-3</v>
      </c>
    </row>
    <row r="376" spans="2:6" x14ac:dyDescent="0.2">
      <c r="B376" s="206" t="s">
        <v>2197</v>
      </c>
      <c r="C376" s="205">
        <v>180</v>
      </c>
      <c r="D376" s="147">
        <f t="shared" si="27"/>
        <v>0.11583254642744616</v>
      </c>
      <c r="E376" s="148">
        <f t="shared" si="26"/>
        <v>1.886890950911274E-5</v>
      </c>
      <c r="F376" s="148">
        <f t="shared" si="28"/>
        <v>4.1265256823679068E-3</v>
      </c>
    </row>
    <row r="377" spans="2:6" x14ac:dyDescent="0.2">
      <c r="B377" s="206" t="s">
        <v>1821</v>
      </c>
      <c r="C377" s="205">
        <v>180</v>
      </c>
      <c r="D377" s="147">
        <f t="shared" si="27"/>
        <v>0.11614730878186856</v>
      </c>
      <c r="E377" s="148">
        <f t="shared" si="26"/>
        <v>1.886890950911274E-5</v>
      </c>
      <c r="F377" s="148">
        <f t="shared" si="28"/>
        <v>4.1453945918770198E-3</v>
      </c>
    </row>
    <row r="378" spans="2:6" x14ac:dyDescent="0.2">
      <c r="B378" s="206" t="s">
        <v>1325</v>
      </c>
      <c r="C378" s="205">
        <v>180</v>
      </c>
      <c r="D378" s="147">
        <f t="shared" si="27"/>
        <v>0.11646207113629096</v>
      </c>
      <c r="E378" s="148">
        <f t="shared" si="26"/>
        <v>1.886890950911274E-5</v>
      </c>
      <c r="F378" s="148">
        <f t="shared" si="28"/>
        <v>4.1642635013861328E-3</v>
      </c>
    </row>
    <row r="379" spans="2:6" x14ac:dyDescent="0.2">
      <c r="B379" s="115" t="s">
        <v>2098</v>
      </c>
      <c r="C379" s="114">
        <v>181</v>
      </c>
      <c r="D379" s="147">
        <f t="shared" si="27"/>
        <v>0.11677683349071337</v>
      </c>
      <c r="E379" s="148">
        <f t="shared" si="26"/>
        <v>1.8973736784163366E-5</v>
      </c>
      <c r="F379" s="148">
        <f t="shared" si="28"/>
        <v>4.1832372381702962E-3</v>
      </c>
    </row>
    <row r="380" spans="2:6" x14ac:dyDescent="0.2">
      <c r="B380" s="206" t="s">
        <v>2048</v>
      </c>
      <c r="C380" s="205">
        <v>181</v>
      </c>
      <c r="D380" s="147">
        <f t="shared" si="27"/>
        <v>0.11709159584513577</v>
      </c>
      <c r="E380" s="148">
        <f t="shared" si="26"/>
        <v>1.8973736784163366E-5</v>
      </c>
      <c r="F380" s="148">
        <f t="shared" si="28"/>
        <v>4.2022109749544597E-3</v>
      </c>
    </row>
    <row r="381" spans="2:6" x14ac:dyDescent="0.2">
      <c r="B381" s="206" t="s">
        <v>1891</v>
      </c>
      <c r="C381" s="205">
        <v>181</v>
      </c>
      <c r="D381" s="147">
        <f t="shared" si="27"/>
        <v>0.11740635819955818</v>
      </c>
      <c r="E381" s="148">
        <f t="shared" si="26"/>
        <v>1.8973736784163366E-5</v>
      </c>
      <c r="F381" s="148">
        <f t="shared" si="28"/>
        <v>4.2211847117386231E-3</v>
      </c>
    </row>
    <row r="382" spans="2:6" x14ac:dyDescent="0.2">
      <c r="B382" s="115" t="s">
        <v>1877</v>
      </c>
      <c r="C382" s="114">
        <v>181</v>
      </c>
      <c r="D382" s="147">
        <f t="shared" si="27"/>
        <v>0.11772112055398058</v>
      </c>
      <c r="E382" s="148">
        <f t="shared" si="26"/>
        <v>1.8973736784163366E-5</v>
      </c>
      <c r="F382" s="148">
        <f t="shared" si="28"/>
        <v>4.2401584485227866E-3</v>
      </c>
    </row>
    <row r="383" spans="2:6" x14ac:dyDescent="0.2">
      <c r="B383" s="206" t="s">
        <v>1846</v>
      </c>
      <c r="C383" s="205">
        <v>181</v>
      </c>
      <c r="D383" s="147">
        <f t="shared" si="27"/>
        <v>0.11803588290840299</v>
      </c>
      <c r="E383" s="148">
        <f t="shared" si="26"/>
        <v>1.8973736784163366E-5</v>
      </c>
      <c r="F383" s="148">
        <f t="shared" si="28"/>
        <v>4.25913218530695E-3</v>
      </c>
    </row>
    <row r="384" spans="2:6" x14ac:dyDescent="0.2">
      <c r="B384" s="115" t="s">
        <v>1816</v>
      </c>
      <c r="C384" s="114">
        <v>181</v>
      </c>
      <c r="D384" s="147">
        <f t="shared" si="27"/>
        <v>0.11835064526282539</v>
      </c>
      <c r="E384" s="148">
        <f t="shared" si="26"/>
        <v>1.8973736784163366E-5</v>
      </c>
      <c r="F384" s="148">
        <f t="shared" si="28"/>
        <v>4.2781059220911135E-3</v>
      </c>
    </row>
    <row r="385" spans="2:11" x14ac:dyDescent="0.2">
      <c r="B385" s="206" t="s">
        <v>1225</v>
      </c>
      <c r="C385" s="205">
        <v>181</v>
      </c>
      <c r="D385" s="147">
        <f t="shared" si="27"/>
        <v>0.1186654076172478</v>
      </c>
      <c r="E385" s="148">
        <f t="shared" si="26"/>
        <v>1.8973736784163366E-5</v>
      </c>
      <c r="F385" s="148">
        <f t="shared" si="28"/>
        <v>4.2970796588752769E-3</v>
      </c>
    </row>
    <row r="386" spans="2:11" x14ac:dyDescent="0.2">
      <c r="B386" s="115" t="s">
        <v>828</v>
      </c>
      <c r="C386" s="114">
        <v>181</v>
      </c>
      <c r="D386" s="147">
        <f t="shared" si="27"/>
        <v>0.1189801699716702</v>
      </c>
      <c r="E386" s="148">
        <f t="shared" si="26"/>
        <v>1.8973736784163366E-5</v>
      </c>
      <c r="F386" s="148">
        <f t="shared" si="28"/>
        <v>4.3160533956594404E-3</v>
      </c>
    </row>
    <row r="387" spans="2:11" x14ac:dyDescent="0.2">
      <c r="B387" s="115" t="s">
        <v>1876</v>
      </c>
      <c r="C387" s="114">
        <v>182</v>
      </c>
      <c r="D387" s="147">
        <f t="shared" si="27"/>
        <v>0.1192949323260926</v>
      </c>
      <c r="E387" s="148">
        <f t="shared" si="26"/>
        <v>1.9078564059213992E-5</v>
      </c>
      <c r="F387" s="148">
        <f t="shared" si="28"/>
        <v>4.3351319597186543E-3</v>
      </c>
    </row>
    <row r="388" spans="2:11" x14ac:dyDescent="0.2">
      <c r="B388" s="115" t="s">
        <v>858</v>
      </c>
      <c r="C388" s="114">
        <v>182</v>
      </c>
      <c r="D388" s="147">
        <f t="shared" si="27"/>
        <v>0.11960969468051501</v>
      </c>
      <c r="E388" s="148">
        <f t="shared" si="26"/>
        <v>1.9078564059213992E-5</v>
      </c>
      <c r="F388" s="148">
        <f t="shared" si="28"/>
        <v>4.3542105237778682E-3</v>
      </c>
      <c r="K388" s="116"/>
    </row>
    <row r="389" spans="2:11" x14ac:dyDescent="0.2">
      <c r="B389" s="115" t="s">
        <v>2005</v>
      </c>
      <c r="C389" s="114">
        <v>183</v>
      </c>
      <c r="D389" s="147">
        <f t="shared" si="27"/>
        <v>0.11992445703493741</v>
      </c>
      <c r="E389" s="148">
        <f t="shared" si="26"/>
        <v>1.9183391334264617E-5</v>
      </c>
      <c r="F389" s="148">
        <f t="shared" si="28"/>
        <v>4.3733939151121325E-3</v>
      </c>
      <c r="J389" s="116"/>
      <c r="K389" s="116"/>
    </row>
    <row r="390" spans="2:11" x14ac:dyDescent="0.2">
      <c r="B390" s="115" t="s">
        <v>583</v>
      </c>
      <c r="C390" s="114">
        <v>183</v>
      </c>
      <c r="D390" s="147">
        <f t="shared" si="27"/>
        <v>0.12023921938935982</v>
      </c>
      <c r="E390" s="148">
        <f t="shared" si="26"/>
        <v>1.9183391334264617E-5</v>
      </c>
      <c r="F390" s="148">
        <f t="shared" si="28"/>
        <v>4.3925773064463968E-3</v>
      </c>
      <c r="J390" s="116"/>
      <c r="K390" s="116"/>
    </row>
    <row r="391" spans="2:11" x14ac:dyDescent="0.2">
      <c r="B391" s="206" t="s">
        <v>3022</v>
      </c>
      <c r="C391" s="205">
        <v>184</v>
      </c>
      <c r="D391" s="147">
        <f t="shared" si="27"/>
        <v>0.12055398174378222</v>
      </c>
      <c r="E391" s="148">
        <f t="shared" si="26"/>
        <v>1.9288218609315246E-5</v>
      </c>
      <c r="F391" s="148">
        <f t="shared" si="28"/>
        <v>4.4118655250557125E-3</v>
      </c>
      <c r="J391" s="116"/>
      <c r="K391" s="116"/>
    </row>
    <row r="392" spans="2:11" x14ac:dyDescent="0.2">
      <c r="B392" s="206" t="s">
        <v>2738</v>
      </c>
      <c r="C392" s="205">
        <v>184</v>
      </c>
      <c r="D392" s="147">
        <f t="shared" si="27"/>
        <v>0.12086874409820463</v>
      </c>
      <c r="E392" s="148">
        <f t="shared" si="26"/>
        <v>1.9288218609315246E-5</v>
      </c>
      <c r="F392" s="148">
        <f t="shared" si="28"/>
        <v>4.4311537436650282E-3</v>
      </c>
      <c r="J392" s="116"/>
      <c r="K392" s="116"/>
    </row>
    <row r="393" spans="2:11" x14ac:dyDescent="0.2">
      <c r="B393" s="115" t="s">
        <v>1536</v>
      </c>
      <c r="C393" s="114">
        <v>184</v>
      </c>
      <c r="D393" s="147">
        <f t="shared" si="27"/>
        <v>0.12118350645262703</v>
      </c>
      <c r="E393" s="148">
        <f t="shared" ref="E393:E456" si="29">C393/$O$18</f>
        <v>1.9288218609315246E-5</v>
      </c>
      <c r="F393" s="148">
        <f t="shared" si="28"/>
        <v>4.4504419622743438E-3</v>
      </c>
      <c r="J393" s="116"/>
      <c r="K393" s="116"/>
    </row>
    <row r="394" spans="2:11" x14ac:dyDescent="0.2">
      <c r="B394" s="115" t="s">
        <v>1123</v>
      </c>
      <c r="C394" s="114">
        <v>184</v>
      </c>
      <c r="D394" s="147">
        <f t="shared" ref="D394:D457" si="30">D393+1/$L$18</f>
        <v>0.12149826880704943</v>
      </c>
      <c r="E394" s="148">
        <f t="shared" si="29"/>
        <v>1.9288218609315246E-5</v>
      </c>
      <c r="F394" s="148">
        <f t="shared" ref="F394:F457" si="31">F393+E394</f>
        <v>4.4697301808836595E-3</v>
      </c>
      <c r="J394" s="116"/>
      <c r="K394" s="116"/>
    </row>
    <row r="395" spans="2:11" x14ac:dyDescent="0.2">
      <c r="B395" s="115" t="s">
        <v>2958</v>
      </c>
      <c r="C395" s="114">
        <v>185</v>
      </c>
      <c r="D395" s="147">
        <f t="shared" si="30"/>
        <v>0.12181303116147184</v>
      </c>
      <c r="E395" s="148">
        <f t="shared" si="29"/>
        <v>1.9393045884365872E-5</v>
      </c>
      <c r="F395" s="148">
        <f t="shared" si="31"/>
        <v>4.4891232267680256E-3</v>
      </c>
      <c r="J395" s="116"/>
      <c r="K395" s="116"/>
    </row>
    <row r="396" spans="2:11" x14ac:dyDescent="0.2">
      <c r="B396" s="206" t="s">
        <v>2104</v>
      </c>
      <c r="C396" s="205">
        <v>185</v>
      </c>
      <c r="D396" s="147">
        <f t="shared" si="30"/>
        <v>0.12212779351589424</v>
      </c>
      <c r="E396" s="148">
        <f t="shared" si="29"/>
        <v>1.9393045884365872E-5</v>
      </c>
      <c r="F396" s="148">
        <f t="shared" si="31"/>
        <v>4.5085162726523917E-3</v>
      </c>
      <c r="J396" s="116"/>
      <c r="K396" s="116"/>
    </row>
    <row r="397" spans="2:11" x14ac:dyDescent="0.2">
      <c r="B397" s="115" t="s">
        <v>2068</v>
      </c>
      <c r="C397" s="114">
        <v>185</v>
      </c>
      <c r="D397" s="147">
        <f t="shared" si="30"/>
        <v>0.12244255587031665</v>
      </c>
      <c r="E397" s="148">
        <f t="shared" si="29"/>
        <v>1.9393045884365872E-5</v>
      </c>
      <c r="F397" s="148">
        <f t="shared" si="31"/>
        <v>4.5279093185367578E-3</v>
      </c>
      <c r="J397" s="116"/>
      <c r="K397" s="116"/>
    </row>
    <row r="398" spans="2:11" x14ac:dyDescent="0.2">
      <c r="B398" s="115" t="s">
        <v>966</v>
      </c>
      <c r="C398" s="114">
        <v>185</v>
      </c>
      <c r="D398" s="147">
        <f t="shared" si="30"/>
        <v>0.12275731822473905</v>
      </c>
      <c r="E398" s="148">
        <f t="shared" si="29"/>
        <v>1.9393045884365872E-5</v>
      </c>
      <c r="F398" s="148">
        <f t="shared" si="31"/>
        <v>4.5473023644211239E-3</v>
      </c>
      <c r="J398" s="116"/>
      <c r="K398" s="116"/>
    </row>
    <row r="399" spans="2:11" x14ac:dyDescent="0.2">
      <c r="B399" s="206" t="s">
        <v>1832</v>
      </c>
      <c r="C399" s="205">
        <v>186</v>
      </c>
      <c r="D399" s="147">
        <f t="shared" si="30"/>
        <v>0.12307208057916146</v>
      </c>
      <c r="E399" s="148">
        <f t="shared" si="29"/>
        <v>1.9497873159416498E-5</v>
      </c>
      <c r="F399" s="148">
        <f t="shared" si="31"/>
        <v>4.5668002375805405E-3</v>
      </c>
      <c r="J399" s="116"/>
      <c r="K399" s="116"/>
    </row>
    <row r="400" spans="2:11" x14ac:dyDescent="0.2">
      <c r="B400" s="206" t="s">
        <v>2423</v>
      </c>
      <c r="C400" s="205">
        <v>187</v>
      </c>
      <c r="D400" s="147">
        <f t="shared" si="30"/>
        <v>0.12338684293358386</v>
      </c>
      <c r="E400" s="148">
        <f t="shared" si="29"/>
        <v>1.9602700434467123E-5</v>
      </c>
      <c r="F400" s="148">
        <f t="shared" si="31"/>
        <v>4.5864029380150075E-3</v>
      </c>
      <c r="J400" s="116"/>
      <c r="K400" s="116"/>
    </row>
    <row r="401" spans="2:11" x14ac:dyDescent="0.2">
      <c r="B401" s="115" t="s">
        <v>529</v>
      </c>
      <c r="C401" s="114">
        <v>187</v>
      </c>
      <c r="D401" s="147">
        <f t="shared" si="30"/>
        <v>0.12370160528800626</v>
      </c>
      <c r="E401" s="148">
        <f t="shared" si="29"/>
        <v>1.9602700434467123E-5</v>
      </c>
      <c r="F401" s="148">
        <f t="shared" si="31"/>
        <v>4.6060056384494745E-3</v>
      </c>
      <c r="J401" s="116"/>
      <c r="K401" s="116"/>
    </row>
    <row r="402" spans="2:11" x14ac:dyDescent="0.2">
      <c r="B402" s="115" t="s">
        <v>423</v>
      </c>
      <c r="C402" s="114">
        <v>187</v>
      </c>
      <c r="D402" s="147">
        <f t="shared" si="30"/>
        <v>0.12401636764242867</v>
      </c>
      <c r="E402" s="148">
        <f t="shared" si="29"/>
        <v>1.9602700434467123E-5</v>
      </c>
      <c r="F402" s="148">
        <f t="shared" si="31"/>
        <v>4.6256083388839415E-3</v>
      </c>
      <c r="J402" s="116"/>
      <c r="K402" s="116"/>
    </row>
    <row r="403" spans="2:11" x14ac:dyDescent="0.2">
      <c r="B403" s="115" t="s">
        <v>1838</v>
      </c>
      <c r="C403" s="114">
        <v>188</v>
      </c>
      <c r="D403" s="147">
        <f t="shared" si="30"/>
        <v>0.12433112999685107</v>
      </c>
      <c r="E403" s="148">
        <f t="shared" si="29"/>
        <v>1.9707527709517749E-5</v>
      </c>
      <c r="F403" s="148">
        <f t="shared" si="31"/>
        <v>4.645315866593459E-3</v>
      </c>
      <c r="J403" s="116"/>
      <c r="K403" s="116"/>
    </row>
    <row r="404" spans="2:11" x14ac:dyDescent="0.2">
      <c r="B404" s="115" t="s">
        <v>950</v>
      </c>
      <c r="C404" s="114">
        <v>188</v>
      </c>
      <c r="D404" s="147">
        <f t="shared" si="30"/>
        <v>0.12464589235127348</v>
      </c>
      <c r="E404" s="148">
        <f t="shared" si="29"/>
        <v>1.9707527709517749E-5</v>
      </c>
      <c r="F404" s="148">
        <f t="shared" si="31"/>
        <v>4.6650233943029765E-3</v>
      </c>
      <c r="J404" s="116"/>
      <c r="K404" s="116"/>
    </row>
    <row r="405" spans="2:11" x14ac:dyDescent="0.2">
      <c r="B405" s="115" t="s">
        <v>610</v>
      </c>
      <c r="C405" s="114">
        <v>188</v>
      </c>
      <c r="D405" s="147">
        <f t="shared" si="30"/>
        <v>0.12496065470569588</v>
      </c>
      <c r="E405" s="148">
        <f t="shared" si="29"/>
        <v>1.9707527709517749E-5</v>
      </c>
      <c r="F405" s="148">
        <f t="shared" si="31"/>
        <v>4.6847309220124939E-3</v>
      </c>
      <c r="J405" s="116"/>
      <c r="K405" s="116"/>
    </row>
    <row r="406" spans="2:11" x14ac:dyDescent="0.2">
      <c r="B406" s="115" t="s">
        <v>427</v>
      </c>
      <c r="C406" s="114">
        <v>188</v>
      </c>
      <c r="D406" s="147">
        <f t="shared" si="30"/>
        <v>0.1252754170601183</v>
      </c>
      <c r="E406" s="148">
        <f t="shared" si="29"/>
        <v>1.9707527709517749E-5</v>
      </c>
      <c r="F406" s="148">
        <f t="shared" si="31"/>
        <v>4.7044384497220114E-3</v>
      </c>
      <c r="J406" s="116"/>
      <c r="K406" s="116"/>
    </row>
    <row r="407" spans="2:11" x14ac:dyDescent="0.2">
      <c r="B407" s="206" t="s">
        <v>524</v>
      </c>
      <c r="C407" s="205">
        <v>189</v>
      </c>
      <c r="D407" s="147">
        <f t="shared" si="30"/>
        <v>0.1255901794145407</v>
      </c>
      <c r="E407" s="148">
        <f t="shared" si="29"/>
        <v>1.9812354984568378E-5</v>
      </c>
      <c r="F407" s="148">
        <f t="shared" si="31"/>
        <v>4.7242508047065802E-3</v>
      </c>
      <c r="J407" s="116"/>
      <c r="K407" s="116"/>
    </row>
    <row r="408" spans="2:11" x14ac:dyDescent="0.2">
      <c r="B408" s="115" t="s">
        <v>260</v>
      </c>
      <c r="C408" s="114">
        <v>189</v>
      </c>
      <c r="D408" s="147">
        <f t="shared" si="30"/>
        <v>0.12590494176896311</v>
      </c>
      <c r="E408" s="148">
        <f t="shared" si="29"/>
        <v>1.9812354984568378E-5</v>
      </c>
      <c r="F408" s="148">
        <f t="shared" si="31"/>
        <v>4.7440631596911489E-3</v>
      </c>
      <c r="J408" s="116"/>
      <c r="K408" s="116"/>
    </row>
    <row r="409" spans="2:11" x14ac:dyDescent="0.2">
      <c r="B409" s="115" t="s">
        <v>1802</v>
      </c>
      <c r="C409" s="114">
        <v>190</v>
      </c>
      <c r="D409" s="147">
        <f t="shared" si="30"/>
        <v>0.12621970412338551</v>
      </c>
      <c r="E409" s="148">
        <f t="shared" si="29"/>
        <v>1.9917182259619004E-5</v>
      </c>
      <c r="F409" s="148">
        <f t="shared" si="31"/>
        <v>4.7639803419507682E-3</v>
      </c>
      <c r="J409" s="116"/>
      <c r="K409" s="116"/>
    </row>
    <row r="410" spans="2:11" x14ac:dyDescent="0.2">
      <c r="B410" s="115" t="s">
        <v>1722</v>
      </c>
      <c r="C410" s="114">
        <v>190</v>
      </c>
      <c r="D410" s="147">
        <f t="shared" si="30"/>
        <v>0.12653446647780792</v>
      </c>
      <c r="E410" s="148">
        <f t="shared" si="29"/>
        <v>1.9917182259619004E-5</v>
      </c>
      <c r="F410" s="148">
        <f t="shared" si="31"/>
        <v>4.7838975242103874E-3</v>
      </c>
      <c r="J410" s="116"/>
      <c r="K410" s="116"/>
    </row>
    <row r="411" spans="2:11" x14ac:dyDescent="0.2">
      <c r="B411" s="115" t="s">
        <v>397</v>
      </c>
      <c r="C411" s="114">
        <v>190</v>
      </c>
      <c r="D411" s="147">
        <f t="shared" si="30"/>
        <v>0.12684922883223032</v>
      </c>
      <c r="E411" s="148">
        <f t="shared" si="29"/>
        <v>1.9917182259619004E-5</v>
      </c>
      <c r="F411" s="148">
        <f t="shared" si="31"/>
        <v>4.8038147064700066E-3</v>
      </c>
      <c r="J411" s="116"/>
    </row>
    <row r="412" spans="2:11" x14ac:dyDescent="0.2">
      <c r="B412" s="115" t="s">
        <v>298</v>
      </c>
      <c r="C412" s="114">
        <v>190</v>
      </c>
      <c r="D412" s="147">
        <f t="shared" si="30"/>
        <v>0.12716399118665273</v>
      </c>
      <c r="E412" s="148">
        <f t="shared" si="29"/>
        <v>1.9917182259619004E-5</v>
      </c>
      <c r="F412" s="148">
        <f t="shared" si="31"/>
        <v>4.8237318887296259E-3</v>
      </c>
    </row>
    <row r="413" spans="2:11" x14ac:dyDescent="0.2">
      <c r="B413" s="115" t="s">
        <v>903</v>
      </c>
      <c r="C413" s="114">
        <v>191</v>
      </c>
      <c r="D413" s="147">
        <f t="shared" si="30"/>
        <v>0.12747875354107513</v>
      </c>
      <c r="E413" s="148">
        <f t="shared" si="29"/>
        <v>2.0022009534669629E-5</v>
      </c>
      <c r="F413" s="148">
        <f t="shared" si="31"/>
        <v>4.8437538982642955E-3</v>
      </c>
    </row>
    <row r="414" spans="2:11" x14ac:dyDescent="0.2">
      <c r="B414" s="115" t="s">
        <v>613</v>
      </c>
      <c r="C414" s="114">
        <v>191</v>
      </c>
      <c r="D414" s="147">
        <f t="shared" si="30"/>
        <v>0.12779351589549753</v>
      </c>
      <c r="E414" s="148">
        <f t="shared" si="29"/>
        <v>2.0022009534669629E-5</v>
      </c>
      <c r="F414" s="148">
        <f t="shared" si="31"/>
        <v>4.8637759077989652E-3</v>
      </c>
    </row>
    <row r="415" spans="2:11" x14ac:dyDescent="0.2">
      <c r="B415" s="206" t="s">
        <v>811</v>
      </c>
      <c r="C415" s="205">
        <v>192</v>
      </c>
      <c r="D415" s="147">
        <f t="shared" si="30"/>
        <v>0.12810827824991994</v>
      </c>
      <c r="E415" s="148">
        <f t="shared" si="29"/>
        <v>2.0126836809720255E-5</v>
      </c>
      <c r="F415" s="148">
        <f t="shared" si="31"/>
        <v>4.8839027446086853E-3</v>
      </c>
    </row>
    <row r="416" spans="2:11" x14ac:dyDescent="0.2">
      <c r="B416" s="206" t="s">
        <v>633</v>
      </c>
      <c r="C416" s="205">
        <v>192</v>
      </c>
      <c r="D416" s="147">
        <f t="shared" si="30"/>
        <v>0.12842304060434234</v>
      </c>
      <c r="E416" s="148">
        <f t="shared" si="29"/>
        <v>2.0126836809720255E-5</v>
      </c>
      <c r="F416" s="148">
        <f t="shared" si="31"/>
        <v>4.9040295814184055E-3</v>
      </c>
    </row>
    <row r="417" spans="2:6" x14ac:dyDescent="0.2">
      <c r="B417" s="206" t="s">
        <v>145</v>
      </c>
      <c r="C417" s="205">
        <v>192</v>
      </c>
      <c r="D417" s="147">
        <f t="shared" si="30"/>
        <v>0.12873780295876475</v>
      </c>
      <c r="E417" s="148">
        <f t="shared" si="29"/>
        <v>2.0126836809720255E-5</v>
      </c>
      <c r="F417" s="148">
        <f t="shared" si="31"/>
        <v>4.9241564182281256E-3</v>
      </c>
    </row>
    <row r="418" spans="2:6" x14ac:dyDescent="0.2">
      <c r="B418" s="206" t="s">
        <v>2793</v>
      </c>
      <c r="C418" s="205">
        <v>193</v>
      </c>
      <c r="D418" s="147">
        <f t="shared" si="30"/>
        <v>0.12905256531318715</v>
      </c>
      <c r="E418" s="148">
        <f t="shared" si="29"/>
        <v>2.0231664084770881E-5</v>
      </c>
      <c r="F418" s="148">
        <f t="shared" si="31"/>
        <v>4.9443880823128962E-3</v>
      </c>
    </row>
    <row r="419" spans="2:6" x14ac:dyDescent="0.2">
      <c r="B419" s="206" t="s">
        <v>1997</v>
      </c>
      <c r="C419" s="205">
        <v>193</v>
      </c>
      <c r="D419" s="147">
        <f t="shared" si="30"/>
        <v>0.12936732766760956</v>
      </c>
      <c r="E419" s="148">
        <f t="shared" si="29"/>
        <v>2.0231664084770881E-5</v>
      </c>
      <c r="F419" s="148">
        <f t="shared" si="31"/>
        <v>4.9646197463976667E-3</v>
      </c>
    </row>
    <row r="420" spans="2:6" x14ac:dyDescent="0.2">
      <c r="B420" s="115" t="s">
        <v>1784</v>
      </c>
      <c r="C420" s="114">
        <v>193</v>
      </c>
      <c r="D420" s="147">
        <f t="shared" si="30"/>
        <v>0.12968209002203196</v>
      </c>
      <c r="E420" s="148">
        <f t="shared" si="29"/>
        <v>2.0231664084770881E-5</v>
      </c>
      <c r="F420" s="148">
        <f t="shared" si="31"/>
        <v>4.9848514104824373E-3</v>
      </c>
    </row>
    <row r="421" spans="2:6" x14ac:dyDescent="0.2">
      <c r="B421" s="115" t="s">
        <v>3102</v>
      </c>
      <c r="C421" s="114">
        <v>194</v>
      </c>
      <c r="D421" s="147">
        <f t="shared" si="30"/>
        <v>0.12999685237645436</v>
      </c>
      <c r="E421" s="148">
        <f t="shared" si="29"/>
        <v>2.033649135982151E-5</v>
      </c>
      <c r="F421" s="148">
        <f t="shared" si="31"/>
        <v>5.0051879018422592E-3</v>
      </c>
    </row>
    <row r="422" spans="2:6" x14ac:dyDescent="0.2">
      <c r="B422" s="206" t="s">
        <v>2813</v>
      </c>
      <c r="C422" s="205">
        <v>195</v>
      </c>
      <c r="D422" s="147">
        <f t="shared" si="30"/>
        <v>0.13031161473087677</v>
      </c>
      <c r="E422" s="148">
        <f t="shared" si="29"/>
        <v>2.0441318634872136E-5</v>
      </c>
      <c r="F422" s="148">
        <f t="shared" si="31"/>
        <v>5.0256292204771316E-3</v>
      </c>
    </row>
    <row r="423" spans="2:6" x14ac:dyDescent="0.2">
      <c r="B423" s="115" t="s">
        <v>1748</v>
      </c>
      <c r="C423" s="114">
        <v>195</v>
      </c>
      <c r="D423" s="147">
        <f t="shared" si="30"/>
        <v>0.13062637708529917</v>
      </c>
      <c r="E423" s="148">
        <f t="shared" si="29"/>
        <v>2.0441318634872136E-5</v>
      </c>
      <c r="F423" s="148">
        <f t="shared" si="31"/>
        <v>5.0460705391120039E-3</v>
      </c>
    </row>
    <row r="424" spans="2:6" x14ac:dyDescent="0.2">
      <c r="B424" s="115" t="s">
        <v>1473</v>
      </c>
      <c r="C424" s="114">
        <v>195</v>
      </c>
      <c r="D424" s="147">
        <f t="shared" si="30"/>
        <v>0.13094113943972158</v>
      </c>
      <c r="E424" s="148">
        <f t="shared" si="29"/>
        <v>2.0441318634872136E-5</v>
      </c>
      <c r="F424" s="148">
        <f t="shared" si="31"/>
        <v>5.0665118577468762E-3</v>
      </c>
    </row>
    <row r="425" spans="2:6" x14ac:dyDescent="0.2">
      <c r="B425" s="206" t="s">
        <v>48</v>
      </c>
      <c r="C425" s="205">
        <v>195</v>
      </c>
      <c r="D425" s="147">
        <f t="shared" si="30"/>
        <v>0.13125590179414398</v>
      </c>
      <c r="E425" s="148">
        <f t="shared" si="29"/>
        <v>2.0441318634872136E-5</v>
      </c>
      <c r="F425" s="148">
        <f t="shared" si="31"/>
        <v>5.0869531763817486E-3</v>
      </c>
    </row>
    <row r="426" spans="2:6" x14ac:dyDescent="0.2">
      <c r="B426" s="206" t="s">
        <v>1349</v>
      </c>
      <c r="C426" s="205">
        <v>196</v>
      </c>
      <c r="D426" s="147">
        <f t="shared" si="30"/>
        <v>0.13157066414856639</v>
      </c>
      <c r="E426" s="148">
        <f t="shared" si="29"/>
        <v>2.0546145909922761E-5</v>
      </c>
      <c r="F426" s="148">
        <f t="shared" si="31"/>
        <v>5.1074993222916714E-3</v>
      </c>
    </row>
    <row r="427" spans="2:6" x14ac:dyDescent="0.2">
      <c r="B427" s="206" t="s">
        <v>116</v>
      </c>
      <c r="C427" s="205">
        <v>196</v>
      </c>
      <c r="D427" s="147">
        <f t="shared" si="30"/>
        <v>0.13188542650298879</v>
      </c>
      <c r="E427" s="148">
        <f t="shared" si="29"/>
        <v>2.0546145909922761E-5</v>
      </c>
      <c r="F427" s="148">
        <f t="shared" si="31"/>
        <v>5.1280454682015942E-3</v>
      </c>
    </row>
    <row r="428" spans="2:6" x14ac:dyDescent="0.2">
      <c r="B428" s="115" t="s">
        <v>87</v>
      </c>
      <c r="C428" s="114">
        <v>196</v>
      </c>
      <c r="D428" s="147">
        <f t="shared" si="30"/>
        <v>0.13220018885741119</v>
      </c>
      <c r="E428" s="148">
        <f t="shared" si="29"/>
        <v>2.0546145909922761E-5</v>
      </c>
      <c r="F428" s="148">
        <f t="shared" si="31"/>
        <v>5.148591614111517E-3</v>
      </c>
    </row>
    <row r="429" spans="2:6" x14ac:dyDescent="0.2">
      <c r="B429" s="206" t="s">
        <v>63</v>
      </c>
      <c r="C429" s="205">
        <v>196</v>
      </c>
      <c r="D429" s="147">
        <f t="shared" si="30"/>
        <v>0.1325149512118336</v>
      </c>
      <c r="E429" s="148">
        <f t="shared" si="29"/>
        <v>2.0546145909922761E-5</v>
      </c>
      <c r="F429" s="148">
        <f t="shared" si="31"/>
        <v>5.1691377600214397E-3</v>
      </c>
    </row>
    <row r="430" spans="2:6" x14ac:dyDescent="0.2">
      <c r="B430" s="206" t="s">
        <v>2846</v>
      </c>
      <c r="C430" s="205">
        <v>197</v>
      </c>
      <c r="D430" s="147">
        <f t="shared" si="30"/>
        <v>0.132829713566256</v>
      </c>
      <c r="E430" s="148">
        <f t="shared" si="29"/>
        <v>2.0650973184973387E-5</v>
      </c>
      <c r="F430" s="148">
        <f t="shared" si="31"/>
        <v>5.189788733206413E-3</v>
      </c>
    </row>
    <row r="431" spans="2:6" x14ac:dyDescent="0.2">
      <c r="B431" s="115" t="s">
        <v>1956</v>
      </c>
      <c r="C431" s="114">
        <v>197</v>
      </c>
      <c r="D431" s="147">
        <f t="shared" si="30"/>
        <v>0.13314447592067841</v>
      </c>
      <c r="E431" s="148">
        <f t="shared" si="29"/>
        <v>2.0650973184973387E-5</v>
      </c>
      <c r="F431" s="148">
        <f t="shared" si="31"/>
        <v>5.2104397063913862E-3</v>
      </c>
    </row>
    <row r="432" spans="2:6" x14ac:dyDescent="0.2">
      <c r="B432" s="115" t="s">
        <v>960</v>
      </c>
      <c r="C432" s="114">
        <v>197</v>
      </c>
      <c r="D432" s="147">
        <f t="shared" si="30"/>
        <v>0.13345923827510081</v>
      </c>
      <c r="E432" s="148">
        <f t="shared" si="29"/>
        <v>2.0650973184973387E-5</v>
      </c>
      <c r="F432" s="148">
        <f t="shared" si="31"/>
        <v>5.2310906795763595E-3</v>
      </c>
    </row>
    <row r="433" spans="2:6" x14ac:dyDescent="0.2">
      <c r="B433" s="115" t="s">
        <v>664</v>
      </c>
      <c r="C433" s="114">
        <v>197</v>
      </c>
      <c r="D433" s="147">
        <f t="shared" si="30"/>
        <v>0.13377400062952322</v>
      </c>
      <c r="E433" s="148">
        <f t="shared" si="29"/>
        <v>2.0650973184973387E-5</v>
      </c>
      <c r="F433" s="148">
        <f t="shared" si="31"/>
        <v>5.2517416527613327E-3</v>
      </c>
    </row>
    <row r="434" spans="2:6" x14ac:dyDescent="0.2">
      <c r="B434" s="115" t="s">
        <v>2938</v>
      </c>
      <c r="C434" s="114">
        <v>198</v>
      </c>
      <c r="D434" s="147">
        <f t="shared" si="30"/>
        <v>0.13408876298394562</v>
      </c>
      <c r="E434" s="148">
        <f t="shared" si="29"/>
        <v>2.0755800460024012E-5</v>
      </c>
      <c r="F434" s="148">
        <f t="shared" si="31"/>
        <v>5.2724974532213564E-3</v>
      </c>
    </row>
    <row r="435" spans="2:6" x14ac:dyDescent="0.2">
      <c r="B435" s="206" t="s">
        <v>2144</v>
      </c>
      <c r="C435" s="205">
        <v>198</v>
      </c>
      <c r="D435" s="147">
        <f t="shared" si="30"/>
        <v>0.13440352533836802</v>
      </c>
      <c r="E435" s="148">
        <f t="shared" si="29"/>
        <v>2.0755800460024012E-5</v>
      </c>
      <c r="F435" s="148">
        <f t="shared" si="31"/>
        <v>5.2932532536813801E-3</v>
      </c>
    </row>
    <row r="436" spans="2:6" x14ac:dyDescent="0.2">
      <c r="B436" s="206" t="s">
        <v>1590</v>
      </c>
      <c r="C436" s="205">
        <v>198</v>
      </c>
      <c r="D436" s="147">
        <f t="shared" si="30"/>
        <v>0.13471828769279043</v>
      </c>
      <c r="E436" s="148">
        <f t="shared" si="29"/>
        <v>2.0755800460024012E-5</v>
      </c>
      <c r="F436" s="148">
        <f t="shared" si="31"/>
        <v>5.3140090541414038E-3</v>
      </c>
    </row>
    <row r="437" spans="2:6" x14ac:dyDescent="0.2">
      <c r="B437" s="206" t="s">
        <v>1554</v>
      </c>
      <c r="C437" s="205">
        <v>198</v>
      </c>
      <c r="D437" s="147">
        <f t="shared" si="30"/>
        <v>0.13503305004721283</v>
      </c>
      <c r="E437" s="148">
        <f t="shared" si="29"/>
        <v>2.0755800460024012E-5</v>
      </c>
      <c r="F437" s="148">
        <f t="shared" si="31"/>
        <v>5.3347648546014275E-3</v>
      </c>
    </row>
    <row r="438" spans="2:6" x14ac:dyDescent="0.2">
      <c r="B438" s="115" t="s">
        <v>1258</v>
      </c>
      <c r="C438" s="114">
        <v>198</v>
      </c>
      <c r="D438" s="147">
        <f t="shared" si="30"/>
        <v>0.13534781240163524</v>
      </c>
      <c r="E438" s="148">
        <f t="shared" si="29"/>
        <v>2.0755800460024012E-5</v>
      </c>
      <c r="F438" s="148">
        <f t="shared" si="31"/>
        <v>5.3555206550614512E-3</v>
      </c>
    </row>
    <row r="439" spans="2:6" x14ac:dyDescent="0.2">
      <c r="B439" s="206" t="s">
        <v>603</v>
      </c>
      <c r="C439" s="205">
        <v>198</v>
      </c>
      <c r="D439" s="147">
        <f t="shared" si="30"/>
        <v>0.13566257475605764</v>
      </c>
      <c r="E439" s="148">
        <f t="shared" si="29"/>
        <v>2.0755800460024012E-5</v>
      </c>
      <c r="F439" s="148">
        <f t="shared" si="31"/>
        <v>5.3762764555214749E-3</v>
      </c>
    </row>
    <row r="440" spans="2:6" x14ac:dyDescent="0.2">
      <c r="B440" s="206" t="s">
        <v>17</v>
      </c>
      <c r="C440" s="205">
        <v>198</v>
      </c>
      <c r="D440" s="147">
        <f t="shared" si="30"/>
        <v>0.13597733711048005</v>
      </c>
      <c r="E440" s="148">
        <f t="shared" si="29"/>
        <v>2.0755800460024012E-5</v>
      </c>
      <c r="F440" s="148">
        <f t="shared" si="31"/>
        <v>5.3970322559814985E-3</v>
      </c>
    </row>
    <row r="441" spans="2:6" x14ac:dyDescent="0.2">
      <c r="B441" s="206" t="s">
        <v>862</v>
      </c>
      <c r="C441" s="205">
        <v>199</v>
      </c>
      <c r="D441" s="147">
        <f t="shared" si="30"/>
        <v>0.13629209946490245</v>
      </c>
      <c r="E441" s="148">
        <f t="shared" si="29"/>
        <v>2.0860627735074642E-5</v>
      </c>
      <c r="F441" s="148">
        <f t="shared" si="31"/>
        <v>5.4178928837165736E-3</v>
      </c>
    </row>
    <row r="442" spans="2:6" x14ac:dyDescent="0.2">
      <c r="B442" s="206" t="s">
        <v>1620</v>
      </c>
      <c r="C442" s="205">
        <v>200</v>
      </c>
      <c r="D442" s="147">
        <f t="shared" si="30"/>
        <v>0.13660686181932485</v>
      </c>
      <c r="E442" s="148">
        <f t="shared" si="29"/>
        <v>2.0965455010125267E-5</v>
      </c>
      <c r="F442" s="148">
        <f t="shared" si="31"/>
        <v>5.438858338726699E-3</v>
      </c>
    </row>
    <row r="443" spans="2:6" x14ac:dyDescent="0.2">
      <c r="B443" s="115" t="s">
        <v>1761</v>
      </c>
      <c r="C443" s="114">
        <v>201</v>
      </c>
      <c r="D443" s="147">
        <f t="shared" si="30"/>
        <v>0.13692162417374726</v>
      </c>
      <c r="E443" s="148">
        <f t="shared" si="29"/>
        <v>2.1070282285175893E-5</v>
      </c>
      <c r="F443" s="148">
        <f t="shared" si="31"/>
        <v>5.4599286210118749E-3</v>
      </c>
    </row>
    <row r="444" spans="2:6" x14ac:dyDescent="0.2">
      <c r="B444" s="206" t="s">
        <v>1052</v>
      </c>
      <c r="C444" s="205">
        <v>201</v>
      </c>
      <c r="D444" s="147">
        <f t="shared" si="30"/>
        <v>0.13723638652816966</v>
      </c>
      <c r="E444" s="148">
        <f t="shared" si="29"/>
        <v>2.1070282285175893E-5</v>
      </c>
      <c r="F444" s="148">
        <f t="shared" si="31"/>
        <v>5.4809989032970508E-3</v>
      </c>
    </row>
    <row r="445" spans="2:6" x14ac:dyDescent="0.2">
      <c r="B445" s="115" t="s">
        <v>1004</v>
      </c>
      <c r="C445" s="114">
        <v>201</v>
      </c>
      <c r="D445" s="147">
        <f t="shared" si="30"/>
        <v>0.13755114888259207</v>
      </c>
      <c r="E445" s="148">
        <f t="shared" si="29"/>
        <v>2.1070282285175893E-5</v>
      </c>
      <c r="F445" s="148">
        <f t="shared" si="31"/>
        <v>5.5020691855822267E-3</v>
      </c>
    </row>
    <row r="446" spans="2:6" x14ac:dyDescent="0.2">
      <c r="B446" s="115" t="s">
        <v>630</v>
      </c>
      <c r="C446" s="114">
        <v>201</v>
      </c>
      <c r="D446" s="147">
        <f t="shared" si="30"/>
        <v>0.13786591123701447</v>
      </c>
      <c r="E446" s="148">
        <f t="shared" si="29"/>
        <v>2.1070282285175893E-5</v>
      </c>
      <c r="F446" s="148">
        <f t="shared" si="31"/>
        <v>5.5231394678674026E-3</v>
      </c>
    </row>
    <row r="447" spans="2:6" x14ac:dyDescent="0.2">
      <c r="B447" s="206" t="s">
        <v>2915</v>
      </c>
      <c r="C447" s="205">
        <v>202</v>
      </c>
      <c r="D447" s="147">
        <f t="shared" si="30"/>
        <v>0.13818067359143688</v>
      </c>
      <c r="E447" s="148">
        <f t="shared" si="29"/>
        <v>2.1175109560226519E-5</v>
      </c>
      <c r="F447" s="148">
        <f t="shared" si="31"/>
        <v>5.544314577427629E-3</v>
      </c>
    </row>
    <row r="448" spans="2:6" x14ac:dyDescent="0.2">
      <c r="B448" s="206" t="s">
        <v>2339</v>
      </c>
      <c r="C448" s="205">
        <v>202</v>
      </c>
      <c r="D448" s="147">
        <f t="shared" si="30"/>
        <v>0.13849543594585928</v>
      </c>
      <c r="E448" s="148">
        <f t="shared" si="29"/>
        <v>2.1175109560226519E-5</v>
      </c>
      <c r="F448" s="148">
        <f t="shared" si="31"/>
        <v>5.5654896869878553E-3</v>
      </c>
    </row>
    <row r="449" spans="2:6" x14ac:dyDescent="0.2">
      <c r="B449" s="115" t="s">
        <v>1902</v>
      </c>
      <c r="C449" s="114">
        <v>202</v>
      </c>
      <c r="D449" s="147">
        <f t="shared" si="30"/>
        <v>0.13881019830028168</v>
      </c>
      <c r="E449" s="148">
        <f t="shared" si="29"/>
        <v>2.1175109560226519E-5</v>
      </c>
      <c r="F449" s="148">
        <f t="shared" si="31"/>
        <v>5.5866647965480817E-3</v>
      </c>
    </row>
    <row r="450" spans="2:6" x14ac:dyDescent="0.2">
      <c r="B450" s="206" t="s">
        <v>1728</v>
      </c>
      <c r="C450" s="205">
        <v>202</v>
      </c>
      <c r="D450" s="147">
        <f t="shared" si="30"/>
        <v>0.13912496065470409</v>
      </c>
      <c r="E450" s="148">
        <f t="shared" si="29"/>
        <v>2.1175109560226519E-5</v>
      </c>
      <c r="F450" s="148">
        <f t="shared" si="31"/>
        <v>5.6078399061083081E-3</v>
      </c>
    </row>
    <row r="451" spans="2:6" x14ac:dyDescent="0.2">
      <c r="B451" s="206" t="s">
        <v>1239</v>
      </c>
      <c r="C451" s="205">
        <v>202</v>
      </c>
      <c r="D451" s="147">
        <f t="shared" si="30"/>
        <v>0.13943972300912649</v>
      </c>
      <c r="E451" s="148">
        <f t="shared" si="29"/>
        <v>2.1175109560226519E-5</v>
      </c>
      <c r="F451" s="148">
        <f t="shared" si="31"/>
        <v>5.6290150156685344E-3</v>
      </c>
    </row>
    <row r="452" spans="2:6" x14ac:dyDescent="0.2">
      <c r="B452" s="115" t="s">
        <v>2304</v>
      </c>
      <c r="C452" s="114">
        <v>203</v>
      </c>
      <c r="D452" s="147">
        <f t="shared" si="30"/>
        <v>0.1397544853635489</v>
      </c>
      <c r="E452" s="148">
        <f t="shared" si="29"/>
        <v>2.1279936835277144E-5</v>
      </c>
      <c r="F452" s="148">
        <f t="shared" si="31"/>
        <v>5.6502949525038112E-3</v>
      </c>
    </row>
    <row r="453" spans="2:6" x14ac:dyDescent="0.2">
      <c r="B453" s="115" t="s">
        <v>1517</v>
      </c>
      <c r="C453" s="114">
        <v>203</v>
      </c>
      <c r="D453" s="147">
        <f t="shared" si="30"/>
        <v>0.1400692477179713</v>
      </c>
      <c r="E453" s="148">
        <f t="shared" si="29"/>
        <v>2.1279936835277144E-5</v>
      </c>
      <c r="F453" s="148">
        <f t="shared" si="31"/>
        <v>5.671574889339088E-3</v>
      </c>
    </row>
    <row r="454" spans="2:6" x14ac:dyDescent="0.2">
      <c r="B454" s="206" t="s">
        <v>2509</v>
      </c>
      <c r="C454" s="205">
        <v>204</v>
      </c>
      <c r="D454" s="147">
        <f t="shared" si="30"/>
        <v>0.14038401007239371</v>
      </c>
      <c r="E454" s="148">
        <f t="shared" si="29"/>
        <v>2.1384764110327773E-5</v>
      </c>
      <c r="F454" s="148">
        <f t="shared" si="31"/>
        <v>5.6929596534494161E-3</v>
      </c>
    </row>
    <row r="455" spans="2:6" x14ac:dyDescent="0.2">
      <c r="B455" s="115" t="s">
        <v>1259</v>
      </c>
      <c r="C455" s="114">
        <v>204</v>
      </c>
      <c r="D455" s="147">
        <f t="shared" si="30"/>
        <v>0.14069877242681611</v>
      </c>
      <c r="E455" s="148">
        <f t="shared" si="29"/>
        <v>2.1384764110327773E-5</v>
      </c>
      <c r="F455" s="148">
        <f t="shared" si="31"/>
        <v>5.7143444175597443E-3</v>
      </c>
    </row>
    <row r="456" spans="2:6" x14ac:dyDescent="0.2">
      <c r="B456" s="115" t="s">
        <v>2775</v>
      </c>
      <c r="C456" s="114">
        <v>205</v>
      </c>
      <c r="D456" s="147">
        <f t="shared" si="30"/>
        <v>0.14101353478123851</v>
      </c>
      <c r="E456" s="148">
        <f t="shared" si="29"/>
        <v>2.1489591385378399E-5</v>
      </c>
      <c r="F456" s="148">
        <f t="shared" si="31"/>
        <v>5.7358340089451228E-3</v>
      </c>
    </row>
    <row r="457" spans="2:6" x14ac:dyDescent="0.2">
      <c r="B457" s="206" t="s">
        <v>410</v>
      </c>
      <c r="C457" s="205">
        <v>205</v>
      </c>
      <c r="D457" s="147">
        <f t="shared" si="30"/>
        <v>0.14132829713566092</v>
      </c>
      <c r="E457" s="148">
        <f t="shared" ref="E457:E520" si="32">C457/$O$18</f>
        <v>2.1489591385378399E-5</v>
      </c>
      <c r="F457" s="148">
        <f t="shared" si="31"/>
        <v>5.7573236003305014E-3</v>
      </c>
    </row>
    <row r="458" spans="2:6" x14ac:dyDescent="0.2">
      <c r="B458" s="206" t="s">
        <v>120</v>
      </c>
      <c r="C458" s="205">
        <v>205</v>
      </c>
      <c r="D458" s="147">
        <f t="shared" ref="D458:D521" si="33">D457+1/$L$18</f>
        <v>0.14164305949008332</v>
      </c>
      <c r="E458" s="148">
        <f t="shared" si="32"/>
        <v>2.1489591385378399E-5</v>
      </c>
      <c r="F458" s="148">
        <f t="shared" ref="F458:F521" si="34">F457+E458</f>
        <v>5.77881319171588E-3</v>
      </c>
    </row>
    <row r="459" spans="2:6" x14ac:dyDescent="0.2">
      <c r="B459" s="206" t="s">
        <v>1780</v>
      </c>
      <c r="C459" s="205">
        <v>206</v>
      </c>
      <c r="D459" s="147">
        <f t="shared" si="33"/>
        <v>0.14195782184450573</v>
      </c>
      <c r="E459" s="148">
        <f t="shared" si="32"/>
        <v>2.1594418660429025E-5</v>
      </c>
      <c r="F459" s="148">
        <f t="shared" si="34"/>
        <v>5.800407610376309E-3</v>
      </c>
    </row>
    <row r="460" spans="2:6" x14ac:dyDescent="0.2">
      <c r="B460" s="206" t="s">
        <v>1591</v>
      </c>
      <c r="C460" s="205">
        <v>206</v>
      </c>
      <c r="D460" s="147">
        <f t="shared" si="33"/>
        <v>0.14227258419892813</v>
      </c>
      <c r="E460" s="148">
        <f t="shared" si="32"/>
        <v>2.1594418660429025E-5</v>
      </c>
      <c r="F460" s="148">
        <f t="shared" si="34"/>
        <v>5.822002029036738E-3</v>
      </c>
    </row>
    <row r="461" spans="2:6" x14ac:dyDescent="0.2">
      <c r="B461" s="206" t="s">
        <v>2743</v>
      </c>
      <c r="C461" s="205">
        <v>207</v>
      </c>
      <c r="D461" s="147">
        <f t="shared" si="33"/>
        <v>0.14258734655335054</v>
      </c>
      <c r="E461" s="148">
        <f t="shared" si="32"/>
        <v>2.169924593547965E-5</v>
      </c>
      <c r="F461" s="148">
        <f t="shared" si="34"/>
        <v>5.8437012749722175E-3</v>
      </c>
    </row>
    <row r="462" spans="2:6" x14ac:dyDescent="0.2">
      <c r="B462" s="206" t="s">
        <v>1014</v>
      </c>
      <c r="C462" s="205">
        <v>207</v>
      </c>
      <c r="D462" s="147">
        <f t="shared" si="33"/>
        <v>0.14290210890777294</v>
      </c>
      <c r="E462" s="148">
        <f t="shared" si="32"/>
        <v>2.169924593547965E-5</v>
      </c>
      <c r="F462" s="148">
        <f t="shared" si="34"/>
        <v>5.865400520907697E-3</v>
      </c>
    </row>
    <row r="463" spans="2:6" x14ac:dyDescent="0.2">
      <c r="B463" s="115" t="s">
        <v>909</v>
      </c>
      <c r="C463" s="114">
        <v>207</v>
      </c>
      <c r="D463" s="147">
        <f t="shared" si="33"/>
        <v>0.14321687126219534</v>
      </c>
      <c r="E463" s="148">
        <f t="shared" si="32"/>
        <v>2.169924593547965E-5</v>
      </c>
      <c r="F463" s="148">
        <f t="shared" si="34"/>
        <v>5.8870997668431764E-3</v>
      </c>
    </row>
    <row r="464" spans="2:6" x14ac:dyDescent="0.2">
      <c r="B464" s="206" t="s">
        <v>606</v>
      </c>
      <c r="C464" s="205">
        <v>207</v>
      </c>
      <c r="D464" s="147">
        <f t="shared" si="33"/>
        <v>0.14353163361661775</v>
      </c>
      <c r="E464" s="148">
        <f t="shared" si="32"/>
        <v>2.169924593547965E-5</v>
      </c>
      <c r="F464" s="148">
        <f t="shared" si="34"/>
        <v>5.9087990127786559E-3</v>
      </c>
    </row>
    <row r="465" spans="2:6" x14ac:dyDescent="0.2">
      <c r="B465" s="115" t="s">
        <v>304</v>
      </c>
      <c r="C465" s="114">
        <v>207</v>
      </c>
      <c r="D465" s="147">
        <f t="shared" si="33"/>
        <v>0.14384639597104015</v>
      </c>
      <c r="E465" s="148">
        <f t="shared" si="32"/>
        <v>2.169924593547965E-5</v>
      </c>
      <c r="F465" s="148">
        <f t="shared" si="34"/>
        <v>5.9304982587141354E-3</v>
      </c>
    </row>
    <row r="466" spans="2:6" x14ac:dyDescent="0.2">
      <c r="B466" s="115" t="s">
        <v>2210</v>
      </c>
      <c r="C466" s="114">
        <v>208</v>
      </c>
      <c r="D466" s="147">
        <f t="shared" si="33"/>
        <v>0.14416115832546256</v>
      </c>
      <c r="E466" s="148">
        <f t="shared" si="32"/>
        <v>2.1804073210530276E-5</v>
      </c>
      <c r="F466" s="148">
        <f t="shared" si="34"/>
        <v>5.9523023319246653E-3</v>
      </c>
    </row>
    <row r="467" spans="2:6" x14ac:dyDescent="0.2">
      <c r="B467" s="206" t="s">
        <v>309</v>
      </c>
      <c r="C467" s="205">
        <v>208</v>
      </c>
      <c r="D467" s="147">
        <f t="shared" si="33"/>
        <v>0.14447592067988496</v>
      </c>
      <c r="E467" s="148">
        <f t="shared" si="32"/>
        <v>2.1804073210530276E-5</v>
      </c>
      <c r="F467" s="148">
        <f t="shared" si="34"/>
        <v>5.9741064051351952E-3</v>
      </c>
    </row>
    <row r="468" spans="2:6" x14ac:dyDescent="0.2">
      <c r="B468" s="206" t="s">
        <v>1811</v>
      </c>
      <c r="C468" s="205">
        <v>210</v>
      </c>
      <c r="D468" s="147">
        <f t="shared" si="33"/>
        <v>0.14479068303430737</v>
      </c>
      <c r="E468" s="148">
        <f t="shared" si="32"/>
        <v>2.2013727760631531E-5</v>
      </c>
      <c r="F468" s="148">
        <f t="shared" si="34"/>
        <v>5.9961201328958269E-3</v>
      </c>
    </row>
    <row r="469" spans="2:6" x14ac:dyDescent="0.2">
      <c r="B469" s="115" t="s">
        <v>1121</v>
      </c>
      <c r="C469" s="114">
        <v>210</v>
      </c>
      <c r="D469" s="147">
        <f t="shared" si="33"/>
        <v>0.14510544538872977</v>
      </c>
      <c r="E469" s="148">
        <f t="shared" si="32"/>
        <v>2.2013727760631531E-5</v>
      </c>
      <c r="F469" s="148">
        <f t="shared" si="34"/>
        <v>6.0181338606564586E-3</v>
      </c>
    </row>
    <row r="470" spans="2:6" x14ac:dyDescent="0.2">
      <c r="B470" s="115" t="s">
        <v>386</v>
      </c>
      <c r="C470" s="114">
        <v>210</v>
      </c>
      <c r="D470" s="147">
        <f t="shared" si="33"/>
        <v>0.14542020774315217</v>
      </c>
      <c r="E470" s="148">
        <f t="shared" si="32"/>
        <v>2.2013727760631531E-5</v>
      </c>
      <c r="F470" s="148">
        <f t="shared" si="34"/>
        <v>6.0401475884170903E-3</v>
      </c>
    </row>
    <row r="471" spans="2:6" x14ac:dyDescent="0.2">
      <c r="B471" s="115" t="s">
        <v>1825</v>
      </c>
      <c r="C471" s="114">
        <v>211</v>
      </c>
      <c r="D471" s="147">
        <f t="shared" si="33"/>
        <v>0.14573497009757458</v>
      </c>
      <c r="E471" s="148">
        <f t="shared" si="32"/>
        <v>2.2118555035682156E-5</v>
      </c>
      <c r="F471" s="148">
        <f t="shared" si="34"/>
        <v>6.0622661434527724E-3</v>
      </c>
    </row>
    <row r="472" spans="2:6" x14ac:dyDescent="0.2">
      <c r="B472" s="115" t="s">
        <v>654</v>
      </c>
      <c r="C472" s="114">
        <v>211</v>
      </c>
      <c r="D472" s="147">
        <f t="shared" si="33"/>
        <v>0.14604973245199698</v>
      </c>
      <c r="E472" s="148">
        <f t="shared" si="32"/>
        <v>2.2118555035682156E-5</v>
      </c>
      <c r="F472" s="148">
        <f t="shared" si="34"/>
        <v>6.0843846984884545E-3</v>
      </c>
    </row>
    <row r="473" spans="2:6" x14ac:dyDescent="0.2">
      <c r="B473" s="115" t="s">
        <v>3014</v>
      </c>
      <c r="C473" s="114">
        <v>212</v>
      </c>
      <c r="D473" s="147">
        <f t="shared" si="33"/>
        <v>0.14636449480641939</v>
      </c>
      <c r="E473" s="148">
        <f t="shared" si="32"/>
        <v>2.2223382310732782E-5</v>
      </c>
      <c r="F473" s="148">
        <f t="shared" si="34"/>
        <v>6.1066080807991871E-3</v>
      </c>
    </row>
    <row r="474" spans="2:6" x14ac:dyDescent="0.2">
      <c r="B474" s="115" t="s">
        <v>2142</v>
      </c>
      <c r="C474" s="114">
        <v>212</v>
      </c>
      <c r="D474" s="147">
        <f t="shared" si="33"/>
        <v>0.14667925716084179</v>
      </c>
      <c r="E474" s="148">
        <f t="shared" si="32"/>
        <v>2.2223382310732782E-5</v>
      </c>
      <c r="F474" s="148">
        <f t="shared" si="34"/>
        <v>6.1288314631099197E-3</v>
      </c>
    </row>
    <row r="475" spans="2:6" x14ac:dyDescent="0.2">
      <c r="B475" s="115" t="s">
        <v>1857</v>
      </c>
      <c r="C475" s="114">
        <v>213</v>
      </c>
      <c r="D475" s="147">
        <f t="shared" si="33"/>
        <v>0.1469940195152642</v>
      </c>
      <c r="E475" s="148">
        <f t="shared" si="32"/>
        <v>2.2328209585783408E-5</v>
      </c>
      <c r="F475" s="148">
        <f t="shared" si="34"/>
        <v>6.1511596726957028E-3</v>
      </c>
    </row>
    <row r="476" spans="2:6" x14ac:dyDescent="0.2">
      <c r="B476" s="206" t="s">
        <v>1173</v>
      </c>
      <c r="C476" s="205">
        <v>213</v>
      </c>
      <c r="D476" s="147">
        <f t="shared" si="33"/>
        <v>0.1473087818696866</v>
      </c>
      <c r="E476" s="148">
        <f t="shared" si="32"/>
        <v>2.2328209585783408E-5</v>
      </c>
      <c r="F476" s="148">
        <f t="shared" si="34"/>
        <v>6.1734878822814858E-3</v>
      </c>
    </row>
    <row r="477" spans="2:6" x14ac:dyDescent="0.2">
      <c r="B477" s="206" t="s">
        <v>712</v>
      </c>
      <c r="C477" s="205">
        <v>213</v>
      </c>
      <c r="D477" s="147">
        <f t="shared" si="33"/>
        <v>0.147623544224109</v>
      </c>
      <c r="E477" s="148">
        <f t="shared" si="32"/>
        <v>2.2328209585783408E-5</v>
      </c>
      <c r="F477" s="148">
        <f t="shared" si="34"/>
        <v>6.1958160918672688E-3</v>
      </c>
    </row>
    <row r="478" spans="2:6" x14ac:dyDescent="0.2">
      <c r="B478" s="206" t="s">
        <v>625</v>
      </c>
      <c r="C478" s="205">
        <v>213</v>
      </c>
      <c r="D478" s="147">
        <f t="shared" si="33"/>
        <v>0.14793830657853141</v>
      </c>
      <c r="E478" s="148">
        <f t="shared" si="32"/>
        <v>2.2328209585783408E-5</v>
      </c>
      <c r="F478" s="148">
        <f t="shared" si="34"/>
        <v>6.2181443014530519E-3</v>
      </c>
    </row>
    <row r="479" spans="2:6" x14ac:dyDescent="0.2">
      <c r="B479" s="206" t="s">
        <v>445</v>
      </c>
      <c r="C479" s="205">
        <v>213</v>
      </c>
      <c r="D479" s="147">
        <f t="shared" si="33"/>
        <v>0.14825306893295381</v>
      </c>
      <c r="E479" s="148">
        <f t="shared" si="32"/>
        <v>2.2328209585783408E-5</v>
      </c>
      <c r="F479" s="148">
        <f t="shared" si="34"/>
        <v>6.2404725110388349E-3</v>
      </c>
    </row>
    <row r="480" spans="2:6" x14ac:dyDescent="0.2">
      <c r="B480" s="115" t="s">
        <v>2340</v>
      </c>
      <c r="C480" s="114">
        <v>214</v>
      </c>
      <c r="D480" s="147">
        <f t="shared" si="33"/>
        <v>0.14856783128737622</v>
      </c>
      <c r="E480" s="148">
        <f t="shared" si="32"/>
        <v>2.2433036860834037E-5</v>
      </c>
      <c r="F480" s="148">
        <f t="shared" si="34"/>
        <v>6.2629055478996692E-3</v>
      </c>
    </row>
    <row r="481" spans="2:6" x14ac:dyDescent="0.2">
      <c r="B481" s="206" t="s">
        <v>1697</v>
      </c>
      <c r="C481" s="205">
        <v>214</v>
      </c>
      <c r="D481" s="147">
        <f t="shared" si="33"/>
        <v>0.14888259364179862</v>
      </c>
      <c r="E481" s="148">
        <f t="shared" si="32"/>
        <v>2.2433036860834037E-5</v>
      </c>
      <c r="F481" s="148">
        <f t="shared" si="34"/>
        <v>6.2853385847605036E-3</v>
      </c>
    </row>
    <row r="482" spans="2:6" x14ac:dyDescent="0.2">
      <c r="B482" s="115" t="s">
        <v>1307</v>
      </c>
      <c r="C482" s="114">
        <v>214</v>
      </c>
      <c r="D482" s="147">
        <f t="shared" si="33"/>
        <v>0.14919735599622103</v>
      </c>
      <c r="E482" s="148">
        <f t="shared" si="32"/>
        <v>2.2433036860834037E-5</v>
      </c>
      <c r="F482" s="148">
        <f t="shared" si="34"/>
        <v>6.3077716216213379E-3</v>
      </c>
    </row>
    <row r="483" spans="2:6" x14ac:dyDescent="0.2">
      <c r="B483" s="206" t="s">
        <v>1110</v>
      </c>
      <c r="C483" s="205">
        <v>214</v>
      </c>
      <c r="D483" s="147">
        <f t="shared" si="33"/>
        <v>0.14951211835064343</v>
      </c>
      <c r="E483" s="148">
        <f t="shared" si="32"/>
        <v>2.2433036860834037E-5</v>
      </c>
      <c r="F483" s="148">
        <f t="shared" si="34"/>
        <v>6.3302046584821723E-3</v>
      </c>
    </row>
    <row r="484" spans="2:6" x14ac:dyDescent="0.2">
      <c r="B484" s="115" t="s">
        <v>983</v>
      </c>
      <c r="C484" s="114">
        <v>214</v>
      </c>
      <c r="D484" s="147">
        <f t="shared" si="33"/>
        <v>0.14982688070506583</v>
      </c>
      <c r="E484" s="148">
        <f t="shared" si="32"/>
        <v>2.2433036860834037E-5</v>
      </c>
      <c r="F484" s="148">
        <f t="shared" si="34"/>
        <v>6.3526376953430067E-3</v>
      </c>
    </row>
    <row r="485" spans="2:6" x14ac:dyDescent="0.2">
      <c r="B485" s="206" t="s">
        <v>2685</v>
      </c>
      <c r="C485" s="205">
        <v>215</v>
      </c>
      <c r="D485" s="147">
        <f t="shared" si="33"/>
        <v>0.15014164305948824</v>
      </c>
      <c r="E485" s="148">
        <f t="shared" si="32"/>
        <v>2.2537864135884662E-5</v>
      </c>
      <c r="F485" s="148">
        <f t="shared" si="34"/>
        <v>6.3751755594788915E-3</v>
      </c>
    </row>
    <row r="486" spans="2:6" x14ac:dyDescent="0.2">
      <c r="B486" s="206" t="s">
        <v>2502</v>
      </c>
      <c r="C486" s="205">
        <v>215</v>
      </c>
      <c r="D486" s="147">
        <f t="shared" si="33"/>
        <v>0.15045640541391064</v>
      </c>
      <c r="E486" s="148">
        <f t="shared" si="32"/>
        <v>2.2537864135884662E-5</v>
      </c>
      <c r="F486" s="148">
        <f t="shared" si="34"/>
        <v>6.3977134236147763E-3</v>
      </c>
    </row>
    <row r="487" spans="2:6" x14ac:dyDescent="0.2">
      <c r="B487" s="206" t="s">
        <v>665</v>
      </c>
      <c r="C487" s="205">
        <v>215</v>
      </c>
      <c r="D487" s="147">
        <f t="shared" si="33"/>
        <v>0.15077116776833305</v>
      </c>
      <c r="E487" s="148">
        <f t="shared" si="32"/>
        <v>2.2537864135884662E-5</v>
      </c>
      <c r="F487" s="148">
        <f t="shared" si="34"/>
        <v>6.4202512877506611E-3</v>
      </c>
    </row>
    <row r="488" spans="2:6" x14ac:dyDescent="0.2">
      <c r="B488" s="206" t="s">
        <v>936</v>
      </c>
      <c r="C488" s="205">
        <v>216</v>
      </c>
      <c r="D488" s="147">
        <f t="shared" si="33"/>
        <v>0.15108593012275545</v>
      </c>
      <c r="E488" s="148">
        <f t="shared" si="32"/>
        <v>2.2642691410935288E-5</v>
      </c>
      <c r="F488" s="148">
        <f t="shared" si="34"/>
        <v>6.4428939791615963E-3</v>
      </c>
    </row>
    <row r="489" spans="2:6" x14ac:dyDescent="0.2">
      <c r="B489" s="206" t="s">
        <v>1744</v>
      </c>
      <c r="C489" s="205">
        <v>217</v>
      </c>
      <c r="D489" s="147">
        <f t="shared" si="33"/>
        <v>0.15140069247717786</v>
      </c>
      <c r="E489" s="148">
        <f t="shared" si="32"/>
        <v>2.2747518685985914E-5</v>
      </c>
      <c r="F489" s="148">
        <f t="shared" si="34"/>
        <v>6.465641497847582E-3</v>
      </c>
    </row>
    <row r="490" spans="2:6" x14ac:dyDescent="0.2">
      <c r="B490" s="206" t="s">
        <v>18</v>
      </c>
      <c r="C490" s="205">
        <v>217</v>
      </c>
      <c r="D490" s="147">
        <f t="shared" si="33"/>
        <v>0.15171545483160026</v>
      </c>
      <c r="E490" s="148">
        <f t="shared" si="32"/>
        <v>2.2747518685985914E-5</v>
      </c>
      <c r="F490" s="148">
        <f t="shared" si="34"/>
        <v>6.4883890165335677E-3</v>
      </c>
    </row>
    <row r="491" spans="2:6" x14ac:dyDescent="0.2">
      <c r="B491" s="115" t="s">
        <v>2044</v>
      </c>
      <c r="C491" s="114">
        <v>218</v>
      </c>
      <c r="D491" s="147">
        <f t="shared" si="33"/>
        <v>0.15203021718602266</v>
      </c>
      <c r="E491" s="148">
        <f t="shared" si="32"/>
        <v>2.2852345961036539E-5</v>
      </c>
      <c r="F491" s="148">
        <f t="shared" si="34"/>
        <v>6.5112413624946039E-3</v>
      </c>
    </row>
    <row r="492" spans="2:6" x14ac:dyDescent="0.2">
      <c r="B492" s="115" t="s">
        <v>3114</v>
      </c>
      <c r="C492" s="114">
        <v>219</v>
      </c>
      <c r="D492" s="147">
        <f t="shared" si="33"/>
        <v>0.15234497954044507</v>
      </c>
      <c r="E492" s="148">
        <f t="shared" si="32"/>
        <v>2.2957173236087168E-5</v>
      </c>
      <c r="F492" s="148">
        <f t="shared" si="34"/>
        <v>6.5341985357306913E-3</v>
      </c>
    </row>
    <row r="493" spans="2:6" x14ac:dyDescent="0.2">
      <c r="B493" s="115" t="s">
        <v>2413</v>
      </c>
      <c r="C493" s="114">
        <v>219</v>
      </c>
      <c r="D493" s="147">
        <f t="shared" si="33"/>
        <v>0.15265974189486747</v>
      </c>
      <c r="E493" s="148">
        <f t="shared" si="32"/>
        <v>2.2957173236087168E-5</v>
      </c>
      <c r="F493" s="148">
        <f t="shared" si="34"/>
        <v>6.5571557089667788E-3</v>
      </c>
    </row>
    <row r="494" spans="2:6" x14ac:dyDescent="0.2">
      <c r="B494" s="206" t="s">
        <v>2169</v>
      </c>
      <c r="C494" s="205">
        <v>219</v>
      </c>
      <c r="D494" s="147">
        <f t="shared" si="33"/>
        <v>0.15297450424928988</v>
      </c>
      <c r="E494" s="148">
        <f t="shared" si="32"/>
        <v>2.2957173236087168E-5</v>
      </c>
      <c r="F494" s="148">
        <f t="shared" si="34"/>
        <v>6.5801128822028663E-3</v>
      </c>
    </row>
    <row r="495" spans="2:6" x14ac:dyDescent="0.2">
      <c r="B495" s="115" t="s">
        <v>1529</v>
      </c>
      <c r="C495" s="114">
        <v>219</v>
      </c>
      <c r="D495" s="147">
        <f t="shared" si="33"/>
        <v>0.15328926660371228</v>
      </c>
      <c r="E495" s="148">
        <f t="shared" si="32"/>
        <v>2.2957173236087168E-5</v>
      </c>
      <c r="F495" s="148">
        <f t="shared" si="34"/>
        <v>6.6030700554389537E-3</v>
      </c>
    </row>
    <row r="496" spans="2:6" x14ac:dyDescent="0.2">
      <c r="B496" s="115" t="s">
        <v>320</v>
      </c>
      <c r="C496" s="114">
        <v>219</v>
      </c>
      <c r="D496" s="147">
        <f t="shared" si="33"/>
        <v>0.15360402895813469</v>
      </c>
      <c r="E496" s="148">
        <f t="shared" si="32"/>
        <v>2.2957173236087168E-5</v>
      </c>
      <c r="F496" s="148">
        <f t="shared" si="34"/>
        <v>6.6260272286750412E-3</v>
      </c>
    </row>
    <row r="497" spans="2:6" x14ac:dyDescent="0.2">
      <c r="B497" s="115" t="s">
        <v>2478</v>
      </c>
      <c r="C497" s="114">
        <v>220</v>
      </c>
      <c r="D497" s="147">
        <f t="shared" si="33"/>
        <v>0.15391879131255709</v>
      </c>
      <c r="E497" s="148">
        <f t="shared" si="32"/>
        <v>2.3062000511137794E-5</v>
      </c>
      <c r="F497" s="148">
        <f t="shared" si="34"/>
        <v>6.6490892291861791E-3</v>
      </c>
    </row>
    <row r="498" spans="2:6" x14ac:dyDescent="0.2">
      <c r="B498" s="206" t="s">
        <v>122</v>
      </c>
      <c r="C498" s="205">
        <v>221</v>
      </c>
      <c r="D498" s="147">
        <f t="shared" si="33"/>
        <v>0.15423355366697949</v>
      </c>
      <c r="E498" s="148">
        <f t="shared" si="32"/>
        <v>2.316682778618842E-5</v>
      </c>
      <c r="F498" s="148">
        <f t="shared" si="34"/>
        <v>6.6722560569723675E-3</v>
      </c>
    </row>
    <row r="499" spans="2:6" x14ac:dyDescent="0.2">
      <c r="B499" s="115" t="s">
        <v>3095</v>
      </c>
      <c r="C499" s="114">
        <v>222</v>
      </c>
      <c r="D499" s="147">
        <f t="shared" si="33"/>
        <v>0.1545483160214019</v>
      </c>
      <c r="E499" s="148">
        <f t="shared" si="32"/>
        <v>2.3271655061239045E-5</v>
      </c>
      <c r="F499" s="148">
        <f t="shared" si="34"/>
        <v>6.6955277120336063E-3</v>
      </c>
    </row>
    <row r="500" spans="2:6" x14ac:dyDescent="0.2">
      <c r="B500" s="206" t="s">
        <v>2516</v>
      </c>
      <c r="C500" s="205">
        <v>222</v>
      </c>
      <c r="D500" s="147">
        <f t="shared" si="33"/>
        <v>0.1548630783758243</v>
      </c>
      <c r="E500" s="148">
        <f t="shared" si="32"/>
        <v>2.3271655061239045E-5</v>
      </c>
      <c r="F500" s="148">
        <f t="shared" si="34"/>
        <v>6.7187993670948451E-3</v>
      </c>
    </row>
    <row r="501" spans="2:6" x14ac:dyDescent="0.2">
      <c r="B501" s="206" t="s">
        <v>810</v>
      </c>
      <c r="C501" s="205">
        <v>222</v>
      </c>
      <c r="D501" s="147">
        <f t="shared" si="33"/>
        <v>0.15517784073024671</v>
      </c>
      <c r="E501" s="148">
        <f t="shared" si="32"/>
        <v>2.3271655061239045E-5</v>
      </c>
      <c r="F501" s="148">
        <f t="shared" si="34"/>
        <v>6.7420710221560839E-3</v>
      </c>
    </row>
    <row r="502" spans="2:6" x14ac:dyDescent="0.2">
      <c r="B502" s="206" t="s">
        <v>495</v>
      </c>
      <c r="C502" s="205">
        <v>222</v>
      </c>
      <c r="D502" s="147">
        <f t="shared" si="33"/>
        <v>0.15549260308466911</v>
      </c>
      <c r="E502" s="148">
        <f t="shared" si="32"/>
        <v>2.3271655061239045E-5</v>
      </c>
      <c r="F502" s="148">
        <f t="shared" si="34"/>
        <v>6.7653426772173227E-3</v>
      </c>
    </row>
    <row r="503" spans="2:6" x14ac:dyDescent="0.2">
      <c r="B503" s="115" t="s">
        <v>2856</v>
      </c>
      <c r="C503" s="114">
        <v>223</v>
      </c>
      <c r="D503" s="147">
        <f t="shared" si="33"/>
        <v>0.15580736543909152</v>
      </c>
      <c r="E503" s="148">
        <f t="shared" si="32"/>
        <v>2.3376482336289671E-5</v>
      </c>
      <c r="F503" s="148">
        <f t="shared" si="34"/>
        <v>6.788719159553612E-3</v>
      </c>
    </row>
    <row r="504" spans="2:6" x14ac:dyDescent="0.2">
      <c r="B504" s="115" t="s">
        <v>2831</v>
      </c>
      <c r="C504" s="114">
        <v>223</v>
      </c>
      <c r="D504" s="147">
        <f t="shared" si="33"/>
        <v>0.15612212779351392</v>
      </c>
      <c r="E504" s="148">
        <f t="shared" si="32"/>
        <v>2.3376482336289671E-5</v>
      </c>
      <c r="F504" s="148">
        <f t="shared" si="34"/>
        <v>6.8120956418899013E-3</v>
      </c>
    </row>
    <row r="505" spans="2:6" x14ac:dyDescent="0.2">
      <c r="B505" s="115" t="s">
        <v>111</v>
      </c>
      <c r="C505" s="114">
        <v>223</v>
      </c>
      <c r="D505" s="147">
        <f t="shared" si="33"/>
        <v>0.15643689014793632</v>
      </c>
      <c r="E505" s="148">
        <f t="shared" si="32"/>
        <v>2.3376482336289671E-5</v>
      </c>
      <c r="F505" s="148">
        <f t="shared" si="34"/>
        <v>6.8354721242261905E-3</v>
      </c>
    </row>
    <row r="506" spans="2:6" x14ac:dyDescent="0.2">
      <c r="B506" s="206" t="s">
        <v>2333</v>
      </c>
      <c r="C506" s="205">
        <v>224</v>
      </c>
      <c r="D506" s="147">
        <f t="shared" si="33"/>
        <v>0.15675165250235873</v>
      </c>
      <c r="E506" s="148">
        <f t="shared" si="32"/>
        <v>2.34813096113403E-5</v>
      </c>
      <c r="F506" s="148">
        <f t="shared" si="34"/>
        <v>6.8589534338375311E-3</v>
      </c>
    </row>
    <row r="507" spans="2:6" x14ac:dyDescent="0.2">
      <c r="B507" s="115" t="s">
        <v>897</v>
      </c>
      <c r="C507" s="114">
        <v>224</v>
      </c>
      <c r="D507" s="147">
        <f t="shared" si="33"/>
        <v>0.15706641485678113</v>
      </c>
      <c r="E507" s="148">
        <f t="shared" si="32"/>
        <v>2.34813096113403E-5</v>
      </c>
      <c r="F507" s="148">
        <f t="shared" si="34"/>
        <v>6.8824347434488717E-3</v>
      </c>
    </row>
    <row r="508" spans="2:6" x14ac:dyDescent="0.2">
      <c r="B508" s="115" t="s">
        <v>1898</v>
      </c>
      <c r="C508" s="114">
        <v>225</v>
      </c>
      <c r="D508" s="147">
        <f t="shared" si="33"/>
        <v>0.15738117721120354</v>
      </c>
      <c r="E508" s="148">
        <f t="shared" si="32"/>
        <v>2.3586136886390926E-5</v>
      </c>
      <c r="F508" s="148">
        <f t="shared" si="34"/>
        <v>6.9060208803352627E-3</v>
      </c>
    </row>
    <row r="509" spans="2:6" x14ac:dyDescent="0.2">
      <c r="B509" s="115" t="s">
        <v>2620</v>
      </c>
      <c r="C509" s="114">
        <v>226</v>
      </c>
      <c r="D509" s="147">
        <f t="shared" si="33"/>
        <v>0.15769593956562594</v>
      </c>
      <c r="E509" s="148">
        <f t="shared" si="32"/>
        <v>2.3690964161441551E-5</v>
      </c>
      <c r="F509" s="148">
        <f t="shared" si="34"/>
        <v>6.9297118444967042E-3</v>
      </c>
    </row>
    <row r="510" spans="2:6" x14ac:dyDescent="0.2">
      <c r="B510" s="206" t="s">
        <v>1151</v>
      </c>
      <c r="C510" s="205">
        <v>226</v>
      </c>
      <c r="D510" s="147">
        <f t="shared" si="33"/>
        <v>0.15801070192004835</v>
      </c>
      <c r="E510" s="148">
        <f t="shared" si="32"/>
        <v>2.3690964161441551E-5</v>
      </c>
      <c r="F510" s="148">
        <f t="shared" si="34"/>
        <v>6.9534028086581457E-3</v>
      </c>
    </row>
    <row r="511" spans="2:6" x14ac:dyDescent="0.2">
      <c r="B511" s="206" t="s">
        <v>3155</v>
      </c>
      <c r="C511" s="205">
        <v>227</v>
      </c>
      <c r="D511" s="147">
        <f t="shared" si="33"/>
        <v>0.15832546427447075</v>
      </c>
      <c r="E511" s="148">
        <f t="shared" si="32"/>
        <v>2.3795791436492177E-5</v>
      </c>
      <c r="F511" s="148">
        <f t="shared" si="34"/>
        <v>6.9771986000946376E-3</v>
      </c>
    </row>
    <row r="512" spans="2:6" x14ac:dyDescent="0.2">
      <c r="B512" s="115" t="s">
        <v>1388</v>
      </c>
      <c r="C512" s="114">
        <v>227</v>
      </c>
      <c r="D512" s="147">
        <f t="shared" si="33"/>
        <v>0.15864022662889316</v>
      </c>
      <c r="E512" s="148">
        <f t="shared" si="32"/>
        <v>2.3795791436492177E-5</v>
      </c>
      <c r="F512" s="148">
        <f t="shared" si="34"/>
        <v>7.0009943915311295E-3</v>
      </c>
    </row>
    <row r="513" spans="2:6" x14ac:dyDescent="0.2">
      <c r="B513" s="115" t="s">
        <v>1332</v>
      </c>
      <c r="C513" s="114">
        <v>227</v>
      </c>
      <c r="D513" s="147">
        <f t="shared" si="33"/>
        <v>0.15895498898331556</v>
      </c>
      <c r="E513" s="148">
        <f t="shared" si="32"/>
        <v>2.3795791436492177E-5</v>
      </c>
      <c r="F513" s="148">
        <f t="shared" si="34"/>
        <v>7.0247901829676215E-3</v>
      </c>
    </row>
    <row r="514" spans="2:6" x14ac:dyDescent="0.2">
      <c r="B514" s="115" t="s">
        <v>702</v>
      </c>
      <c r="C514" s="114">
        <v>227</v>
      </c>
      <c r="D514" s="147">
        <f t="shared" si="33"/>
        <v>0.15926975133773796</v>
      </c>
      <c r="E514" s="148">
        <f t="shared" si="32"/>
        <v>2.3795791436492177E-5</v>
      </c>
      <c r="F514" s="148">
        <f t="shared" si="34"/>
        <v>7.0485859744041134E-3</v>
      </c>
    </row>
    <row r="515" spans="2:6" x14ac:dyDescent="0.2">
      <c r="B515" s="115" t="s">
        <v>248</v>
      </c>
      <c r="C515" s="114">
        <v>227</v>
      </c>
      <c r="D515" s="147">
        <f t="shared" si="33"/>
        <v>0.15958451369216037</v>
      </c>
      <c r="E515" s="148">
        <f t="shared" si="32"/>
        <v>2.3795791436492177E-5</v>
      </c>
      <c r="F515" s="148">
        <f t="shared" si="34"/>
        <v>7.0723817658406053E-3</v>
      </c>
    </row>
    <row r="516" spans="2:6" x14ac:dyDescent="0.2">
      <c r="B516" s="115" t="s">
        <v>1782</v>
      </c>
      <c r="C516" s="114">
        <v>228</v>
      </c>
      <c r="D516" s="147">
        <f t="shared" si="33"/>
        <v>0.15989927604658277</v>
      </c>
      <c r="E516" s="148">
        <f t="shared" si="32"/>
        <v>2.3900618711542803E-5</v>
      </c>
      <c r="F516" s="148">
        <f t="shared" si="34"/>
        <v>7.0962823845521477E-3</v>
      </c>
    </row>
    <row r="517" spans="2:6" x14ac:dyDescent="0.2">
      <c r="B517" s="115" t="s">
        <v>315</v>
      </c>
      <c r="C517" s="114">
        <v>228</v>
      </c>
      <c r="D517" s="147">
        <f t="shared" si="33"/>
        <v>0.16021403840100518</v>
      </c>
      <c r="E517" s="148">
        <f t="shared" si="32"/>
        <v>2.3900618711542803E-5</v>
      </c>
      <c r="F517" s="148">
        <f t="shared" si="34"/>
        <v>7.1201830032636901E-3</v>
      </c>
    </row>
    <row r="518" spans="2:6" x14ac:dyDescent="0.2">
      <c r="B518" s="206" t="s">
        <v>3154</v>
      </c>
      <c r="C518" s="205">
        <v>229</v>
      </c>
      <c r="D518" s="147">
        <f t="shared" si="33"/>
        <v>0.16052880075542758</v>
      </c>
      <c r="E518" s="148">
        <f t="shared" si="32"/>
        <v>2.4005445986593432E-5</v>
      </c>
      <c r="F518" s="148">
        <f t="shared" si="34"/>
        <v>7.1441884492502838E-3</v>
      </c>
    </row>
    <row r="519" spans="2:6" x14ac:dyDescent="0.2">
      <c r="B519" s="115" t="s">
        <v>2733</v>
      </c>
      <c r="C519" s="114">
        <v>229</v>
      </c>
      <c r="D519" s="147">
        <f t="shared" si="33"/>
        <v>0.16084356310984999</v>
      </c>
      <c r="E519" s="148">
        <f t="shared" si="32"/>
        <v>2.4005445986593432E-5</v>
      </c>
      <c r="F519" s="148">
        <f t="shared" si="34"/>
        <v>7.1681938952368775E-3</v>
      </c>
    </row>
    <row r="520" spans="2:6" x14ac:dyDescent="0.2">
      <c r="B520" s="115" t="s">
        <v>974</v>
      </c>
      <c r="C520" s="114">
        <v>229</v>
      </c>
      <c r="D520" s="147">
        <f t="shared" si="33"/>
        <v>0.16115832546427239</v>
      </c>
      <c r="E520" s="148">
        <f t="shared" si="32"/>
        <v>2.4005445986593432E-5</v>
      </c>
      <c r="F520" s="148">
        <f t="shared" si="34"/>
        <v>7.1921993412234712E-3</v>
      </c>
    </row>
    <row r="521" spans="2:6" x14ac:dyDescent="0.2">
      <c r="B521" s="115" t="s">
        <v>2151</v>
      </c>
      <c r="C521" s="114">
        <v>230</v>
      </c>
      <c r="D521" s="147">
        <f t="shared" si="33"/>
        <v>0.16147308781869479</v>
      </c>
      <c r="E521" s="148">
        <f t="shared" ref="E521:E584" si="35">C521/$O$18</f>
        <v>2.4110273261644057E-5</v>
      </c>
      <c r="F521" s="148">
        <f t="shared" si="34"/>
        <v>7.2163096144851153E-3</v>
      </c>
    </row>
    <row r="522" spans="2:6" x14ac:dyDescent="0.2">
      <c r="B522" s="115" t="s">
        <v>1083</v>
      </c>
      <c r="C522" s="114">
        <v>230</v>
      </c>
      <c r="D522" s="147">
        <f t="shared" ref="D522:D585" si="36">D521+1/$L$18</f>
        <v>0.1617878501731172</v>
      </c>
      <c r="E522" s="148">
        <f t="shared" si="35"/>
        <v>2.4110273261644057E-5</v>
      </c>
      <c r="F522" s="148">
        <f t="shared" ref="F522:F585" si="37">F521+E522</f>
        <v>7.2404198877467595E-3</v>
      </c>
    </row>
    <row r="523" spans="2:6" x14ac:dyDescent="0.2">
      <c r="B523" s="206" t="s">
        <v>2539</v>
      </c>
      <c r="C523" s="205">
        <v>231</v>
      </c>
      <c r="D523" s="147">
        <f t="shared" si="36"/>
        <v>0.1621026125275396</v>
      </c>
      <c r="E523" s="148">
        <f t="shared" si="35"/>
        <v>2.4215100536694683E-5</v>
      </c>
      <c r="F523" s="148">
        <f t="shared" si="37"/>
        <v>7.2646349882834541E-3</v>
      </c>
    </row>
    <row r="524" spans="2:6" x14ac:dyDescent="0.2">
      <c r="B524" s="206" t="s">
        <v>3010</v>
      </c>
      <c r="C524" s="205">
        <v>232</v>
      </c>
      <c r="D524" s="147">
        <f t="shared" si="36"/>
        <v>0.16241737488196201</v>
      </c>
      <c r="E524" s="148">
        <f t="shared" si="35"/>
        <v>2.4319927811745309E-5</v>
      </c>
      <c r="F524" s="148">
        <f t="shared" si="37"/>
        <v>7.2889549160951991E-3</v>
      </c>
    </row>
    <row r="525" spans="2:6" x14ac:dyDescent="0.2">
      <c r="B525" s="206" t="s">
        <v>2708</v>
      </c>
      <c r="C525" s="205">
        <v>232</v>
      </c>
      <c r="D525" s="147">
        <f t="shared" si="36"/>
        <v>0.16273213723638441</v>
      </c>
      <c r="E525" s="148">
        <f t="shared" si="35"/>
        <v>2.4319927811745309E-5</v>
      </c>
      <c r="F525" s="148">
        <f t="shared" si="37"/>
        <v>7.3132748439069441E-3</v>
      </c>
    </row>
    <row r="526" spans="2:6" x14ac:dyDescent="0.2">
      <c r="B526" s="206" t="s">
        <v>2122</v>
      </c>
      <c r="C526" s="205">
        <v>232</v>
      </c>
      <c r="D526" s="147">
        <f t="shared" si="36"/>
        <v>0.16304689959080682</v>
      </c>
      <c r="E526" s="148">
        <f t="shared" si="35"/>
        <v>2.4319927811745309E-5</v>
      </c>
      <c r="F526" s="148">
        <f t="shared" si="37"/>
        <v>7.3375947717186892E-3</v>
      </c>
    </row>
    <row r="527" spans="2:6" x14ac:dyDescent="0.2">
      <c r="B527" s="206" t="s">
        <v>2074</v>
      </c>
      <c r="C527" s="205">
        <v>232</v>
      </c>
      <c r="D527" s="147">
        <f t="shared" si="36"/>
        <v>0.16336166194522922</v>
      </c>
      <c r="E527" s="148">
        <f t="shared" si="35"/>
        <v>2.4319927811745309E-5</v>
      </c>
      <c r="F527" s="148">
        <f t="shared" si="37"/>
        <v>7.3619146995304342E-3</v>
      </c>
    </row>
    <row r="528" spans="2:6" x14ac:dyDescent="0.2">
      <c r="B528" s="115" t="s">
        <v>1845</v>
      </c>
      <c r="C528" s="114">
        <v>232</v>
      </c>
      <c r="D528" s="147">
        <f t="shared" si="36"/>
        <v>0.16367642429965162</v>
      </c>
      <c r="E528" s="148">
        <f t="shared" si="35"/>
        <v>2.4319927811745309E-5</v>
      </c>
      <c r="F528" s="148">
        <f t="shared" si="37"/>
        <v>7.3862346273421793E-3</v>
      </c>
    </row>
    <row r="529" spans="2:6" x14ac:dyDescent="0.2">
      <c r="B529" s="206" t="s">
        <v>1241</v>
      </c>
      <c r="C529" s="205">
        <v>232</v>
      </c>
      <c r="D529" s="147">
        <f t="shared" si="36"/>
        <v>0.16399118665407403</v>
      </c>
      <c r="E529" s="148">
        <f t="shared" si="35"/>
        <v>2.4319927811745309E-5</v>
      </c>
      <c r="F529" s="148">
        <f t="shared" si="37"/>
        <v>7.4105545551539243E-3</v>
      </c>
    </row>
    <row r="530" spans="2:6" x14ac:dyDescent="0.2">
      <c r="B530" s="206" t="s">
        <v>1249</v>
      </c>
      <c r="C530" s="205">
        <v>233</v>
      </c>
      <c r="D530" s="147">
        <f t="shared" si="36"/>
        <v>0.16430594900849643</v>
      </c>
      <c r="E530" s="148">
        <f t="shared" si="35"/>
        <v>2.4424755086795934E-5</v>
      </c>
      <c r="F530" s="148">
        <f t="shared" si="37"/>
        <v>7.4349793102407207E-3</v>
      </c>
    </row>
    <row r="531" spans="2:6" x14ac:dyDescent="0.2">
      <c r="B531" s="115" t="s">
        <v>870</v>
      </c>
      <c r="C531" s="114">
        <v>233</v>
      </c>
      <c r="D531" s="147">
        <f t="shared" si="36"/>
        <v>0.16462071136291884</v>
      </c>
      <c r="E531" s="148">
        <f t="shared" si="35"/>
        <v>2.4424755086795934E-5</v>
      </c>
      <c r="F531" s="148">
        <f t="shared" si="37"/>
        <v>7.459404065327517E-3</v>
      </c>
    </row>
    <row r="532" spans="2:6" x14ac:dyDescent="0.2">
      <c r="B532" s="115" t="s">
        <v>697</v>
      </c>
      <c r="C532" s="114">
        <v>233</v>
      </c>
      <c r="D532" s="147">
        <f t="shared" si="36"/>
        <v>0.16493547371734124</v>
      </c>
      <c r="E532" s="148">
        <f t="shared" si="35"/>
        <v>2.4424755086795934E-5</v>
      </c>
      <c r="F532" s="148">
        <f t="shared" si="37"/>
        <v>7.4838288204143134E-3</v>
      </c>
    </row>
    <row r="533" spans="2:6" x14ac:dyDescent="0.2">
      <c r="B533" s="115" t="s">
        <v>568</v>
      </c>
      <c r="C533" s="114">
        <v>233</v>
      </c>
      <c r="D533" s="147">
        <f t="shared" si="36"/>
        <v>0.16525023607176365</v>
      </c>
      <c r="E533" s="148">
        <f t="shared" si="35"/>
        <v>2.4424755086795934E-5</v>
      </c>
      <c r="F533" s="148">
        <f t="shared" si="37"/>
        <v>7.5082535755011098E-3</v>
      </c>
    </row>
    <row r="534" spans="2:6" x14ac:dyDescent="0.2">
      <c r="B534" s="115" t="s">
        <v>266</v>
      </c>
      <c r="C534" s="114">
        <v>233</v>
      </c>
      <c r="D534" s="147">
        <f t="shared" si="36"/>
        <v>0.16556499842618605</v>
      </c>
      <c r="E534" s="148">
        <f t="shared" si="35"/>
        <v>2.4424755086795934E-5</v>
      </c>
      <c r="F534" s="148">
        <f t="shared" si="37"/>
        <v>7.5326783305879061E-3</v>
      </c>
    </row>
    <row r="535" spans="2:6" x14ac:dyDescent="0.2">
      <c r="B535" s="115" t="s">
        <v>82</v>
      </c>
      <c r="C535" s="114">
        <v>233</v>
      </c>
      <c r="D535" s="147">
        <f t="shared" si="36"/>
        <v>0.16587976078060845</v>
      </c>
      <c r="E535" s="148">
        <f t="shared" si="35"/>
        <v>2.4424755086795934E-5</v>
      </c>
      <c r="F535" s="148">
        <f t="shared" si="37"/>
        <v>7.5571030856747025E-3</v>
      </c>
    </row>
    <row r="536" spans="2:6" x14ac:dyDescent="0.2">
      <c r="B536" s="206" t="s">
        <v>2417</v>
      </c>
      <c r="C536" s="205">
        <v>234</v>
      </c>
      <c r="D536" s="147">
        <f t="shared" si="36"/>
        <v>0.16619452313503086</v>
      </c>
      <c r="E536" s="148">
        <f t="shared" si="35"/>
        <v>2.4529582361846563E-5</v>
      </c>
      <c r="F536" s="148">
        <f t="shared" si="37"/>
        <v>7.5816326680365493E-3</v>
      </c>
    </row>
    <row r="537" spans="2:6" x14ac:dyDescent="0.2">
      <c r="B537" s="115" t="s">
        <v>1614</v>
      </c>
      <c r="C537" s="114">
        <v>234</v>
      </c>
      <c r="D537" s="147">
        <f t="shared" si="36"/>
        <v>0.16650928548945326</v>
      </c>
      <c r="E537" s="148">
        <f t="shared" si="35"/>
        <v>2.4529582361846563E-5</v>
      </c>
      <c r="F537" s="148">
        <f t="shared" si="37"/>
        <v>7.6061622503983961E-3</v>
      </c>
    </row>
    <row r="538" spans="2:6" x14ac:dyDescent="0.2">
      <c r="B538" s="115" t="s">
        <v>1605</v>
      </c>
      <c r="C538" s="114">
        <v>234</v>
      </c>
      <c r="D538" s="147">
        <f t="shared" si="36"/>
        <v>0.16682404784387567</v>
      </c>
      <c r="E538" s="148">
        <f t="shared" si="35"/>
        <v>2.4529582361846563E-5</v>
      </c>
      <c r="F538" s="148">
        <f t="shared" si="37"/>
        <v>7.6306918327602429E-3</v>
      </c>
    </row>
    <row r="539" spans="2:6" x14ac:dyDescent="0.2">
      <c r="B539" s="206" t="s">
        <v>2847</v>
      </c>
      <c r="C539" s="205">
        <v>235</v>
      </c>
      <c r="D539" s="147">
        <f t="shared" si="36"/>
        <v>0.16713881019829807</v>
      </c>
      <c r="E539" s="148">
        <f t="shared" si="35"/>
        <v>2.4634409636897189E-5</v>
      </c>
      <c r="F539" s="148">
        <f t="shared" si="37"/>
        <v>7.6553262423971402E-3</v>
      </c>
    </row>
    <row r="540" spans="2:6" x14ac:dyDescent="0.2">
      <c r="B540" s="206" t="s">
        <v>2118</v>
      </c>
      <c r="C540" s="205">
        <v>236</v>
      </c>
      <c r="D540" s="147">
        <f t="shared" si="36"/>
        <v>0.16745357255272048</v>
      </c>
      <c r="E540" s="148">
        <f t="shared" si="35"/>
        <v>2.4739236911947815E-5</v>
      </c>
      <c r="F540" s="148">
        <f t="shared" si="37"/>
        <v>7.6800654793090879E-3</v>
      </c>
    </row>
    <row r="541" spans="2:6" x14ac:dyDescent="0.2">
      <c r="B541" s="115" t="s">
        <v>885</v>
      </c>
      <c r="C541" s="114">
        <v>236</v>
      </c>
      <c r="D541" s="147">
        <f t="shared" si="36"/>
        <v>0.16776833490714288</v>
      </c>
      <c r="E541" s="148">
        <f t="shared" si="35"/>
        <v>2.4739236911947815E-5</v>
      </c>
      <c r="F541" s="148">
        <f t="shared" si="37"/>
        <v>7.7048047162210356E-3</v>
      </c>
    </row>
    <row r="542" spans="2:6" x14ac:dyDescent="0.2">
      <c r="B542" s="206" t="s">
        <v>1636</v>
      </c>
      <c r="C542" s="205">
        <v>237</v>
      </c>
      <c r="D542" s="147">
        <f t="shared" si="36"/>
        <v>0.16808309726156528</v>
      </c>
      <c r="E542" s="148">
        <f t="shared" si="35"/>
        <v>2.484406418699844E-5</v>
      </c>
      <c r="F542" s="148">
        <f t="shared" si="37"/>
        <v>7.7296487804080338E-3</v>
      </c>
    </row>
    <row r="543" spans="2:6" x14ac:dyDescent="0.2">
      <c r="B543" s="115" t="s">
        <v>490</v>
      </c>
      <c r="C543" s="114">
        <v>237</v>
      </c>
      <c r="D543" s="147">
        <f t="shared" si="36"/>
        <v>0.16839785961598769</v>
      </c>
      <c r="E543" s="148">
        <f t="shared" si="35"/>
        <v>2.484406418699844E-5</v>
      </c>
      <c r="F543" s="148">
        <f t="shared" si="37"/>
        <v>7.7544928445950319E-3</v>
      </c>
    </row>
    <row r="544" spans="2:6" x14ac:dyDescent="0.2">
      <c r="B544" s="115" t="s">
        <v>3087</v>
      </c>
      <c r="C544" s="114">
        <v>238</v>
      </c>
      <c r="D544" s="147">
        <f t="shared" si="36"/>
        <v>0.16871262197041009</v>
      </c>
      <c r="E544" s="148">
        <f t="shared" si="35"/>
        <v>2.4948891462049066E-5</v>
      </c>
      <c r="F544" s="148">
        <f t="shared" si="37"/>
        <v>7.7794417360570814E-3</v>
      </c>
    </row>
    <row r="545" spans="2:6" x14ac:dyDescent="0.2">
      <c r="B545" s="206" t="s">
        <v>2541</v>
      </c>
      <c r="C545" s="205">
        <v>238</v>
      </c>
      <c r="D545" s="147">
        <f t="shared" si="36"/>
        <v>0.1690273843248325</v>
      </c>
      <c r="E545" s="148">
        <f t="shared" si="35"/>
        <v>2.4948891462049066E-5</v>
      </c>
      <c r="F545" s="148">
        <f t="shared" si="37"/>
        <v>7.8043906275191309E-3</v>
      </c>
    </row>
    <row r="546" spans="2:6" x14ac:dyDescent="0.2">
      <c r="B546" s="115" t="s">
        <v>1828</v>
      </c>
      <c r="C546" s="114">
        <v>238</v>
      </c>
      <c r="D546" s="147">
        <f t="shared" si="36"/>
        <v>0.1693421466792549</v>
      </c>
      <c r="E546" s="148">
        <f t="shared" si="35"/>
        <v>2.4948891462049066E-5</v>
      </c>
      <c r="F546" s="148">
        <f t="shared" si="37"/>
        <v>7.8293395189811803E-3</v>
      </c>
    </row>
    <row r="547" spans="2:6" x14ac:dyDescent="0.2">
      <c r="B547" s="115" t="s">
        <v>1721</v>
      </c>
      <c r="C547" s="114">
        <v>238</v>
      </c>
      <c r="D547" s="147">
        <f t="shared" si="36"/>
        <v>0.16965690903367731</v>
      </c>
      <c r="E547" s="148">
        <f t="shared" si="35"/>
        <v>2.4948891462049066E-5</v>
      </c>
      <c r="F547" s="148">
        <f t="shared" si="37"/>
        <v>7.854288410443229E-3</v>
      </c>
    </row>
    <row r="548" spans="2:6" x14ac:dyDescent="0.2">
      <c r="B548" s="206" t="s">
        <v>963</v>
      </c>
      <c r="C548" s="205">
        <v>238</v>
      </c>
      <c r="D548" s="147">
        <f t="shared" si="36"/>
        <v>0.16997167138809971</v>
      </c>
      <c r="E548" s="148">
        <f t="shared" si="35"/>
        <v>2.4948891462049066E-5</v>
      </c>
      <c r="F548" s="148">
        <f t="shared" si="37"/>
        <v>7.8792373019052776E-3</v>
      </c>
    </row>
    <row r="549" spans="2:6" x14ac:dyDescent="0.2">
      <c r="B549" s="206" t="s">
        <v>804</v>
      </c>
      <c r="C549" s="205">
        <v>239</v>
      </c>
      <c r="D549" s="147">
        <f t="shared" si="36"/>
        <v>0.17028643374252211</v>
      </c>
      <c r="E549" s="148">
        <f t="shared" si="35"/>
        <v>2.5053718737099695E-5</v>
      </c>
      <c r="F549" s="148">
        <f t="shared" si="37"/>
        <v>7.9042910206423775E-3</v>
      </c>
    </row>
    <row r="550" spans="2:6" x14ac:dyDescent="0.2">
      <c r="B550" s="115" t="s">
        <v>1487</v>
      </c>
      <c r="C550" s="114">
        <v>240</v>
      </c>
      <c r="D550" s="147">
        <f t="shared" si="36"/>
        <v>0.17060119609694452</v>
      </c>
      <c r="E550" s="148">
        <f t="shared" si="35"/>
        <v>2.5158546012150321E-5</v>
      </c>
      <c r="F550" s="148">
        <f t="shared" si="37"/>
        <v>7.929449566654527E-3</v>
      </c>
    </row>
    <row r="551" spans="2:6" x14ac:dyDescent="0.2">
      <c r="B551" s="115" t="s">
        <v>780</v>
      </c>
      <c r="C551" s="114">
        <v>240</v>
      </c>
      <c r="D551" s="147">
        <f t="shared" si="36"/>
        <v>0.17091595845136692</v>
      </c>
      <c r="E551" s="148">
        <f t="shared" si="35"/>
        <v>2.5158546012150321E-5</v>
      </c>
      <c r="F551" s="148">
        <f t="shared" si="37"/>
        <v>7.9546081126666765E-3</v>
      </c>
    </row>
    <row r="552" spans="2:6" x14ac:dyDescent="0.2">
      <c r="B552" s="206" t="s">
        <v>1888</v>
      </c>
      <c r="C552" s="205">
        <v>241</v>
      </c>
      <c r="D552" s="147">
        <f t="shared" si="36"/>
        <v>0.17123072080578933</v>
      </c>
      <c r="E552" s="148">
        <f t="shared" si="35"/>
        <v>2.5263373287200946E-5</v>
      </c>
      <c r="F552" s="148">
        <f t="shared" si="37"/>
        <v>7.9798714859538773E-3</v>
      </c>
    </row>
    <row r="553" spans="2:6" x14ac:dyDescent="0.2">
      <c r="B553" s="206" t="s">
        <v>1555</v>
      </c>
      <c r="C553" s="205">
        <v>241</v>
      </c>
      <c r="D553" s="147">
        <f t="shared" si="36"/>
        <v>0.17154548316021173</v>
      </c>
      <c r="E553" s="148">
        <f t="shared" si="35"/>
        <v>2.5263373287200946E-5</v>
      </c>
      <c r="F553" s="148">
        <f t="shared" si="37"/>
        <v>8.0051348592410781E-3</v>
      </c>
    </row>
    <row r="554" spans="2:6" x14ac:dyDescent="0.2">
      <c r="B554" s="115" t="s">
        <v>873</v>
      </c>
      <c r="C554" s="114">
        <v>241</v>
      </c>
      <c r="D554" s="147">
        <f t="shared" si="36"/>
        <v>0.17186024551463414</v>
      </c>
      <c r="E554" s="148">
        <f t="shared" si="35"/>
        <v>2.5263373287200946E-5</v>
      </c>
      <c r="F554" s="148">
        <f t="shared" si="37"/>
        <v>8.030398232528279E-3</v>
      </c>
    </row>
    <row r="555" spans="2:6" x14ac:dyDescent="0.2">
      <c r="B555" s="206" t="s">
        <v>888</v>
      </c>
      <c r="C555" s="205">
        <v>242</v>
      </c>
      <c r="D555" s="147">
        <f t="shared" si="36"/>
        <v>0.17217500786905654</v>
      </c>
      <c r="E555" s="148">
        <f t="shared" si="35"/>
        <v>2.5368200562251572E-5</v>
      </c>
      <c r="F555" s="148">
        <f t="shared" si="37"/>
        <v>8.0557664330905311E-3</v>
      </c>
    </row>
    <row r="556" spans="2:6" x14ac:dyDescent="0.2">
      <c r="B556" s="206" t="s">
        <v>28</v>
      </c>
      <c r="C556" s="205">
        <v>242</v>
      </c>
      <c r="D556" s="147">
        <f t="shared" si="36"/>
        <v>0.17248977022347894</v>
      </c>
      <c r="E556" s="148">
        <f t="shared" si="35"/>
        <v>2.5368200562251572E-5</v>
      </c>
      <c r="F556" s="148">
        <f t="shared" si="37"/>
        <v>8.0811346336527833E-3</v>
      </c>
    </row>
    <row r="557" spans="2:6" x14ac:dyDescent="0.2">
      <c r="B557" s="115" t="s">
        <v>1482</v>
      </c>
      <c r="C557" s="114">
        <v>243</v>
      </c>
      <c r="D557" s="147">
        <f t="shared" si="36"/>
        <v>0.17280453257790135</v>
      </c>
      <c r="E557" s="148">
        <f t="shared" si="35"/>
        <v>2.5473027837302198E-5</v>
      </c>
      <c r="F557" s="148">
        <f t="shared" si="37"/>
        <v>8.106607661490085E-3</v>
      </c>
    </row>
    <row r="558" spans="2:6" x14ac:dyDescent="0.2">
      <c r="B558" s="206" t="s">
        <v>74</v>
      </c>
      <c r="C558" s="205">
        <v>243</v>
      </c>
      <c r="D558" s="147">
        <f t="shared" si="36"/>
        <v>0.17311929493232375</v>
      </c>
      <c r="E558" s="148">
        <f t="shared" si="35"/>
        <v>2.5473027837302198E-5</v>
      </c>
      <c r="F558" s="148">
        <f t="shared" si="37"/>
        <v>8.1320806893273867E-3</v>
      </c>
    </row>
    <row r="559" spans="2:6" x14ac:dyDescent="0.2">
      <c r="B559" s="115" t="s">
        <v>11</v>
      </c>
      <c r="C559" s="114">
        <v>243</v>
      </c>
      <c r="D559" s="147">
        <f t="shared" si="36"/>
        <v>0.17343405728674616</v>
      </c>
      <c r="E559" s="148">
        <f t="shared" si="35"/>
        <v>2.5473027837302198E-5</v>
      </c>
      <c r="F559" s="148">
        <f t="shared" si="37"/>
        <v>8.1575537171646884E-3</v>
      </c>
    </row>
    <row r="560" spans="2:6" x14ac:dyDescent="0.2">
      <c r="B560" s="115" t="s">
        <v>346</v>
      </c>
      <c r="C560" s="114">
        <v>244</v>
      </c>
      <c r="D560" s="147">
        <f t="shared" si="36"/>
        <v>0.17374881964116856</v>
      </c>
      <c r="E560" s="148">
        <f t="shared" si="35"/>
        <v>2.5577855112352827E-5</v>
      </c>
      <c r="F560" s="148">
        <f t="shared" si="37"/>
        <v>8.1831315722770415E-3</v>
      </c>
    </row>
    <row r="561" spans="2:6" x14ac:dyDescent="0.2">
      <c r="B561" s="206" t="s">
        <v>678</v>
      </c>
      <c r="C561" s="205">
        <v>246</v>
      </c>
      <c r="D561" s="147">
        <f t="shared" si="36"/>
        <v>0.17406358199559097</v>
      </c>
      <c r="E561" s="148">
        <f t="shared" si="35"/>
        <v>2.5787509662454078E-5</v>
      </c>
      <c r="F561" s="148">
        <f t="shared" si="37"/>
        <v>8.2089190819394954E-3</v>
      </c>
    </row>
    <row r="562" spans="2:6" x14ac:dyDescent="0.2">
      <c r="B562" s="115" t="s">
        <v>2448</v>
      </c>
      <c r="C562" s="114">
        <v>247</v>
      </c>
      <c r="D562" s="147">
        <f t="shared" si="36"/>
        <v>0.17437834435001337</v>
      </c>
      <c r="E562" s="148">
        <f t="shared" si="35"/>
        <v>2.5892336937504704E-5</v>
      </c>
      <c r="F562" s="148">
        <f t="shared" si="37"/>
        <v>8.2348114188770007E-3</v>
      </c>
    </row>
    <row r="563" spans="2:6" x14ac:dyDescent="0.2">
      <c r="B563" s="115" t="s">
        <v>1895</v>
      </c>
      <c r="C563" s="114">
        <v>247</v>
      </c>
      <c r="D563" s="147">
        <f t="shared" si="36"/>
        <v>0.17469310670443577</v>
      </c>
      <c r="E563" s="148">
        <f t="shared" si="35"/>
        <v>2.5892336937504704E-5</v>
      </c>
      <c r="F563" s="148">
        <f t="shared" si="37"/>
        <v>8.2607037558145059E-3</v>
      </c>
    </row>
    <row r="564" spans="2:6" x14ac:dyDescent="0.2">
      <c r="B564" s="206" t="s">
        <v>1557</v>
      </c>
      <c r="C564" s="205">
        <v>247</v>
      </c>
      <c r="D564" s="147">
        <f t="shared" si="36"/>
        <v>0.17500786905885818</v>
      </c>
      <c r="E564" s="148">
        <f t="shared" si="35"/>
        <v>2.5892336937504704E-5</v>
      </c>
      <c r="F564" s="148">
        <f t="shared" si="37"/>
        <v>8.2865960927520112E-3</v>
      </c>
    </row>
    <row r="565" spans="2:6" x14ac:dyDescent="0.2">
      <c r="B565" s="206" t="s">
        <v>2827</v>
      </c>
      <c r="C565" s="205">
        <v>248</v>
      </c>
      <c r="D565" s="147">
        <f t="shared" si="36"/>
        <v>0.17532263141328058</v>
      </c>
      <c r="E565" s="148">
        <f t="shared" si="35"/>
        <v>2.5997164212555329E-5</v>
      </c>
      <c r="F565" s="148">
        <f t="shared" si="37"/>
        <v>8.312593256964566E-3</v>
      </c>
    </row>
    <row r="566" spans="2:6" x14ac:dyDescent="0.2">
      <c r="B566" s="115" t="s">
        <v>2702</v>
      </c>
      <c r="C566" s="114">
        <v>248</v>
      </c>
      <c r="D566" s="147">
        <f t="shared" si="36"/>
        <v>0.17563739376770299</v>
      </c>
      <c r="E566" s="148">
        <f t="shared" si="35"/>
        <v>2.5997164212555329E-5</v>
      </c>
      <c r="F566" s="148">
        <f t="shared" si="37"/>
        <v>8.3385904211771208E-3</v>
      </c>
    </row>
    <row r="567" spans="2:6" x14ac:dyDescent="0.2">
      <c r="B567" s="206" t="s">
        <v>2330</v>
      </c>
      <c r="C567" s="205">
        <v>248</v>
      </c>
      <c r="D567" s="147">
        <f t="shared" si="36"/>
        <v>0.17595215612212539</v>
      </c>
      <c r="E567" s="148">
        <f t="shared" si="35"/>
        <v>2.5997164212555329E-5</v>
      </c>
      <c r="F567" s="148">
        <f t="shared" si="37"/>
        <v>8.3645875853896757E-3</v>
      </c>
    </row>
    <row r="568" spans="2:6" x14ac:dyDescent="0.2">
      <c r="B568" s="206" t="s">
        <v>1046</v>
      </c>
      <c r="C568" s="205">
        <v>248</v>
      </c>
      <c r="D568" s="147">
        <f t="shared" si="36"/>
        <v>0.1762669184765478</v>
      </c>
      <c r="E568" s="148">
        <f t="shared" si="35"/>
        <v>2.5997164212555329E-5</v>
      </c>
      <c r="F568" s="148">
        <f t="shared" si="37"/>
        <v>8.3905847496022305E-3</v>
      </c>
    </row>
    <row r="569" spans="2:6" x14ac:dyDescent="0.2">
      <c r="B569" s="206" t="s">
        <v>274</v>
      </c>
      <c r="C569" s="205">
        <v>248</v>
      </c>
      <c r="D569" s="147">
        <f t="shared" si="36"/>
        <v>0.1765816808309702</v>
      </c>
      <c r="E569" s="148">
        <f t="shared" si="35"/>
        <v>2.5997164212555329E-5</v>
      </c>
      <c r="F569" s="148">
        <f t="shared" si="37"/>
        <v>8.4165819138147854E-3</v>
      </c>
    </row>
    <row r="570" spans="2:6" x14ac:dyDescent="0.2">
      <c r="B570" s="206" t="s">
        <v>2923</v>
      </c>
      <c r="C570" s="205">
        <v>249</v>
      </c>
      <c r="D570" s="147">
        <f t="shared" si="36"/>
        <v>0.1768964431853926</v>
      </c>
      <c r="E570" s="148">
        <f t="shared" si="35"/>
        <v>2.6101991487605958E-5</v>
      </c>
      <c r="F570" s="148">
        <f t="shared" si="37"/>
        <v>8.4426839053023915E-3</v>
      </c>
    </row>
    <row r="571" spans="2:6" x14ac:dyDescent="0.2">
      <c r="B571" s="115" t="s">
        <v>2008</v>
      </c>
      <c r="C571" s="114">
        <v>249</v>
      </c>
      <c r="D571" s="147">
        <f t="shared" si="36"/>
        <v>0.17721120553981501</v>
      </c>
      <c r="E571" s="148">
        <f t="shared" si="35"/>
        <v>2.6101991487605958E-5</v>
      </c>
      <c r="F571" s="148">
        <f t="shared" si="37"/>
        <v>8.4687858967899977E-3</v>
      </c>
    </row>
    <row r="572" spans="2:6" x14ac:dyDescent="0.2">
      <c r="B572" s="115" t="s">
        <v>1272</v>
      </c>
      <c r="C572" s="114">
        <v>249</v>
      </c>
      <c r="D572" s="147">
        <f t="shared" si="36"/>
        <v>0.17752596789423741</v>
      </c>
      <c r="E572" s="148">
        <f t="shared" si="35"/>
        <v>2.6101991487605958E-5</v>
      </c>
      <c r="F572" s="148">
        <f t="shared" si="37"/>
        <v>8.4948878882776038E-3</v>
      </c>
    </row>
    <row r="573" spans="2:6" x14ac:dyDescent="0.2">
      <c r="B573" s="115" t="s">
        <v>1154</v>
      </c>
      <c r="C573" s="114">
        <v>249</v>
      </c>
      <c r="D573" s="147">
        <f t="shared" si="36"/>
        <v>0.17784073024865982</v>
      </c>
      <c r="E573" s="148">
        <f t="shared" si="35"/>
        <v>2.6101991487605958E-5</v>
      </c>
      <c r="F573" s="148">
        <f t="shared" si="37"/>
        <v>8.52098987976521E-3</v>
      </c>
    </row>
    <row r="574" spans="2:6" x14ac:dyDescent="0.2">
      <c r="B574" s="206" t="s">
        <v>1075</v>
      </c>
      <c r="C574" s="205">
        <v>249</v>
      </c>
      <c r="D574" s="147">
        <f t="shared" si="36"/>
        <v>0.17815549260308222</v>
      </c>
      <c r="E574" s="148">
        <f t="shared" si="35"/>
        <v>2.6101991487605958E-5</v>
      </c>
      <c r="F574" s="148">
        <f t="shared" si="37"/>
        <v>8.5470918712528161E-3</v>
      </c>
    </row>
    <row r="575" spans="2:6" x14ac:dyDescent="0.2">
      <c r="B575" s="206" t="s">
        <v>3131</v>
      </c>
      <c r="C575" s="205">
        <v>250</v>
      </c>
      <c r="D575" s="147">
        <f t="shared" si="36"/>
        <v>0.17847025495750463</v>
      </c>
      <c r="E575" s="148">
        <f t="shared" si="35"/>
        <v>2.6206818762656584E-5</v>
      </c>
      <c r="F575" s="148">
        <f t="shared" si="37"/>
        <v>8.5732986900154719E-3</v>
      </c>
    </row>
    <row r="576" spans="2:6" x14ac:dyDescent="0.2">
      <c r="B576" s="206" t="s">
        <v>2148</v>
      </c>
      <c r="C576" s="205">
        <v>250</v>
      </c>
      <c r="D576" s="147">
        <f t="shared" si="36"/>
        <v>0.17878501731192703</v>
      </c>
      <c r="E576" s="148">
        <f t="shared" si="35"/>
        <v>2.6206818762656584E-5</v>
      </c>
      <c r="F576" s="148">
        <f t="shared" si="37"/>
        <v>8.5995055087781276E-3</v>
      </c>
    </row>
    <row r="577" spans="2:6" x14ac:dyDescent="0.2">
      <c r="B577" s="206" t="s">
        <v>1775</v>
      </c>
      <c r="C577" s="205">
        <v>250</v>
      </c>
      <c r="D577" s="147">
        <f t="shared" si="36"/>
        <v>0.17909977966634943</v>
      </c>
      <c r="E577" s="148">
        <f t="shared" si="35"/>
        <v>2.6206818762656584E-5</v>
      </c>
      <c r="F577" s="148">
        <f t="shared" si="37"/>
        <v>8.6257123275407833E-3</v>
      </c>
    </row>
    <row r="578" spans="2:6" x14ac:dyDescent="0.2">
      <c r="B578" s="115" t="s">
        <v>1429</v>
      </c>
      <c r="C578" s="114">
        <v>250</v>
      </c>
      <c r="D578" s="147">
        <f t="shared" si="36"/>
        <v>0.17941454202077184</v>
      </c>
      <c r="E578" s="148">
        <f t="shared" si="35"/>
        <v>2.6206818762656584E-5</v>
      </c>
      <c r="F578" s="148">
        <f t="shared" si="37"/>
        <v>8.6519191463034391E-3</v>
      </c>
    </row>
    <row r="579" spans="2:6" x14ac:dyDescent="0.2">
      <c r="B579" s="115" t="s">
        <v>2564</v>
      </c>
      <c r="C579" s="114">
        <v>251</v>
      </c>
      <c r="D579" s="147">
        <f t="shared" si="36"/>
        <v>0.17972930437519424</v>
      </c>
      <c r="E579" s="148">
        <f t="shared" si="35"/>
        <v>2.631164603770721E-5</v>
      </c>
      <c r="F579" s="148">
        <f t="shared" si="37"/>
        <v>8.6782307923411461E-3</v>
      </c>
    </row>
    <row r="580" spans="2:6" x14ac:dyDescent="0.2">
      <c r="B580" s="115" t="s">
        <v>2409</v>
      </c>
      <c r="C580" s="114">
        <v>251</v>
      </c>
      <c r="D580" s="147">
        <f t="shared" si="36"/>
        <v>0.18004406672961665</v>
      </c>
      <c r="E580" s="148">
        <f t="shared" si="35"/>
        <v>2.631164603770721E-5</v>
      </c>
      <c r="F580" s="148">
        <f t="shared" si="37"/>
        <v>8.7045424383788532E-3</v>
      </c>
    </row>
    <row r="581" spans="2:6" x14ac:dyDescent="0.2">
      <c r="B581" s="206" t="s">
        <v>128</v>
      </c>
      <c r="C581" s="205">
        <v>251</v>
      </c>
      <c r="D581" s="147">
        <f t="shared" si="36"/>
        <v>0.18035882908403905</v>
      </c>
      <c r="E581" s="148">
        <f t="shared" si="35"/>
        <v>2.631164603770721E-5</v>
      </c>
      <c r="F581" s="148">
        <f t="shared" si="37"/>
        <v>8.7308540844165602E-3</v>
      </c>
    </row>
    <row r="582" spans="2:6" x14ac:dyDescent="0.2">
      <c r="B582" s="115" t="s">
        <v>2555</v>
      </c>
      <c r="C582" s="114">
        <v>252</v>
      </c>
      <c r="D582" s="147">
        <f t="shared" si="36"/>
        <v>0.18067359143846146</v>
      </c>
      <c r="E582" s="148">
        <f t="shared" si="35"/>
        <v>2.6416473312757835E-5</v>
      </c>
      <c r="F582" s="148">
        <f t="shared" si="37"/>
        <v>8.7572705577293186E-3</v>
      </c>
    </row>
    <row r="583" spans="2:6" x14ac:dyDescent="0.2">
      <c r="B583" s="115" t="s">
        <v>1425</v>
      </c>
      <c r="C583" s="114">
        <v>252</v>
      </c>
      <c r="D583" s="147">
        <f t="shared" si="36"/>
        <v>0.18098835379288386</v>
      </c>
      <c r="E583" s="148">
        <f t="shared" si="35"/>
        <v>2.6416473312757835E-5</v>
      </c>
      <c r="F583" s="148">
        <f t="shared" si="37"/>
        <v>8.783687031042077E-3</v>
      </c>
    </row>
    <row r="584" spans="2:6" x14ac:dyDescent="0.2">
      <c r="B584" s="206" t="s">
        <v>546</v>
      </c>
      <c r="C584" s="205">
        <v>252</v>
      </c>
      <c r="D584" s="147">
        <f t="shared" si="36"/>
        <v>0.18130311614730626</v>
      </c>
      <c r="E584" s="148">
        <f t="shared" si="35"/>
        <v>2.6416473312757835E-5</v>
      </c>
      <c r="F584" s="148">
        <f t="shared" si="37"/>
        <v>8.8101035043548354E-3</v>
      </c>
    </row>
    <row r="585" spans="2:6" x14ac:dyDescent="0.2">
      <c r="B585" s="206" t="s">
        <v>1919</v>
      </c>
      <c r="C585" s="205">
        <v>253</v>
      </c>
      <c r="D585" s="147">
        <f t="shared" si="36"/>
        <v>0.18161787850172867</v>
      </c>
      <c r="E585" s="148">
        <f t="shared" ref="E585:E648" si="38">C585/$O$18</f>
        <v>2.6521300587808461E-5</v>
      </c>
      <c r="F585" s="148">
        <f t="shared" si="37"/>
        <v>8.8366248049426433E-3</v>
      </c>
    </row>
    <row r="586" spans="2:6" x14ac:dyDescent="0.2">
      <c r="B586" s="206" t="s">
        <v>2769</v>
      </c>
      <c r="C586" s="205">
        <v>254</v>
      </c>
      <c r="D586" s="147">
        <f t="shared" ref="D586:D649" si="39">D585+1/$L$18</f>
        <v>0.18193264085615107</v>
      </c>
      <c r="E586" s="148">
        <f t="shared" si="38"/>
        <v>2.662612786285909E-5</v>
      </c>
      <c r="F586" s="148">
        <f t="shared" ref="F586:F649" si="40">F585+E586</f>
        <v>8.8632509328055026E-3</v>
      </c>
    </row>
    <row r="587" spans="2:6" x14ac:dyDescent="0.2">
      <c r="B587" s="206" t="s">
        <v>1304</v>
      </c>
      <c r="C587" s="205">
        <v>254</v>
      </c>
      <c r="D587" s="147">
        <f t="shared" si="39"/>
        <v>0.18224740321057348</v>
      </c>
      <c r="E587" s="148">
        <f t="shared" si="38"/>
        <v>2.662612786285909E-5</v>
      </c>
      <c r="F587" s="148">
        <f t="shared" si="40"/>
        <v>8.8898770606683618E-3</v>
      </c>
    </row>
    <row r="588" spans="2:6" x14ac:dyDescent="0.2">
      <c r="B588" s="206" t="s">
        <v>961</v>
      </c>
      <c r="C588" s="205">
        <v>254</v>
      </c>
      <c r="D588" s="147">
        <f t="shared" si="39"/>
        <v>0.18256216556499588</v>
      </c>
      <c r="E588" s="148">
        <f t="shared" si="38"/>
        <v>2.662612786285909E-5</v>
      </c>
      <c r="F588" s="148">
        <f t="shared" si="40"/>
        <v>8.9165031885312211E-3</v>
      </c>
    </row>
    <row r="589" spans="2:6" x14ac:dyDescent="0.2">
      <c r="B589" s="206" t="s">
        <v>2529</v>
      </c>
      <c r="C589" s="205">
        <v>255</v>
      </c>
      <c r="D589" s="147">
        <f t="shared" si="39"/>
        <v>0.18287692791941829</v>
      </c>
      <c r="E589" s="148">
        <f t="shared" si="38"/>
        <v>2.6730955137909716E-5</v>
      </c>
      <c r="F589" s="148">
        <f t="shared" si="40"/>
        <v>8.94323414366913E-3</v>
      </c>
    </row>
    <row r="590" spans="2:6" x14ac:dyDescent="0.2">
      <c r="B590" s="206" t="s">
        <v>2201</v>
      </c>
      <c r="C590" s="205">
        <v>255</v>
      </c>
      <c r="D590" s="147">
        <f t="shared" si="39"/>
        <v>0.18319169027384069</v>
      </c>
      <c r="E590" s="148">
        <f t="shared" si="38"/>
        <v>2.6730955137909716E-5</v>
      </c>
      <c r="F590" s="148">
        <f t="shared" si="40"/>
        <v>8.9699650988070388E-3</v>
      </c>
    </row>
    <row r="591" spans="2:6" x14ac:dyDescent="0.2">
      <c r="B591" s="206" t="s">
        <v>107</v>
      </c>
      <c r="C591" s="205">
        <v>255</v>
      </c>
      <c r="D591" s="147">
        <f t="shared" si="39"/>
        <v>0.18350645262826309</v>
      </c>
      <c r="E591" s="148">
        <f t="shared" si="38"/>
        <v>2.6730955137909716E-5</v>
      </c>
      <c r="F591" s="148">
        <f t="shared" si="40"/>
        <v>8.9966960539449477E-3</v>
      </c>
    </row>
    <row r="592" spans="2:6" x14ac:dyDescent="0.2">
      <c r="B592" s="115" t="s">
        <v>1428</v>
      </c>
      <c r="C592" s="114">
        <v>256</v>
      </c>
      <c r="D592" s="147">
        <f t="shared" si="39"/>
        <v>0.1838212149826855</v>
      </c>
      <c r="E592" s="148">
        <f t="shared" si="38"/>
        <v>2.6835782412960341E-5</v>
      </c>
      <c r="F592" s="148">
        <f t="shared" si="40"/>
        <v>9.0235318363579078E-3</v>
      </c>
    </row>
    <row r="593" spans="2:6" x14ac:dyDescent="0.2">
      <c r="B593" s="206" t="s">
        <v>1414</v>
      </c>
      <c r="C593" s="205">
        <v>256</v>
      </c>
      <c r="D593" s="147">
        <f t="shared" si="39"/>
        <v>0.1841359773371079</v>
      </c>
      <c r="E593" s="148">
        <f t="shared" si="38"/>
        <v>2.6835782412960341E-5</v>
      </c>
      <c r="F593" s="148">
        <f t="shared" si="40"/>
        <v>9.050367618770868E-3</v>
      </c>
    </row>
    <row r="594" spans="2:6" x14ac:dyDescent="0.2">
      <c r="B594" s="206" t="s">
        <v>1175</v>
      </c>
      <c r="C594" s="205">
        <v>256</v>
      </c>
      <c r="D594" s="147">
        <f t="shared" si="39"/>
        <v>0.18445073969153031</v>
      </c>
      <c r="E594" s="148">
        <f t="shared" si="38"/>
        <v>2.6835782412960341E-5</v>
      </c>
      <c r="F594" s="148">
        <f t="shared" si="40"/>
        <v>9.0772034011838282E-3</v>
      </c>
    </row>
    <row r="595" spans="2:6" x14ac:dyDescent="0.2">
      <c r="B595" s="115" t="s">
        <v>1106</v>
      </c>
      <c r="C595" s="114">
        <v>256</v>
      </c>
      <c r="D595" s="147">
        <f t="shared" si="39"/>
        <v>0.18476550204595271</v>
      </c>
      <c r="E595" s="148">
        <f t="shared" si="38"/>
        <v>2.6835782412960341E-5</v>
      </c>
      <c r="F595" s="148">
        <f t="shared" si="40"/>
        <v>9.1040391835967883E-3</v>
      </c>
    </row>
    <row r="596" spans="2:6" x14ac:dyDescent="0.2">
      <c r="B596" s="115" t="s">
        <v>965</v>
      </c>
      <c r="C596" s="114">
        <v>256</v>
      </c>
      <c r="D596" s="147">
        <f t="shared" si="39"/>
        <v>0.18508026440037512</v>
      </c>
      <c r="E596" s="148">
        <f t="shared" si="38"/>
        <v>2.6835782412960341E-5</v>
      </c>
      <c r="F596" s="148">
        <f t="shared" si="40"/>
        <v>9.1308749660097485E-3</v>
      </c>
    </row>
    <row r="597" spans="2:6" x14ac:dyDescent="0.2">
      <c r="B597" s="206" t="s">
        <v>52</v>
      </c>
      <c r="C597" s="205">
        <v>256</v>
      </c>
      <c r="D597" s="147">
        <f t="shared" si="39"/>
        <v>0.18539502675479752</v>
      </c>
      <c r="E597" s="148">
        <f t="shared" si="38"/>
        <v>2.6835782412960341E-5</v>
      </c>
      <c r="F597" s="148">
        <f t="shared" si="40"/>
        <v>9.1577107484227087E-3</v>
      </c>
    </row>
    <row r="598" spans="2:6" x14ac:dyDescent="0.2">
      <c r="B598" s="206" t="s">
        <v>2806</v>
      </c>
      <c r="C598" s="205">
        <v>257</v>
      </c>
      <c r="D598" s="147">
        <f t="shared" si="39"/>
        <v>0.18570978910921992</v>
      </c>
      <c r="E598" s="148">
        <f t="shared" si="38"/>
        <v>2.6940609688010967E-5</v>
      </c>
      <c r="F598" s="148">
        <f t="shared" si="40"/>
        <v>9.1846513581107202E-3</v>
      </c>
    </row>
    <row r="599" spans="2:6" x14ac:dyDescent="0.2">
      <c r="B599" s="206" t="s">
        <v>2187</v>
      </c>
      <c r="C599" s="205">
        <v>257</v>
      </c>
      <c r="D599" s="147">
        <f t="shared" si="39"/>
        <v>0.18602455146364233</v>
      </c>
      <c r="E599" s="148">
        <f t="shared" si="38"/>
        <v>2.6940609688010967E-5</v>
      </c>
      <c r="F599" s="148">
        <f t="shared" si="40"/>
        <v>9.2115919677987317E-3</v>
      </c>
    </row>
    <row r="600" spans="2:6" x14ac:dyDescent="0.2">
      <c r="B600" s="206" t="s">
        <v>2166</v>
      </c>
      <c r="C600" s="205">
        <v>257</v>
      </c>
      <c r="D600" s="147">
        <f t="shared" si="39"/>
        <v>0.18633931381806473</v>
      </c>
      <c r="E600" s="148">
        <f t="shared" si="38"/>
        <v>2.6940609688010967E-5</v>
      </c>
      <c r="F600" s="148">
        <f t="shared" si="40"/>
        <v>9.2385325774867431E-3</v>
      </c>
    </row>
    <row r="601" spans="2:6" x14ac:dyDescent="0.2">
      <c r="B601" s="115" t="s">
        <v>2152</v>
      </c>
      <c r="C601" s="114">
        <v>257</v>
      </c>
      <c r="D601" s="147">
        <f t="shared" si="39"/>
        <v>0.18665407617248714</v>
      </c>
      <c r="E601" s="148">
        <f t="shared" si="38"/>
        <v>2.6940609688010967E-5</v>
      </c>
      <c r="F601" s="148">
        <f t="shared" si="40"/>
        <v>9.2654731871747546E-3</v>
      </c>
    </row>
    <row r="602" spans="2:6" x14ac:dyDescent="0.2">
      <c r="B602" s="115" t="s">
        <v>2078</v>
      </c>
      <c r="C602" s="114">
        <v>257</v>
      </c>
      <c r="D602" s="147">
        <f t="shared" si="39"/>
        <v>0.18696883852690954</v>
      </c>
      <c r="E602" s="148">
        <f t="shared" si="38"/>
        <v>2.6940609688010967E-5</v>
      </c>
      <c r="F602" s="148">
        <f t="shared" si="40"/>
        <v>9.2924137968627661E-3</v>
      </c>
    </row>
    <row r="603" spans="2:6" x14ac:dyDescent="0.2">
      <c r="B603" s="206" t="s">
        <v>1799</v>
      </c>
      <c r="C603" s="205">
        <v>258</v>
      </c>
      <c r="D603" s="147">
        <f t="shared" si="39"/>
        <v>0.18728360088133195</v>
      </c>
      <c r="E603" s="148">
        <f t="shared" si="38"/>
        <v>2.7045436963061593E-5</v>
      </c>
      <c r="F603" s="148">
        <f t="shared" si="40"/>
        <v>9.3194592338258272E-3</v>
      </c>
    </row>
    <row r="604" spans="2:6" x14ac:dyDescent="0.2">
      <c r="B604" s="206" t="s">
        <v>1247</v>
      </c>
      <c r="C604" s="205">
        <v>258</v>
      </c>
      <c r="D604" s="147">
        <f t="shared" si="39"/>
        <v>0.18759836323575435</v>
      </c>
      <c r="E604" s="148">
        <f t="shared" si="38"/>
        <v>2.7045436963061593E-5</v>
      </c>
      <c r="F604" s="148">
        <f t="shared" si="40"/>
        <v>9.3465046707888882E-3</v>
      </c>
    </row>
    <row r="605" spans="2:6" x14ac:dyDescent="0.2">
      <c r="B605" s="206" t="s">
        <v>38</v>
      </c>
      <c r="C605" s="205">
        <v>258</v>
      </c>
      <c r="D605" s="147">
        <f t="shared" si="39"/>
        <v>0.18791312559017675</v>
      </c>
      <c r="E605" s="148">
        <f t="shared" si="38"/>
        <v>2.7045436963061593E-5</v>
      </c>
      <c r="F605" s="148">
        <f t="shared" si="40"/>
        <v>9.3735501077519493E-3</v>
      </c>
    </row>
    <row r="606" spans="2:6" x14ac:dyDescent="0.2">
      <c r="B606" s="115" t="s">
        <v>2375</v>
      </c>
      <c r="C606" s="114">
        <v>259</v>
      </c>
      <c r="D606" s="147">
        <f t="shared" si="39"/>
        <v>0.18822788794459916</v>
      </c>
      <c r="E606" s="148">
        <f t="shared" si="38"/>
        <v>2.7150264238112222E-5</v>
      </c>
      <c r="F606" s="148">
        <f t="shared" si="40"/>
        <v>9.4007003719900617E-3</v>
      </c>
    </row>
    <row r="607" spans="2:6" x14ac:dyDescent="0.2">
      <c r="B607" s="206" t="s">
        <v>2310</v>
      </c>
      <c r="C607" s="205">
        <v>259</v>
      </c>
      <c r="D607" s="147">
        <f t="shared" si="39"/>
        <v>0.18854265029902156</v>
      </c>
      <c r="E607" s="148">
        <f t="shared" si="38"/>
        <v>2.7150264238112222E-5</v>
      </c>
      <c r="F607" s="148">
        <f t="shared" si="40"/>
        <v>9.4278506362281741E-3</v>
      </c>
    </row>
    <row r="608" spans="2:6" x14ac:dyDescent="0.2">
      <c r="B608" s="206" t="s">
        <v>1814</v>
      </c>
      <c r="C608" s="205">
        <v>259</v>
      </c>
      <c r="D608" s="147">
        <f t="shared" si="39"/>
        <v>0.18885741265344397</v>
      </c>
      <c r="E608" s="148">
        <f t="shared" si="38"/>
        <v>2.7150264238112222E-5</v>
      </c>
      <c r="F608" s="148">
        <f t="shared" si="40"/>
        <v>9.4550009004662865E-3</v>
      </c>
    </row>
    <row r="609" spans="2:6" x14ac:dyDescent="0.2">
      <c r="B609" s="115" t="s">
        <v>561</v>
      </c>
      <c r="C609" s="114">
        <v>259</v>
      </c>
      <c r="D609" s="147">
        <f t="shared" si="39"/>
        <v>0.18917217500786637</v>
      </c>
      <c r="E609" s="148">
        <f t="shared" si="38"/>
        <v>2.7150264238112222E-5</v>
      </c>
      <c r="F609" s="148">
        <f t="shared" si="40"/>
        <v>9.4821511647043989E-3</v>
      </c>
    </row>
    <row r="610" spans="2:6" x14ac:dyDescent="0.2">
      <c r="B610" s="115" t="s">
        <v>392</v>
      </c>
      <c r="C610" s="114">
        <v>259</v>
      </c>
      <c r="D610" s="147">
        <f t="shared" si="39"/>
        <v>0.18948693736228878</v>
      </c>
      <c r="E610" s="148">
        <f t="shared" si="38"/>
        <v>2.7150264238112222E-5</v>
      </c>
      <c r="F610" s="148">
        <f t="shared" si="40"/>
        <v>9.5093014289425112E-3</v>
      </c>
    </row>
    <row r="611" spans="2:6" x14ac:dyDescent="0.2">
      <c r="B611" s="115" t="s">
        <v>1476</v>
      </c>
      <c r="C611" s="114">
        <v>260</v>
      </c>
      <c r="D611" s="147">
        <f t="shared" si="39"/>
        <v>0.18980169971671118</v>
      </c>
      <c r="E611" s="148">
        <f t="shared" si="38"/>
        <v>2.7255091513162847E-5</v>
      </c>
      <c r="F611" s="148">
        <f t="shared" si="40"/>
        <v>9.5365565204556749E-3</v>
      </c>
    </row>
    <row r="612" spans="2:6" x14ac:dyDescent="0.2">
      <c r="B612" s="115" t="s">
        <v>1350</v>
      </c>
      <c r="C612" s="114">
        <v>260</v>
      </c>
      <c r="D612" s="147">
        <f t="shared" si="39"/>
        <v>0.19011646207113359</v>
      </c>
      <c r="E612" s="148">
        <f t="shared" si="38"/>
        <v>2.7255091513162847E-5</v>
      </c>
      <c r="F612" s="148">
        <f t="shared" si="40"/>
        <v>9.5638116119688386E-3</v>
      </c>
    </row>
    <row r="613" spans="2:6" x14ac:dyDescent="0.2">
      <c r="B613" s="206" t="s">
        <v>244</v>
      </c>
      <c r="C613" s="205">
        <v>260</v>
      </c>
      <c r="D613" s="147">
        <f t="shared" si="39"/>
        <v>0.19043122442555599</v>
      </c>
      <c r="E613" s="148">
        <f t="shared" si="38"/>
        <v>2.7255091513162847E-5</v>
      </c>
      <c r="F613" s="148">
        <f t="shared" si="40"/>
        <v>9.5910667034820023E-3</v>
      </c>
    </row>
    <row r="614" spans="2:6" x14ac:dyDescent="0.2">
      <c r="B614" s="206" t="s">
        <v>1940</v>
      </c>
      <c r="C614" s="205">
        <v>261</v>
      </c>
      <c r="D614" s="147">
        <f t="shared" si="39"/>
        <v>0.19074598677997839</v>
      </c>
      <c r="E614" s="148">
        <f t="shared" si="38"/>
        <v>2.7359918788213473E-5</v>
      </c>
      <c r="F614" s="148">
        <f t="shared" si="40"/>
        <v>9.6184266222702156E-3</v>
      </c>
    </row>
    <row r="615" spans="2:6" x14ac:dyDescent="0.2">
      <c r="B615" s="206" t="s">
        <v>1602</v>
      </c>
      <c r="C615" s="205">
        <v>261</v>
      </c>
      <c r="D615" s="147">
        <f t="shared" si="39"/>
        <v>0.1910607491344008</v>
      </c>
      <c r="E615" s="148">
        <f t="shared" si="38"/>
        <v>2.7359918788213473E-5</v>
      </c>
      <c r="F615" s="148">
        <f t="shared" si="40"/>
        <v>9.6457865410584289E-3</v>
      </c>
    </row>
    <row r="616" spans="2:6" x14ac:dyDescent="0.2">
      <c r="B616" s="115" t="s">
        <v>2177</v>
      </c>
      <c r="C616" s="114">
        <v>262</v>
      </c>
      <c r="D616" s="147">
        <f t="shared" si="39"/>
        <v>0.1913755114888232</v>
      </c>
      <c r="E616" s="148">
        <f t="shared" si="38"/>
        <v>2.7464746063264099E-5</v>
      </c>
      <c r="F616" s="148">
        <f t="shared" si="40"/>
        <v>9.6732512871216935E-3</v>
      </c>
    </row>
    <row r="617" spans="2:6" x14ac:dyDescent="0.2">
      <c r="B617" s="206" t="s">
        <v>1659</v>
      </c>
      <c r="C617" s="205">
        <v>262</v>
      </c>
      <c r="D617" s="147">
        <f t="shared" si="39"/>
        <v>0.19169027384324561</v>
      </c>
      <c r="E617" s="148">
        <f t="shared" si="38"/>
        <v>2.7464746063264099E-5</v>
      </c>
      <c r="F617" s="148">
        <f t="shared" si="40"/>
        <v>9.7007160331849581E-3</v>
      </c>
    </row>
    <row r="618" spans="2:6" x14ac:dyDescent="0.2">
      <c r="B618" s="115" t="s">
        <v>1347</v>
      </c>
      <c r="C618" s="114">
        <v>262</v>
      </c>
      <c r="D618" s="147">
        <f t="shared" si="39"/>
        <v>0.19200503619766801</v>
      </c>
      <c r="E618" s="148">
        <f t="shared" si="38"/>
        <v>2.7464746063264099E-5</v>
      </c>
      <c r="F618" s="148">
        <f t="shared" si="40"/>
        <v>9.7281807792482227E-3</v>
      </c>
    </row>
    <row r="619" spans="2:6" x14ac:dyDescent="0.2">
      <c r="B619" s="115" t="s">
        <v>1049</v>
      </c>
      <c r="C619" s="114">
        <v>262</v>
      </c>
      <c r="D619" s="147">
        <f t="shared" si="39"/>
        <v>0.19231979855209042</v>
      </c>
      <c r="E619" s="148">
        <f t="shared" si="38"/>
        <v>2.7464746063264099E-5</v>
      </c>
      <c r="F619" s="148">
        <f t="shared" si="40"/>
        <v>9.7556455253114873E-3</v>
      </c>
    </row>
    <row r="620" spans="2:6" x14ac:dyDescent="0.2">
      <c r="B620" s="115" t="s">
        <v>281</v>
      </c>
      <c r="C620" s="114">
        <v>262</v>
      </c>
      <c r="D620" s="147">
        <f t="shared" si="39"/>
        <v>0.19263456090651282</v>
      </c>
      <c r="E620" s="148">
        <f t="shared" si="38"/>
        <v>2.7464746063264099E-5</v>
      </c>
      <c r="F620" s="148">
        <f t="shared" si="40"/>
        <v>9.7831102713747519E-3</v>
      </c>
    </row>
    <row r="621" spans="2:6" x14ac:dyDescent="0.2">
      <c r="B621" s="115" t="s">
        <v>1930</v>
      </c>
      <c r="C621" s="114">
        <v>263</v>
      </c>
      <c r="D621" s="147">
        <f t="shared" si="39"/>
        <v>0.19294932326093522</v>
      </c>
      <c r="E621" s="148">
        <f t="shared" si="38"/>
        <v>2.7569573338314724E-5</v>
      </c>
      <c r="F621" s="148">
        <f t="shared" si="40"/>
        <v>9.8106798447130661E-3</v>
      </c>
    </row>
    <row r="622" spans="2:6" x14ac:dyDescent="0.2">
      <c r="B622" s="115" t="s">
        <v>1656</v>
      </c>
      <c r="C622" s="114">
        <v>263</v>
      </c>
      <c r="D622" s="147">
        <f t="shared" si="39"/>
        <v>0.19326408561535763</v>
      </c>
      <c r="E622" s="148">
        <f t="shared" si="38"/>
        <v>2.7569573338314724E-5</v>
      </c>
      <c r="F622" s="148">
        <f t="shared" si="40"/>
        <v>9.8382494180513803E-3</v>
      </c>
    </row>
    <row r="623" spans="2:6" x14ac:dyDescent="0.2">
      <c r="B623" s="206" t="s">
        <v>3111</v>
      </c>
      <c r="C623" s="205">
        <v>264</v>
      </c>
      <c r="D623" s="147">
        <f t="shared" si="39"/>
        <v>0.19357884796978003</v>
      </c>
      <c r="E623" s="148">
        <f t="shared" si="38"/>
        <v>2.7674400613365353E-5</v>
      </c>
      <c r="F623" s="148">
        <f t="shared" si="40"/>
        <v>9.8659238186647458E-3</v>
      </c>
    </row>
    <row r="624" spans="2:6" x14ac:dyDescent="0.2">
      <c r="B624" s="206" t="s">
        <v>2790</v>
      </c>
      <c r="C624" s="205">
        <v>264</v>
      </c>
      <c r="D624" s="147">
        <f t="shared" si="39"/>
        <v>0.19389361032420244</v>
      </c>
      <c r="E624" s="148">
        <f t="shared" si="38"/>
        <v>2.7674400613365353E-5</v>
      </c>
      <c r="F624" s="148">
        <f t="shared" si="40"/>
        <v>9.8935982192781113E-3</v>
      </c>
    </row>
    <row r="625" spans="2:6" x14ac:dyDescent="0.2">
      <c r="B625" s="115" t="s">
        <v>127</v>
      </c>
      <c r="C625" s="114">
        <v>264</v>
      </c>
      <c r="D625" s="147">
        <f t="shared" si="39"/>
        <v>0.19420837267862484</v>
      </c>
      <c r="E625" s="148">
        <f t="shared" si="38"/>
        <v>2.7674400613365353E-5</v>
      </c>
      <c r="F625" s="148">
        <f t="shared" si="40"/>
        <v>9.9212726198914768E-3</v>
      </c>
    </row>
    <row r="626" spans="2:6" x14ac:dyDescent="0.2">
      <c r="B626" s="206" t="s">
        <v>2352</v>
      </c>
      <c r="C626" s="205">
        <v>265</v>
      </c>
      <c r="D626" s="147">
        <f t="shared" si="39"/>
        <v>0.19452313503304725</v>
      </c>
      <c r="E626" s="148">
        <f t="shared" si="38"/>
        <v>2.7779227888415979E-5</v>
      </c>
      <c r="F626" s="148">
        <f t="shared" si="40"/>
        <v>9.9490518477798936E-3</v>
      </c>
    </row>
    <row r="627" spans="2:6" x14ac:dyDescent="0.2">
      <c r="B627" s="115" t="s">
        <v>1563</v>
      </c>
      <c r="C627" s="114">
        <v>265</v>
      </c>
      <c r="D627" s="147">
        <f t="shared" si="39"/>
        <v>0.19483789738746965</v>
      </c>
      <c r="E627" s="148">
        <f t="shared" si="38"/>
        <v>2.7779227888415979E-5</v>
      </c>
      <c r="F627" s="148">
        <f t="shared" si="40"/>
        <v>9.9768310756683104E-3</v>
      </c>
    </row>
    <row r="628" spans="2:6" x14ac:dyDescent="0.2">
      <c r="B628" s="115" t="s">
        <v>2556</v>
      </c>
      <c r="C628" s="114">
        <v>266</v>
      </c>
      <c r="D628" s="147">
        <f t="shared" si="39"/>
        <v>0.19515265974189205</v>
      </c>
      <c r="E628" s="148">
        <f t="shared" si="38"/>
        <v>2.7884055163466605E-5</v>
      </c>
      <c r="F628" s="148">
        <f t="shared" si="40"/>
        <v>1.0004715130831777E-2</v>
      </c>
    </row>
    <row r="629" spans="2:6" x14ac:dyDescent="0.2">
      <c r="B629" s="115" t="s">
        <v>2114</v>
      </c>
      <c r="C629" s="114">
        <v>266</v>
      </c>
      <c r="D629" s="147">
        <f t="shared" si="39"/>
        <v>0.19546742209631446</v>
      </c>
      <c r="E629" s="148">
        <f t="shared" si="38"/>
        <v>2.7884055163466605E-5</v>
      </c>
      <c r="F629" s="148">
        <f t="shared" si="40"/>
        <v>1.0032599185995243E-2</v>
      </c>
    </row>
    <row r="630" spans="2:6" x14ac:dyDescent="0.2">
      <c r="B630" s="115" t="s">
        <v>1501</v>
      </c>
      <c r="C630" s="114">
        <v>266</v>
      </c>
      <c r="D630" s="147">
        <f t="shared" si="39"/>
        <v>0.19578218445073686</v>
      </c>
      <c r="E630" s="148">
        <f t="shared" si="38"/>
        <v>2.7884055163466605E-5</v>
      </c>
      <c r="F630" s="148">
        <f t="shared" si="40"/>
        <v>1.006048324115871E-2</v>
      </c>
    </row>
    <row r="631" spans="2:6" x14ac:dyDescent="0.2">
      <c r="B631" s="206" t="s">
        <v>3030</v>
      </c>
      <c r="C631" s="205">
        <v>267</v>
      </c>
      <c r="D631" s="147">
        <f t="shared" si="39"/>
        <v>0.19609694680515927</v>
      </c>
      <c r="E631" s="148">
        <f t="shared" si="38"/>
        <v>2.798888243851723E-5</v>
      </c>
      <c r="F631" s="148">
        <f t="shared" si="40"/>
        <v>1.0088472123597227E-2</v>
      </c>
    </row>
    <row r="632" spans="2:6" x14ac:dyDescent="0.2">
      <c r="B632" s="206" t="s">
        <v>2594</v>
      </c>
      <c r="C632" s="205">
        <v>267</v>
      </c>
      <c r="D632" s="147">
        <f t="shared" si="39"/>
        <v>0.19641170915958167</v>
      </c>
      <c r="E632" s="148">
        <f t="shared" si="38"/>
        <v>2.798888243851723E-5</v>
      </c>
      <c r="F632" s="148">
        <f t="shared" si="40"/>
        <v>1.0116461006035745E-2</v>
      </c>
    </row>
    <row r="633" spans="2:6" x14ac:dyDescent="0.2">
      <c r="B633" s="115" t="s">
        <v>1788</v>
      </c>
      <c r="C633" s="114">
        <v>267</v>
      </c>
      <c r="D633" s="147">
        <f t="shared" si="39"/>
        <v>0.19672647151400408</v>
      </c>
      <c r="E633" s="148">
        <f t="shared" si="38"/>
        <v>2.798888243851723E-5</v>
      </c>
      <c r="F633" s="148">
        <f t="shared" si="40"/>
        <v>1.0144449888474263E-2</v>
      </c>
    </row>
    <row r="634" spans="2:6" x14ac:dyDescent="0.2">
      <c r="B634" s="206" t="s">
        <v>2736</v>
      </c>
      <c r="C634" s="205">
        <v>268</v>
      </c>
      <c r="D634" s="147">
        <f t="shared" si="39"/>
        <v>0.19704123386842648</v>
      </c>
      <c r="E634" s="148">
        <f t="shared" si="38"/>
        <v>2.8093709713567856E-5</v>
      </c>
      <c r="F634" s="148">
        <f t="shared" si="40"/>
        <v>1.017254359818783E-2</v>
      </c>
    </row>
    <row r="635" spans="2:6" x14ac:dyDescent="0.2">
      <c r="B635" s="206" t="s">
        <v>2651</v>
      </c>
      <c r="C635" s="205">
        <v>268</v>
      </c>
      <c r="D635" s="147">
        <f t="shared" si="39"/>
        <v>0.19735599622284888</v>
      </c>
      <c r="E635" s="148">
        <f t="shared" si="38"/>
        <v>2.8093709713567856E-5</v>
      </c>
      <c r="F635" s="148">
        <f t="shared" si="40"/>
        <v>1.0200637307901397E-2</v>
      </c>
    </row>
    <row r="636" spans="2:6" x14ac:dyDescent="0.2">
      <c r="B636" s="206" t="s">
        <v>2548</v>
      </c>
      <c r="C636" s="205">
        <v>268</v>
      </c>
      <c r="D636" s="147">
        <f t="shared" si="39"/>
        <v>0.19767075857727129</v>
      </c>
      <c r="E636" s="148">
        <f t="shared" si="38"/>
        <v>2.8093709713567856E-5</v>
      </c>
      <c r="F636" s="148">
        <f t="shared" si="40"/>
        <v>1.0228731017614965E-2</v>
      </c>
    </row>
    <row r="637" spans="2:6" x14ac:dyDescent="0.2">
      <c r="B637" s="115" t="s">
        <v>2251</v>
      </c>
      <c r="C637" s="114">
        <v>269</v>
      </c>
      <c r="D637" s="147">
        <f t="shared" si="39"/>
        <v>0.19798552093169369</v>
      </c>
      <c r="E637" s="148">
        <f t="shared" si="38"/>
        <v>2.8198536988618485E-5</v>
      </c>
      <c r="F637" s="148">
        <f t="shared" si="40"/>
        <v>1.0256929554603583E-2</v>
      </c>
    </row>
    <row r="638" spans="2:6" x14ac:dyDescent="0.2">
      <c r="B638" s="115" t="s">
        <v>1794</v>
      </c>
      <c r="C638" s="114">
        <v>269</v>
      </c>
      <c r="D638" s="147">
        <f t="shared" si="39"/>
        <v>0.1983002832861161</v>
      </c>
      <c r="E638" s="148">
        <f t="shared" si="38"/>
        <v>2.8198536988618485E-5</v>
      </c>
      <c r="F638" s="148">
        <f t="shared" si="40"/>
        <v>1.0285128091592202E-2</v>
      </c>
    </row>
    <row r="639" spans="2:6" x14ac:dyDescent="0.2">
      <c r="B639" s="115" t="s">
        <v>2668</v>
      </c>
      <c r="C639" s="114">
        <v>270</v>
      </c>
      <c r="D639" s="147">
        <f t="shared" si="39"/>
        <v>0.1986150456405385</v>
      </c>
      <c r="E639" s="148">
        <f t="shared" si="38"/>
        <v>2.8303364263669111E-5</v>
      </c>
      <c r="F639" s="148">
        <f t="shared" si="40"/>
        <v>1.0313431455855872E-2</v>
      </c>
    </row>
    <row r="640" spans="2:6" x14ac:dyDescent="0.2">
      <c r="B640" s="206" t="s">
        <v>2589</v>
      </c>
      <c r="C640" s="205">
        <v>270</v>
      </c>
      <c r="D640" s="147">
        <f t="shared" si="39"/>
        <v>0.19892980799496091</v>
      </c>
      <c r="E640" s="148">
        <f t="shared" si="38"/>
        <v>2.8303364263669111E-5</v>
      </c>
      <c r="F640" s="148">
        <f t="shared" si="40"/>
        <v>1.0341734820119542E-2</v>
      </c>
    </row>
    <row r="641" spans="2:6" x14ac:dyDescent="0.2">
      <c r="B641" s="115" t="s">
        <v>1881</v>
      </c>
      <c r="C641" s="114">
        <v>270</v>
      </c>
      <c r="D641" s="147">
        <f t="shared" si="39"/>
        <v>0.19924457034938331</v>
      </c>
      <c r="E641" s="148">
        <f t="shared" si="38"/>
        <v>2.8303364263669111E-5</v>
      </c>
      <c r="F641" s="148">
        <f t="shared" si="40"/>
        <v>1.0370038184383212E-2</v>
      </c>
    </row>
    <row r="642" spans="2:6" x14ac:dyDescent="0.2">
      <c r="B642" s="115" t="s">
        <v>2638</v>
      </c>
      <c r="C642" s="114">
        <v>271</v>
      </c>
      <c r="D642" s="147">
        <f t="shared" si="39"/>
        <v>0.19955933270380571</v>
      </c>
      <c r="E642" s="148">
        <f t="shared" si="38"/>
        <v>2.8408191538719736E-5</v>
      </c>
      <c r="F642" s="148">
        <f t="shared" si="40"/>
        <v>1.0398446375921931E-2</v>
      </c>
    </row>
    <row r="643" spans="2:6" x14ac:dyDescent="0.2">
      <c r="B643" s="206" t="s">
        <v>1560</v>
      </c>
      <c r="C643" s="205">
        <v>271</v>
      </c>
      <c r="D643" s="147">
        <f t="shared" si="39"/>
        <v>0.19987409505822812</v>
      </c>
      <c r="E643" s="148">
        <f t="shared" si="38"/>
        <v>2.8408191538719736E-5</v>
      </c>
      <c r="F643" s="148">
        <f t="shared" si="40"/>
        <v>1.0426854567460651E-2</v>
      </c>
    </row>
    <row r="644" spans="2:6" x14ac:dyDescent="0.2">
      <c r="B644" s="115" t="s">
        <v>1257</v>
      </c>
      <c r="C644" s="114">
        <v>271</v>
      </c>
      <c r="D644" s="147">
        <f t="shared" si="39"/>
        <v>0.20018885741265052</v>
      </c>
      <c r="E644" s="148">
        <f t="shared" si="38"/>
        <v>2.8408191538719736E-5</v>
      </c>
      <c r="F644" s="148">
        <f t="shared" si="40"/>
        <v>1.045526275899937E-2</v>
      </c>
    </row>
    <row r="645" spans="2:6" x14ac:dyDescent="0.2">
      <c r="B645" s="206" t="s">
        <v>1544</v>
      </c>
      <c r="C645" s="205">
        <v>272</v>
      </c>
      <c r="D645" s="147">
        <f t="shared" si="39"/>
        <v>0.20050361976707293</v>
      </c>
      <c r="E645" s="148">
        <f t="shared" si="38"/>
        <v>2.8513018813770362E-5</v>
      </c>
      <c r="F645" s="148">
        <f t="shared" si="40"/>
        <v>1.0483775777813141E-2</v>
      </c>
    </row>
    <row r="646" spans="2:6" x14ac:dyDescent="0.2">
      <c r="B646" s="206" t="s">
        <v>2224</v>
      </c>
      <c r="C646" s="205">
        <v>273</v>
      </c>
      <c r="D646" s="147">
        <f t="shared" si="39"/>
        <v>0.20081838212149533</v>
      </c>
      <c r="E646" s="148">
        <f t="shared" si="38"/>
        <v>2.8617846088820988E-5</v>
      </c>
      <c r="F646" s="148">
        <f t="shared" si="40"/>
        <v>1.0512393623901961E-2</v>
      </c>
    </row>
    <row r="647" spans="2:6" x14ac:dyDescent="0.2">
      <c r="B647" s="206" t="s">
        <v>1260</v>
      </c>
      <c r="C647" s="205">
        <v>273</v>
      </c>
      <c r="D647" s="147">
        <f t="shared" si="39"/>
        <v>0.20113314447591774</v>
      </c>
      <c r="E647" s="148">
        <f t="shared" si="38"/>
        <v>2.8617846088820988E-5</v>
      </c>
      <c r="F647" s="148">
        <f t="shared" si="40"/>
        <v>1.0541011469990782E-2</v>
      </c>
    </row>
    <row r="648" spans="2:6" x14ac:dyDescent="0.2">
      <c r="B648" s="206" t="s">
        <v>211</v>
      </c>
      <c r="C648" s="205">
        <v>273</v>
      </c>
      <c r="D648" s="147">
        <f t="shared" si="39"/>
        <v>0.20144790683034014</v>
      </c>
      <c r="E648" s="148">
        <f t="shared" si="38"/>
        <v>2.8617846088820988E-5</v>
      </c>
      <c r="F648" s="148">
        <f t="shared" si="40"/>
        <v>1.0569629316079602E-2</v>
      </c>
    </row>
    <row r="649" spans="2:6" x14ac:dyDescent="0.2">
      <c r="B649" s="206" t="s">
        <v>2619</v>
      </c>
      <c r="C649" s="205">
        <v>274</v>
      </c>
      <c r="D649" s="147">
        <f t="shared" si="39"/>
        <v>0.20176266918476254</v>
      </c>
      <c r="E649" s="148">
        <f t="shared" ref="E649:E712" si="41">C649/$O$18</f>
        <v>2.8722673363871617E-5</v>
      </c>
      <c r="F649" s="148">
        <f t="shared" si="40"/>
        <v>1.0598351989443474E-2</v>
      </c>
    </row>
    <row r="650" spans="2:6" x14ac:dyDescent="0.2">
      <c r="B650" s="206" t="s">
        <v>2220</v>
      </c>
      <c r="C650" s="205">
        <v>274</v>
      </c>
      <c r="D650" s="147">
        <f t="shared" ref="D650:D713" si="42">D649+1/$L$18</f>
        <v>0.20207743153918495</v>
      </c>
      <c r="E650" s="148">
        <f t="shared" si="41"/>
        <v>2.8722673363871617E-5</v>
      </c>
      <c r="F650" s="148">
        <f t="shared" ref="F650:F713" si="43">F649+E650</f>
        <v>1.0627074662807346E-2</v>
      </c>
    </row>
    <row r="651" spans="2:6" x14ac:dyDescent="0.2">
      <c r="B651" s="206" t="s">
        <v>1134</v>
      </c>
      <c r="C651" s="205">
        <v>274</v>
      </c>
      <c r="D651" s="147">
        <f t="shared" si="42"/>
        <v>0.20239219389360735</v>
      </c>
      <c r="E651" s="148">
        <f t="shared" si="41"/>
        <v>2.8722673363871617E-5</v>
      </c>
      <c r="F651" s="148">
        <f t="shared" si="43"/>
        <v>1.0655797336171217E-2</v>
      </c>
    </row>
    <row r="652" spans="2:6" x14ac:dyDescent="0.2">
      <c r="B652" s="115" t="s">
        <v>949</v>
      </c>
      <c r="C652" s="114">
        <v>274</v>
      </c>
      <c r="D652" s="147">
        <f t="shared" si="42"/>
        <v>0.20270695624802976</v>
      </c>
      <c r="E652" s="148">
        <f t="shared" si="41"/>
        <v>2.8722673363871617E-5</v>
      </c>
      <c r="F652" s="148">
        <f t="shared" si="43"/>
        <v>1.0684520009535089E-2</v>
      </c>
    </row>
    <row r="653" spans="2:6" x14ac:dyDescent="0.2">
      <c r="B653" s="206" t="s">
        <v>1938</v>
      </c>
      <c r="C653" s="205">
        <v>275</v>
      </c>
      <c r="D653" s="147">
        <f t="shared" si="42"/>
        <v>0.20302171860245216</v>
      </c>
      <c r="E653" s="148">
        <f t="shared" si="41"/>
        <v>2.8827500638922242E-5</v>
      </c>
      <c r="F653" s="148">
        <f t="shared" si="43"/>
        <v>1.0713347510174012E-2</v>
      </c>
    </row>
    <row r="654" spans="2:6" x14ac:dyDescent="0.2">
      <c r="B654" s="206" t="s">
        <v>293</v>
      </c>
      <c r="C654" s="205">
        <v>276</v>
      </c>
      <c r="D654" s="147">
        <f t="shared" si="42"/>
        <v>0.20333648095687457</v>
      </c>
      <c r="E654" s="148">
        <f t="shared" si="41"/>
        <v>2.8932327913972868E-5</v>
      </c>
      <c r="F654" s="148">
        <f t="shared" si="43"/>
        <v>1.0742279838087985E-2</v>
      </c>
    </row>
    <row r="655" spans="2:6" x14ac:dyDescent="0.2">
      <c r="B655" s="115" t="s">
        <v>2851</v>
      </c>
      <c r="C655" s="114">
        <v>277</v>
      </c>
      <c r="D655" s="147">
        <f t="shared" si="42"/>
        <v>0.20365124331129697</v>
      </c>
      <c r="E655" s="148">
        <f t="shared" si="41"/>
        <v>2.9037155189023494E-5</v>
      </c>
      <c r="F655" s="148">
        <f t="shared" si="43"/>
        <v>1.0771316993277009E-2</v>
      </c>
    </row>
    <row r="656" spans="2:6" x14ac:dyDescent="0.2">
      <c r="B656" s="206" t="s">
        <v>2322</v>
      </c>
      <c r="C656" s="205">
        <v>277</v>
      </c>
      <c r="D656" s="147">
        <f t="shared" si="42"/>
        <v>0.20396600566571937</v>
      </c>
      <c r="E656" s="148">
        <f t="shared" si="41"/>
        <v>2.9037155189023494E-5</v>
      </c>
      <c r="F656" s="148">
        <f t="shared" si="43"/>
        <v>1.0800354148466033E-2</v>
      </c>
    </row>
    <row r="657" spans="2:6" x14ac:dyDescent="0.2">
      <c r="B657" s="206" t="s">
        <v>532</v>
      </c>
      <c r="C657" s="205">
        <v>277</v>
      </c>
      <c r="D657" s="147">
        <f t="shared" si="42"/>
        <v>0.20428076802014178</v>
      </c>
      <c r="E657" s="148">
        <f t="shared" si="41"/>
        <v>2.9037155189023494E-5</v>
      </c>
      <c r="F657" s="148">
        <f t="shared" si="43"/>
        <v>1.0829391303655057E-2</v>
      </c>
    </row>
    <row r="658" spans="2:6" x14ac:dyDescent="0.2">
      <c r="B658" s="115" t="s">
        <v>247</v>
      </c>
      <c r="C658" s="114">
        <v>278</v>
      </c>
      <c r="D658" s="147">
        <f t="shared" si="42"/>
        <v>0.20459553037456418</v>
      </c>
      <c r="E658" s="148">
        <f t="shared" si="41"/>
        <v>2.9141982464074119E-5</v>
      </c>
      <c r="F658" s="148">
        <f t="shared" si="43"/>
        <v>1.085853328611913E-2</v>
      </c>
    </row>
    <row r="659" spans="2:6" x14ac:dyDescent="0.2">
      <c r="B659" s="115" t="s">
        <v>2994</v>
      </c>
      <c r="C659" s="114">
        <v>279</v>
      </c>
      <c r="D659" s="147">
        <f t="shared" si="42"/>
        <v>0.20491029272898659</v>
      </c>
      <c r="E659" s="148">
        <f t="shared" si="41"/>
        <v>2.9246809739124748E-5</v>
      </c>
      <c r="F659" s="148">
        <f t="shared" si="43"/>
        <v>1.0887780095858255E-2</v>
      </c>
    </row>
    <row r="660" spans="2:6" x14ac:dyDescent="0.2">
      <c r="B660" s="206" t="s">
        <v>117</v>
      </c>
      <c r="C660" s="205">
        <v>279</v>
      </c>
      <c r="D660" s="147">
        <f t="shared" si="42"/>
        <v>0.20522505508340899</v>
      </c>
      <c r="E660" s="148">
        <f t="shared" si="41"/>
        <v>2.9246809739124748E-5</v>
      </c>
      <c r="F660" s="148">
        <f t="shared" si="43"/>
        <v>1.091702690559738E-2</v>
      </c>
    </row>
    <row r="661" spans="2:6" x14ac:dyDescent="0.2">
      <c r="B661" s="206" t="s">
        <v>2907</v>
      </c>
      <c r="C661" s="205">
        <v>280</v>
      </c>
      <c r="D661" s="147">
        <f t="shared" si="42"/>
        <v>0.2055398174378314</v>
      </c>
      <c r="E661" s="148">
        <f t="shared" si="41"/>
        <v>2.9351637014175374E-5</v>
      </c>
      <c r="F661" s="148">
        <f t="shared" si="43"/>
        <v>1.0946378542611556E-2</v>
      </c>
    </row>
    <row r="662" spans="2:6" x14ac:dyDescent="0.2">
      <c r="B662" s="206" t="s">
        <v>2811</v>
      </c>
      <c r="C662" s="205">
        <v>280</v>
      </c>
      <c r="D662" s="147">
        <f t="shared" si="42"/>
        <v>0.2058545797922538</v>
      </c>
      <c r="E662" s="148">
        <f t="shared" si="41"/>
        <v>2.9351637014175374E-5</v>
      </c>
      <c r="F662" s="148">
        <f t="shared" si="43"/>
        <v>1.0975730179625732E-2</v>
      </c>
    </row>
    <row r="663" spans="2:6" x14ac:dyDescent="0.2">
      <c r="B663" s="115" t="s">
        <v>1783</v>
      </c>
      <c r="C663" s="114">
        <v>280</v>
      </c>
      <c r="D663" s="147">
        <f t="shared" si="42"/>
        <v>0.2061693421466762</v>
      </c>
      <c r="E663" s="148">
        <f t="shared" si="41"/>
        <v>2.9351637014175374E-5</v>
      </c>
      <c r="F663" s="148">
        <f t="shared" si="43"/>
        <v>1.1005081816639908E-2</v>
      </c>
    </row>
    <row r="664" spans="2:6" x14ac:dyDescent="0.2">
      <c r="B664" s="115" t="s">
        <v>954</v>
      </c>
      <c r="C664" s="114">
        <v>280</v>
      </c>
      <c r="D664" s="147">
        <f t="shared" si="42"/>
        <v>0.20648410450109861</v>
      </c>
      <c r="E664" s="148">
        <f t="shared" si="41"/>
        <v>2.9351637014175374E-5</v>
      </c>
      <c r="F664" s="148">
        <f t="shared" si="43"/>
        <v>1.1034433453654085E-2</v>
      </c>
    </row>
    <row r="665" spans="2:6" x14ac:dyDescent="0.2">
      <c r="B665" s="206" t="s">
        <v>751</v>
      </c>
      <c r="C665" s="205">
        <v>280</v>
      </c>
      <c r="D665" s="147">
        <f t="shared" si="42"/>
        <v>0.20679886685552101</v>
      </c>
      <c r="E665" s="148">
        <f t="shared" si="41"/>
        <v>2.9351637014175374E-5</v>
      </c>
      <c r="F665" s="148">
        <f t="shared" si="43"/>
        <v>1.1063785090668261E-2</v>
      </c>
    </row>
    <row r="666" spans="2:6" x14ac:dyDescent="0.2">
      <c r="B666" s="206" t="s">
        <v>504</v>
      </c>
      <c r="C666" s="205">
        <v>280</v>
      </c>
      <c r="D666" s="147">
        <f t="shared" si="42"/>
        <v>0.20711362920994342</v>
      </c>
      <c r="E666" s="148">
        <f t="shared" si="41"/>
        <v>2.9351637014175374E-5</v>
      </c>
      <c r="F666" s="148">
        <f t="shared" si="43"/>
        <v>1.1093136727682437E-2</v>
      </c>
    </row>
    <row r="667" spans="2:6" x14ac:dyDescent="0.2">
      <c r="B667" s="115" t="s">
        <v>1583</v>
      </c>
      <c r="C667" s="114">
        <v>281</v>
      </c>
      <c r="D667" s="147">
        <f t="shared" si="42"/>
        <v>0.20742839156436582</v>
      </c>
      <c r="E667" s="148">
        <f t="shared" si="41"/>
        <v>2.9456464289226E-5</v>
      </c>
      <c r="F667" s="148">
        <f t="shared" si="43"/>
        <v>1.1122593191971663E-2</v>
      </c>
    </row>
    <row r="668" spans="2:6" x14ac:dyDescent="0.2">
      <c r="B668" s="115" t="s">
        <v>2917</v>
      </c>
      <c r="C668" s="114">
        <v>282</v>
      </c>
      <c r="D668" s="147">
        <f t="shared" si="42"/>
        <v>0.20774315391878823</v>
      </c>
      <c r="E668" s="148">
        <f t="shared" si="41"/>
        <v>2.9561291564276625E-5</v>
      </c>
      <c r="F668" s="148">
        <f t="shared" si="43"/>
        <v>1.115215448353594E-2</v>
      </c>
    </row>
    <row r="669" spans="2:6" x14ac:dyDescent="0.2">
      <c r="B669" s="206" t="s">
        <v>2428</v>
      </c>
      <c r="C669" s="205">
        <v>282</v>
      </c>
      <c r="D669" s="147">
        <f t="shared" si="42"/>
        <v>0.20805791627321063</v>
      </c>
      <c r="E669" s="148">
        <f t="shared" si="41"/>
        <v>2.9561291564276625E-5</v>
      </c>
      <c r="F669" s="148">
        <f t="shared" si="43"/>
        <v>1.1181715775100217E-2</v>
      </c>
    </row>
    <row r="670" spans="2:6" x14ac:dyDescent="0.2">
      <c r="B670" s="115" t="s">
        <v>1933</v>
      </c>
      <c r="C670" s="114">
        <v>282</v>
      </c>
      <c r="D670" s="147">
        <f t="shared" si="42"/>
        <v>0.20837267862763303</v>
      </c>
      <c r="E670" s="148">
        <f t="shared" si="41"/>
        <v>2.9561291564276625E-5</v>
      </c>
      <c r="F670" s="148">
        <f t="shared" si="43"/>
        <v>1.1211277066664494E-2</v>
      </c>
    </row>
    <row r="671" spans="2:6" x14ac:dyDescent="0.2">
      <c r="B671" s="115" t="s">
        <v>92</v>
      </c>
      <c r="C671" s="114">
        <v>282</v>
      </c>
      <c r="D671" s="147">
        <f t="shared" si="42"/>
        <v>0.20868744098205544</v>
      </c>
      <c r="E671" s="148">
        <f t="shared" si="41"/>
        <v>2.9561291564276625E-5</v>
      </c>
      <c r="F671" s="148">
        <f t="shared" si="43"/>
        <v>1.1240838358228771E-2</v>
      </c>
    </row>
    <row r="672" spans="2:6" x14ac:dyDescent="0.2">
      <c r="B672" s="206" t="s">
        <v>2703</v>
      </c>
      <c r="C672" s="205">
        <v>283</v>
      </c>
      <c r="D672" s="147">
        <f t="shared" si="42"/>
        <v>0.20900220333647784</v>
      </c>
      <c r="E672" s="148">
        <f t="shared" si="41"/>
        <v>2.9666118839327251E-5</v>
      </c>
      <c r="F672" s="148">
        <f t="shared" si="43"/>
        <v>1.1270504477068097E-2</v>
      </c>
    </row>
    <row r="673" spans="2:6" x14ac:dyDescent="0.2">
      <c r="B673" s="115" t="s">
        <v>1763</v>
      </c>
      <c r="C673" s="114">
        <v>283</v>
      </c>
      <c r="D673" s="147">
        <f t="shared" si="42"/>
        <v>0.20931696569090025</v>
      </c>
      <c r="E673" s="148">
        <f t="shared" si="41"/>
        <v>2.9666118839327251E-5</v>
      </c>
      <c r="F673" s="148">
        <f t="shared" si="43"/>
        <v>1.1300170595907424E-2</v>
      </c>
    </row>
    <row r="674" spans="2:6" x14ac:dyDescent="0.2">
      <c r="B674" s="115" t="s">
        <v>1095</v>
      </c>
      <c r="C674" s="114">
        <v>283</v>
      </c>
      <c r="D674" s="147">
        <f t="shared" si="42"/>
        <v>0.20963172804532265</v>
      </c>
      <c r="E674" s="148">
        <f t="shared" si="41"/>
        <v>2.9666118839327251E-5</v>
      </c>
      <c r="F674" s="148">
        <f t="shared" si="43"/>
        <v>1.1329836714746751E-2</v>
      </c>
    </row>
    <row r="675" spans="2:6" x14ac:dyDescent="0.2">
      <c r="B675" s="206" t="s">
        <v>742</v>
      </c>
      <c r="C675" s="205">
        <v>283</v>
      </c>
      <c r="D675" s="147">
        <f t="shared" si="42"/>
        <v>0.20994649039974506</v>
      </c>
      <c r="E675" s="148">
        <f t="shared" si="41"/>
        <v>2.9666118839327251E-5</v>
      </c>
      <c r="F675" s="148">
        <f t="shared" si="43"/>
        <v>1.1359502833586077E-2</v>
      </c>
    </row>
    <row r="676" spans="2:6" x14ac:dyDescent="0.2">
      <c r="B676" s="206" t="s">
        <v>3068</v>
      </c>
      <c r="C676" s="205">
        <v>284</v>
      </c>
      <c r="D676" s="147">
        <f t="shared" si="42"/>
        <v>0.21026125275416746</v>
      </c>
      <c r="E676" s="148">
        <f t="shared" si="41"/>
        <v>2.977094611437788E-5</v>
      </c>
      <c r="F676" s="148">
        <f t="shared" si="43"/>
        <v>1.1389273779700455E-2</v>
      </c>
    </row>
    <row r="677" spans="2:6" x14ac:dyDescent="0.2">
      <c r="B677" s="206" t="s">
        <v>1393</v>
      </c>
      <c r="C677" s="205">
        <v>284</v>
      </c>
      <c r="D677" s="147">
        <f t="shared" si="42"/>
        <v>0.21057601510858986</v>
      </c>
      <c r="E677" s="148">
        <f t="shared" si="41"/>
        <v>2.977094611437788E-5</v>
      </c>
      <c r="F677" s="148">
        <f t="shared" si="43"/>
        <v>1.1419044725814833E-2</v>
      </c>
    </row>
    <row r="678" spans="2:6" x14ac:dyDescent="0.2">
      <c r="B678" s="115" t="s">
        <v>552</v>
      </c>
      <c r="C678" s="114">
        <v>284</v>
      </c>
      <c r="D678" s="147">
        <f t="shared" si="42"/>
        <v>0.21089077746301227</v>
      </c>
      <c r="E678" s="148">
        <f t="shared" si="41"/>
        <v>2.977094611437788E-5</v>
      </c>
      <c r="F678" s="148">
        <f t="shared" si="43"/>
        <v>1.1448815671929211E-2</v>
      </c>
    </row>
    <row r="679" spans="2:6" x14ac:dyDescent="0.2">
      <c r="B679" s="115" t="s">
        <v>180</v>
      </c>
      <c r="C679" s="114">
        <v>284</v>
      </c>
      <c r="D679" s="147">
        <f t="shared" si="42"/>
        <v>0.21120553981743467</v>
      </c>
      <c r="E679" s="148">
        <f t="shared" si="41"/>
        <v>2.977094611437788E-5</v>
      </c>
      <c r="F679" s="148">
        <f t="shared" si="43"/>
        <v>1.1478586618043589E-2</v>
      </c>
    </row>
    <row r="680" spans="2:6" x14ac:dyDescent="0.2">
      <c r="B680" s="115" t="s">
        <v>2286</v>
      </c>
      <c r="C680" s="114">
        <v>285</v>
      </c>
      <c r="D680" s="147">
        <f t="shared" si="42"/>
        <v>0.21152030217185708</v>
      </c>
      <c r="E680" s="148">
        <f t="shared" si="41"/>
        <v>2.9875773389428506E-5</v>
      </c>
      <c r="F680" s="148">
        <f t="shared" si="43"/>
        <v>1.1508462391433018E-2</v>
      </c>
    </row>
    <row r="681" spans="2:6" x14ac:dyDescent="0.2">
      <c r="B681" s="206" t="s">
        <v>579</v>
      </c>
      <c r="C681" s="205">
        <v>285</v>
      </c>
      <c r="D681" s="147">
        <f t="shared" si="42"/>
        <v>0.21183506452627948</v>
      </c>
      <c r="E681" s="148">
        <f t="shared" si="41"/>
        <v>2.9875773389428506E-5</v>
      </c>
      <c r="F681" s="148">
        <f t="shared" si="43"/>
        <v>1.1538338164822448E-2</v>
      </c>
    </row>
    <row r="682" spans="2:6" x14ac:dyDescent="0.2">
      <c r="B682" s="115" t="s">
        <v>3045</v>
      </c>
      <c r="C682" s="114">
        <v>286</v>
      </c>
      <c r="D682" s="147">
        <f t="shared" si="42"/>
        <v>0.21214982688070189</v>
      </c>
      <c r="E682" s="148">
        <f t="shared" si="41"/>
        <v>2.9980600664479131E-5</v>
      </c>
      <c r="F682" s="148">
        <f t="shared" si="43"/>
        <v>1.1568318765486927E-2</v>
      </c>
    </row>
    <row r="683" spans="2:6" x14ac:dyDescent="0.2">
      <c r="B683" s="115" t="s">
        <v>704</v>
      </c>
      <c r="C683" s="114">
        <v>286</v>
      </c>
      <c r="D683" s="147">
        <f t="shared" si="42"/>
        <v>0.21246458923512429</v>
      </c>
      <c r="E683" s="148">
        <f t="shared" si="41"/>
        <v>2.9980600664479131E-5</v>
      </c>
      <c r="F683" s="148">
        <f t="shared" si="43"/>
        <v>1.1598299366151405E-2</v>
      </c>
    </row>
    <row r="684" spans="2:6" x14ac:dyDescent="0.2">
      <c r="B684" s="206" t="s">
        <v>325</v>
      </c>
      <c r="C684" s="205">
        <v>286</v>
      </c>
      <c r="D684" s="147">
        <f t="shared" si="42"/>
        <v>0.21277935158954669</v>
      </c>
      <c r="E684" s="148">
        <f t="shared" si="41"/>
        <v>2.9980600664479131E-5</v>
      </c>
      <c r="F684" s="148">
        <f t="shared" si="43"/>
        <v>1.1628279966815884E-2</v>
      </c>
    </row>
    <row r="685" spans="2:6" x14ac:dyDescent="0.2">
      <c r="B685" s="115" t="s">
        <v>3018</v>
      </c>
      <c r="C685" s="114">
        <v>287</v>
      </c>
      <c r="D685" s="147">
        <f t="shared" si="42"/>
        <v>0.2130941139439691</v>
      </c>
      <c r="E685" s="148">
        <f t="shared" si="41"/>
        <v>3.0085427939529757E-5</v>
      </c>
      <c r="F685" s="148">
        <f t="shared" si="43"/>
        <v>1.1658365394755415E-2</v>
      </c>
    </row>
    <row r="686" spans="2:6" x14ac:dyDescent="0.2">
      <c r="B686" s="206" t="s">
        <v>340</v>
      </c>
      <c r="C686" s="205">
        <v>287</v>
      </c>
      <c r="D686" s="147">
        <f t="shared" si="42"/>
        <v>0.2134088762983915</v>
      </c>
      <c r="E686" s="148">
        <f t="shared" si="41"/>
        <v>3.0085427939529757E-5</v>
      </c>
      <c r="F686" s="148">
        <f t="shared" si="43"/>
        <v>1.1688450822694945E-2</v>
      </c>
    </row>
    <row r="687" spans="2:6" x14ac:dyDescent="0.2">
      <c r="B687" s="206" t="s">
        <v>1955</v>
      </c>
      <c r="C687" s="205">
        <v>288</v>
      </c>
      <c r="D687" s="147">
        <f t="shared" si="42"/>
        <v>0.21372363865281391</v>
      </c>
      <c r="E687" s="148">
        <f t="shared" si="41"/>
        <v>3.0190255214580383E-5</v>
      </c>
      <c r="F687" s="148">
        <f t="shared" si="43"/>
        <v>1.1718641077909524E-2</v>
      </c>
    </row>
    <row r="688" spans="2:6" x14ac:dyDescent="0.2">
      <c r="B688" s="206" t="s">
        <v>1331</v>
      </c>
      <c r="C688" s="205">
        <v>288</v>
      </c>
      <c r="D688" s="147">
        <f t="shared" si="42"/>
        <v>0.21403840100723631</v>
      </c>
      <c r="E688" s="148">
        <f t="shared" si="41"/>
        <v>3.0190255214580383E-5</v>
      </c>
      <c r="F688" s="148">
        <f t="shared" si="43"/>
        <v>1.1748831333124104E-2</v>
      </c>
    </row>
    <row r="689" spans="2:6" x14ac:dyDescent="0.2">
      <c r="B689" s="206" t="s">
        <v>614</v>
      </c>
      <c r="C689" s="205">
        <v>288</v>
      </c>
      <c r="D689" s="147">
        <f t="shared" si="42"/>
        <v>0.21435316336165872</v>
      </c>
      <c r="E689" s="148">
        <f t="shared" si="41"/>
        <v>3.0190255214580383E-5</v>
      </c>
      <c r="F689" s="148">
        <f t="shared" si="43"/>
        <v>1.1779021588338684E-2</v>
      </c>
    </row>
    <row r="690" spans="2:6" x14ac:dyDescent="0.2">
      <c r="B690" s="206" t="s">
        <v>2003</v>
      </c>
      <c r="C690" s="205">
        <v>289</v>
      </c>
      <c r="D690" s="147">
        <f t="shared" si="42"/>
        <v>0.21466792571608112</v>
      </c>
      <c r="E690" s="148">
        <f t="shared" si="41"/>
        <v>3.0295082489631012E-5</v>
      </c>
      <c r="F690" s="148">
        <f t="shared" si="43"/>
        <v>1.1809316670828315E-2</v>
      </c>
    </row>
    <row r="691" spans="2:6" x14ac:dyDescent="0.2">
      <c r="B691" s="206" t="s">
        <v>856</v>
      </c>
      <c r="C691" s="205">
        <v>289</v>
      </c>
      <c r="D691" s="147">
        <f t="shared" si="42"/>
        <v>0.21498268807050352</v>
      </c>
      <c r="E691" s="148">
        <f t="shared" si="41"/>
        <v>3.0295082489631012E-5</v>
      </c>
      <c r="F691" s="148">
        <f t="shared" si="43"/>
        <v>1.1839611753317946E-2</v>
      </c>
    </row>
    <row r="692" spans="2:6" x14ac:dyDescent="0.2">
      <c r="B692" s="115" t="s">
        <v>2353</v>
      </c>
      <c r="C692" s="114">
        <v>290</v>
      </c>
      <c r="D692" s="147">
        <f t="shared" si="42"/>
        <v>0.21529745042492593</v>
      </c>
      <c r="E692" s="148">
        <f t="shared" si="41"/>
        <v>3.0399909764681637E-5</v>
      </c>
      <c r="F692" s="148">
        <f t="shared" si="43"/>
        <v>1.1870011663082628E-2</v>
      </c>
    </row>
    <row r="693" spans="2:6" x14ac:dyDescent="0.2">
      <c r="B693" s="206" t="s">
        <v>1283</v>
      </c>
      <c r="C693" s="205">
        <v>290</v>
      </c>
      <c r="D693" s="147">
        <f t="shared" si="42"/>
        <v>0.21561221277934833</v>
      </c>
      <c r="E693" s="148">
        <f t="shared" si="41"/>
        <v>3.0399909764681637E-5</v>
      </c>
      <c r="F693" s="148">
        <f t="shared" si="43"/>
        <v>1.1900411572847311E-2</v>
      </c>
    </row>
    <row r="694" spans="2:6" x14ac:dyDescent="0.2">
      <c r="B694" s="206" t="s">
        <v>163</v>
      </c>
      <c r="C694" s="205">
        <v>290</v>
      </c>
      <c r="D694" s="147">
        <f t="shared" si="42"/>
        <v>0.21592697513377074</v>
      </c>
      <c r="E694" s="148">
        <f t="shared" si="41"/>
        <v>3.0399909764681637E-5</v>
      </c>
      <c r="F694" s="148">
        <f t="shared" si="43"/>
        <v>1.1930811482611993E-2</v>
      </c>
    </row>
    <row r="695" spans="2:6" x14ac:dyDescent="0.2">
      <c r="B695" s="206" t="s">
        <v>1768</v>
      </c>
      <c r="C695" s="205">
        <v>291</v>
      </c>
      <c r="D695" s="147">
        <f t="shared" si="42"/>
        <v>0.21624173748819314</v>
      </c>
      <c r="E695" s="148">
        <f t="shared" si="41"/>
        <v>3.0504737039732263E-5</v>
      </c>
      <c r="F695" s="148">
        <f t="shared" si="43"/>
        <v>1.1961316219651725E-2</v>
      </c>
    </row>
    <row r="696" spans="2:6" x14ac:dyDescent="0.2">
      <c r="B696" s="115" t="s">
        <v>54</v>
      </c>
      <c r="C696" s="114">
        <v>291</v>
      </c>
      <c r="D696" s="147">
        <f t="shared" si="42"/>
        <v>0.21655649984261555</v>
      </c>
      <c r="E696" s="148">
        <f t="shared" si="41"/>
        <v>3.0504737039732263E-5</v>
      </c>
      <c r="F696" s="148">
        <f t="shared" si="43"/>
        <v>1.1991820956691457E-2</v>
      </c>
    </row>
    <row r="697" spans="2:6" x14ac:dyDescent="0.2">
      <c r="B697" s="115" t="s">
        <v>2543</v>
      </c>
      <c r="C697" s="114">
        <v>292</v>
      </c>
      <c r="D697" s="147">
        <f t="shared" si="42"/>
        <v>0.21687126219703795</v>
      </c>
      <c r="E697" s="148">
        <f t="shared" si="41"/>
        <v>3.0609564314782889E-5</v>
      </c>
      <c r="F697" s="148">
        <f t="shared" si="43"/>
        <v>1.2022430521006241E-2</v>
      </c>
    </row>
    <row r="698" spans="2:6" x14ac:dyDescent="0.2">
      <c r="B698" s="115" t="s">
        <v>1703</v>
      </c>
      <c r="C698" s="114">
        <v>292</v>
      </c>
      <c r="D698" s="147">
        <f t="shared" si="42"/>
        <v>0.21718602455146035</v>
      </c>
      <c r="E698" s="148">
        <f t="shared" si="41"/>
        <v>3.0609564314782889E-5</v>
      </c>
      <c r="F698" s="148">
        <f t="shared" si="43"/>
        <v>1.2053040085321024E-2</v>
      </c>
    </row>
    <row r="699" spans="2:6" x14ac:dyDescent="0.2">
      <c r="B699" s="206" t="s">
        <v>1515</v>
      </c>
      <c r="C699" s="205">
        <v>292</v>
      </c>
      <c r="D699" s="147">
        <f t="shared" si="42"/>
        <v>0.21750078690588276</v>
      </c>
      <c r="E699" s="148">
        <f t="shared" si="41"/>
        <v>3.0609564314782889E-5</v>
      </c>
      <c r="F699" s="148">
        <f t="shared" si="43"/>
        <v>1.2083649649635807E-2</v>
      </c>
    </row>
    <row r="700" spans="2:6" x14ac:dyDescent="0.2">
      <c r="B700" s="206" t="s">
        <v>1873</v>
      </c>
      <c r="C700" s="205">
        <v>293</v>
      </c>
      <c r="D700" s="147">
        <f t="shared" si="42"/>
        <v>0.21781554926030516</v>
      </c>
      <c r="E700" s="148">
        <f t="shared" si="41"/>
        <v>3.0714391589833514E-5</v>
      </c>
      <c r="F700" s="148">
        <f t="shared" si="43"/>
        <v>1.211436404122564E-2</v>
      </c>
    </row>
    <row r="701" spans="2:6" x14ac:dyDescent="0.2">
      <c r="B701" s="206" t="s">
        <v>1735</v>
      </c>
      <c r="C701" s="205">
        <v>293</v>
      </c>
      <c r="D701" s="147">
        <f t="shared" si="42"/>
        <v>0.21813031161472757</v>
      </c>
      <c r="E701" s="148">
        <f t="shared" si="41"/>
        <v>3.0714391589833514E-5</v>
      </c>
      <c r="F701" s="148">
        <f t="shared" si="43"/>
        <v>1.2145078432815473E-2</v>
      </c>
    </row>
    <row r="702" spans="2:6" x14ac:dyDescent="0.2">
      <c r="B702" s="115" t="s">
        <v>1067</v>
      </c>
      <c r="C702" s="114">
        <v>293</v>
      </c>
      <c r="D702" s="147">
        <f t="shared" si="42"/>
        <v>0.21844507396914997</v>
      </c>
      <c r="E702" s="148">
        <f t="shared" si="41"/>
        <v>3.0714391589833514E-5</v>
      </c>
      <c r="F702" s="148">
        <f t="shared" si="43"/>
        <v>1.2175792824405306E-2</v>
      </c>
    </row>
    <row r="703" spans="2:6" x14ac:dyDescent="0.2">
      <c r="B703" s="206" t="s">
        <v>650</v>
      </c>
      <c r="C703" s="205">
        <v>293</v>
      </c>
      <c r="D703" s="147">
        <f t="shared" si="42"/>
        <v>0.21875983632357238</v>
      </c>
      <c r="E703" s="148">
        <f t="shared" si="41"/>
        <v>3.0714391589833514E-5</v>
      </c>
      <c r="F703" s="148">
        <f t="shared" si="43"/>
        <v>1.2206507215995139E-2</v>
      </c>
    </row>
    <row r="704" spans="2:6" x14ac:dyDescent="0.2">
      <c r="B704" s="115" t="s">
        <v>641</v>
      </c>
      <c r="C704" s="114">
        <v>293</v>
      </c>
      <c r="D704" s="147">
        <f t="shared" si="42"/>
        <v>0.21907459867799478</v>
      </c>
      <c r="E704" s="148">
        <f t="shared" si="41"/>
        <v>3.0714391589833514E-5</v>
      </c>
      <c r="F704" s="148">
        <f t="shared" si="43"/>
        <v>1.2237221607584971E-2</v>
      </c>
    </row>
    <row r="705" spans="2:6" x14ac:dyDescent="0.2">
      <c r="B705" s="115" t="s">
        <v>3113</v>
      </c>
      <c r="C705" s="114">
        <v>294</v>
      </c>
      <c r="D705" s="147">
        <f t="shared" si="42"/>
        <v>0.21938936103241719</v>
      </c>
      <c r="E705" s="148">
        <f t="shared" si="41"/>
        <v>3.081921886488414E-5</v>
      </c>
      <c r="F705" s="148">
        <f t="shared" si="43"/>
        <v>1.2268040826449856E-2</v>
      </c>
    </row>
    <row r="706" spans="2:6" x14ac:dyDescent="0.2">
      <c r="B706" s="206" t="s">
        <v>2173</v>
      </c>
      <c r="C706" s="205">
        <v>294</v>
      </c>
      <c r="D706" s="147">
        <f t="shared" si="42"/>
        <v>0.21970412338683959</v>
      </c>
      <c r="E706" s="148">
        <f t="shared" si="41"/>
        <v>3.081921886488414E-5</v>
      </c>
      <c r="F706" s="148">
        <f t="shared" si="43"/>
        <v>1.229886004531474E-2</v>
      </c>
    </row>
    <row r="707" spans="2:6" x14ac:dyDescent="0.2">
      <c r="B707" s="115" t="s">
        <v>1606</v>
      </c>
      <c r="C707" s="114">
        <v>294</v>
      </c>
      <c r="D707" s="147">
        <f t="shared" si="42"/>
        <v>0.22001888574126199</v>
      </c>
      <c r="E707" s="148">
        <f t="shared" si="41"/>
        <v>3.081921886488414E-5</v>
      </c>
      <c r="F707" s="148">
        <f t="shared" si="43"/>
        <v>1.2329679264179624E-2</v>
      </c>
    </row>
    <row r="708" spans="2:6" x14ac:dyDescent="0.2">
      <c r="B708" s="206" t="s">
        <v>1050</v>
      </c>
      <c r="C708" s="205">
        <v>294</v>
      </c>
      <c r="D708" s="147">
        <f t="shared" si="42"/>
        <v>0.2203336480956844</v>
      </c>
      <c r="E708" s="148">
        <f t="shared" si="41"/>
        <v>3.081921886488414E-5</v>
      </c>
      <c r="F708" s="148">
        <f t="shared" si="43"/>
        <v>1.2360498483044508E-2</v>
      </c>
    </row>
    <row r="709" spans="2:6" x14ac:dyDescent="0.2">
      <c r="B709" s="206" t="s">
        <v>836</v>
      </c>
      <c r="C709" s="205">
        <v>294</v>
      </c>
      <c r="D709" s="147">
        <f t="shared" si="42"/>
        <v>0.2206484104501068</v>
      </c>
      <c r="E709" s="148">
        <f t="shared" si="41"/>
        <v>3.081921886488414E-5</v>
      </c>
      <c r="F709" s="148">
        <f t="shared" si="43"/>
        <v>1.2391317701909392E-2</v>
      </c>
    </row>
    <row r="710" spans="2:6" x14ac:dyDescent="0.2">
      <c r="B710" s="206" t="s">
        <v>1485</v>
      </c>
      <c r="C710" s="205">
        <v>295</v>
      </c>
      <c r="D710" s="147">
        <f t="shared" si="42"/>
        <v>0.22096317280452921</v>
      </c>
      <c r="E710" s="148">
        <f t="shared" si="41"/>
        <v>3.0924046139934766E-5</v>
      </c>
      <c r="F710" s="148">
        <f t="shared" si="43"/>
        <v>1.2422241748049328E-2</v>
      </c>
    </row>
    <row r="711" spans="2:6" x14ac:dyDescent="0.2">
      <c r="B711" s="115" t="s">
        <v>2751</v>
      </c>
      <c r="C711" s="114">
        <v>296</v>
      </c>
      <c r="D711" s="147">
        <f t="shared" si="42"/>
        <v>0.22127793515895161</v>
      </c>
      <c r="E711" s="148">
        <f t="shared" si="41"/>
        <v>3.1028873414985391E-5</v>
      </c>
      <c r="F711" s="148">
        <f t="shared" si="43"/>
        <v>1.2453270621464313E-2</v>
      </c>
    </row>
    <row r="712" spans="2:6" x14ac:dyDescent="0.2">
      <c r="B712" s="206" t="s">
        <v>1875</v>
      </c>
      <c r="C712" s="205">
        <v>296</v>
      </c>
      <c r="D712" s="147">
        <f t="shared" si="42"/>
        <v>0.22159269751337402</v>
      </c>
      <c r="E712" s="148">
        <f t="shared" si="41"/>
        <v>3.1028873414985391E-5</v>
      </c>
      <c r="F712" s="148">
        <f t="shared" si="43"/>
        <v>1.2484299494879298E-2</v>
      </c>
    </row>
    <row r="713" spans="2:6" x14ac:dyDescent="0.2">
      <c r="B713" s="206" t="s">
        <v>1127</v>
      </c>
      <c r="C713" s="205">
        <v>296</v>
      </c>
      <c r="D713" s="147">
        <f t="shared" si="42"/>
        <v>0.22190745986779642</v>
      </c>
      <c r="E713" s="148">
        <f t="shared" ref="E713:E776" si="44">C713/$O$18</f>
        <v>3.1028873414985391E-5</v>
      </c>
      <c r="F713" s="148">
        <f t="shared" si="43"/>
        <v>1.2515328368294283E-2</v>
      </c>
    </row>
    <row r="714" spans="2:6" x14ac:dyDescent="0.2">
      <c r="B714" s="115" t="s">
        <v>1062</v>
      </c>
      <c r="C714" s="114">
        <v>296</v>
      </c>
      <c r="D714" s="147">
        <f t="shared" ref="D714:D777" si="45">D713+1/$L$18</f>
        <v>0.22222222222221882</v>
      </c>
      <c r="E714" s="148">
        <f t="shared" si="44"/>
        <v>3.1028873414985391E-5</v>
      </c>
      <c r="F714" s="148">
        <f t="shared" ref="F714:F777" si="46">F713+E714</f>
        <v>1.2546357241709268E-2</v>
      </c>
    </row>
    <row r="715" spans="2:6" x14ac:dyDescent="0.2">
      <c r="B715" s="115" t="s">
        <v>853</v>
      </c>
      <c r="C715" s="114">
        <v>296</v>
      </c>
      <c r="D715" s="147">
        <f t="shared" si="45"/>
        <v>0.22253698457664123</v>
      </c>
      <c r="E715" s="148">
        <f t="shared" si="44"/>
        <v>3.1028873414985391E-5</v>
      </c>
      <c r="F715" s="148">
        <f t="shared" si="46"/>
        <v>1.2577386115124253E-2</v>
      </c>
    </row>
    <row r="716" spans="2:6" x14ac:dyDescent="0.2">
      <c r="B716" s="206" t="s">
        <v>2138</v>
      </c>
      <c r="C716" s="205">
        <v>297</v>
      </c>
      <c r="D716" s="147">
        <f t="shared" si="45"/>
        <v>0.22285174693106363</v>
      </c>
      <c r="E716" s="148">
        <f t="shared" si="44"/>
        <v>3.1133700690036024E-5</v>
      </c>
      <c r="F716" s="148">
        <f t="shared" si="46"/>
        <v>1.260851981581429E-2</v>
      </c>
    </row>
    <row r="717" spans="2:6" x14ac:dyDescent="0.2">
      <c r="B717" s="206" t="s">
        <v>1774</v>
      </c>
      <c r="C717" s="205">
        <v>297</v>
      </c>
      <c r="D717" s="147">
        <f t="shared" si="45"/>
        <v>0.22316650928548604</v>
      </c>
      <c r="E717" s="148">
        <f t="shared" si="44"/>
        <v>3.1133700690036024E-5</v>
      </c>
      <c r="F717" s="148">
        <f t="shared" si="46"/>
        <v>1.2639653516504326E-2</v>
      </c>
    </row>
    <row r="718" spans="2:6" x14ac:dyDescent="0.2">
      <c r="B718" s="115" t="s">
        <v>406</v>
      </c>
      <c r="C718" s="114">
        <v>297</v>
      </c>
      <c r="D718" s="147">
        <f t="shared" si="45"/>
        <v>0.22348127163990844</v>
      </c>
      <c r="E718" s="148">
        <f t="shared" si="44"/>
        <v>3.1133700690036024E-5</v>
      </c>
      <c r="F718" s="148">
        <f t="shared" si="46"/>
        <v>1.2670787217194363E-2</v>
      </c>
    </row>
    <row r="719" spans="2:6" x14ac:dyDescent="0.2">
      <c r="B719" s="206" t="s">
        <v>2837</v>
      </c>
      <c r="C719" s="205">
        <v>298</v>
      </c>
      <c r="D719" s="147">
        <f t="shared" si="45"/>
        <v>0.22379603399433085</v>
      </c>
      <c r="E719" s="148">
        <f t="shared" si="44"/>
        <v>3.1238527965086649E-5</v>
      </c>
      <c r="F719" s="148">
        <f t="shared" si="46"/>
        <v>1.2702025745159449E-2</v>
      </c>
    </row>
    <row r="720" spans="2:6" x14ac:dyDescent="0.2">
      <c r="B720" s="115" t="s">
        <v>2374</v>
      </c>
      <c r="C720" s="114">
        <v>298</v>
      </c>
      <c r="D720" s="147">
        <f t="shared" si="45"/>
        <v>0.22411079634875325</v>
      </c>
      <c r="E720" s="148">
        <f t="shared" si="44"/>
        <v>3.1238527965086649E-5</v>
      </c>
      <c r="F720" s="148">
        <f t="shared" si="46"/>
        <v>1.2733264273124534E-2</v>
      </c>
    </row>
    <row r="721" spans="2:6" x14ac:dyDescent="0.2">
      <c r="B721" s="115" t="s">
        <v>1629</v>
      </c>
      <c r="C721" s="114">
        <v>298</v>
      </c>
      <c r="D721" s="147">
        <f t="shared" si="45"/>
        <v>0.22442555870317565</v>
      </c>
      <c r="E721" s="148">
        <f t="shared" si="44"/>
        <v>3.1238527965086649E-5</v>
      </c>
      <c r="F721" s="148">
        <f t="shared" si="46"/>
        <v>1.276450280108962E-2</v>
      </c>
    </row>
    <row r="722" spans="2:6" x14ac:dyDescent="0.2">
      <c r="B722" s="115" t="s">
        <v>1434</v>
      </c>
      <c r="C722" s="114">
        <v>298</v>
      </c>
      <c r="D722" s="147">
        <f t="shared" si="45"/>
        <v>0.22474032105759806</v>
      </c>
      <c r="E722" s="148">
        <f t="shared" si="44"/>
        <v>3.1238527965086649E-5</v>
      </c>
      <c r="F722" s="148">
        <f t="shared" si="46"/>
        <v>1.2795741329054706E-2</v>
      </c>
    </row>
    <row r="723" spans="2:6" x14ac:dyDescent="0.2">
      <c r="B723" s="206" t="s">
        <v>236</v>
      </c>
      <c r="C723" s="205">
        <v>298</v>
      </c>
      <c r="D723" s="147">
        <f t="shared" si="45"/>
        <v>0.22505508341202046</v>
      </c>
      <c r="E723" s="148">
        <f t="shared" si="44"/>
        <v>3.1238527965086649E-5</v>
      </c>
      <c r="F723" s="148">
        <f t="shared" si="46"/>
        <v>1.2826979857019792E-2</v>
      </c>
    </row>
    <row r="724" spans="2:6" x14ac:dyDescent="0.2">
      <c r="B724" s="206" t="s">
        <v>1492</v>
      </c>
      <c r="C724" s="205">
        <v>299</v>
      </c>
      <c r="D724" s="147">
        <f t="shared" si="45"/>
        <v>0.22536984576644287</v>
      </c>
      <c r="E724" s="148">
        <f t="shared" si="44"/>
        <v>3.1343355240137275E-5</v>
      </c>
      <c r="F724" s="148">
        <f t="shared" si="46"/>
        <v>1.285832321225993E-2</v>
      </c>
    </row>
    <row r="725" spans="2:6" x14ac:dyDescent="0.2">
      <c r="B725" s="206" t="s">
        <v>2160</v>
      </c>
      <c r="C725" s="205">
        <v>300</v>
      </c>
      <c r="D725" s="147">
        <f t="shared" si="45"/>
        <v>0.22568460812086527</v>
      </c>
      <c r="E725" s="148">
        <f t="shared" si="44"/>
        <v>3.1448182515187901E-5</v>
      </c>
      <c r="F725" s="148">
        <f t="shared" si="46"/>
        <v>1.2889771394775118E-2</v>
      </c>
    </row>
    <row r="726" spans="2:6" x14ac:dyDescent="0.2">
      <c r="B726" s="115" t="s">
        <v>1842</v>
      </c>
      <c r="C726" s="114">
        <v>300</v>
      </c>
      <c r="D726" s="147">
        <f t="shared" si="45"/>
        <v>0.22599937047528768</v>
      </c>
      <c r="E726" s="148">
        <f t="shared" si="44"/>
        <v>3.1448182515187901E-5</v>
      </c>
      <c r="F726" s="148">
        <f t="shared" si="46"/>
        <v>1.2921219577290307E-2</v>
      </c>
    </row>
    <row r="727" spans="2:6" x14ac:dyDescent="0.2">
      <c r="B727" s="115" t="s">
        <v>1689</v>
      </c>
      <c r="C727" s="114">
        <v>300</v>
      </c>
      <c r="D727" s="147">
        <f t="shared" si="45"/>
        <v>0.22631413282971008</v>
      </c>
      <c r="E727" s="148">
        <f t="shared" si="44"/>
        <v>3.1448182515187901E-5</v>
      </c>
      <c r="F727" s="148">
        <f t="shared" si="46"/>
        <v>1.2952667759805496E-2</v>
      </c>
    </row>
    <row r="728" spans="2:6" x14ac:dyDescent="0.2">
      <c r="B728" s="115" t="s">
        <v>1433</v>
      </c>
      <c r="C728" s="114">
        <v>300</v>
      </c>
      <c r="D728" s="147">
        <f t="shared" si="45"/>
        <v>0.22662889518413248</v>
      </c>
      <c r="E728" s="148">
        <f t="shared" si="44"/>
        <v>3.1448182515187901E-5</v>
      </c>
      <c r="F728" s="148">
        <f t="shared" si="46"/>
        <v>1.2984115942320684E-2</v>
      </c>
    </row>
    <row r="729" spans="2:6" x14ac:dyDescent="0.2">
      <c r="B729" s="206" t="s">
        <v>2484</v>
      </c>
      <c r="C729" s="205">
        <v>301</v>
      </c>
      <c r="D729" s="147">
        <f t="shared" si="45"/>
        <v>0.22694365753855489</v>
      </c>
      <c r="E729" s="148">
        <f t="shared" si="44"/>
        <v>3.1553009790238526E-5</v>
      </c>
      <c r="F729" s="148">
        <f t="shared" si="46"/>
        <v>1.3015668952110922E-2</v>
      </c>
    </row>
    <row r="730" spans="2:6" x14ac:dyDescent="0.2">
      <c r="B730" s="115" t="s">
        <v>2344</v>
      </c>
      <c r="C730" s="114">
        <v>302</v>
      </c>
      <c r="D730" s="147">
        <f t="shared" si="45"/>
        <v>0.22725841989297729</v>
      </c>
      <c r="E730" s="148">
        <f t="shared" si="44"/>
        <v>3.1657837065289152E-5</v>
      </c>
      <c r="F730" s="148">
        <f t="shared" si="46"/>
        <v>1.3047326789176212E-2</v>
      </c>
    </row>
    <row r="731" spans="2:6" x14ac:dyDescent="0.2">
      <c r="B731" s="115" t="s">
        <v>1797</v>
      </c>
      <c r="C731" s="114">
        <v>302</v>
      </c>
      <c r="D731" s="147">
        <f t="shared" si="45"/>
        <v>0.2275731822473997</v>
      </c>
      <c r="E731" s="148">
        <f t="shared" si="44"/>
        <v>3.1657837065289152E-5</v>
      </c>
      <c r="F731" s="148">
        <f t="shared" si="46"/>
        <v>1.3078984626241501E-2</v>
      </c>
    </row>
    <row r="732" spans="2:6" x14ac:dyDescent="0.2">
      <c r="B732" s="206" t="s">
        <v>1464</v>
      </c>
      <c r="C732" s="205">
        <v>302</v>
      </c>
      <c r="D732" s="147">
        <f t="shared" si="45"/>
        <v>0.2278879446018221</v>
      </c>
      <c r="E732" s="148">
        <f t="shared" si="44"/>
        <v>3.1657837065289152E-5</v>
      </c>
      <c r="F732" s="148">
        <f t="shared" si="46"/>
        <v>1.3110642463306791E-2</v>
      </c>
    </row>
    <row r="733" spans="2:6" x14ac:dyDescent="0.2">
      <c r="B733" s="115" t="s">
        <v>1002</v>
      </c>
      <c r="C733" s="114">
        <v>302</v>
      </c>
      <c r="D733" s="147">
        <f t="shared" si="45"/>
        <v>0.22820270695624451</v>
      </c>
      <c r="E733" s="148">
        <f t="shared" si="44"/>
        <v>3.1657837065289152E-5</v>
      </c>
      <c r="F733" s="148">
        <f t="shared" si="46"/>
        <v>1.314230030037208E-2</v>
      </c>
    </row>
    <row r="734" spans="2:6" x14ac:dyDescent="0.2">
      <c r="B734" s="115" t="s">
        <v>581</v>
      </c>
      <c r="C734" s="114">
        <v>303</v>
      </c>
      <c r="D734" s="147">
        <f t="shared" si="45"/>
        <v>0.22851746931066691</v>
      </c>
      <c r="E734" s="148">
        <f t="shared" si="44"/>
        <v>3.1762664340339778E-5</v>
      </c>
      <c r="F734" s="148">
        <f t="shared" si="46"/>
        <v>1.317406296471242E-2</v>
      </c>
    </row>
    <row r="735" spans="2:6" x14ac:dyDescent="0.2">
      <c r="B735" s="115" t="s">
        <v>2795</v>
      </c>
      <c r="C735" s="114">
        <v>304</v>
      </c>
      <c r="D735" s="147">
        <f t="shared" si="45"/>
        <v>0.22883223166508931</v>
      </c>
      <c r="E735" s="148">
        <f t="shared" si="44"/>
        <v>3.1867491615390403E-5</v>
      </c>
      <c r="F735" s="148">
        <f t="shared" si="46"/>
        <v>1.320593045632781E-2</v>
      </c>
    </row>
    <row r="736" spans="2:6" x14ac:dyDescent="0.2">
      <c r="B736" s="206" t="s">
        <v>2787</v>
      </c>
      <c r="C736" s="205">
        <v>304</v>
      </c>
      <c r="D736" s="147">
        <f t="shared" si="45"/>
        <v>0.22914699401951172</v>
      </c>
      <c r="E736" s="148">
        <f t="shared" si="44"/>
        <v>3.1867491615390403E-5</v>
      </c>
      <c r="F736" s="148">
        <f t="shared" si="46"/>
        <v>1.32377979479432E-2</v>
      </c>
    </row>
    <row r="737" spans="2:6" x14ac:dyDescent="0.2">
      <c r="B737" s="206" t="s">
        <v>2386</v>
      </c>
      <c r="C737" s="205">
        <v>304</v>
      </c>
      <c r="D737" s="147">
        <f t="shared" si="45"/>
        <v>0.22946175637393412</v>
      </c>
      <c r="E737" s="148">
        <f t="shared" si="44"/>
        <v>3.1867491615390403E-5</v>
      </c>
      <c r="F737" s="148">
        <f t="shared" si="46"/>
        <v>1.3269665439558591E-2</v>
      </c>
    </row>
    <row r="738" spans="2:6" x14ac:dyDescent="0.2">
      <c r="B738" s="115" t="s">
        <v>2230</v>
      </c>
      <c r="C738" s="114">
        <v>304</v>
      </c>
      <c r="D738" s="147">
        <f t="shared" si="45"/>
        <v>0.22977651872835653</v>
      </c>
      <c r="E738" s="148">
        <f t="shared" si="44"/>
        <v>3.1867491615390403E-5</v>
      </c>
      <c r="F738" s="148">
        <f t="shared" si="46"/>
        <v>1.3301532931173981E-2</v>
      </c>
    </row>
    <row r="739" spans="2:6" x14ac:dyDescent="0.2">
      <c r="B739" s="115" t="s">
        <v>1564</v>
      </c>
      <c r="C739" s="114">
        <v>304</v>
      </c>
      <c r="D739" s="147">
        <f t="shared" si="45"/>
        <v>0.23009128108277893</v>
      </c>
      <c r="E739" s="148">
        <f t="shared" si="44"/>
        <v>3.1867491615390403E-5</v>
      </c>
      <c r="F739" s="148">
        <f t="shared" si="46"/>
        <v>1.3333400422789372E-2</v>
      </c>
    </row>
    <row r="740" spans="2:6" x14ac:dyDescent="0.2">
      <c r="B740" s="115" t="s">
        <v>725</v>
      </c>
      <c r="C740" s="114">
        <v>304</v>
      </c>
      <c r="D740" s="147">
        <f t="shared" si="45"/>
        <v>0.23040604343720134</v>
      </c>
      <c r="E740" s="148">
        <f t="shared" si="44"/>
        <v>3.1867491615390403E-5</v>
      </c>
      <c r="F740" s="148">
        <f t="shared" si="46"/>
        <v>1.3365267914404762E-2</v>
      </c>
    </row>
    <row r="741" spans="2:6" x14ac:dyDescent="0.2">
      <c r="B741" s="206" t="s">
        <v>2698</v>
      </c>
      <c r="C741" s="205">
        <v>305</v>
      </c>
      <c r="D741" s="147">
        <f t="shared" si="45"/>
        <v>0.23072080579162374</v>
      </c>
      <c r="E741" s="148">
        <f t="shared" si="44"/>
        <v>3.1972318890441029E-5</v>
      </c>
      <c r="F741" s="148">
        <f t="shared" si="46"/>
        <v>1.3397240233295204E-2</v>
      </c>
    </row>
    <row r="742" spans="2:6" x14ac:dyDescent="0.2">
      <c r="B742" s="206" t="s">
        <v>1949</v>
      </c>
      <c r="C742" s="205">
        <v>305</v>
      </c>
      <c r="D742" s="147">
        <f t="shared" si="45"/>
        <v>0.23103556814604614</v>
      </c>
      <c r="E742" s="148">
        <f t="shared" si="44"/>
        <v>3.1972318890441029E-5</v>
      </c>
      <c r="F742" s="148">
        <f t="shared" si="46"/>
        <v>1.3429212552185646E-2</v>
      </c>
    </row>
    <row r="743" spans="2:6" x14ac:dyDescent="0.2">
      <c r="B743" s="206" t="s">
        <v>1248</v>
      </c>
      <c r="C743" s="205">
        <v>305</v>
      </c>
      <c r="D743" s="147">
        <f t="shared" si="45"/>
        <v>0.23135033050046855</v>
      </c>
      <c r="E743" s="148">
        <f t="shared" si="44"/>
        <v>3.1972318890441029E-5</v>
      </c>
      <c r="F743" s="148">
        <f t="shared" si="46"/>
        <v>1.3461184871076087E-2</v>
      </c>
    </row>
    <row r="744" spans="2:6" x14ac:dyDescent="0.2">
      <c r="B744" s="206" t="s">
        <v>1246</v>
      </c>
      <c r="C744" s="205">
        <v>305</v>
      </c>
      <c r="D744" s="147">
        <f t="shared" si="45"/>
        <v>0.23166509285489095</v>
      </c>
      <c r="E744" s="148">
        <f t="shared" si="44"/>
        <v>3.1972318890441029E-5</v>
      </c>
      <c r="F744" s="148">
        <f t="shared" si="46"/>
        <v>1.3493157189966529E-2</v>
      </c>
    </row>
    <row r="745" spans="2:6" x14ac:dyDescent="0.2">
      <c r="B745" s="115" t="s">
        <v>902</v>
      </c>
      <c r="C745" s="114">
        <v>305</v>
      </c>
      <c r="D745" s="147">
        <f t="shared" si="45"/>
        <v>0.23197985520931336</v>
      </c>
      <c r="E745" s="148">
        <f t="shared" si="44"/>
        <v>3.1972318890441029E-5</v>
      </c>
      <c r="F745" s="148">
        <f t="shared" si="46"/>
        <v>1.3525129508856971E-2</v>
      </c>
    </row>
    <row r="746" spans="2:6" x14ac:dyDescent="0.2">
      <c r="B746" s="206" t="s">
        <v>2906</v>
      </c>
      <c r="C746" s="205">
        <v>306</v>
      </c>
      <c r="D746" s="147">
        <f t="shared" si="45"/>
        <v>0.23229461756373576</v>
      </c>
      <c r="E746" s="148">
        <f t="shared" si="44"/>
        <v>3.2077146165491655E-5</v>
      </c>
      <c r="F746" s="148">
        <f t="shared" si="46"/>
        <v>1.3557206655022462E-2</v>
      </c>
    </row>
    <row r="747" spans="2:6" x14ac:dyDescent="0.2">
      <c r="B747" s="206" t="s">
        <v>2796</v>
      </c>
      <c r="C747" s="205">
        <v>306</v>
      </c>
      <c r="D747" s="147">
        <f t="shared" si="45"/>
        <v>0.23260937991815817</v>
      </c>
      <c r="E747" s="148">
        <f t="shared" si="44"/>
        <v>3.2077146165491655E-5</v>
      </c>
      <c r="F747" s="148">
        <f t="shared" si="46"/>
        <v>1.3589283801187953E-2</v>
      </c>
    </row>
    <row r="748" spans="2:6" x14ac:dyDescent="0.2">
      <c r="B748" s="206" t="s">
        <v>1926</v>
      </c>
      <c r="C748" s="205">
        <v>306</v>
      </c>
      <c r="D748" s="147">
        <f t="shared" si="45"/>
        <v>0.23292414227258057</v>
      </c>
      <c r="E748" s="148">
        <f t="shared" si="44"/>
        <v>3.2077146165491655E-5</v>
      </c>
      <c r="F748" s="148">
        <f t="shared" si="46"/>
        <v>1.3621360947353445E-2</v>
      </c>
    </row>
    <row r="749" spans="2:6" x14ac:dyDescent="0.2">
      <c r="B749" s="206" t="s">
        <v>3074</v>
      </c>
      <c r="C749" s="205">
        <v>307</v>
      </c>
      <c r="D749" s="147">
        <f t="shared" si="45"/>
        <v>0.23323890462700297</v>
      </c>
      <c r="E749" s="148">
        <f t="shared" si="44"/>
        <v>3.2181973440542287E-5</v>
      </c>
      <c r="F749" s="148">
        <f t="shared" si="46"/>
        <v>1.3653542920793987E-2</v>
      </c>
    </row>
    <row r="750" spans="2:6" x14ac:dyDescent="0.2">
      <c r="B750" s="206" t="s">
        <v>850</v>
      </c>
      <c r="C750" s="205">
        <v>307</v>
      </c>
      <c r="D750" s="147">
        <f t="shared" si="45"/>
        <v>0.23355366698142538</v>
      </c>
      <c r="E750" s="148">
        <f t="shared" si="44"/>
        <v>3.2181973440542287E-5</v>
      </c>
      <c r="F750" s="148">
        <f t="shared" si="46"/>
        <v>1.368572489423453E-2</v>
      </c>
    </row>
    <row r="751" spans="2:6" x14ac:dyDescent="0.2">
      <c r="B751" s="115" t="s">
        <v>2272</v>
      </c>
      <c r="C751" s="114">
        <v>308</v>
      </c>
      <c r="D751" s="147">
        <f t="shared" si="45"/>
        <v>0.23386842933584778</v>
      </c>
      <c r="E751" s="148">
        <f t="shared" si="44"/>
        <v>3.2286800715592913E-5</v>
      </c>
      <c r="F751" s="148">
        <f t="shared" si="46"/>
        <v>1.3718011694950122E-2</v>
      </c>
    </row>
    <row r="752" spans="2:6" x14ac:dyDescent="0.2">
      <c r="B752" s="206" t="s">
        <v>2116</v>
      </c>
      <c r="C752" s="205">
        <v>308</v>
      </c>
      <c r="D752" s="147">
        <f t="shared" si="45"/>
        <v>0.23418319169027019</v>
      </c>
      <c r="E752" s="148">
        <f t="shared" si="44"/>
        <v>3.2286800715592913E-5</v>
      </c>
      <c r="F752" s="148">
        <f t="shared" si="46"/>
        <v>1.3750298495665714E-2</v>
      </c>
    </row>
    <row r="753" spans="2:6" x14ac:dyDescent="0.2">
      <c r="B753" s="206" t="s">
        <v>2457</v>
      </c>
      <c r="C753" s="205">
        <v>309</v>
      </c>
      <c r="D753" s="147">
        <f t="shared" si="45"/>
        <v>0.23449795404469259</v>
      </c>
      <c r="E753" s="148">
        <f t="shared" si="44"/>
        <v>3.2391627990643538E-5</v>
      </c>
      <c r="F753" s="148">
        <f t="shared" si="46"/>
        <v>1.3782690123656358E-2</v>
      </c>
    </row>
    <row r="754" spans="2:6" x14ac:dyDescent="0.2">
      <c r="B754" s="115" t="s">
        <v>2434</v>
      </c>
      <c r="C754" s="114">
        <v>309</v>
      </c>
      <c r="D754" s="147">
        <f t="shared" si="45"/>
        <v>0.234812716399115</v>
      </c>
      <c r="E754" s="148">
        <f t="shared" si="44"/>
        <v>3.2391627990643538E-5</v>
      </c>
      <c r="F754" s="148">
        <f t="shared" si="46"/>
        <v>1.3815081751647001E-2</v>
      </c>
    </row>
    <row r="755" spans="2:6" x14ac:dyDescent="0.2">
      <c r="B755" s="115" t="s">
        <v>1688</v>
      </c>
      <c r="C755" s="114">
        <v>309</v>
      </c>
      <c r="D755" s="147">
        <f t="shared" si="45"/>
        <v>0.2351274787535374</v>
      </c>
      <c r="E755" s="148">
        <f t="shared" si="44"/>
        <v>3.2391627990643538E-5</v>
      </c>
      <c r="F755" s="148">
        <f t="shared" si="46"/>
        <v>1.3847473379637645E-2</v>
      </c>
    </row>
    <row r="756" spans="2:6" x14ac:dyDescent="0.2">
      <c r="B756" s="115" t="s">
        <v>1103</v>
      </c>
      <c r="C756" s="114">
        <v>309</v>
      </c>
      <c r="D756" s="147">
        <f t="shared" si="45"/>
        <v>0.2354422411079598</v>
      </c>
      <c r="E756" s="148">
        <f t="shared" si="44"/>
        <v>3.2391627990643538E-5</v>
      </c>
      <c r="F756" s="148">
        <f t="shared" si="46"/>
        <v>1.3879865007628289E-2</v>
      </c>
    </row>
    <row r="757" spans="2:6" x14ac:dyDescent="0.2">
      <c r="B757" s="206" t="s">
        <v>2701</v>
      </c>
      <c r="C757" s="205">
        <v>310</v>
      </c>
      <c r="D757" s="147">
        <f t="shared" si="45"/>
        <v>0.23575700346238221</v>
      </c>
      <c r="E757" s="148">
        <f t="shared" si="44"/>
        <v>3.2496455265694164E-5</v>
      </c>
      <c r="F757" s="148">
        <f t="shared" si="46"/>
        <v>1.3912361462893983E-2</v>
      </c>
    </row>
    <row r="758" spans="2:6" x14ac:dyDescent="0.2">
      <c r="B758" s="206" t="s">
        <v>2343</v>
      </c>
      <c r="C758" s="205">
        <v>310</v>
      </c>
      <c r="D758" s="147">
        <f t="shared" si="45"/>
        <v>0.23607176581680461</v>
      </c>
      <c r="E758" s="148">
        <f t="shared" si="44"/>
        <v>3.2496455265694164E-5</v>
      </c>
      <c r="F758" s="148">
        <f t="shared" si="46"/>
        <v>1.3944857918159678E-2</v>
      </c>
    </row>
    <row r="759" spans="2:6" x14ac:dyDescent="0.2">
      <c r="B759" s="206" t="s">
        <v>1255</v>
      </c>
      <c r="C759" s="205">
        <v>310</v>
      </c>
      <c r="D759" s="147">
        <f t="shared" si="45"/>
        <v>0.23638652817122702</v>
      </c>
      <c r="E759" s="148">
        <f t="shared" si="44"/>
        <v>3.2496455265694164E-5</v>
      </c>
      <c r="F759" s="148">
        <f t="shared" si="46"/>
        <v>1.3977354373425373E-2</v>
      </c>
    </row>
    <row r="760" spans="2:6" x14ac:dyDescent="0.2">
      <c r="B760" s="206" t="s">
        <v>656</v>
      </c>
      <c r="C760" s="205">
        <v>310</v>
      </c>
      <c r="D760" s="147">
        <f t="shared" si="45"/>
        <v>0.23670129052564942</v>
      </c>
      <c r="E760" s="148">
        <f t="shared" si="44"/>
        <v>3.2496455265694164E-5</v>
      </c>
      <c r="F760" s="148">
        <f t="shared" si="46"/>
        <v>1.4009850828691068E-2</v>
      </c>
    </row>
    <row r="761" spans="2:6" x14ac:dyDescent="0.2">
      <c r="B761" s="206" t="s">
        <v>604</v>
      </c>
      <c r="C761" s="205">
        <v>310</v>
      </c>
      <c r="D761" s="147">
        <f t="shared" si="45"/>
        <v>0.23701605288007183</v>
      </c>
      <c r="E761" s="148">
        <f t="shared" si="44"/>
        <v>3.2496455265694164E-5</v>
      </c>
      <c r="F761" s="148">
        <f t="shared" si="46"/>
        <v>1.4042347283956763E-2</v>
      </c>
    </row>
    <row r="762" spans="2:6" x14ac:dyDescent="0.2">
      <c r="B762" s="115" t="s">
        <v>2408</v>
      </c>
      <c r="C762" s="114">
        <v>311</v>
      </c>
      <c r="D762" s="147">
        <f t="shared" si="45"/>
        <v>0.23733081523449423</v>
      </c>
      <c r="E762" s="148">
        <f t="shared" si="44"/>
        <v>3.260128254074479E-5</v>
      </c>
      <c r="F762" s="148">
        <f t="shared" si="46"/>
        <v>1.4074948566497507E-2</v>
      </c>
    </row>
    <row r="763" spans="2:6" x14ac:dyDescent="0.2">
      <c r="B763" s="115" t="s">
        <v>1690</v>
      </c>
      <c r="C763" s="114">
        <v>311</v>
      </c>
      <c r="D763" s="147">
        <f t="shared" si="45"/>
        <v>0.23764557758891663</v>
      </c>
      <c r="E763" s="148">
        <f t="shared" si="44"/>
        <v>3.260128254074479E-5</v>
      </c>
      <c r="F763" s="148">
        <f t="shared" si="46"/>
        <v>1.4107549849038252E-2</v>
      </c>
    </row>
    <row r="764" spans="2:6" x14ac:dyDescent="0.2">
      <c r="B764" s="115" t="s">
        <v>1265</v>
      </c>
      <c r="C764" s="114">
        <v>311</v>
      </c>
      <c r="D764" s="147">
        <f t="shared" si="45"/>
        <v>0.23796033994333904</v>
      </c>
      <c r="E764" s="148">
        <f t="shared" si="44"/>
        <v>3.260128254074479E-5</v>
      </c>
      <c r="F764" s="148">
        <f t="shared" si="46"/>
        <v>1.4140151131578996E-2</v>
      </c>
    </row>
    <row r="765" spans="2:6" x14ac:dyDescent="0.2">
      <c r="B765" s="206" t="s">
        <v>624</v>
      </c>
      <c r="C765" s="205">
        <v>311</v>
      </c>
      <c r="D765" s="147">
        <f t="shared" si="45"/>
        <v>0.23827510229776144</v>
      </c>
      <c r="E765" s="148">
        <f t="shared" si="44"/>
        <v>3.260128254074479E-5</v>
      </c>
      <c r="F765" s="148">
        <f t="shared" si="46"/>
        <v>1.4172752414119741E-2</v>
      </c>
    </row>
    <row r="766" spans="2:6" x14ac:dyDescent="0.2">
      <c r="B766" s="206" t="s">
        <v>2559</v>
      </c>
      <c r="C766" s="205">
        <v>312</v>
      </c>
      <c r="D766" s="147">
        <f t="shared" si="45"/>
        <v>0.23858986465218385</v>
      </c>
      <c r="E766" s="148">
        <f t="shared" si="44"/>
        <v>3.2706109815795415E-5</v>
      </c>
      <c r="F766" s="148">
        <f t="shared" si="46"/>
        <v>1.4205458523935536E-2</v>
      </c>
    </row>
    <row r="767" spans="2:6" x14ac:dyDescent="0.2">
      <c r="B767" s="206" t="s">
        <v>314</v>
      </c>
      <c r="C767" s="205">
        <v>312</v>
      </c>
      <c r="D767" s="147">
        <f t="shared" si="45"/>
        <v>0.23890462700660625</v>
      </c>
      <c r="E767" s="148">
        <f t="shared" si="44"/>
        <v>3.2706109815795415E-5</v>
      </c>
      <c r="F767" s="148">
        <f t="shared" si="46"/>
        <v>1.4238164633751332E-2</v>
      </c>
    </row>
    <row r="768" spans="2:6" x14ac:dyDescent="0.2">
      <c r="B768" s="115" t="s">
        <v>1934</v>
      </c>
      <c r="C768" s="114">
        <v>313</v>
      </c>
      <c r="D768" s="147">
        <f t="shared" si="45"/>
        <v>0.23921938936102866</v>
      </c>
      <c r="E768" s="148">
        <f t="shared" si="44"/>
        <v>3.2810937090846041E-5</v>
      </c>
      <c r="F768" s="148">
        <f t="shared" si="46"/>
        <v>1.4270975570842177E-2</v>
      </c>
    </row>
    <row r="769" spans="2:6" x14ac:dyDescent="0.2">
      <c r="B769" s="115" t="s">
        <v>1698</v>
      </c>
      <c r="C769" s="114">
        <v>313</v>
      </c>
      <c r="D769" s="147">
        <f t="shared" si="45"/>
        <v>0.23953415171545106</v>
      </c>
      <c r="E769" s="148">
        <f t="shared" si="44"/>
        <v>3.2810937090846041E-5</v>
      </c>
      <c r="F769" s="148">
        <f t="shared" si="46"/>
        <v>1.4303786507933023E-2</v>
      </c>
    </row>
    <row r="770" spans="2:6" x14ac:dyDescent="0.2">
      <c r="B770" s="206" t="s">
        <v>2730</v>
      </c>
      <c r="C770" s="205">
        <v>314</v>
      </c>
      <c r="D770" s="147">
        <f t="shared" si="45"/>
        <v>0.23984891406987346</v>
      </c>
      <c r="E770" s="148">
        <f t="shared" si="44"/>
        <v>3.2915764365896667E-5</v>
      </c>
      <c r="F770" s="148">
        <f t="shared" si="46"/>
        <v>1.4336702272298919E-2</v>
      </c>
    </row>
    <row r="771" spans="2:6" x14ac:dyDescent="0.2">
      <c r="B771" s="206" t="s">
        <v>2712</v>
      </c>
      <c r="C771" s="205">
        <v>314</v>
      </c>
      <c r="D771" s="147">
        <f t="shared" si="45"/>
        <v>0.24016367642429587</v>
      </c>
      <c r="E771" s="148">
        <f t="shared" si="44"/>
        <v>3.2915764365896667E-5</v>
      </c>
      <c r="F771" s="148">
        <f t="shared" si="46"/>
        <v>1.4369618036664816E-2</v>
      </c>
    </row>
    <row r="772" spans="2:6" x14ac:dyDescent="0.2">
      <c r="B772" s="206" t="s">
        <v>2709</v>
      </c>
      <c r="C772" s="205">
        <v>314</v>
      </c>
      <c r="D772" s="147">
        <f t="shared" si="45"/>
        <v>0.24047843877871827</v>
      </c>
      <c r="E772" s="148">
        <f t="shared" si="44"/>
        <v>3.2915764365896667E-5</v>
      </c>
      <c r="F772" s="148">
        <f t="shared" si="46"/>
        <v>1.4402533801030713E-2</v>
      </c>
    </row>
    <row r="773" spans="2:6" x14ac:dyDescent="0.2">
      <c r="B773" s="206" t="s">
        <v>2472</v>
      </c>
      <c r="C773" s="205">
        <v>314</v>
      </c>
      <c r="D773" s="147">
        <f t="shared" si="45"/>
        <v>0.24079320113314068</v>
      </c>
      <c r="E773" s="148">
        <f t="shared" si="44"/>
        <v>3.2915764365896667E-5</v>
      </c>
      <c r="F773" s="148">
        <f t="shared" si="46"/>
        <v>1.4435449565396609E-2</v>
      </c>
    </row>
    <row r="774" spans="2:6" x14ac:dyDescent="0.2">
      <c r="B774" s="206" t="s">
        <v>1841</v>
      </c>
      <c r="C774" s="205">
        <v>314</v>
      </c>
      <c r="D774" s="147">
        <f t="shared" si="45"/>
        <v>0.24110796348756308</v>
      </c>
      <c r="E774" s="148">
        <f t="shared" si="44"/>
        <v>3.2915764365896667E-5</v>
      </c>
      <c r="F774" s="148">
        <f t="shared" si="46"/>
        <v>1.4468365329762506E-2</v>
      </c>
    </row>
    <row r="775" spans="2:6" x14ac:dyDescent="0.2">
      <c r="B775" s="115" t="s">
        <v>1287</v>
      </c>
      <c r="C775" s="114">
        <v>315</v>
      </c>
      <c r="D775" s="147">
        <f t="shared" si="45"/>
        <v>0.24142272584198549</v>
      </c>
      <c r="E775" s="148">
        <f t="shared" si="44"/>
        <v>3.3020591640947292E-5</v>
      </c>
      <c r="F775" s="148">
        <f t="shared" si="46"/>
        <v>1.4501385921403454E-2</v>
      </c>
    </row>
    <row r="776" spans="2:6" x14ac:dyDescent="0.2">
      <c r="B776" s="115" t="s">
        <v>2399</v>
      </c>
      <c r="C776" s="114">
        <v>316</v>
      </c>
      <c r="D776" s="147">
        <f t="shared" si="45"/>
        <v>0.24173748819640789</v>
      </c>
      <c r="E776" s="148">
        <f t="shared" si="44"/>
        <v>3.3125418915997918E-5</v>
      </c>
      <c r="F776" s="148">
        <f t="shared" si="46"/>
        <v>1.4534511340319451E-2</v>
      </c>
    </row>
    <row r="777" spans="2:6" x14ac:dyDescent="0.2">
      <c r="B777" s="206" t="s">
        <v>1210</v>
      </c>
      <c r="C777" s="205">
        <v>316</v>
      </c>
      <c r="D777" s="147">
        <f t="shared" si="45"/>
        <v>0.24205225055083029</v>
      </c>
      <c r="E777" s="148">
        <f t="shared" ref="E777:E840" si="47">C777/$O$18</f>
        <v>3.3125418915997918E-5</v>
      </c>
      <c r="F777" s="148">
        <f t="shared" si="46"/>
        <v>1.4567636759235449E-2</v>
      </c>
    </row>
    <row r="778" spans="2:6" x14ac:dyDescent="0.2">
      <c r="B778" s="206" t="s">
        <v>1153</v>
      </c>
      <c r="C778" s="205">
        <v>316</v>
      </c>
      <c r="D778" s="147">
        <f t="shared" ref="D778:D841" si="48">D777+1/$L$18</f>
        <v>0.2423670129052527</v>
      </c>
      <c r="E778" s="148">
        <f t="shared" si="47"/>
        <v>3.3125418915997918E-5</v>
      </c>
      <c r="F778" s="148">
        <f t="shared" ref="F778:F841" si="49">F777+E778</f>
        <v>1.4600762178151446E-2</v>
      </c>
    </row>
    <row r="779" spans="2:6" x14ac:dyDescent="0.2">
      <c r="B779" s="115" t="s">
        <v>644</v>
      </c>
      <c r="C779" s="114">
        <v>316</v>
      </c>
      <c r="D779" s="147">
        <f t="shared" si="48"/>
        <v>0.2426817752596751</v>
      </c>
      <c r="E779" s="148">
        <f t="shared" si="47"/>
        <v>3.3125418915997918E-5</v>
      </c>
      <c r="F779" s="148">
        <f t="shared" si="49"/>
        <v>1.4633887597067444E-2</v>
      </c>
    </row>
    <row r="780" spans="2:6" x14ac:dyDescent="0.2">
      <c r="B780" s="115" t="s">
        <v>426</v>
      </c>
      <c r="C780" s="114">
        <v>316</v>
      </c>
      <c r="D780" s="147">
        <f t="shared" si="48"/>
        <v>0.24299653761409751</v>
      </c>
      <c r="E780" s="148">
        <f t="shared" si="47"/>
        <v>3.3125418915997918E-5</v>
      </c>
      <c r="F780" s="148">
        <f t="shared" si="49"/>
        <v>1.4667013015983442E-2</v>
      </c>
    </row>
    <row r="781" spans="2:6" x14ac:dyDescent="0.2">
      <c r="B781" s="206" t="s">
        <v>1969</v>
      </c>
      <c r="C781" s="205">
        <v>317</v>
      </c>
      <c r="D781" s="147">
        <f t="shared" si="48"/>
        <v>0.24331129996851991</v>
      </c>
      <c r="E781" s="148">
        <f t="shared" si="47"/>
        <v>3.3230246191048551E-5</v>
      </c>
      <c r="F781" s="148">
        <f t="shared" si="49"/>
        <v>1.470024326217449E-2</v>
      </c>
    </row>
    <row r="782" spans="2:6" x14ac:dyDescent="0.2">
      <c r="B782" s="206" t="s">
        <v>3103</v>
      </c>
      <c r="C782" s="205">
        <v>318</v>
      </c>
      <c r="D782" s="147">
        <f t="shared" si="48"/>
        <v>0.24362606232294232</v>
      </c>
      <c r="E782" s="148">
        <f t="shared" si="47"/>
        <v>3.3335073466099176E-5</v>
      </c>
      <c r="F782" s="148">
        <f t="shared" si="49"/>
        <v>1.4733578335640589E-2</v>
      </c>
    </row>
    <row r="783" spans="2:6" x14ac:dyDescent="0.2">
      <c r="B783" s="206" t="s">
        <v>2373</v>
      </c>
      <c r="C783" s="205">
        <v>318</v>
      </c>
      <c r="D783" s="147">
        <f t="shared" si="48"/>
        <v>0.24394082467736472</v>
      </c>
      <c r="E783" s="148">
        <f t="shared" si="47"/>
        <v>3.3335073466099176E-5</v>
      </c>
      <c r="F783" s="148">
        <f t="shared" si="49"/>
        <v>1.4766913409106687E-2</v>
      </c>
    </row>
    <row r="784" spans="2:6" x14ac:dyDescent="0.2">
      <c r="B784" s="115" t="s">
        <v>1439</v>
      </c>
      <c r="C784" s="114">
        <v>318</v>
      </c>
      <c r="D784" s="147">
        <f t="shared" si="48"/>
        <v>0.24425558703178712</v>
      </c>
      <c r="E784" s="148">
        <f t="shared" si="47"/>
        <v>3.3335073466099176E-5</v>
      </c>
      <c r="F784" s="148">
        <f t="shared" si="49"/>
        <v>1.4800248482572786E-2</v>
      </c>
    </row>
    <row r="785" spans="2:6" x14ac:dyDescent="0.2">
      <c r="B785" s="115" t="s">
        <v>673</v>
      </c>
      <c r="C785" s="114">
        <v>318</v>
      </c>
      <c r="D785" s="147">
        <f t="shared" si="48"/>
        <v>0.24457034938620953</v>
      </c>
      <c r="E785" s="148">
        <f t="shared" si="47"/>
        <v>3.3335073466099176E-5</v>
      </c>
      <c r="F785" s="148">
        <f t="shared" si="49"/>
        <v>1.4833583556038884E-2</v>
      </c>
    </row>
    <row r="786" spans="2:6" x14ac:dyDescent="0.2">
      <c r="B786" s="206" t="s">
        <v>592</v>
      </c>
      <c r="C786" s="205">
        <v>318</v>
      </c>
      <c r="D786" s="147">
        <f t="shared" si="48"/>
        <v>0.24488511174063193</v>
      </c>
      <c r="E786" s="148">
        <f t="shared" si="47"/>
        <v>3.3335073466099176E-5</v>
      </c>
      <c r="F786" s="148">
        <f t="shared" si="49"/>
        <v>1.4866918629504983E-2</v>
      </c>
    </row>
    <row r="787" spans="2:6" x14ac:dyDescent="0.2">
      <c r="B787" s="206" t="s">
        <v>1358</v>
      </c>
      <c r="C787" s="205">
        <v>319</v>
      </c>
      <c r="D787" s="147">
        <f t="shared" si="48"/>
        <v>0.24519987409505434</v>
      </c>
      <c r="E787" s="148">
        <f t="shared" si="47"/>
        <v>3.3439900741149802E-5</v>
      </c>
      <c r="F787" s="148">
        <f t="shared" si="49"/>
        <v>1.4900358530246132E-2</v>
      </c>
    </row>
    <row r="788" spans="2:6" x14ac:dyDescent="0.2">
      <c r="B788" s="115" t="s">
        <v>2355</v>
      </c>
      <c r="C788" s="114">
        <v>320</v>
      </c>
      <c r="D788" s="147">
        <f t="shared" si="48"/>
        <v>0.24551463644947674</v>
      </c>
      <c r="E788" s="148">
        <f t="shared" si="47"/>
        <v>3.3544728016200428E-5</v>
      </c>
      <c r="F788" s="148">
        <f t="shared" si="49"/>
        <v>1.4933903258262334E-2</v>
      </c>
    </row>
    <row r="789" spans="2:6" x14ac:dyDescent="0.2">
      <c r="B789" s="115" t="s">
        <v>1734</v>
      </c>
      <c r="C789" s="114">
        <v>320</v>
      </c>
      <c r="D789" s="147">
        <f t="shared" si="48"/>
        <v>0.24582939880389915</v>
      </c>
      <c r="E789" s="148">
        <f t="shared" si="47"/>
        <v>3.3544728016200428E-5</v>
      </c>
      <c r="F789" s="148">
        <f t="shared" si="49"/>
        <v>1.4967447986278535E-2</v>
      </c>
    </row>
    <row r="790" spans="2:6" x14ac:dyDescent="0.2">
      <c r="B790" s="115" t="s">
        <v>1027</v>
      </c>
      <c r="C790" s="114">
        <v>320</v>
      </c>
      <c r="D790" s="147">
        <f t="shared" si="48"/>
        <v>0.24614416115832155</v>
      </c>
      <c r="E790" s="148">
        <f t="shared" si="47"/>
        <v>3.3544728016200428E-5</v>
      </c>
      <c r="F790" s="148">
        <f t="shared" si="49"/>
        <v>1.5000992714294736E-2</v>
      </c>
    </row>
    <row r="791" spans="2:6" x14ac:dyDescent="0.2">
      <c r="B791" s="115" t="s">
        <v>586</v>
      </c>
      <c r="C791" s="114">
        <v>320</v>
      </c>
      <c r="D791" s="147">
        <f t="shared" si="48"/>
        <v>0.24645892351274395</v>
      </c>
      <c r="E791" s="148">
        <f t="shared" si="47"/>
        <v>3.3544728016200428E-5</v>
      </c>
      <c r="F791" s="148">
        <f t="shared" si="49"/>
        <v>1.5034537442310937E-2</v>
      </c>
    </row>
    <row r="792" spans="2:6" x14ac:dyDescent="0.2">
      <c r="B792" s="206" t="s">
        <v>578</v>
      </c>
      <c r="C792" s="205">
        <v>320</v>
      </c>
      <c r="D792" s="147">
        <f t="shared" si="48"/>
        <v>0.24677368586716636</v>
      </c>
      <c r="E792" s="148">
        <f t="shared" si="47"/>
        <v>3.3544728016200428E-5</v>
      </c>
      <c r="F792" s="148">
        <f t="shared" si="49"/>
        <v>1.5068082170327138E-2</v>
      </c>
    </row>
    <row r="793" spans="2:6" x14ac:dyDescent="0.2">
      <c r="B793" s="206" t="s">
        <v>531</v>
      </c>
      <c r="C793" s="205">
        <v>320</v>
      </c>
      <c r="D793" s="147">
        <f t="shared" si="48"/>
        <v>0.24708844822158876</v>
      </c>
      <c r="E793" s="148">
        <f t="shared" si="47"/>
        <v>3.3544728016200428E-5</v>
      </c>
      <c r="F793" s="148">
        <f t="shared" si="49"/>
        <v>1.5101626898343339E-2</v>
      </c>
    </row>
    <row r="794" spans="2:6" x14ac:dyDescent="0.2">
      <c r="B794" s="115" t="s">
        <v>2184</v>
      </c>
      <c r="C794" s="114">
        <v>321</v>
      </c>
      <c r="D794" s="147">
        <f t="shared" si="48"/>
        <v>0.24740321057601117</v>
      </c>
      <c r="E794" s="148">
        <f t="shared" si="47"/>
        <v>3.3649555291251053E-5</v>
      </c>
      <c r="F794" s="148">
        <f t="shared" si="49"/>
        <v>1.513527645363459E-2</v>
      </c>
    </row>
    <row r="795" spans="2:6" x14ac:dyDescent="0.2">
      <c r="B795" s="115" t="s">
        <v>986</v>
      </c>
      <c r="C795" s="114">
        <v>321</v>
      </c>
      <c r="D795" s="147">
        <f t="shared" si="48"/>
        <v>0.24771797293043357</v>
      </c>
      <c r="E795" s="148">
        <f t="shared" si="47"/>
        <v>3.3649555291251053E-5</v>
      </c>
      <c r="F795" s="148">
        <f t="shared" si="49"/>
        <v>1.516892600892584E-2</v>
      </c>
    </row>
    <row r="796" spans="2:6" x14ac:dyDescent="0.2">
      <c r="B796" s="206" t="s">
        <v>1261</v>
      </c>
      <c r="C796" s="205">
        <v>322</v>
      </c>
      <c r="D796" s="147">
        <f t="shared" si="48"/>
        <v>0.24803273528485598</v>
      </c>
      <c r="E796" s="148">
        <f t="shared" si="47"/>
        <v>3.3754382566301679E-5</v>
      </c>
      <c r="F796" s="148">
        <f t="shared" si="49"/>
        <v>1.5202680391492142E-2</v>
      </c>
    </row>
    <row r="797" spans="2:6" x14ac:dyDescent="0.2">
      <c r="B797" s="206" t="s">
        <v>1058</v>
      </c>
      <c r="C797" s="205">
        <v>322</v>
      </c>
      <c r="D797" s="147">
        <f t="shared" si="48"/>
        <v>0.24834749763927838</v>
      </c>
      <c r="E797" s="148">
        <f t="shared" si="47"/>
        <v>3.3754382566301679E-5</v>
      </c>
      <c r="F797" s="148">
        <f t="shared" si="49"/>
        <v>1.5236434774058444E-2</v>
      </c>
    </row>
    <row r="798" spans="2:6" x14ac:dyDescent="0.2">
      <c r="B798" s="206" t="s">
        <v>937</v>
      </c>
      <c r="C798" s="205">
        <v>322</v>
      </c>
      <c r="D798" s="147">
        <f t="shared" si="48"/>
        <v>0.24866225999370078</v>
      </c>
      <c r="E798" s="148">
        <f t="shared" si="47"/>
        <v>3.3754382566301679E-5</v>
      </c>
      <c r="F798" s="148">
        <f t="shared" si="49"/>
        <v>1.5270189156624746E-2</v>
      </c>
    </row>
    <row r="799" spans="2:6" x14ac:dyDescent="0.2">
      <c r="B799" s="115" t="s">
        <v>44</v>
      </c>
      <c r="C799" s="114">
        <v>322</v>
      </c>
      <c r="D799" s="147">
        <f t="shared" si="48"/>
        <v>0.24897702234812319</v>
      </c>
      <c r="E799" s="148">
        <f t="shared" si="47"/>
        <v>3.3754382566301679E-5</v>
      </c>
      <c r="F799" s="148">
        <f t="shared" si="49"/>
        <v>1.5303943539191048E-2</v>
      </c>
    </row>
    <row r="800" spans="2:6" x14ac:dyDescent="0.2">
      <c r="B800" s="206" t="s">
        <v>3004</v>
      </c>
      <c r="C800" s="205">
        <v>323</v>
      </c>
      <c r="D800" s="147">
        <f t="shared" si="48"/>
        <v>0.24929178470254559</v>
      </c>
      <c r="E800" s="148">
        <f t="shared" si="47"/>
        <v>3.3859209841352304E-5</v>
      </c>
      <c r="F800" s="148">
        <f t="shared" si="49"/>
        <v>1.53378027490324E-2</v>
      </c>
    </row>
    <row r="801" spans="2:6" x14ac:dyDescent="0.2">
      <c r="B801" s="206" t="s">
        <v>2887</v>
      </c>
      <c r="C801" s="205">
        <v>323</v>
      </c>
      <c r="D801" s="147">
        <f t="shared" si="48"/>
        <v>0.249606547056968</v>
      </c>
      <c r="E801" s="148">
        <f t="shared" si="47"/>
        <v>3.3859209841352304E-5</v>
      </c>
      <c r="F801" s="148">
        <f t="shared" si="49"/>
        <v>1.5371661958873751E-2</v>
      </c>
    </row>
    <row r="802" spans="2:6" x14ac:dyDescent="0.2">
      <c r="B802" s="115" t="s">
        <v>2683</v>
      </c>
      <c r="C802" s="114">
        <v>323</v>
      </c>
      <c r="D802" s="147">
        <f t="shared" si="48"/>
        <v>0.2499213094113904</v>
      </c>
      <c r="E802" s="148">
        <f t="shared" si="47"/>
        <v>3.3859209841352304E-5</v>
      </c>
      <c r="F802" s="148">
        <f t="shared" si="49"/>
        <v>1.5405521168715103E-2</v>
      </c>
    </row>
    <row r="803" spans="2:6" x14ac:dyDescent="0.2">
      <c r="B803" s="115" t="s">
        <v>170</v>
      </c>
      <c r="C803" s="114">
        <v>323</v>
      </c>
      <c r="D803" s="147">
        <f t="shared" si="48"/>
        <v>0.25023607176581281</v>
      </c>
      <c r="E803" s="148">
        <f t="shared" si="47"/>
        <v>3.3859209841352304E-5</v>
      </c>
      <c r="F803" s="148">
        <f t="shared" si="49"/>
        <v>1.5439380378556454E-2</v>
      </c>
    </row>
    <row r="804" spans="2:6" x14ac:dyDescent="0.2">
      <c r="B804" s="206" t="s">
        <v>2293</v>
      </c>
      <c r="C804" s="205">
        <v>324</v>
      </c>
      <c r="D804" s="147">
        <f t="shared" si="48"/>
        <v>0.25055083412023521</v>
      </c>
      <c r="E804" s="148">
        <f t="shared" si="47"/>
        <v>3.396403711640293E-5</v>
      </c>
      <c r="F804" s="148">
        <f t="shared" si="49"/>
        <v>1.5473344415672857E-2</v>
      </c>
    </row>
    <row r="805" spans="2:6" x14ac:dyDescent="0.2">
      <c r="B805" s="206" t="s">
        <v>2274</v>
      </c>
      <c r="C805" s="205">
        <v>324</v>
      </c>
      <c r="D805" s="147">
        <f t="shared" si="48"/>
        <v>0.25086559647465762</v>
      </c>
      <c r="E805" s="148">
        <f t="shared" si="47"/>
        <v>3.396403711640293E-5</v>
      </c>
      <c r="F805" s="148">
        <f t="shared" si="49"/>
        <v>1.550730845278926E-2</v>
      </c>
    </row>
    <row r="806" spans="2:6" x14ac:dyDescent="0.2">
      <c r="B806" s="206" t="s">
        <v>1890</v>
      </c>
      <c r="C806" s="205">
        <v>324</v>
      </c>
      <c r="D806" s="147">
        <f t="shared" si="48"/>
        <v>0.25118035882908002</v>
      </c>
      <c r="E806" s="148">
        <f t="shared" si="47"/>
        <v>3.396403711640293E-5</v>
      </c>
      <c r="F806" s="148">
        <f t="shared" si="49"/>
        <v>1.5541272489905663E-2</v>
      </c>
    </row>
    <row r="807" spans="2:6" x14ac:dyDescent="0.2">
      <c r="B807" s="206" t="s">
        <v>318</v>
      </c>
      <c r="C807" s="205">
        <v>325</v>
      </c>
      <c r="D807" s="147">
        <f t="shared" si="48"/>
        <v>0.25149512118350242</v>
      </c>
      <c r="E807" s="148">
        <f t="shared" si="47"/>
        <v>3.4068864391453556E-5</v>
      </c>
      <c r="F807" s="148">
        <f t="shared" si="49"/>
        <v>1.5575341354297117E-2</v>
      </c>
    </row>
    <row r="808" spans="2:6" x14ac:dyDescent="0.2">
      <c r="B808" s="206" t="s">
        <v>1502</v>
      </c>
      <c r="C808" s="205">
        <v>326</v>
      </c>
      <c r="D808" s="147">
        <f t="shared" si="48"/>
        <v>0.25180988353792483</v>
      </c>
      <c r="E808" s="148">
        <f t="shared" si="47"/>
        <v>3.4173691666504181E-5</v>
      </c>
      <c r="F808" s="148">
        <f t="shared" si="49"/>
        <v>1.5609515045963621E-2</v>
      </c>
    </row>
    <row r="809" spans="2:6" x14ac:dyDescent="0.2">
      <c r="B809" s="206" t="s">
        <v>846</v>
      </c>
      <c r="C809" s="205">
        <v>326</v>
      </c>
      <c r="D809" s="147">
        <f t="shared" si="48"/>
        <v>0.25212464589234723</v>
      </c>
      <c r="E809" s="148">
        <f t="shared" si="47"/>
        <v>3.4173691666504181E-5</v>
      </c>
      <c r="F809" s="148">
        <f t="shared" si="49"/>
        <v>1.5643688737630126E-2</v>
      </c>
    </row>
    <row r="810" spans="2:6" x14ac:dyDescent="0.2">
      <c r="B810" s="206" t="s">
        <v>2053</v>
      </c>
      <c r="C810" s="205">
        <v>327</v>
      </c>
      <c r="D810" s="147">
        <f t="shared" si="48"/>
        <v>0.25243940824676964</v>
      </c>
      <c r="E810" s="148">
        <f t="shared" si="47"/>
        <v>3.4278518941554814E-5</v>
      </c>
      <c r="F810" s="148">
        <f t="shared" si="49"/>
        <v>1.5677967256571682E-2</v>
      </c>
    </row>
    <row r="811" spans="2:6" x14ac:dyDescent="0.2">
      <c r="B811" s="206" t="s">
        <v>316</v>
      </c>
      <c r="C811" s="205">
        <v>327</v>
      </c>
      <c r="D811" s="147">
        <f t="shared" si="48"/>
        <v>0.25275417060119204</v>
      </c>
      <c r="E811" s="148">
        <f t="shared" si="47"/>
        <v>3.4278518941554814E-5</v>
      </c>
      <c r="F811" s="148">
        <f t="shared" si="49"/>
        <v>1.5712245775513237E-2</v>
      </c>
    </row>
    <row r="812" spans="2:6" x14ac:dyDescent="0.2">
      <c r="B812" s="206" t="s">
        <v>2295</v>
      </c>
      <c r="C812" s="205">
        <v>328</v>
      </c>
      <c r="D812" s="147">
        <f t="shared" si="48"/>
        <v>0.25306893295561445</v>
      </c>
      <c r="E812" s="148">
        <f t="shared" si="47"/>
        <v>3.438334621660544E-5</v>
      </c>
      <c r="F812" s="148">
        <f t="shared" si="49"/>
        <v>1.5746629121729843E-2</v>
      </c>
    </row>
    <row r="813" spans="2:6" x14ac:dyDescent="0.2">
      <c r="B813" s="206" t="s">
        <v>1166</v>
      </c>
      <c r="C813" s="205">
        <v>328</v>
      </c>
      <c r="D813" s="147">
        <f t="shared" si="48"/>
        <v>0.25338369531003685</v>
      </c>
      <c r="E813" s="148">
        <f t="shared" si="47"/>
        <v>3.438334621660544E-5</v>
      </c>
      <c r="F813" s="148">
        <f t="shared" si="49"/>
        <v>1.5781012467946449E-2</v>
      </c>
    </row>
    <row r="814" spans="2:6" x14ac:dyDescent="0.2">
      <c r="B814" s="206" t="s">
        <v>2671</v>
      </c>
      <c r="C814" s="205">
        <v>329</v>
      </c>
      <c r="D814" s="147">
        <f t="shared" si="48"/>
        <v>0.25369845766445925</v>
      </c>
      <c r="E814" s="148">
        <f t="shared" si="47"/>
        <v>3.4488173491656065E-5</v>
      </c>
      <c r="F814" s="148">
        <f t="shared" si="49"/>
        <v>1.5815500641438107E-2</v>
      </c>
    </row>
    <row r="815" spans="2:6" x14ac:dyDescent="0.2">
      <c r="B815" s="206" t="s">
        <v>584</v>
      </c>
      <c r="C815" s="205">
        <v>329</v>
      </c>
      <c r="D815" s="147">
        <f t="shared" si="48"/>
        <v>0.25401322001888166</v>
      </c>
      <c r="E815" s="148">
        <f t="shared" si="47"/>
        <v>3.4488173491656065E-5</v>
      </c>
      <c r="F815" s="148">
        <f t="shared" si="49"/>
        <v>1.5849988814929765E-2</v>
      </c>
    </row>
    <row r="816" spans="2:6" x14ac:dyDescent="0.2">
      <c r="B816" s="115" t="s">
        <v>2753</v>
      </c>
      <c r="C816" s="114">
        <v>330</v>
      </c>
      <c r="D816" s="147">
        <f t="shared" si="48"/>
        <v>0.25432798237330406</v>
      </c>
      <c r="E816" s="148">
        <f t="shared" si="47"/>
        <v>3.4593000766706691E-5</v>
      </c>
      <c r="F816" s="148">
        <f t="shared" si="49"/>
        <v>1.588458181569647E-2</v>
      </c>
    </row>
    <row r="817" spans="2:6" x14ac:dyDescent="0.2">
      <c r="B817" s="206" t="s">
        <v>2055</v>
      </c>
      <c r="C817" s="205">
        <v>330</v>
      </c>
      <c r="D817" s="147">
        <f t="shared" si="48"/>
        <v>0.25464274472772647</v>
      </c>
      <c r="E817" s="148">
        <f t="shared" si="47"/>
        <v>3.4593000766706691E-5</v>
      </c>
      <c r="F817" s="148">
        <f t="shared" si="49"/>
        <v>1.5919174816463176E-2</v>
      </c>
    </row>
    <row r="818" spans="2:6" x14ac:dyDescent="0.2">
      <c r="B818" s="115" t="s">
        <v>871</v>
      </c>
      <c r="C818" s="114">
        <v>330</v>
      </c>
      <c r="D818" s="147">
        <f t="shared" si="48"/>
        <v>0.25495750708214887</v>
      </c>
      <c r="E818" s="148">
        <f t="shared" si="47"/>
        <v>3.4593000766706691E-5</v>
      </c>
      <c r="F818" s="148">
        <f t="shared" si="49"/>
        <v>1.5953767817229882E-2</v>
      </c>
    </row>
    <row r="819" spans="2:6" x14ac:dyDescent="0.2">
      <c r="B819" s="206" t="s">
        <v>764</v>
      </c>
      <c r="C819" s="205">
        <v>330</v>
      </c>
      <c r="D819" s="147">
        <f t="shared" si="48"/>
        <v>0.25527226943657128</v>
      </c>
      <c r="E819" s="148">
        <f t="shared" si="47"/>
        <v>3.4593000766706691E-5</v>
      </c>
      <c r="F819" s="148">
        <f t="shared" si="49"/>
        <v>1.5988360817996587E-2</v>
      </c>
    </row>
    <row r="820" spans="2:6" x14ac:dyDescent="0.2">
      <c r="B820" s="206" t="s">
        <v>481</v>
      </c>
      <c r="C820" s="205">
        <v>330</v>
      </c>
      <c r="D820" s="147">
        <f t="shared" si="48"/>
        <v>0.25558703179099368</v>
      </c>
      <c r="E820" s="148">
        <f t="shared" si="47"/>
        <v>3.4593000766706691E-5</v>
      </c>
      <c r="F820" s="148">
        <f t="shared" si="49"/>
        <v>1.6022953818763293E-2</v>
      </c>
    </row>
    <row r="821" spans="2:6" x14ac:dyDescent="0.2">
      <c r="B821" s="206" t="s">
        <v>2649</v>
      </c>
      <c r="C821" s="205">
        <v>331</v>
      </c>
      <c r="D821" s="147">
        <f t="shared" si="48"/>
        <v>0.25590179414541608</v>
      </c>
      <c r="E821" s="148">
        <f t="shared" si="47"/>
        <v>3.4697828041757317E-5</v>
      </c>
      <c r="F821" s="148">
        <f t="shared" si="49"/>
        <v>1.605765164680505E-2</v>
      </c>
    </row>
    <row r="822" spans="2:6" x14ac:dyDescent="0.2">
      <c r="B822" s="206" t="s">
        <v>1023</v>
      </c>
      <c r="C822" s="205">
        <v>331</v>
      </c>
      <c r="D822" s="147">
        <f t="shared" si="48"/>
        <v>0.25621655649983849</v>
      </c>
      <c r="E822" s="148">
        <f t="shared" si="47"/>
        <v>3.4697828041757317E-5</v>
      </c>
      <c r="F822" s="148">
        <f t="shared" si="49"/>
        <v>1.6092349474846807E-2</v>
      </c>
    </row>
    <row r="823" spans="2:6" x14ac:dyDescent="0.2">
      <c r="B823" s="115" t="s">
        <v>616</v>
      </c>
      <c r="C823" s="114">
        <v>331</v>
      </c>
      <c r="D823" s="147">
        <f t="shared" si="48"/>
        <v>0.25653131885426089</v>
      </c>
      <c r="E823" s="148">
        <f t="shared" si="47"/>
        <v>3.4697828041757317E-5</v>
      </c>
      <c r="F823" s="148">
        <f t="shared" si="49"/>
        <v>1.6127047302888563E-2</v>
      </c>
    </row>
    <row r="824" spans="2:6" x14ac:dyDescent="0.2">
      <c r="B824" s="115" t="s">
        <v>246</v>
      </c>
      <c r="C824" s="114">
        <v>331</v>
      </c>
      <c r="D824" s="147">
        <f t="shared" si="48"/>
        <v>0.2568460812086833</v>
      </c>
      <c r="E824" s="148">
        <f t="shared" si="47"/>
        <v>3.4697828041757317E-5</v>
      </c>
      <c r="F824" s="148">
        <f t="shared" si="49"/>
        <v>1.616174513093032E-2</v>
      </c>
    </row>
    <row r="825" spans="2:6" x14ac:dyDescent="0.2">
      <c r="B825" s="115" t="s">
        <v>3098</v>
      </c>
      <c r="C825" s="114">
        <v>332</v>
      </c>
      <c r="D825" s="147">
        <f t="shared" si="48"/>
        <v>0.2571608435631057</v>
      </c>
      <c r="E825" s="148">
        <f t="shared" si="47"/>
        <v>3.4802655316807942E-5</v>
      </c>
      <c r="F825" s="148">
        <f t="shared" si="49"/>
        <v>1.6196547786247129E-2</v>
      </c>
    </row>
    <row r="826" spans="2:6" x14ac:dyDescent="0.2">
      <c r="B826" s="115" t="s">
        <v>2690</v>
      </c>
      <c r="C826" s="114">
        <v>332</v>
      </c>
      <c r="D826" s="147">
        <f t="shared" si="48"/>
        <v>0.25747560591752811</v>
      </c>
      <c r="E826" s="148">
        <f t="shared" si="47"/>
        <v>3.4802655316807942E-5</v>
      </c>
      <c r="F826" s="148">
        <f t="shared" si="49"/>
        <v>1.6231350441563937E-2</v>
      </c>
    </row>
    <row r="827" spans="2:6" x14ac:dyDescent="0.2">
      <c r="B827" s="115" t="s">
        <v>2096</v>
      </c>
      <c r="C827" s="114">
        <v>332</v>
      </c>
      <c r="D827" s="147">
        <f t="shared" si="48"/>
        <v>0.25779036827195051</v>
      </c>
      <c r="E827" s="148">
        <f t="shared" si="47"/>
        <v>3.4802655316807942E-5</v>
      </c>
      <c r="F827" s="148">
        <f t="shared" si="49"/>
        <v>1.6266153096880745E-2</v>
      </c>
    </row>
    <row r="828" spans="2:6" x14ac:dyDescent="0.2">
      <c r="B828" s="115" t="s">
        <v>438</v>
      </c>
      <c r="C828" s="114">
        <v>332</v>
      </c>
      <c r="D828" s="147">
        <f t="shared" si="48"/>
        <v>0.25810513062637291</v>
      </c>
      <c r="E828" s="148">
        <f t="shared" si="47"/>
        <v>3.4802655316807942E-5</v>
      </c>
      <c r="F828" s="148">
        <f t="shared" si="49"/>
        <v>1.6300955752197553E-2</v>
      </c>
    </row>
    <row r="829" spans="2:6" x14ac:dyDescent="0.2">
      <c r="B829" s="206" t="s">
        <v>2756</v>
      </c>
      <c r="C829" s="205">
        <v>333</v>
      </c>
      <c r="D829" s="147">
        <f t="shared" si="48"/>
        <v>0.25841989298079532</v>
      </c>
      <c r="E829" s="148">
        <f t="shared" si="47"/>
        <v>3.4907482591858568E-5</v>
      </c>
      <c r="F829" s="148">
        <f t="shared" si="49"/>
        <v>1.6335863234789413E-2</v>
      </c>
    </row>
    <row r="830" spans="2:6" x14ac:dyDescent="0.2">
      <c r="B830" s="206" t="s">
        <v>2501</v>
      </c>
      <c r="C830" s="205">
        <v>333</v>
      </c>
      <c r="D830" s="147">
        <f t="shared" si="48"/>
        <v>0.25873465533521772</v>
      </c>
      <c r="E830" s="148">
        <f t="shared" si="47"/>
        <v>3.4907482591858568E-5</v>
      </c>
      <c r="F830" s="148">
        <f t="shared" si="49"/>
        <v>1.6370770717381272E-2</v>
      </c>
    </row>
    <row r="831" spans="2:6" x14ac:dyDescent="0.2">
      <c r="B831" s="206" t="s">
        <v>1912</v>
      </c>
      <c r="C831" s="205">
        <v>333</v>
      </c>
      <c r="D831" s="147">
        <f t="shared" si="48"/>
        <v>0.25904941768964013</v>
      </c>
      <c r="E831" s="148">
        <f t="shared" si="47"/>
        <v>3.4907482591858568E-5</v>
      </c>
      <c r="F831" s="148">
        <f t="shared" si="49"/>
        <v>1.6405678199973132E-2</v>
      </c>
    </row>
    <row r="832" spans="2:6" x14ac:dyDescent="0.2">
      <c r="B832" s="115" t="s">
        <v>510</v>
      </c>
      <c r="C832" s="114">
        <v>333</v>
      </c>
      <c r="D832" s="147">
        <f t="shared" si="48"/>
        <v>0.25936418004406253</v>
      </c>
      <c r="E832" s="148">
        <f t="shared" si="47"/>
        <v>3.4907482591858568E-5</v>
      </c>
      <c r="F832" s="148">
        <f t="shared" si="49"/>
        <v>1.6440585682564991E-2</v>
      </c>
    </row>
    <row r="833" spans="2:6" x14ac:dyDescent="0.2">
      <c r="B833" s="115" t="s">
        <v>380</v>
      </c>
      <c r="C833" s="114">
        <v>333</v>
      </c>
      <c r="D833" s="147">
        <f t="shared" si="48"/>
        <v>0.25967894239848494</v>
      </c>
      <c r="E833" s="148">
        <f t="shared" si="47"/>
        <v>3.4907482591858568E-5</v>
      </c>
      <c r="F833" s="148">
        <f t="shared" si="49"/>
        <v>1.6475493165156851E-2</v>
      </c>
    </row>
    <row r="834" spans="2:6" x14ac:dyDescent="0.2">
      <c r="B834" s="206" t="s">
        <v>113</v>
      </c>
      <c r="C834" s="205">
        <v>333</v>
      </c>
      <c r="D834" s="147">
        <f t="shared" si="48"/>
        <v>0.25999370475290734</v>
      </c>
      <c r="E834" s="148">
        <f t="shared" si="47"/>
        <v>3.4907482591858568E-5</v>
      </c>
      <c r="F834" s="148">
        <f t="shared" si="49"/>
        <v>1.651040064774871E-2</v>
      </c>
    </row>
    <row r="835" spans="2:6" x14ac:dyDescent="0.2">
      <c r="B835" s="206" t="s">
        <v>2262</v>
      </c>
      <c r="C835" s="205">
        <v>334</v>
      </c>
      <c r="D835" s="147">
        <f t="shared" si="48"/>
        <v>0.26030846710732974</v>
      </c>
      <c r="E835" s="148">
        <f t="shared" si="47"/>
        <v>3.5012309866909193E-5</v>
      </c>
      <c r="F835" s="148">
        <f t="shared" si="49"/>
        <v>1.6545412957615621E-2</v>
      </c>
    </row>
    <row r="836" spans="2:6" x14ac:dyDescent="0.2">
      <c r="B836" s="115" t="s">
        <v>2146</v>
      </c>
      <c r="C836" s="114">
        <v>334</v>
      </c>
      <c r="D836" s="147">
        <f t="shared" si="48"/>
        <v>0.26062322946175215</v>
      </c>
      <c r="E836" s="148">
        <f t="shared" si="47"/>
        <v>3.5012309866909193E-5</v>
      </c>
      <c r="F836" s="148">
        <f t="shared" si="49"/>
        <v>1.6580425267482532E-2</v>
      </c>
    </row>
    <row r="837" spans="2:6" x14ac:dyDescent="0.2">
      <c r="B837" s="206" t="s">
        <v>1003</v>
      </c>
      <c r="C837" s="205">
        <v>334</v>
      </c>
      <c r="D837" s="147">
        <f t="shared" si="48"/>
        <v>0.26093799181617455</v>
      </c>
      <c r="E837" s="148">
        <f t="shared" si="47"/>
        <v>3.5012309866909193E-5</v>
      </c>
      <c r="F837" s="148">
        <f t="shared" si="49"/>
        <v>1.6615437577349443E-2</v>
      </c>
    </row>
    <row r="838" spans="2:6" x14ac:dyDescent="0.2">
      <c r="B838" s="206" t="s">
        <v>2635</v>
      </c>
      <c r="C838" s="205">
        <v>335</v>
      </c>
      <c r="D838" s="147">
        <f t="shared" si="48"/>
        <v>0.26125275417059696</v>
      </c>
      <c r="E838" s="148">
        <f t="shared" si="47"/>
        <v>3.5117137141959819E-5</v>
      </c>
      <c r="F838" s="148">
        <f t="shared" si="49"/>
        <v>1.6650554714491402E-2</v>
      </c>
    </row>
    <row r="839" spans="2:6" x14ac:dyDescent="0.2">
      <c r="B839" s="206" t="s">
        <v>2094</v>
      </c>
      <c r="C839" s="205">
        <v>335</v>
      </c>
      <c r="D839" s="147">
        <f t="shared" si="48"/>
        <v>0.26156751652501936</v>
      </c>
      <c r="E839" s="148">
        <f t="shared" si="47"/>
        <v>3.5117137141959819E-5</v>
      </c>
      <c r="F839" s="148">
        <f t="shared" si="49"/>
        <v>1.668567185163336E-2</v>
      </c>
    </row>
    <row r="840" spans="2:6" x14ac:dyDescent="0.2">
      <c r="B840" s="206" t="s">
        <v>1174</v>
      </c>
      <c r="C840" s="205">
        <v>335</v>
      </c>
      <c r="D840" s="147">
        <f t="shared" si="48"/>
        <v>0.26188227887944177</v>
      </c>
      <c r="E840" s="148">
        <f t="shared" si="47"/>
        <v>3.5117137141959819E-5</v>
      </c>
      <c r="F840" s="148">
        <f t="shared" si="49"/>
        <v>1.6720788988775319E-2</v>
      </c>
    </row>
    <row r="841" spans="2:6" x14ac:dyDescent="0.2">
      <c r="B841" s="206" t="s">
        <v>1116</v>
      </c>
      <c r="C841" s="205">
        <v>335</v>
      </c>
      <c r="D841" s="147">
        <f t="shared" si="48"/>
        <v>0.26219704123386417</v>
      </c>
      <c r="E841" s="148">
        <f t="shared" ref="E841:E904" si="50">C841/$O$18</f>
        <v>3.5117137141959819E-5</v>
      </c>
      <c r="F841" s="148">
        <f t="shared" si="49"/>
        <v>1.6755906125917278E-2</v>
      </c>
    </row>
    <row r="842" spans="2:6" x14ac:dyDescent="0.2">
      <c r="B842" s="206" t="s">
        <v>2491</v>
      </c>
      <c r="C842" s="205">
        <v>337</v>
      </c>
      <c r="D842" s="147">
        <f t="shared" ref="D842:D905" si="51">D841+1/$L$18</f>
        <v>0.26251180358828657</v>
      </c>
      <c r="E842" s="148">
        <f t="shared" si="50"/>
        <v>3.5326791692061077E-5</v>
      </c>
      <c r="F842" s="148">
        <f t="shared" ref="F842:F905" si="52">F841+E842</f>
        <v>1.6791232917609339E-2</v>
      </c>
    </row>
    <row r="843" spans="2:6" x14ac:dyDescent="0.2">
      <c r="B843" s="115" t="s">
        <v>172</v>
      </c>
      <c r="C843" s="114">
        <v>337</v>
      </c>
      <c r="D843" s="147">
        <f t="shared" si="51"/>
        <v>0.26282656594270898</v>
      </c>
      <c r="E843" s="148">
        <f t="shared" si="50"/>
        <v>3.5326791692061077E-5</v>
      </c>
      <c r="F843" s="148">
        <f t="shared" si="52"/>
        <v>1.68265597093014E-2</v>
      </c>
    </row>
    <row r="844" spans="2:6" x14ac:dyDescent="0.2">
      <c r="B844" s="206" t="s">
        <v>32</v>
      </c>
      <c r="C844" s="205">
        <v>337</v>
      </c>
      <c r="D844" s="147">
        <f t="shared" si="51"/>
        <v>0.26314132829713138</v>
      </c>
      <c r="E844" s="148">
        <f t="shared" si="50"/>
        <v>3.5326791692061077E-5</v>
      </c>
      <c r="F844" s="148">
        <f t="shared" si="52"/>
        <v>1.6861886500993462E-2</v>
      </c>
    </row>
    <row r="845" spans="2:6" x14ac:dyDescent="0.2">
      <c r="B845" s="206" t="s">
        <v>69</v>
      </c>
      <c r="C845" s="205">
        <v>338</v>
      </c>
      <c r="D845" s="147">
        <f t="shared" si="51"/>
        <v>0.26345609065155379</v>
      </c>
      <c r="E845" s="148">
        <f t="shared" si="50"/>
        <v>3.5431618967111703E-5</v>
      </c>
      <c r="F845" s="148">
        <f t="shared" si="52"/>
        <v>1.6897318119960574E-2</v>
      </c>
    </row>
    <row r="846" spans="2:6" x14ac:dyDescent="0.2">
      <c r="B846" s="206" t="s">
        <v>1445</v>
      </c>
      <c r="C846" s="205">
        <v>339</v>
      </c>
      <c r="D846" s="147">
        <f t="shared" si="51"/>
        <v>0.26377085300597619</v>
      </c>
      <c r="E846" s="148">
        <f t="shared" si="50"/>
        <v>3.5536446242162329E-5</v>
      </c>
      <c r="F846" s="148">
        <f t="shared" si="52"/>
        <v>1.6932854566202738E-2</v>
      </c>
    </row>
    <row r="847" spans="2:6" x14ac:dyDescent="0.2">
      <c r="B847" s="115" t="s">
        <v>1309</v>
      </c>
      <c r="C847" s="114">
        <v>339</v>
      </c>
      <c r="D847" s="147">
        <f t="shared" si="51"/>
        <v>0.2640856153603986</v>
      </c>
      <c r="E847" s="148">
        <f t="shared" si="50"/>
        <v>3.5536446242162329E-5</v>
      </c>
      <c r="F847" s="148">
        <f t="shared" si="52"/>
        <v>1.6968391012444902E-2</v>
      </c>
    </row>
    <row r="848" spans="2:6" x14ac:dyDescent="0.2">
      <c r="B848" s="206" t="s">
        <v>184</v>
      </c>
      <c r="C848" s="205">
        <v>339</v>
      </c>
      <c r="D848" s="147">
        <f t="shared" si="51"/>
        <v>0.264400377714821</v>
      </c>
      <c r="E848" s="148">
        <f t="shared" si="50"/>
        <v>3.5536446242162329E-5</v>
      </c>
      <c r="F848" s="148">
        <f t="shared" si="52"/>
        <v>1.7003927458687066E-2</v>
      </c>
    </row>
    <row r="849" spans="2:6" x14ac:dyDescent="0.2">
      <c r="B849" s="115" t="s">
        <v>2296</v>
      </c>
      <c r="C849" s="114">
        <v>340</v>
      </c>
      <c r="D849" s="147">
        <f t="shared" si="51"/>
        <v>0.2647151400692434</v>
      </c>
      <c r="E849" s="148">
        <f t="shared" si="50"/>
        <v>3.5641273517212954E-5</v>
      </c>
      <c r="F849" s="148">
        <f t="shared" si="52"/>
        <v>1.7039568732204278E-2</v>
      </c>
    </row>
    <row r="850" spans="2:6" x14ac:dyDescent="0.2">
      <c r="B850" s="206" t="s">
        <v>2287</v>
      </c>
      <c r="C850" s="205">
        <v>340</v>
      </c>
      <c r="D850" s="147">
        <f t="shared" si="51"/>
        <v>0.26502990242366581</v>
      </c>
      <c r="E850" s="148">
        <f t="shared" si="50"/>
        <v>3.5641273517212954E-5</v>
      </c>
      <c r="F850" s="148">
        <f t="shared" si="52"/>
        <v>1.707521000572149E-2</v>
      </c>
    </row>
    <row r="851" spans="2:6" x14ac:dyDescent="0.2">
      <c r="B851" s="206" t="s">
        <v>1394</v>
      </c>
      <c r="C851" s="205">
        <v>340</v>
      </c>
      <c r="D851" s="147">
        <f t="shared" si="51"/>
        <v>0.26534466477808821</v>
      </c>
      <c r="E851" s="148">
        <f t="shared" si="50"/>
        <v>3.5641273517212954E-5</v>
      </c>
      <c r="F851" s="148">
        <f t="shared" si="52"/>
        <v>1.7110851279238701E-2</v>
      </c>
    </row>
    <row r="852" spans="2:6" x14ac:dyDescent="0.2">
      <c r="B852" s="115" t="s">
        <v>726</v>
      </c>
      <c r="C852" s="114">
        <v>340</v>
      </c>
      <c r="D852" s="147">
        <f t="shared" si="51"/>
        <v>0.26565942713251062</v>
      </c>
      <c r="E852" s="148">
        <f t="shared" si="50"/>
        <v>3.5641273517212954E-5</v>
      </c>
      <c r="F852" s="148">
        <f t="shared" si="52"/>
        <v>1.7146492552755913E-2</v>
      </c>
    </row>
    <row r="853" spans="2:6" x14ac:dyDescent="0.2">
      <c r="B853" s="115" t="s">
        <v>167</v>
      </c>
      <c r="C853" s="114">
        <v>340</v>
      </c>
      <c r="D853" s="147">
        <f t="shared" si="51"/>
        <v>0.26597418948693302</v>
      </c>
      <c r="E853" s="148">
        <f t="shared" si="50"/>
        <v>3.5641273517212954E-5</v>
      </c>
      <c r="F853" s="148">
        <f t="shared" si="52"/>
        <v>1.7182133826273125E-2</v>
      </c>
    </row>
    <row r="854" spans="2:6" x14ac:dyDescent="0.2">
      <c r="B854" s="206" t="s">
        <v>2935</v>
      </c>
      <c r="C854" s="205">
        <v>341</v>
      </c>
      <c r="D854" s="147">
        <f t="shared" si="51"/>
        <v>0.26628895184135543</v>
      </c>
      <c r="E854" s="148">
        <f t="shared" si="50"/>
        <v>3.574610079226358E-5</v>
      </c>
      <c r="F854" s="148">
        <f t="shared" si="52"/>
        <v>1.7217879927065388E-2</v>
      </c>
    </row>
    <row r="855" spans="2:6" x14ac:dyDescent="0.2">
      <c r="B855" s="206" t="s">
        <v>1613</v>
      </c>
      <c r="C855" s="205">
        <v>341</v>
      </c>
      <c r="D855" s="147">
        <f t="shared" si="51"/>
        <v>0.26660371419577783</v>
      </c>
      <c r="E855" s="148">
        <f t="shared" si="50"/>
        <v>3.574610079226358E-5</v>
      </c>
      <c r="F855" s="148">
        <f t="shared" si="52"/>
        <v>1.7253626027857651E-2</v>
      </c>
    </row>
    <row r="856" spans="2:6" x14ac:dyDescent="0.2">
      <c r="B856" s="115" t="s">
        <v>1243</v>
      </c>
      <c r="C856" s="114">
        <v>341</v>
      </c>
      <c r="D856" s="147">
        <f t="shared" si="51"/>
        <v>0.26691847655020023</v>
      </c>
      <c r="E856" s="148">
        <f t="shared" si="50"/>
        <v>3.574610079226358E-5</v>
      </c>
      <c r="F856" s="148">
        <f t="shared" si="52"/>
        <v>1.7289372128649914E-2</v>
      </c>
    </row>
    <row r="857" spans="2:6" x14ac:dyDescent="0.2">
      <c r="B857" s="115" t="s">
        <v>161</v>
      </c>
      <c r="C857" s="114">
        <v>341</v>
      </c>
      <c r="D857" s="147">
        <f t="shared" si="51"/>
        <v>0.26723323890462264</v>
      </c>
      <c r="E857" s="148">
        <f t="shared" si="50"/>
        <v>3.574610079226358E-5</v>
      </c>
      <c r="F857" s="148">
        <f t="shared" si="52"/>
        <v>1.7325118229442178E-2</v>
      </c>
    </row>
    <row r="858" spans="2:6" x14ac:dyDescent="0.2">
      <c r="B858" s="115" t="s">
        <v>251</v>
      </c>
      <c r="C858" s="114">
        <v>342</v>
      </c>
      <c r="D858" s="147">
        <f t="shared" si="51"/>
        <v>0.26754800125904504</v>
      </c>
      <c r="E858" s="148">
        <f t="shared" si="50"/>
        <v>3.5850928067314206E-5</v>
      </c>
      <c r="F858" s="148">
        <f t="shared" si="52"/>
        <v>1.7360969157509492E-2</v>
      </c>
    </row>
    <row r="859" spans="2:6" x14ac:dyDescent="0.2">
      <c r="B859" s="115" t="s">
        <v>413</v>
      </c>
      <c r="C859" s="114">
        <v>343</v>
      </c>
      <c r="D859" s="147">
        <f t="shared" si="51"/>
        <v>0.26786276361346745</v>
      </c>
      <c r="E859" s="148">
        <f t="shared" si="50"/>
        <v>3.5955755342364831E-5</v>
      </c>
      <c r="F859" s="148">
        <f t="shared" si="52"/>
        <v>1.7396924912851858E-2</v>
      </c>
    </row>
    <row r="860" spans="2:6" x14ac:dyDescent="0.2">
      <c r="B860" s="206" t="s">
        <v>640</v>
      </c>
      <c r="C860" s="205">
        <v>344</v>
      </c>
      <c r="D860" s="147">
        <f t="shared" si="51"/>
        <v>0.26817752596788985</v>
      </c>
      <c r="E860" s="148">
        <f t="shared" si="50"/>
        <v>3.6060582617415457E-5</v>
      </c>
      <c r="F860" s="148">
        <f t="shared" si="52"/>
        <v>1.7432985495469275E-2</v>
      </c>
    </row>
    <row r="861" spans="2:6" x14ac:dyDescent="0.2">
      <c r="B861" s="206" t="s">
        <v>176</v>
      </c>
      <c r="C861" s="205">
        <v>344</v>
      </c>
      <c r="D861" s="147">
        <f t="shared" si="51"/>
        <v>0.26849228832231226</v>
      </c>
      <c r="E861" s="148">
        <f t="shared" si="50"/>
        <v>3.6060582617415457E-5</v>
      </c>
      <c r="F861" s="148">
        <f t="shared" si="52"/>
        <v>1.7469046078086692E-2</v>
      </c>
    </row>
    <row r="862" spans="2:6" x14ac:dyDescent="0.2">
      <c r="B862" s="115" t="s">
        <v>2899</v>
      </c>
      <c r="C862" s="114">
        <v>345</v>
      </c>
      <c r="D862" s="147">
        <f t="shared" si="51"/>
        <v>0.26880705067673466</v>
      </c>
      <c r="E862" s="148">
        <f t="shared" si="50"/>
        <v>3.6165409892466083E-5</v>
      </c>
      <c r="F862" s="148">
        <f t="shared" si="52"/>
        <v>1.7505211487979157E-2</v>
      </c>
    </row>
    <row r="863" spans="2:6" x14ac:dyDescent="0.2">
      <c r="B863" s="115" t="s">
        <v>2221</v>
      </c>
      <c r="C863" s="114">
        <v>345</v>
      </c>
      <c r="D863" s="147">
        <f t="shared" si="51"/>
        <v>0.26912181303115706</v>
      </c>
      <c r="E863" s="148">
        <f t="shared" si="50"/>
        <v>3.6165409892466083E-5</v>
      </c>
      <c r="F863" s="148">
        <f t="shared" si="52"/>
        <v>1.7541376897871622E-2</v>
      </c>
    </row>
    <row r="864" spans="2:6" x14ac:dyDescent="0.2">
      <c r="B864" s="115" t="s">
        <v>1286</v>
      </c>
      <c r="C864" s="114">
        <v>345</v>
      </c>
      <c r="D864" s="147">
        <f t="shared" si="51"/>
        <v>0.26943657538557947</v>
      </c>
      <c r="E864" s="148">
        <f t="shared" si="50"/>
        <v>3.6165409892466083E-5</v>
      </c>
      <c r="F864" s="148">
        <f t="shared" si="52"/>
        <v>1.7577542307764087E-2</v>
      </c>
    </row>
    <row r="865" spans="2:6" x14ac:dyDescent="0.2">
      <c r="B865" s="115" t="s">
        <v>1065</v>
      </c>
      <c r="C865" s="114">
        <v>345</v>
      </c>
      <c r="D865" s="147">
        <f t="shared" si="51"/>
        <v>0.26975133774000187</v>
      </c>
      <c r="E865" s="148">
        <f t="shared" si="50"/>
        <v>3.6165409892466083E-5</v>
      </c>
      <c r="F865" s="148">
        <f t="shared" si="52"/>
        <v>1.7613707717656552E-2</v>
      </c>
    </row>
    <row r="866" spans="2:6" x14ac:dyDescent="0.2">
      <c r="B866" s="206" t="s">
        <v>809</v>
      </c>
      <c r="C866" s="205">
        <v>345</v>
      </c>
      <c r="D866" s="147">
        <f t="shared" si="51"/>
        <v>0.27006610009442428</v>
      </c>
      <c r="E866" s="148">
        <f t="shared" si="50"/>
        <v>3.6165409892466083E-5</v>
      </c>
      <c r="F866" s="148">
        <f t="shared" si="52"/>
        <v>1.7649873127549016E-2</v>
      </c>
    </row>
    <row r="867" spans="2:6" x14ac:dyDescent="0.2">
      <c r="B867" s="206" t="s">
        <v>2568</v>
      </c>
      <c r="C867" s="205">
        <v>346</v>
      </c>
      <c r="D867" s="147">
        <f t="shared" si="51"/>
        <v>0.27038086244884668</v>
      </c>
      <c r="E867" s="148">
        <f t="shared" si="50"/>
        <v>3.6270237167516708E-5</v>
      </c>
      <c r="F867" s="148">
        <f t="shared" si="52"/>
        <v>1.7686143364716533E-2</v>
      </c>
    </row>
    <row r="868" spans="2:6" x14ac:dyDescent="0.2">
      <c r="B868" s="115" t="s">
        <v>500</v>
      </c>
      <c r="C868" s="114">
        <v>346</v>
      </c>
      <c r="D868" s="147">
        <f t="shared" si="51"/>
        <v>0.27069562480326909</v>
      </c>
      <c r="E868" s="148">
        <f t="shared" si="50"/>
        <v>3.6270237167516708E-5</v>
      </c>
      <c r="F868" s="148">
        <f t="shared" si="52"/>
        <v>1.7722413601884049E-2</v>
      </c>
    </row>
    <row r="869" spans="2:6" x14ac:dyDescent="0.2">
      <c r="B869" s="115" t="s">
        <v>20</v>
      </c>
      <c r="C869" s="114">
        <v>346</v>
      </c>
      <c r="D869" s="147">
        <f t="shared" si="51"/>
        <v>0.27101038715769149</v>
      </c>
      <c r="E869" s="148">
        <f t="shared" si="50"/>
        <v>3.6270237167516708E-5</v>
      </c>
      <c r="F869" s="148">
        <f t="shared" si="52"/>
        <v>1.7758683839051565E-2</v>
      </c>
    </row>
    <row r="870" spans="2:6" x14ac:dyDescent="0.2">
      <c r="B870" s="206" t="s">
        <v>2971</v>
      </c>
      <c r="C870" s="205">
        <v>348</v>
      </c>
      <c r="D870" s="147">
        <f t="shared" si="51"/>
        <v>0.27132514951211389</v>
      </c>
      <c r="E870" s="148">
        <f t="shared" si="50"/>
        <v>3.6479891717617966E-5</v>
      </c>
      <c r="F870" s="148">
        <f t="shared" si="52"/>
        <v>1.7795163730769184E-2</v>
      </c>
    </row>
    <row r="871" spans="2:6" x14ac:dyDescent="0.2">
      <c r="B871" s="206" t="s">
        <v>2544</v>
      </c>
      <c r="C871" s="205">
        <v>348</v>
      </c>
      <c r="D871" s="147">
        <f t="shared" si="51"/>
        <v>0.2716399118665363</v>
      </c>
      <c r="E871" s="148">
        <f t="shared" si="50"/>
        <v>3.6479891717617966E-5</v>
      </c>
      <c r="F871" s="148">
        <f t="shared" si="52"/>
        <v>1.7831643622486803E-2</v>
      </c>
    </row>
    <row r="872" spans="2:6" x14ac:dyDescent="0.2">
      <c r="B872" s="206" t="s">
        <v>3140</v>
      </c>
      <c r="C872" s="205">
        <v>349</v>
      </c>
      <c r="D872" s="147">
        <f t="shared" si="51"/>
        <v>0.2719546742209587</v>
      </c>
      <c r="E872" s="148">
        <f t="shared" si="50"/>
        <v>3.6584718992668592E-5</v>
      </c>
      <c r="F872" s="148">
        <f t="shared" si="52"/>
        <v>1.7868228341479473E-2</v>
      </c>
    </row>
    <row r="873" spans="2:6" x14ac:dyDescent="0.2">
      <c r="B873" s="206" t="s">
        <v>2634</v>
      </c>
      <c r="C873" s="205">
        <v>349</v>
      </c>
      <c r="D873" s="147">
        <f t="shared" si="51"/>
        <v>0.27226943657538111</v>
      </c>
      <c r="E873" s="148">
        <f t="shared" si="50"/>
        <v>3.6584718992668592E-5</v>
      </c>
      <c r="F873" s="148">
        <f t="shared" si="52"/>
        <v>1.7904813060472143E-2</v>
      </c>
    </row>
    <row r="874" spans="2:6" x14ac:dyDescent="0.2">
      <c r="B874" s="115" t="s">
        <v>1810</v>
      </c>
      <c r="C874" s="114">
        <v>349</v>
      </c>
      <c r="D874" s="147">
        <f t="shared" si="51"/>
        <v>0.27258419892980351</v>
      </c>
      <c r="E874" s="148">
        <f t="shared" si="50"/>
        <v>3.6584718992668592E-5</v>
      </c>
      <c r="F874" s="148">
        <f t="shared" si="52"/>
        <v>1.7941397779464813E-2</v>
      </c>
    </row>
    <row r="875" spans="2:6" x14ac:dyDescent="0.2">
      <c r="B875" s="206" t="s">
        <v>1133</v>
      </c>
      <c r="C875" s="205">
        <v>349</v>
      </c>
      <c r="D875" s="147">
        <f t="shared" si="51"/>
        <v>0.27289896128422592</v>
      </c>
      <c r="E875" s="148">
        <f t="shared" si="50"/>
        <v>3.6584718992668592E-5</v>
      </c>
      <c r="F875" s="148">
        <f t="shared" si="52"/>
        <v>1.7977982498457484E-2</v>
      </c>
    </row>
    <row r="876" spans="2:6" x14ac:dyDescent="0.2">
      <c r="B876" s="206" t="s">
        <v>738</v>
      </c>
      <c r="C876" s="205">
        <v>349</v>
      </c>
      <c r="D876" s="147">
        <f t="shared" si="51"/>
        <v>0.27321372363864832</v>
      </c>
      <c r="E876" s="148">
        <f t="shared" si="50"/>
        <v>3.6584718992668592E-5</v>
      </c>
      <c r="F876" s="148">
        <f t="shared" si="52"/>
        <v>1.8014567217450154E-2</v>
      </c>
    </row>
    <row r="877" spans="2:6" x14ac:dyDescent="0.2">
      <c r="B877" s="206" t="s">
        <v>171</v>
      </c>
      <c r="C877" s="205">
        <v>349</v>
      </c>
      <c r="D877" s="147">
        <f t="shared" si="51"/>
        <v>0.27352848599307072</v>
      </c>
      <c r="E877" s="148">
        <f t="shared" si="50"/>
        <v>3.6584718992668592E-5</v>
      </c>
      <c r="F877" s="148">
        <f t="shared" si="52"/>
        <v>1.8051151936442824E-2</v>
      </c>
    </row>
    <row r="878" spans="2:6" x14ac:dyDescent="0.2">
      <c r="B878" s="115" t="s">
        <v>2800</v>
      </c>
      <c r="C878" s="114">
        <v>351</v>
      </c>
      <c r="D878" s="147">
        <f t="shared" si="51"/>
        <v>0.27384324834749313</v>
      </c>
      <c r="E878" s="148">
        <f t="shared" si="50"/>
        <v>3.6794373542769843E-5</v>
      </c>
      <c r="F878" s="148">
        <f t="shared" si="52"/>
        <v>1.8087946309985593E-2</v>
      </c>
    </row>
    <row r="879" spans="2:6" x14ac:dyDescent="0.2">
      <c r="B879" s="115" t="s">
        <v>1827</v>
      </c>
      <c r="C879" s="114">
        <v>351</v>
      </c>
      <c r="D879" s="147">
        <f t="shared" si="51"/>
        <v>0.27415801070191553</v>
      </c>
      <c r="E879" s="148">
        <f t="shared" si="50"/>
        <v>3.6794373542769843E-5</v>
      </c>
      <c r="F879" s="148">
        <f t="shared" si="52"/>
        <v>1.8124740683528363E-2</v>
      </c>
    </row>
    <row r="880" spans="2:6" x14ac:dyDescent="0.2">
      <c r="B880" s="206" t="s">
        <v>505</v>
      </c>
      <c r="C880" s="205">
        <v>351</v>
      </c>
      <c r="D880" s="147">
        <f t="shared" si="51"/>
        <v>0.27447277305633794</v>
      </c>
      <c r="E880" s="148">
        <f t="shared" si="50"/>
        <v>3.6794373542769843E-5</v>
      </c>
      <c r="F880" s="148">
        <f t="shared" si="52"/>
        <v>1.8161535057071132E-2</v>
      </c>
    </row>
    <row r="881" spans="2:6" x14ac:dyDescent="0.2">
      <c r="B881" s="115" t="s">
        <v>2485</v>
      </c>
      <c r="C881" s="114">
        <v>352</v>
      </c>
      <c r="D881" s="147">
        <f t="shared" si="51"/>
        <v>0.27478753541076034</v>
      </c>
      <c r="E881" s="148">
        <f t="shared" si="50"/>
        <v>3.6899200817820469E-5</v>
      </c>
      <c r="F881" s="148">
        <f t="shared" si="52"/>
        <v>1.8198434257888953E-2</v>
      </c>
    </row>
    <row r="882" spans="2:6" x14ac:dyDescent="0.2">
      <c r="B882" s="115" t="s">
        <v>1167</v>
      </c>
      <c r="C882" s="114">
        <v>352</v>
      </c>
      <c r="D882" s="147">
        <f t="shared" si="51"/>
        <v>0.27510229776518275</v>
      </c>
      <c r="E882" s="148">
        <f t="shared" si="50"/>
        <v>3.6899200817820469E-5</v>
      </c>
      <c r="F882" s="148">
        <f t="shared" si="52"/>
        <v>1.8235333458706773E-2</v>
      </c>
    </row>
    <row r="883" spans="2:6" x14ac:dyDescent="0.2">
      <c r="B883" s="115" t="s">
        <v>86</v>
      </c>
      <c r="C883" s="114">
        <v>352</v>
      </c>
      <c r="D883" s="147">
        <f t="shared" si="51"/>
        <v>0.27541706011960515</v>
      </c>
      <c r="E883" s="148">
        <f t="shared" si="50"/>
        <v>3.6899200817820469E-5</v>
      </c>
      <c r="F883" s="148">
        <f t="shared" si="52"/>
        <v>1.8272232659524594E-2</v>
      </c>
    </row>
    <row r="884" spans="2:6" x14ac:dyDescent="0.2">
      <c r="B884" s="115" t="s">
        <v>71</v>
      </c>
      <c r="C884" s="114">
        <v>352</v>
      </c>
      <c r="D884" s="147">
        <f t="shared" si="51"/>
        <v>0.27573182247402755</v>
      </c>
      <c r="E884" s="148">
        <f t="shared" si="50"/>
        <v>3.6899200817820469E-5</v>
      </c>
      <c r="F884" s="148">
        <f t="shared" si="52"/>
        <v>1.8309131860342415E-2</v>
      </c>
    </row>
    <row r="885" spans="2:6" x14ac:dyDescent="0.2">
      <c r="B885" s="206" t="s">
        <v>2682</v>
      </c>
      <c r="C885" s="205">
        <v>353</v>
      </c>
      <c r="D885" s="147">
        <f t="shared" si="51"/>
        <v>0.27604658482844996</v>
      </c>
      <c r="E885" s="148">
        <f t="shared" si="50"/>
        <v>3.7004028092871095E-5</v>
      </c>
      <c r="F885" s="148">
        <f t="shared" si="52"/>
        <v>1.8346135888435287E-2</v>
      </c>
    </row>
    <row r="886" spans="2:6" x14ac:dyDescent="0.2">
      <c r="B886" s="206" t="s">
        <v>1904</v>
      </c>
      <c r="C886" s="205">
        <v>354</v>
      </c>
      <c r="D886" s="147">
        <f t="shared" si="51"/>
        <v>0.27636134718287236</v>
      </c>
      <c r="E886" s="148">
        <f t="shared" si="50"/>
        <v>3.710885536792172E-5</v>
      </c>
      <c r="F886" s="148">
        <f t="shared" si="52"/>
        <v>1.838324474380321E-2</v>
      </c>
    </row>
    <row r="887" spans="2:6" x14ac:dyDescent="0.2">
      <c r="B887" s="206" t="s">
        <v>1321</v>
      </c>
      <c r="C887" s="205">
        <v>354</v>
      </c>
      <c r="D887" s="147">
        <f t="shared" si="51"/>
        <v>0.27667610953729477</v>
      </c>
      <c r="E887" s="148">
        <f t="shared" si="50"/>
        <v>3.710885536792172E-5</v>
      </c>
      <c r="F887" s="148">
        <f t="shared" si="52"/>
        <v>1.8420353599171133E-2</v>
      </c>
    </row>
    <row r="888" spans="2:6" x14ac:dyDescent="0.2">
      <c r="B888" s="206" t="s">
        <v>2411</v>
      </c>
      <c r="C888" s="205">
        <v>355</v>
      </c>
      <c r="D888" s="147">
        <f t="shared" si="51"/>
        <v>0.27699087189171717</v>
      </c>
      <c r="E888" s="148">
        <f t="shared" si="50"/>
        <v>3.7213682642972346E-5</v>
      </c>
      <c r="F888" s="148">
        <f t="shared" si="52"/>
        <v>1.8457567281814104E-2</v>
      </c>
    </row>
    <row r="889" spans="2:6" x14ac:dyDescent="0.2">
      <c r="B889" s="206" t="s">
        <v>1850</v>
      </c>
      <c r="C889" s="205">
        <v>356</v>
      </c>
      <c r="D889" s="147">
        <f t="shared" si="51"/>
        <v>0.27730563424613958</v>
      </c>
      <c r="E889" s="148">
        <f t="shared" si="50"/>
        <v>3.7318509918022972E-5</v>
      </c>
      <c r="F889" s="148">
        <f t="shared" si="52"/>
        <v>1.8494885791732127E-2</v>
      </c>
    </row>
    <row r="890" spans="2:6" x14ac:dyDescent="0.2">
      <c r="B890" s="115" t="s">
        <v>1619</v>
      </c>
      <c r="C890" s="114">
        <v>356</v>
      </c>
      <c r="D890" s="147">
        <f t="shared" si="51"/>
        <v>0.27762039660056198</v>
      </c>
      <c r="E890" s="148">
        <f t="shared" si="50"/>
        <v>3.7318509918022972E-5</v>
      </c>
      <c r="F890" s="148">
        <f t="shared" si="52"/>
        <v>1.8532204301650149E-2</v>
      </c>
    </row>
    <row r="891" spans="2:6" x14ac:dyDescent="0.2">
      <c r="B891" s="115" t="s">
        <v>1539</v>
      </c>
      <c r="C891" s="114">
        <v>356</v>
      </c>
      <c r="D891" s="147">
        <f t="shared" si="51"/>
        <v>0.27793515895498438</v>
      </c>
      <c r="E891" s="148">
        <f t="shared" si="50"/>
        <v>3.7318509918022972E-5</v>
      </c>
      <c r="F891" s="148">
        <f t="shared" si="52"/>
        <v>1.8569522811568172E-2</v>
      </c>
    </row>
    <row r="892" spans="2:6" x14ac:dyDescent="0.2">
      <c r="B892" s="206" t="s">
        <v>1767</v>
      </c>
      <c r="C892" s="205">
        <v>357</v>
      </c>
      <c r="D892" s="147">
        <f t="shared" si="51"/>
        <v>0.27824992130940679</v>
      </c>
      <c r="E892" s="148">
        <f t="shared" si="50"/>
        <v>3.7423337193073604E-5</v>
      </c>
      <c r="F892" s="148">
        <f t="shared" si="52"/>
        <v>1.8606946148761246E-2</v>
      </c>
    </row>
    <row r="893" spans="2:6" x14ac:dyDescent="0.2">
      <c r="B893" s="206" t="s">
        <v>2325</v>
      </c>
      <c r="C893" s="205">
        <v>358</v>
      </c>
      <c r="D893" s="147">
        <f t="shared" si="51"/>
        <v>0.27856468366382919</v>
      </c>
      <c r="E893" s="148">
        <f t="shared" si="50"/>
        <v>3.752816446812423E-5</v>
      </c>
      <c r="F893" s="148">
        <f t="shared" si="52"/>
        <v>1.8644474313229371E-2</v>
      </c>
    </row>
    <row r="894" spans="2:6" x14ac:dyDescent="0.2">
      <c r="B894" s="115" t="s">
        <v>2794</v>
      </c>
      <c r="C894" s="114">
        <v>359</v>
      </c>
      <c r="D894" s="147">
        <f t="shared" si="51"/>
        <v>0.2788794460182516</v>
      </c>
      <c r="E894" s="148">
        <f t="shared" si="50"/>
        <v>3.7632991743174855E-5</v>
      </c>
      <c r="F894" s="148">
        <f t="shared" si="52"/>
        <v>1.8682107304972547E-2</v>
      </c>
    </row>
    <row r="895" spans="2:6" x14ac:dyDescent="0.2">
      <c r="B895" s="206" t="s">
        <v>31</v>
      </c>
      <c r="C895" s="205">
        <v>359</v>
      </c>
      <c r="D895" s="147">
        <f t="shared" si="51"/>
        <v>0.279194208372674</v>
      </c>
      <c r="E895" s="148">
        <f t="shared" si="50"/>
        <v>3.7632991743174855E-5</v>
      </c>
      <c r="F895" s="148">
        <f t="shared" si="52"/>
        <v>1.8719740296715724E-2</v>
      </c>
    </row>
    <row r="896" spans="2:6" x14ac:dyDescent="0.2">
      <c r="B896" s="115" t="s">
        <v>1082</v>
      </c>
      <c r="C896" s="114">
        <v>360</v>
      </c>
      <c r="D896" s="147">
        <f t="shared" si="51"/>
        <v>0.27950897072709641</v>
      </c>
      <c r="E896" s="148">
        <f t="shared" si="50"/>
        <v>3.7737819018225481E-5</v>
      </c>
      <c r="F896" s="148">
        <f t="shared" si="52"/>
        <v>1.8757478115733948E-2</v>
      </c>
    </row>
    <row r="897" spans="2:6" x14ac:dyDescent="0.2">
      <c r="B897" s="206" t="s">
        <v>857</v>
      </c>
      <c r="C897" s="205">
        <v>360</v>
      </c>
      <c r="D897" s="147">
        <f t="shared" si="51"/>
        <v>0.27982373308151881</v>
      </c>
      <c r="E897" s="148">
        <f t="shared" si="50"/>
        <v>3.7737819018225481E-5</v>
      </c>
      <c r="F897" s="148">
        <f t="shared" si="52"/>
        <v>1.8795215934752172E-2</v>
      </c>
    </row>
    <row r="898" spans="2:6" x14ac:dyDescent="0.2">
      <c r="B898" s="206" t="s">
        <v>571</v>
      </c>
      <c r="C898" s="205">
        <v>360</v>
      </c>
      <c r="D898" s="147">
        <f t="shared" si="51"/>
        <v>0.28013849543594121</v>
      </c>
      <c r="E898" s="148">
        <f t="shared" si="50"/>
        <v>3.7737819018225481E-5</v>
      </c>
      <c r="F898" s="148">
        <f t="shared" si="52"/>
        <v>1.8832953753770396E-2</v>
      </c>
    </row>
    <row r="899" spans="2:6" x14ac:dyDescent="0.2">
      <c r="B899" s="206" t="s">
        <v>2845</v>
      </c>
      <c r="C899" s="205">
        <v>361</v>
      </c>
      <c r="D899" s="147">
        <f t="shared" si="51"/>
        <v>0.28045325779036362</v>
      </c>
      <c r="E899" s="148">
        <f t="shared" si="50"/>
        <v>3.7842646293276107E-5</v>
      </c>
      <c r="F899" s="148">
        <f t="shared" si="52"/>
        <v>1.8870796400063672E-2</v>
      </c>
    </row>
    <row r="900" spans="2:6" x14ac:dyDescent="0.2">
      <c r="B900" s="206" t="s">
        <v>1015</v>
      </c>
      <c r="C900" s="205">
        <v>362</v>
      </c>
      <c r="D900" s="147">
        <f t="shared" si="51"/>
        <v>0.28076802014478602</v>
      </c>
      <c r="E900" s="148">
        <f t="shared" si="50"/>
        <v>3.7947473568326732E-5</v>
      </c>
      <c r="F900" s="148">
        <f t="shared" si="52"/>
        <v>1.8908743873631999E-2</v>
      </c>
    </row>
    <row r="901" spans="2:6" x14ac:dyDescent="0.2">
      <c r="B901" s="115" t="s">
        <v>2788</v>
      </c>
      <c r="C901" s="114">
        <v>363</v>
      </c>
      <c r="D901" s="147">
        <f t="shared" si="51"/>
        <v>0.28108278249920843</v>
      </c>
      <c r="E901" s="148">
        <f t="shared" si="50"/>
        <v>3.8052300843377358E-5</v>
      </c>
      <c r="F901" s="148">
        <f t="shared" si="52"/>
        <v>1.8946796174475377E-2</v>
      </c>
    </row>
    <row r="902" spans="2:6" x14ac:dyDescent="0.2">
      <c r="B902" s="206" t="s">
        <v>1254</v>
      </c>
      <c r="C902" s="205">
        <v>363</v>
      </c>
      <c r="D902" s="147">
        <f t="shared" si="51"/>
        <v>0.28139754485363083</v>
      </c>
      <c r="E902" s="148">
        <f t="shared" si="50"/>
        <v>3.8052300843377358E-5</v>
      </c>
      <c r="F902" s="148">
        <f t="shared" si="52"/>
        <v>1.8984848475318755E-2</v>
      </c>
    </row>
    <row r="903" spans="2:6" x14ac:dyDescent="0.2">
      <c r="B903" s="115" t="s">
        <v>865</v>
      </c>
      <c r="C903" s="114">
        <v>363</v>
      </c>
      <c r="D903" s="147">
        <f t="shared" si="51"/>
        <v>0.28171230720805324</v>
      </c>
      <c r="E903" s="148">
        <f t="shared" si="50"/>
        <v>3.8052300843377358E-5</v>
      </c>
      <c r="F903" s="148">
        <f t="shared" si="52"/>
        <v>1.9022900776162133E-2</v>
      </c>
    </row>
    <row r="904" spans="2:6" x14ac:dyDescent="0.2">
      <c r="B904" s="115" t="s">
        <v>2842</v>
      </c>
      <c r="C904" s="114">
        <v>364</v>
      </c>
      <c r="D904" s="147">
        <f t="shared" si="51"/>
        <v>0.28202706956247564</v>
      </c>
      <c r="E904" s="148">
        <f t="shared" si="50"/>
        <v>3.8157128118427984E-5</v>
      </c>
      <c r="F904" s="148">
        <f t="shared" si="52"/>
        <v>1.9061057904280563E-2</v>
      </c>
    </row>
    <row r="905" spans="2:6" x14ac:dyDescent="0.2">
      <c r="B905" s="206" t="s">
        <v>2832</v>
      </c>
      <c r="C905" s="205">
        <v>364</v>
      </c>
      <c r="D905" s="147">
        <f t="shared" si="51"/>
        <v>0.28234183191689805</v>
      </c>
      <c r="E905" s="148">
        <f t="shared" ref="E905:E968" si="53">C905/$O$18</f>
        <v>3.8157128118427984E-5</v>
      </c>
      <c r="F905" s="148">
        <f t="shared" si="52"/>
        <v>1.9099215032398992E-2</v>
      </c>
    </row>
    <row r="906" spans="2:6" x14ac:dyDescent="0.2">
      <c r="B906" s="115" t="s">
        <v>2258</v>
      </c>
      <c r="C906" s="114">
        <v>364</v>
      </c>
      <c r="D906" s="147">
        <f t="shared" ref="D906:D969" si="54">D905+1/$L$18</f>
        <v>0.28265659427132045</v>
      </c>
      <c r="E906" s="148">
        <f t="shared" si="53"/>
        <v>3.8157128118427984E-5</v>
      </c>
      <c r="F906" s="148">
        <f t="shared" ref="F906:F969" si="55">F905+E906</f>
        <v>1.9137372160517422E-2</v>
      </c>
    </row>
    <row r="907" spans="2:6" x14ac:dyDescent="0.2">
      <c r="B907" s="115" t="s">
        <v>3028</v>
      </c>
      <c r="C907" s="114">
        <v>365</v>
      </c>
      <c r="D907" s="147">
        <f t="shared" si="54"/>
        <v>0.28297135662574285</v>
      </c>
      <c r="E907" s="148">
        <f t="shared" si="53"/>
        <v>3.8261955393478609E-5</v>
      </c>
      <c r="F907" s="148">
        <f t="shared" si="55"/>
        <v>1.9175634115910899E-2</v>
      </c>
    </row>
    <row r="908" spans="2:6" x14ac:dyDescent="0.2">
      <c r="B908" s="206" t="s">
        <v>2625</v>
      </c>
      <c r="C908" s="205">
        <v>365</v>
      </c>
      <c r="D908" s="147">
        <f t="shared" si="54"/>
        <v>0.28328611898016526</v>
      </c>
      <c r="E908" s="148">
        <f t="shared" si="53"/>
        <v>3.8261955393478609E-5</v>
      </c>
      <c r="F908" s="148">
        <f t="shared" si="55"/>
        <v>1.9213896071304377E-2</v>
      </c>
    </row>
    <row r="909" spans="2:6" x14ac:dyDescent="0.2">
      <c r="B909" s="115" t="s">
        <v>1360</v>
      </c>
      <c r="C909" s="114">
        <v>365</v>
      </c>
      <c r="D909" s="147">
        <f t="shared" si="54"/>
        <v>0.28360088133458766</v>
      </c>
      <c r="E909" s="148">
        <f t="shared" si="53"/>
        <v>3.8261955393478609E-5</v>
      </c>
      <c r="F909" s="148">
        <f t="shared" si="55"/>
        <v>1.9252158026697854E-2</v>
      </c>
    </row>
    <row r="910" spans="2:6" x14ac:dyDescent="0.2">
      <c r="B910" s="206" t="s">
        <v>957</v>
      </c>
      <c r="C910" s="205">
        <v>365</v>
      </c>
      <c r="D910" s="147">
        <f t="shared" si="54"/>
        <v>0.28391564368901007</v>
      </c>
      <c r="E910" s="148">
        <f t="shared" si="53"/>
        <v>3.8261955393478609E-5</v>
      </c>
      <c r="F910" s="148">
        <f t="shared" si="55"/>
        <v>1.9290419982091331E-2</v>
      </c>
    </row>
    <row r="911" spans="2:6" x14ac:dyDescent="0.2">
      <c r="B911" s="206" t="s">
        <v>833</v>
      </c>
      <c r="C911" s="205">
        <v>365</v>
      </c>
      <c r="D911" s="147">
        <f t="shared" si="54"/>
        <v>0.28423040604343247</v>
      </c>
      <c r="E911" s="148">
        <f t="shared" si="53"/>
        <v>3.8261955393478609E-5</v>
      </c>
      <c r="F911" s="148">
        <f t="shared" si="55"/>
        <v>1.9328681937484809E-2</v>
      </c>
    </row>
    <row r="912" spans="2:6" x14ac:dyDescent="0.2">
      <c r="B912" s="206" t="s">
        <v>2662</v>
      </c>
      <c r="C912" s="205">
        <v>366</v>
      </c>
      <c r="D912" s="147">
        <f t="shared" si="54"/>
        <v>0.28454516839785488</v>
      </c>
      <c r="E912" s="148">
        <f t="shared" si="53"/>
        <v>3.8366782668529235E-5</v>
      </c>
      <c r="F912" s="148">
        <f t="shared" si="55"/>
        <v>1.9367048720153338E-2</v>
      </c>
    </row>
    <row r="913" spans="2:6" x14ac:dyDescent="0.2">
      <c r="B913" s="115" t="s">
        <v>817</v>
      </c>
      <c r="C913" s="114">
        <v>366</v>
      </c>
      <c r="D913" s="147">
        <f t="shared" si="54"/>
        <v>0.28485993075227728</v>
      </c>
      <c r="E913" s="148">
        <f t="shared" si="53"/>
        <v>3.8366782668529235E-5</v>
      </c>
      <c r="F913" s="148">
        <f t="shared" si="55"/>
        <v>1.9405415502821866E-2</v>
      </c>
    </row>
    <row r="914" spans="2:6" x14ac:dyDescent="0.2">
      <c r="B914" s="115" t="s">
        <v>327</v>
      </c>
      <c r="C914" s="114">
        <v>366</v>
      </c>
      <c r="D914" s="147">
        <f t="shared" si="54"/>
        <v>0.28517469310669968</v>
      </c>
      <c r="E914" s="148">
        <f t="shared" si="53"/>
        <v>3.8366782668529235E-5</v>
      </c>
      <c r="F914" s="148">
        <f t="shared" si="55"/>
        <v>1.9443782285490395E-2</v>
      </c>
    </row>
    <row r="915" spans="2:6" x14ac:dyDescent="0.2">
      <c r="B915" s="206" t="s">
        <v>758</v>
      </c>
      <c r="C915" s="205">
        <v>367</v>
      </c>
      <c r="D915" s="147">
        <f t="shared" si="54"/>
        <v>0.28548945546112209</v>
      </c>
      <c r="E915" s="148">
        <f t="shared" si="53"/>
        <v>3.8471609943579867E-5</v>
      </c>
      <c r="F915" s="148">
        <f t="shared" si="55"/>
        <v>1.9482253895433975E-2</v>
      </c>
    </row>
    <row r="916" spans="2:6" x14ac:dyDescent="0.2">
      <c r="B916" s="206" t="s">
        <v>1835</v>
      </c>
      <c r="C916" s="205">
        <v>368</v>
      </c>
      <c r="D916" s="147">
        <f t="shared" si="54"/>
        <v>0.28580421781554449</v>
      </c>
      <c r="E916" s="148">
        <f t="shared" si="53"/>
        <v>3.8576437218630493E-5</v>
      </c>
      <c r="F916" s="148">
        <f t="shared" si="55"/>
        <v>1.9520830332652606E-2</v>
      </c>
    </row>
    <row r="917" spans="2:6" x14ac:dyDescent="0.2">
      <c r="B917" s="206" t="s">
        <v>78</v>
      </c>
      <c r="C917" s="205">
        <v>368</v>
      </c>
      <c r="D917" s="147">
        <f t="shared" si="54"/>
        <v>0.2861189801699669</v>
      </c>
      <c r="E917" s="148">
        <f t="shared" si="53"/>
        <v>3.8576437218630493E-5</v>
      </c>
      <c r="F917" s="148">
        <f t="shared" si="55"/>
        <v>1.9559406769871238E-2</v>
      </c>
    </row>
    <row r="918" spans="2:6" x14ac:dyDescent="0.2">
      <c r="B918" s="206" t="s">
        <v>2930</v>
      </c>
      <c r="C918" s="205">
        <v>369</v>
      </c>
      <c r="D918" s="147">
        <f t="shared" si="54"/>
        <v>0.2864337425243893</v>
      </c>
      <c r="E918" s="148">
        <f t="shared" si="53"/>
        <v>3.8681264493681119E-5</v>
      </c>
      <c r="F918" s="148">
        <f t="shared" si="55"/>
        <v>1.959808803436492E-2</v>
      </c>
    </row>
    <row r="919" spans="2:6" x14ac:dyDescent="0.2">
      <c r="B919" s="206" t="s">
        <v>3069</v>
      </c>
      <c r="C919" s="205">
        <v>370</v>
      </c>
      <c r="D919" s="147">
        <f t="shared" si="54"/>
        <v>0.28674850487881171</v>
      </c>
      <c r="E919" s="148">
        <f t="shared" si="53"/>
        <v>3.8786091768731744E-5</v>
      </c>
      <c r="F919" s="148">
        <f t="shared" si="55"/>
        <v>1.9636874126133651E-2</v>
      </c>
    </row>
    <row r="920" spans="2:6" x14ac:dyDescent="0.2">
      <c r="B920" s="206" t="s">
        <v>2723</v>
      </c>
      <c r="C920" s="205">
        <v>370</v>
      </c>
      <c r="D920" s="147">
        <f t="shared" si="54"/>
        <v>0.28706326723323411</v>
      </c>
      <c r="E920" s="148">
        <f t="shared" si="53"/>
        <v>3.8786091768731744E-5</v>
      </c>
      <c r="F920" s="148">
        <f t="shared" si="55"/>
        <v>1.9675660217902381E-2</v>
      </c>
    </row>
    <row r="921" spans="2:6" x14ac:dyDescent="0.2">
      <c r="B921" s="115" t="s">
        <v>2020</v>
      </c>
      <c r="C921" s="114">
        <v>370</v>
      </c>
      <c r="D921" s="147">
        <f t="shared" si="54"/>
        <v>0.28737802958765651</v>
      </c>
      <c r="E921" s="148">
        <f t="shared" si="53"/>
        <v>3.8786091768731744E-5</v>
      </c>
      <c r="F921" s="148">
        <f t="shared" si="55"/>
        <v>1.9714446309671112E-2</v>
      </c>
    </row>
    <row r="922" spans="2:6" x14ac:dyDescent="0.2">
      <c r="B922" s="206" t="s">
        <v>1073</v>
      </c>
      <c r="C922" s="205">
        <v>370</v>
      </c>
      <c r="D922" s="147">
        <f t="shared" si="54"/>
        <v>0.28769279194207892</v>
      </c>
      <c r="E922" s="148">
        <f t="shared" si="53"/>
        <v>3.8786091768731744E-5</v>
      </c>
      <c r="F922" s="148">
        <f t="shared" si="55"/>
        <v>1.9753232401439842E-2</v>
      </c>
    </row>
    <row r="923" spans="2:6" x14ac:dyDescent="0.2">
      <c r="B923" s="206" t="s">
        <v>2823</v>
      </c>
      <c r="C923" s="205">
        <v>371</v>
      </c>
      <c r="D923" s="147">
        <f t="shared" si="54"/>
        <v>0.28800755429650132</v>
      </c>
      <c r="E923" s="148">
        <f t="shared" si="53"/>
        <v>3.889091904378237E-5</v>
      </c>
      <c r="F923" s="148">
        <f t="shared" si="55"/>
        <v>1.9792123320483624E-2</v>
      </c>
    </row>
    <row r="924" spans="2:6" x14ac:dyDescent="0.2">
      <c r="B924" s="206" t="s">
        <v>2686</v>
      </c>
      <c r="C924" s="205">
        <v>371</v>
      </c>
      <c r="D924" s="147">
        <f t="shared" si="54"/>
        <v>0.28832231665092373</v>
      </c>
      <c r="E924" s="148">
        <f t="shared" si="53"/>
        <v>3.889091904378237E-5</v>
      </c>
      <c r="F924" s="148">
        <f t="shared" si="55"/>
        <v>1.9831014239527406E-2</v>
      </c>
    </row>
    <row r="925" spans="2:6" x14ac:dyDescent="0.2">
      <c r="B925" s="206" t="s">
        <v>2469</v>
      </c>
      <c r="C925" s="205">
        <v>371</v>
      </c>
      <c r="D925" s="147">
        <f t="shared" si="54"/>
        <v>0.28863707900534613</v>
      </c>
      <c r="E925" s="148">
        <f t="shared" si="53"/>
        <v>3.889091904378237E-5</v>
      </c>
      <c r="F925" s="148">
        <f t="shared" si="55"/>
        <v>1.9869905158571188E-2</v>
      </c>
    </row>
    <row r="926" spans="2:6" x14ac:dyDescent="0.2">
      <c r="B926" s="115" t="s">
        <v>572</v>
      </c>
      <c r="C926" s="114">
        <v>371</v>
      </c>
      <c r="D926" s="147">
        <f t="shared" si="54"/>
        <v>0.28895184135976854</v>
      </c>
      <c r="E926" s="148">
        <f t="shared" si="53"/>
        <v>3.889091904378237E-5</v>
      </c>
      <c r="F926" s="148">
        <f t="shared" si="55"/>
        <v>1.9908796077614969E-2</v>
      </c>
    </row>
    <row r="927" spans="2:6" x14ac:dyDescent="0.2">
      <c r="B927" s="206" t="s">
        <v>160</v>
      </c>
      <c r="C927" s="205">
        <v>371</v>
      </c>
      <c r="D927" s="147">
        <f t="shared" si="54"/>
        <v>0.28926660371419094</v>
      </c>
      <c r="E927" s="148">
        <f t="shared" si="53"/>
        <v>3.889091904378237E-5</v>
      </c>
      <c r="F927" s="148">
        <f t="shared" si="55"/>
        <v>1.9947686996658751E-2</v>
      </c>
    </row>
    <row r="928" spans="2:6" x14ac:dyDescent="0.2">
      <c r="B928" s="206" t="s">
        <v>3080</v>
      </c>
      <c r="C928" s="205">
        <v>372</v>
      </c>
      <c r="D928" s="147">
        <f t="shared" si="54"/>
        <v>0.28958136606861334</v>
      </c>
      <c r="E928" s="148">
        <f t="shared" si="53"/>
        <v>3.8995746318832996E-5</v>
      </c>
      <c r="F928" s="148">
        <f t="shared" si="55"/>
        <v>1.9986682742977584E-2</v>
      </c>
    </row>
    <row r="929" spans="2:6" x14ac:dyDescent="0.2">
      <c r="B929" s="115" t="s">
        <v>1523</v>
      </c>
      <c r="C929" s="114">
        <v>372</v>
      </c>
      <c r="D929" s="147">
        <f t="shared" si="54"/>
        <v>0.28989612842303575</v>
      </c>
      <c r="E929" s="148">
        <f t="shared" si="53"/>
        <v>3.8995746318832996E-5</v>
      </c>
      <c r="F929" s="148">
        <f t="shared" si="55"/>
        <v>2.0025678489296418E-2</v>
      </c>
    </row>
    <row r="930" spans="2:6" x14ac:dyDescent="0.2">
      <c r="B930" s="115" t="s">
        <v>934</v>
      </c>
      <c r="C930" s="114">
        <v>372</v>
      </c>
      <c r="D930" s="147">
        <f t="shared" si="54"/>
        <v>0.29021089077745815</v>
      </c>
      <c r="E930" s="148">
        <f t="shared" si="53"/>
        <v>3.8995746318832996E-5</v>
      </c>
      <c r="F930" s="148">
        <f t="shared" si="55"/>
        <v>2.0064674235615251E-2</v>
      </c>
    </row>
    <row r="931" spans="2:6" x14ac:dyDescent="0.2">
      <c r="B931" s="206" t="s">
        <v>861</v>
      </c>
      <c r="C931" s="205">
        <v>372</v>
      </c>
      <c r="D931" s="147">
        <f t="shared" si="54"/>
        <v>0.29052565313188056</v>
      </c>
      <c r="E931" s="148">
        <f t="shared" si="53"/>
        <v>3.8995746318832996E-5</v>
      </c>
      <c r="F931" s="148">
        <f t="shared" si="55"/>
        <v>2.0103669981934084E-2</v>
      </c>
    </row>
    <row r="932" spans="2:6" x14ac:dyDescent="0.2">
      <c r="B932" s="206" t="s">
        <v>3121</v>
      </c>
      <c r="C932" s="205">
        <v>373</v>
      </c>
      <c r="D932" s="147">
        <f t="shared" si="54"/>
        <v>0.29084041548630296</v>
      </c>
      <c r="E932" s="148">
        <f t="shared" si="53"/>
        <v>3.9100573593883621E-5</v>
      </c>
      <c r="F932" s="148">
        <f t="shared" si="55"/>
        <v>2.0142770555527968E-2</v>
      </c>
    </row>
    <row r="933" spans="2:6" x14ac:dyDescent="0.2">
      <c r="B933" s="206" t="s">
        <v>2896</v>
      </c>
      <c r="C933" s="205">
        <v>373</v>
      </c>
      <c r="D933" s="147">
        <f t="shared" si="54"/>
        <v>0.29115517784072537</v>
      </c>
      <c r="E933" s="148">
        <f t="shared" si="53"/>
        <v>3.9100573593883621E-5</v>
      </c>
      <c r="F933" s="148">
        <f t="shared" si="55"/>
        <v>2.0181871129121853E-2</v>
      </c>
    </row>
    <row r="934" spans="2:6" x14ac:dyDescent="0.2">
      <c r="B934" s="206" t="s">
        <v>2717</v>
      </c>
      <c r="C934" s="205">
        <v>373</v>
      </c>
      <c r="D934" s="147">
        <f t="shared" si="54"/>
        <v>0.29146994019514777</v>
      </c>
      <c r="E934" s="148">
        <f t="shared" si="53"/>
        <v>3.9100573593883621E-5</v>
      </c>
      <c r="F934" s="148">
        <f t="shared" si="55"/>
        <v>2.0220971702715737E-2</v>
      </c>
    </row>
    <row r="935" spans="2:6" x14ac:dyDescent="0.2">
      <c r="B935" s="206" t="s">
        <v>2064</v>
      </c>
      <c r="C935" s="205">
        <v>373</v>
      </c>
      <c r="D935" s="147">
        <f t="shared" si="54"/>
        <v>0.29178470254957017</v>
      </c>
      <c r="E935" s="148">
        <f t="shared" si="53"/>
        <v>3.9100573593883621E-5</v>
      </c>
      <c r="F935" s="148">
        <f t="shared" si="55"/>
        <v>2.0260072276309622E-2</v>
      </c>
    </row>
    <row r="936" spans="2:6" x14ac:dyDescent="0.2">
      <c r="B936" s="115" t="s">
        <v>1372</v>
      </c>
      <c r="C936" s="114">
        <v>373</v>
      </c>
      <c r="D936" s="147">
        <f t="shared" si="54"/>
        <v>0.29209946490399258</v>
      </c>
      <c r="E936" s="148">
        <f t="shared" si="53"/>
        <v>3.9100573593883621E-5</v>
      </c>
      <c r="F936" s="148">
        <f t="shared" si="55"/>
        <v>2.0299172849903506E-2</v>
      </c>
    </row>
    <row r="937" spans="2:6" x14ac:dyDescent="0.2">
      <c r="B937" s="115" t="s">
        <v>3097</v>
      </c>
      <c r="C937" s="114">
        <v>374</v>
      </c>
      <c r="D937" s="147">
        <f t="shared" si="54"/>
        <v>0.29241422725841498</v>
      </c>
      <c r="E937" s="148">
        <f t="shared" si="53"/>
        <v>3.9205400868934247E-5</v>
      </c>
      <c r="F937" s="148">
        <f t="shared" si="55"/>
        <v>2.0338378250772442E-2</v>
      </c>
    </row>
    <row r="938" spans="2:6" x14ac:dyDescent="0.2">
      <c r="B938" s="206" t="s">
        <v>3027</v>
      </c>
      <c r="C938" s="205">
        <v>374</v>
      </c>
      <c r="D938" s="147">
        <f t="shared" si="54"/>
        <v>0.29272898961283739</v>
      </c>
      <c r="E938" s="148">
        <f t="shared" si="53"/>
        <v>3.9205400868934247E-5</v>
      </c>
      <c r="F938" s="148">
        <f t="shared" si="55"/>
        <v>2.0377583651641377E-2</v>
      </c>
    </row>
    <row r="939" spans="2:6" x14ac:dyDescent="0.2">
      <c r="B939" s="206" t="s">
        <v>1498</v>
      </c>
      <c r="C939" s="205">
        <v>375</v>
      </c>
      <c r="D939" s="147">
        <f t="shared" si="54"/>
        <v>0.29304375196725979</v>
      </c>
      <c r="E939" s="148">
        <f t="shared" si="53"/>
        <v>3.9310228143984873E-5</v>
      </c>
      <c r="F939" s="148">
        <f t="shared" si="55"/>
        <v>2.0416893879785361E-2</v>
      </c>
    </row>
    <row r="940" spans="2:6" x14ac:dyDescent="0.2">
      <c r="B940" s="206" t="s">
        <v>84</v>
      </c>
      <c r="C940" s="205">
        <v>375</v>
      </c>
      <c r="D940" s="147">
        <f t="shared" si="54"/>
        <v>0.2933585143216822</v>
      </c>
      <c r="E940" s="148">
        <f t="shared" si="53"/>
        <v>3.9310228143984873E-5</v>
      </c>
      <c r="F940" s="148">
        <f t="shared" si="55"/>
        <v>2.0456204107929345E-2</v>
      </c>
    </row>
    <row r="941" spans="2:6" x14ac:dyDescent="0.2">
      <c r="B941" s="115" t="s">
        <v>969</v>
      </c>
      <c r="C941" s="114">
        <v>377</v>
      </c>
      <c r="D941" s="147">
        <f t="shared" si="54"/>
        <v>0.2936732766761046</v>
      </c>
      <c r="E941" s="148">
        <f t="shared" si="53"/>
        <v>3.9519882694086131E-5</v>
      </c>
      <c r="F941" s="148">
        <f t="shared" si="55"/>
        <v>2.0495723990623431E-2</v>
      </c>
    </row>
    <row r="942" spans="2:6" x14ac:dyDescent="0.2">
      <c r="B942" s="115" t="s">
        <v>2626</v>
      </c>
      <c r="C942" s="114">
        <v>378</v>
      </c>
      <c r="D942" s="147">
        <f t="shared" si="54"/>
        <v>0.293988039030527</v>
      </c>
      <c r="E942" s="148">
        <f t="shared" si="53"/>
        <v>3.9624709969136756E-5</v>
      </c>
      <c r="F942" s="148">
        <f t="shared" si="55"/>
        <v>2.0535348700592568E-2</v>
      </c>
    </row>
    <row r="943" spans="2:6" x14ac:dyDescent="0.2">
      <c r="B943" s="115" t="s">
        <v>761</v>
      </c>
      <c r="C943" s="114">
        <v>378</v>
      </c>
      <c r="D943" s="147">
        <f t="shared" si="54"/>
        <v>0.29430280138494941</v>
      </c>
      <c r="E943" s="148">
        <f t="shared" si="53"/>
        <v>3.9624709969136756E-5</v>
      </c>
      <c r="F943" s="148">
        <f t="shared" si="55"/>
        <v>2.0574973410561706E-2</v>
      </c>
    </row>
    <row r="944" spans="2:6" x14ac:dyDescent="0.2">
      <c r="B944" s="206" t="s">
        <v>418</v>
      </c>
      <c r="C944" s="205">
        <v>378</v>
      </c>
      <c r="D944" s="147">
        <f t="shared" si="54"/>
        <v>0.29461756373937181</v>
      </c>
      <c r="E944" s="148">
        <f t="shared" si="53"/>
        <v>3.9624709969136756E-5</v>
      </c>
      <c r="F944" s="148">
        <f t="shared" si="55"/>
        <v>2.0614598120530844E-2</v>
      </c>
    </row>
    <row r="945" spans="2:6" x14ac:dyDescent="0.2">
      <c r="B945" s="206" t="s">
        <v>2819</v>
      </c>
      <c r="C945" s="205">
        <v>379</v>
      </c>
      <c r="D945" s="147">
        <f t="shared" si="54"/>
        <v>0.29493232609379422</v>
      </c>
      <c r="E945" s="148">
        <f t="shared" si="53"/>
        <v>3.9729537244187382E-5</v>
      </c>
      <c r="F945" s="148">
        <f t="shared" si="55"/>
        <v>2.0654327657775032E-2</v>
      </c>
    </row>
    <row r="946" spans="2:6" x14ac:dyDescent="0.2">
      <c r="B946" s="206" t="s">
        <v>2810</v>
      </c>
      <c r="C946" s="205">
        <v>379</v>
      </c>
      <c r="D946" s="147">
        <f t="shared" si="54"/>
        <v>0.29524708844821662</v>
      </c>
      <c r="E946" s="148">
        <f t="shared" si="53"/>
        <v>3.9729537244187382E-5</v>
      </c>
      <c r="F946" s="148">
        <f t="shared" si="55"/>
        <v>2.0694057195019221E-2</v>
      </c>
    </row>
    <row r="947" spans="2:6" x14ac:dyDescent="0.2">
      <c r="B947" s="206" t="s">
        <v>1053</v>
      </c>
      <c r="C947" s="205">
        <v>379</v>
      </c>
      <c r="D947" s="147">
        <f t="shared" si="54"/>
        <v>0.29556185080263903</v>
      </c>
      <c r="E947" s="148">
        <f t="shared" si="53"/>
        <v>3.9729537244187382E-5</v>
      </c>
      <c r="F947" s="148">
        <f t="shared" si="55"/>
        <v>2.073378673226341E-2</v>
      </c>
    </row>
    <row r="948" spans="2:6" x14ac:dyDescent="0.2">
      <c r="B948" s="206" t="s">
        <v>939</v>
      </c>
      <c r="C948" s="205">
        <v>379</v>
      </c>
      <c r="D948" s="147">
        <f t="shared" si="54"/>
        <v>0.29587661315706143</v>
      </c>
      <c r="E948" s="148">
        <f t="shared" si="53"/>
        <v>3.9729537244187382E-5</v>
      </c>
      <c r="F948" s="148">
        <f t="shared" si="55"/>
        <v>2.0773516269507599E-2</v>
      </c>
    </row>
    <row r="949" spans="2:6" x14ac:dyDescent="0.2">
      <c r="B949" s="206" t="s">
        <v>2814</v>
      </c>
      <c r="C949" s="205">
        <v>380</v>
      </c>
      <c r="D949" s="147">
        <f t="shared" si="54"/>
        <v>0.29619137551148383</v>
      </c>
      <c r="E949" s="148">
        <f t="shared" si="53"/>
        <v>3.9834364519238008E-5</v>
      </c>
      <c r="F949" s="148">
        <f t="shared" si="55"/>
        <v>2.0813350634026836E-2</v>
      </c>
    </row>
    <row r="950" spans="2:6" x14ac:dyDescent="0.2">
      <c r="B950" s="115" t="s">
        <v>2357</v>
      </c>
      <c r="C950" s="114">
        <v>380</v>
      </c>
      <c r="D950" s="147">
        <f t="shared" si="54"/>
        <v>0.29650613786590624</v>
      </c>
      <c r="E950" s="148">
        <f t="shared" si="53"/>
        <v>3.9834364519238008E-5</v>
      </c>
      <c r="F950" s="148">
        <f t="shared" si="55"/>
        <v>2.0853184998546073E-2</v>
      </c>
    </row>
    <row r="951" spans="2:6" x14ac:dyDescent="0.2">
      <c r="B951" s="206" t="s">
        <v>1396</v>
      </c>
      <c r="C951" s="205">
        <v>381</v>
      </c>
      <c r="D951" s="147">
        <f t="shared" si="54"/>
        <v>0.29682090022032864</v>
      </c>
      <c r="E951" s="148">
        <f t="shared" si="53"/>
        <v>3.9939191794288633E-5</v>
      </c>
      <c r="F951" s="148">
        <f t="shared" si="55"/>
        <v>2.0893124190340361E-2</v>
      </c>
    </row>
    <row r="952" spans="2:6" x14ac:dyDescent="0.2">
      <c r="B952" s="115" t="s">
        <v>1296</v>
      </c>
      <c r="C952" s="114">
        <v>382</v>
      </c>
      <c r="D952" s="147">
        <f t="shared" si="54"/>
        <v>0.29713566257475105</v>
      </c>
      <c r="E952" s="148">
        <f t="shared" si="53"/>
        <v>4.0044019069339259E-5</v>
      </c>
      <c r="F952" s="148">
        <f t="shared" si="55"/>
        <v>2.09331682094097E-2</v>
      </c>
    </row>
    <row r="953" spans="2:6" x14ac:dyDescent="0.2">
      <c r="B953" s="115" t="s">
        <v>2926</v>
      </c>
      <c r="C953" s="114">
        <v>383</v>
      </c>
      <c r="D953" s="147">
        <f t="shared" si="54"/>
        <v>0.29745042492917345</v>
      </c>
      <c r="E953" s="148">
        <f t="shared" si="53"/>
        <v>4.0148846344389885E-5</v>
      </c>
      <c r="F953" s="148">
        <f t="shared" si="55"/>
        <v>2.0973317055754091E-2</v>
      </c>
    </row>
    <row r="954" spans="2:6" x14ac:dyDescent="0.2">
      <c r="B954" s="115" t="s">
        <v>2362</v>
      </c>
      <c r="C954" s="114">
        <v>383</v>
      </c>
      <c r="D954" s="147">
        <f t="shared" si="54"/>
        <v>0.29776518728359586</v>
      </c>
      <c r="E954" s="148">
        <f t="shared" si="53"/>
        <v>4.0148846344389885E-5</v>
      </c>
      <c r="F954" s="148">
        <f t="shared" si="55"/>
        <v>2.1013465902098481E-2</v>
      </c>
    </row>
    <row r="955" spans="2:6" x14ac:dyDescent="0.2">
      <c r="B955" s="206" t="s">
        <v>2171</v>
      </c>
      <c r="C955" s="205">
        <v>383</v>
      </c>
      <c r="D955" s="147">
        <f t="shared" si="54"/>
        <v>0.29807994963801826</v>
      </c>
      <c r="E955" s="148">
        <f t="shared" si="53"/>
        <v>4.0148846344389885E-5</v>
      </c>
      <c r="F955" s="148">
        <f t="shared" si="55"/>
        <v>2.1053614748442872E-2</v>
      </c>
    </row>
    <row r="956" spans="2:6" x14ac:dyDescent="0.2">
      <c r="B956" s="206" t="s">
        <v>2918</v>
      </c>
      <c r="C956" s="205">
        <v>384</v>
      </c>
      <c r="D956" s="147">
        <f t="shared" si="54"/>
        <v>0.29839471199244066</v>
      </c>
      <c r="E956" s="148">
        <f t="shared" si="53"/>
        <v>4.025367361944051E-5</v>
      </c>
      <c r="F956" s="148">
        <f t="shared" si="55"/>
        <v>2.1093868422062314E-2</v>
      </c>
    </row>
    <row r="957" spans="2:6" x14ac:dyDescent="0.2">
      <c r="B957" s="115" t="s">
        <v>643</v>
      </c>
      <c r="C957" s="114">
        <v>385</v>
      </c>
      <c r="D957" s="147">
        <f t="shared" si="54"/>
        <v>0.29870947434686307</v>
      </c>
      <c r="E957" s="148">
        <f t="shared" si="53"/>
        <v>4.0358500894491136E-5</v>
      </c>
      <c r="F957" s="148">
        <f t="shared" si="55"/>
        <v>2.1134226922956804E-2</v>
      </c>
    </row>
    <row r="958" spans="2:6" x14ac:dyDescent="0.2">
      <c r="B958" s="115" t="s">
        <v>2816</v>
      </c>
      <c r="C958" s="114">
        <v>388</v>
      </c>
      <c r="D958" s="147">
        <f t="shared" si="54"/>
        <v>0.29902423670128547</v>
      </c>
      <c r="E958" s="148">
        <f t="shared" si="53"/>
        <v>4.067298271964302E-5</v>
      </c>
      <c r="F958" s="148">
        <f t="shared" si="55"/>
        <v>2.1174899905676448E-2</v>
      </c>
    </row>
    <row r="959" spans="2:6" x14ac:dyDescent="0.2">
      <c r="B959" s="115" t="s">
        <v>2663</v>
      </c>
      <c r="C959" s="114">
        <v>388</v>
      </c>
      <c r="D959" s="147">
        <f t="shared" si="54"/>
        <v>0.29933899905570788</v>
      </c>
      <c r="E959" s="148">
        <f t="shared" si="53"/>
        <v>4.067298271964302E-5</v>
      </c>
      <c r="F959" s="148">
        <f t="shared" si="55"/>
        <v>2.1215572888396091E-2</v>
      </c>
    </row>
    <row r="960" spans="2:6" x14ac:dyDescent="0.2">
      <c r="B960" s="115" t="s">
        <v>2598</v>
      </c>
      <c r="C960" s="114">
        <v>388</v>
      </c>
      <c r="D960" s="147">
        <f t="shared" si="54"/>
        <v>0.29965376141013028</v>
      </c>
      <c r="E960" s="148">
        <f t="shared" si="53"/>
        <v>4.067298271964302E-5</v>
      </c>
      <c r="F960" s="148">
        <f t="shared" si="55"/>
        <v>2.1256245871115735E-2</v>
      </c>
    </row>
    <row r="961" spans="2:6" x14ac:dyDescent="0.2">
      <c r="B961" s="115" t="s">
        <v>2488</v>
      </c>
      <c r="C961" s="114">
        <v>388</v>
      </c>
      <c r="D961" s="147">
        <f t="shared" si="54"/>
        <v>0.29996852376455269</v>
      </c>
      <c r="E961" s="148">
        <f t="shared" si="53"/>
        <v>4.067298271964302E-5</v>
      </c>
      <c r="F961" s="148">
        <f t="shared" si="55"/>
        <v>2.1296918853835379E-2</v>
      </c>
    </row>
    <row r="962" spans="2:6" x14ac:dyDescent="0.2">
      <c r="B962" s="206" t="s">
        <v>1844</v>
      </c>
      <c r="C962" s="205">
        <v>390</v>
      </c>
      <c r="D962" s="147">
        <f t="shared" si="54"/>
        <v>0.30028328611897509</v>
      </c>
      <c r="E962" s="148">
        <f t="shared" si="53"/>
        <v>4.0882637269744271E-5</v>
      </c>
      <c r="F962" s="148">
        <f t="shared" si="55"/>
        <v>2.1337801491105122E-2</v>
      </c>
    </row>
    <row r="963" spans="2:6" x14ac:dyDescent="0.2">
      <c r="B963" s="206" t="s">
        <v>2860</v>
      </c>
      <c r="C963" s="205">
        <v>392</v>
      </c>
      <c r="D963" s="147">
        <f t="shared" si="54"/>
        <v>0.30059804847339749</v>
      </c>
      <c r="E963" s="148">
        <f t="shared" si="53"/>
        <v>4.1092291819845522E-5</v>
      </c>
      <c r="F963" s="148">
        <f t="shared" si="55"/>
        <v>2.1378893782924967E-2</v>
      </c>
    </row>
    <row r="964" spans="2:6" x14ac:dyDescent="0.2">
      <c r="B964" s="206" t="s">
        <v>2294</v>
      </c>
      <c r="C964" s="205">
        <v>392</v>
      </c>
      <c r="D964" s="147">
        <f t="shared" si="54"/>
        <v>0.3009128108278199</v>
      </c>
      <c r="E964" s="148">
        <f t="shared" si="53"/>
        <v>4.1092291819845522E-5</v>
      </c>
      <c r="F964" s="148">
        <f t="shared" si="55"/>
        <v>2.1419986074744813E-2</v>
      </c>
    </row>
    <row r="965" spans="2:6" x14ac:dyDescent="0.2">
      <c r="B965" s="115" t="s">
        <v>150</v>
      </c>
      <c r="C965" s="114">
        <v>392</v>
      </c>
      <c r="D965" s="147">
        <f t="shared" si="54"/>
        <v>0.3012275731822423</v>
      </c>
      <c r="E965" s="148">
        <f t="shared" si="53"/>
        <v>4.1092291819845522E-5</v>
      </c>
      <c r="F965" s="148">
        <f t="shared" si="55"/>
        <v>2.1461078366564659E-2</v>
      </c>
    </row>
    <row r="966" spans="2:6" x14ac:dyDescent="0.2">
      <c r="B966" s="115" t="s">
        <v>3017</v>
      </c>
      <c r="C966" s="114">
        <v>393</v>
      </c>
      <c r="D966" s="147">
        <f t="shared" si="54"/>
        <v>0.30154233553666471</v>
      </c>
      <c r="E966" s="148">
        <f t="shared" si="53"/>
        <v>4.1197119094896148E-5</v>
      </c>
      <c r="F966" s="148">
        <f t="shared" si="55"/>
        <v>2.1502275485659555E-2</v>
      </c>
    </row>
    <row r="967" spans="2:6" x14ac:dyDescent="0.2">
      <c r="B967" s="206" t="s">
        <v>1568</v>
      </c>
      <c r="C967" s="205">
        <v>393</v>
      </c>
      <c r="D967" s="147">
        <f t="shared" si="54"/>
        <v>0.30185709789108711</v>
      </c>
      <c r="E967" s="148">
        <f t="shared" si="53"/>
        <v>4.1197119094896148E-5</v>
      </c>
      <c r="F967" s="148">
        <f t="shared" si="55"/>
        <v>2.1543472604754452E-2</v>
      </c>
    </row>
    <row r="968" spans="2:6" x14ac:dyDescent="0.2">
      <c r="B968" s="115" t="s">
        <v>611</v>
      </c>
      <c r="C968" s="114">
        <v>393</v>
      </c>
      <c r="D968" s="147">
        <f t="shared" si="54"/>
        <v>0.30217186024550952</v>
      </c>
      <c r="E968" s="148">
        <f t="shared" si="53"/>
        <v>4.1197119094896148E-5</v>
      </c>
      <c r="F968" s="148">
        <f t="shared" si="55"/>
        <v>2.1584669723849349E-2</v>
      </c>
    </row>
    <row r="969" spans="2:6" x14ac:dyDescent="0.2">
      <c r="B969" s="206" t="s">
        <v>97</v>
      </c>
      <c r="C969" s="205">
        <v>393</v>
      </c>
      <c r="D969" s="147">
        <f t="shared" si="54"/>
        <v>0.30248662259993192</v>
      </c>
      <c r="E969" s="148">
        <f t="shared" ref="E969:E1032" si="56">C969/$O$18</f>
        <v>4.1197119094896148E-5</v>
      </c>
      <c r="F969" s="148">
        <f t="shared" si="55"/>
        <v>2.1625866842944246E-2</v>
      </c>
    </row>
    <row r="970" spans="2:6" x14ac:dyDescent="0.2">
      <c r="B970" s="115" t="s">
        <v>2317</v>
      </c>
      <c r="C970" s="114">
        <v>394</v>
      </c>
      <c r="D970" s="147">
        <f t="shared" ref="D970:D1033" si="57">D969+1/$L$18</f>
        <v>0.30280138495435432</v>
      </c>
      <c r="E970" s="148">
        <f t="shared" si="56"/>
        <v>4.1301946369946774E-5</v>
      </c>
      <c r="F970" s="148">
        <f t="shared" ref="F970:F1033" si="58">F969+E970</f>
        <v>2.1667168789314194E-2</v>
      </c>
    </row>
    <row r="971" spans="2:6" x14ac:dyDescent="0.2">
      <c r="B971" s="206" t="s">
        <v>1913</v>
      </c>
      <c r="C971" s="205">
        <v>394</v>
      </c>
      <c r="D971" s="147">
        <f t="shared" si="57"/>
        <v>0.30311614730877673</v>
      </c>
      <c r="E971" s="148">
        <f t="shared" si="56"/>
        <v>4.1301946369946774E-5</v>
      </c>
      <c r="F971" s="148">
        <f t="shared" si="58"/>
        <v>2.1708470735684143E-2</v>
      </c>
    </row>
    <row r="972" spans="2:6" x14ac:dyDescent="0.2">
      <c r="B972" s="115" t="s">
        <v>2674</v>
      </c>
      <c r="C972" s="114">
        <v>395</v>
      </c>
      <c r="D972" s="147">
        <f t="shared" si="57"/>
        <v>0.30343090966319913</v>
      </c>
      <c r="E972" s="148">
        <f t="shared" si="56"/>
        <v>4.1406773644997399E-5</v>
      </c>
      <c r="F972" s="148">
        <f t="shared" si="58"/>
        <v>2.1749877509329139E-2</v>
      </c>
    </row>
    <row r="973" spans="2:6" x14ac:dyDescent="0.2">
      <c r="B973" s="115" t="s">
        <v>1410</v>
      </c>
      <c r="C973" s="114">
        <v>395</v>
      </c>
      <c r="D973" s="147">
        <f t="shared" si="57"/>
        <v>0.30374567201762154</v>
      </c>
      <c r="E973" s="148">
        <f t="shared" si="56"/>
        <v>4.1406773644997399E-5</v>
      </c>
      <c r="F973" s="148">
        <f t="shared" si="58"/>
        <v>2.1791284282974135E-2</v>
      </c>
    </row>
    <row r="974" spans="2:6" x14ac:dyDescent="0.2">
      <c r="B974" s="206" t="s">
        <v>194</v>
      </c>
      <c r="C974" s="205">
        <v>395</v>
      </c>
      <c r="D974" s="147">
        <f t="shared" si="57"/>
        <v>0.30406043437204394</v>
      </c>
      <c r="E974" s="148">
        <f t="shared" si="56"/>
        <v>4.1406773644997399E-5</v>
      </c>
      <c r="F974" s="148">
        <f t="shared" si="58"/>
        <v>2.1832691056619131E-2</v>
      </c>
    </row>
    <row r="975" spans="2:6" x14ac:dyDescent="0.2">
      <c r="B975" s="115" t="s">
        <v>690</v>
      </c>
      <c r="C975" s="114">
        <v>396</v>
      </c>
      <c r="D975" s="147">
        <f t="shared" si="57"/>
        <v>0.30437519672646635</v>
      </c>
      <c r="E975" s="148">
        <f t="shared" si="56"/>
        <v>4.1511600920048025E-5</v>
      </c>
      <c r="F975" s="148">
        <f t="shared" si="58"/>
        <v>2.1874202657539178E-2</v>
      </c>
    </row>
    <row r="976" spans="2:6" x14ac:dyDescent="0.2">
      <c r="B976" s="206" t="s">
        <v>626</v>
      </c>
      <c r="C976" s="205">
        <v>396</v>
      </c>
      <c r="D976" s="147">
        <f t="shared" si="57"/>
        <v>0.30468995908088875</v>
      </c>
      <c r="E976" s="148">
        <f t="shared" si="56"/>
        <v>4.1511600920048025E-5</v>
      </c>
      <c r="F976" s="148">
        <f t="shared" si="58"/>
        <v>2.1915714258459226E-2</v>
      </c>
    </row>
    <row r="977" spans="2:6" x14ac:dyDescent="0.2">
      <c r="B977" s="206" t="s">
        <v>2067</v>
      </c>
      <c r="C977" s="205">
        <v>397</v>
      </c>
      <c r="D977" s="147">
        <f t="shared" si="57"/>
        <v>0.30500472143531115</v>
      </c>
      <c r="E977" s="148">
        <f t="shared" si="56"/>
        <v>4.1616428195098651E-5</v>
      </c>
      <c r="F977" s="148">
        <f t="shared" si="58"/>
        <v>2.1957330686654324E-2</v>
      </c>
    </row>
    <row r="978" spans="2:6" x14ac:dyDescent="0.2">
      <c r="B978" s="206" t="s">
        <v>1402</v>
      </c>
      <c r="C978" s="205">
        <v>397</v>
      </c>
      <c r="D978" s="147">
        <f t="shared" si="57"/>
        <v>0.30531948378973356</v>
      </c>
      <c r="E978" s="148">
        <f t="shared" si="56"/>
        <v>4.1616428195098651E-5</v>
      </c>
      <c r="F978" s="148">
        <f t="shared" si="58"/>
        <v>2.1998947114849423E-2</v>
      </c>
    </row>
    <row r="979" spans="2:6" x14ac:dyDescent="0.2">
      <c r="B979" s="115" t="s">
        <v>373</v>
      </c>
      <c r="C979" s="114">
        <v>397</v>
      </c>
      <c r="D979" s="147">
        <f t="shared" si="57"/>
        <v>0.30563424614415596</v>
      </c>
      <c r="E979" s="148">
        <f t="shared" si="56"/>
        <v>4.1616428195098651E-5</v>
      </c>
      <c r="F979" s="148">
        <f t="shared" si="58"/>
        <v>2.2040563543044522E-2</v>
      </c>
    </row>
    <row r="980" spans="2:6" x14ac:dyDescent="0.2">
      <c r="B980" s="206" t="s">
        <v>2981</v>
      </c>
      <c r="C980" s="205">
        <v>398</v>
      </c>
      <c r="D980" s="147">
        <f t="shared" si="57"/>
        <v>0.30594900849857837</v>
      </c>
      <c r="E980" s="148">
        <f t="shared" si="56"/>
        <v>4.1721255470149283E-5</v>
      </c>
      <c r="F980" s="148">
        <f t="shared" si="58"/>
        <v>2.2082284798514672E-2</v>
      </c>
    </row>
    <row r="981" spans="2:6" x14ac:dyDescent="0.2">
      <c r="B981" s="115" t="s">
        <v>2065</v>
      </c>
      <c r="C981" s="114">
        <v>398</v>
      </c>
      <c r="D981" s="147">
        <f t="shared" si="57"/>
        <v>0.30626377085300077</v>
      </c>
      <c r="E981" s="148">
        <f t="shared" si="56"/>
        <v>4.1721255470149283E-5</v>
      </c>
      <c r="F981" s="148">
        <f t="shared" si="58"/>
        <v>2.2124006053984822E-2</v>
      </c>
    </row>
    <row r="982" spans="2:6" x14ac:dyDescent="0.2">
      <c r="B982" s="115" t="s">
        <v>727</v>
      </c>
      <c r="C982" s="114">
        <v>399</v>
      </c>
      <c r="D982" s="147">
        <f t="shared" si="57"/>
        <v>0.30657853320742318</v>
      </c>
      <c r="E982" s="148">
        <f t="shared" si="56"/>
        <v>4.1826082745199909E-5</v>
      </c>
      <c r="F982" s="148">
        <f t="shared" si="58"/>
        <v>2.2165832136730023E-2</v>
      </c>
    </row>
    <row r="983" spans="2:6" x14ac:dyDescent="0.2">
      <c r="B983" s="115" t="s">
        <v>2432</v>
      </c>
      <c r="C983" s="114">
        <v>400</v>
      </c>
      <c r="D983" s="147">
        <f t="shared" si="57"/>
        <v>0.30689329556184558</v>
      </c>
      <c r="E983" s="148">
        <f t="shared" si="56"/>
        <v>4.1930910020250534E-5</v>
      </c>
      <c r="F983" s="148">
        <f t="shared" si="58"/>
        <v>2.2207763046750272E-2</v>
      </c>
    </row>
    <row r="984" spans="2:6" x14ac:dyDescent="0.2">
      <c r="B984" s="115" t="s">
        <v>2898</v>
      </c>
      <c r="C984" s="114">
        <v>401</v>
      </c>
      <c r="D984" s="147">
        <f t="shared" si="57"/>
        <v>0.30720805791626798</v>
      </c>
      <c r="E984" s="148">
        <f t="shared" si="56"/>
        <v>4.203573729530116E-5</v>
      </c>
      <c r="F984" s="148">
        <f t="shared" si="58"/>
        <v>2.2249798784045573E-2</v>
      </c>
    </row>
    <row r="985" spans="2:6" x14ac:dyDescent="0.2">
      <c r="B985" s="115" t="s">
        <v>2726</v>
      </c>
      <c r="C985" s="114">
        <v>402</v>
      </c>
      <c r="D985" s="147">
        <f t="shared" si="57"/>
        <v>0.30752282027069039</v>
      </c>
      <c r="E985" s="148">
        <f t="shared" si="56"/>
        <v>4.2140564570351786E-5</v>
      </c>
      <c r="F985" s="148">
        <f t="shared" si="58"/>
        <v>2.2291939348615925E-2</v>
      </c>
    </row>
    <row r="986" spans="2:6" x14ac:dyDescent="0.2">
      <c r="B986" s="206" t="s">
        <v>2653</v>
      </c>
      <c r="C986" s="205">
        <v>402</v>
      </c>
      <c r="D986" s="147">
        <f t="shared" si="57"/>
        <v>0.30783758262511279</v>
      </c>
      <c r="E986" s="148">
        <f t="shared" si="56"/>
        <v>4.2140564570351786E-5</v>
      </c>
      <c r="F986" s="148">
        <f t="shared" si="58"/>
        <v>2.2334079913186276E-2</v>
      </c>
    </row>
    <row r="987" spans="2:6" x14ac:dyDescent="0.2">
      <c r="B987" s="115" t="s">
        <v>591</v>
      </c>
      <c r="C987" s="114">
        <v>402</v>
      </c>
      <c r="D987" s="147">
        <f t="shared" si="57"/>
        <v>0.3081523449795352</v>
      </c>
      <c r="E987" s="148">
        <f t="shared" si="56"/>
        <v>4.2140564570351786E-5</v>
      </c>
      <c r="F987" s="148">
        <f t="shared" si="58"/>
        <v>2.2376220477756628E-2</v>
      </c>
    </row>
    <row r="988" spans="2:6" x14ac:dyDescent="0.2">
      <c r="B988" s="115" t="s">
        <v>822</v>
      </c>
      <c r="C988" s="114">
        <v>403</v>
      </c>
      <c r="D988" s="147">
        <f t="shared" si="57"/>
        <v>0.3084671073339576</v>
      </c>
      <c r="E988" s="148">
        <f t="shared" si="56"/>
        <v>4.2245391845402411E-5</v>
      </c>
      <c r="F988" s="148">
        <f t="shared" si="58"/>
        <v>2.2418465869602031E-2</v>
      </c>
    </row>
    <row r="989" spans="2:6" x14ac:dyDescent="0.2">
      <c r="B989" s="206" t="s">
        <v>56</v>
      </c>
      <c r="C989" s="205">
        <v>403</v>
      </c>
      <c r="D989" s="147">
        <f t="shared" si="57"/>
        <v>0.30878186968838001</v>
      </c>
      <c r="E989" s="148">
        <f t="shared" si="56"/>
        <v>4.2245391845402411E-5</v>
      </c>
      <c r="F989" s="148">
        <f t="shared" si="58"/>
        <v>2.2460711261447434E-2</v>
      </c>
    </row>
    <row r="990" spans="2:6" x14ac:dyDescent="0.2">
      <c r="B990" s="206" t="s">
        <v>2321</v>
      </c>
      <c r="C990" s="205">
        <v>404</v>
      </c>
      <c r="D990" s="147">
        <f t="shared" si="57"/>
        <v>0.30909663204280241</v>
      </c>
      <c r="E990" s="148">
        <f t="shared" si="56"/>
        <v>4.2350219120453037E-5</v>
      </c>
      <c r="F990" s="148">
        <f t="shared" si="58"/>
        <v>2.2503061480567889E-2</v>
      </c>
    </row>
    <row r="991" spans="2:6" x14ac:dyDescent="0.2">
      <c r="B991" s="115" t="s">
        <v>1706</v>
      </c>
      <c r="C991" s="114">
        <v>404</v>
      </c>
      <c r="D991" s="147">
        <f t="shared" si="57"/>
        <v>0.30941139439722481</v>
      </c>
      <c r="E991" s="148">
        <f t="shared" si="56"/>
        <v>4.2350219120453037E-5</v>
      </c>
      <c r="F991" s="148">
        <f t="shared" si="58"/>
        <v>2.2545411699688343E-2</v>
      </c>
    </row>
    <row r="992" spans="2:6" x14ac:dyDescent="0.2">
      <c r="B992" s="206" t="s">
        <v>1984</v>
      </c>
      <c r="C992" s="205">
        <v>405</v>
      </c>
      <c r="D992" s="147">
        <f t="shared" si="57"/>
        <v>0.30972615675164722</v>
      </c>
      <c r="E992" s="148">
        <f t="shared" si="56"/>
        <v>4.2455046395503663E-5</v>
      </c>
      <c r="F992" s="148">
        <f t="shared" si="58"/>
        <v>2.2587866746083846E-2</v>
      </c>
    </row>
    <row r="993" spans="2:6" x14ac:dyDescent="0.2">
      <c r="B993" s="115" t="s">
        <v>1559</v>
      </c>
      <c r="C993" s="114">
        <v>405</v>
      </c>
      <c r="D993" s="147">
        <f t="shared" si="57"/>
        <v>0.31004091910606962</v>
      </c>
      <c r="E993" s="148">
        <f t="shared" si="56"/>
        <v>4.2455046395503663E-5</v>
      </c>
      <c r="F993" s="148">
        <f t="shared" si="58"/>
        <v>2.2630321792479348E-2</v>
      </c>
    </row>
    <row r="994" spans="2:6" x14ac:dyDescent="0.2">
      <c r="B994" s="206" t="s">
        <v>1672</v>
      </c>
      <c r="C994" s="205">
        <v>406</v>
      </c>
      <c r="D994" s="147">
        <f t="shared" si="57"/>
        <v>0.31035568146049203</v>
      </c>
      <c r="E994" s="148">
        <f t="shared" si="56"/>
        <v>4.2559873670554288E-5</v>
      </c>
      <c r="F994" s="148">
        <f t="shared" si="58"/>
        <v>2.2672881666149901E-2</v>
      </c>
    </row>
    <row r="995" spans="2:6" x14ac:dyDescent="0.2">
      <c r="B995" s="206" t="s">
        <v>2586</v>
      </c>
      <c r="C995" s="205">
        <v>407</v>
      </c>
      <c r="D995" s="147">
        <f t="shared" si="57"/>
        <v>0.31067044381491443</v>
      </c>
      <c r="E995" s="148">
        <f t="shared" si="56"/>
        <v>4.2664700945604914E-5</v>
      </c>
      <c r="F995" s="148">
        <f t="shared" si="58"/>
        <v>2.2715546367095506E-2</v>
      </c>
    </row>
    <row r="996" spans="2:6" x14ac:dyDescent="0.2">
      <c r="B996" s="115" t="s">
        <v>1084</v>
      </c>
      <c r="C996" s="114">
        <v>407</v>
      </c>
      <c r="D996" s="147">
        <f t="shared" si="57"/>
        <v>0.31098520616933684</v>
      </c>
      <c r="E996" s="148">
        <f t="shared" si="56"/>
        <v>4.2664700945604914E-5</v>
      </c>
      <c r="F996" s="148">
        <f t="shared" si="58"/>
        <v>2.2758211068041111E-2</v>
      </c>
    </row>
    <row r="997" spans="2:6" x14ac:dyDescent="0.2">
      <c r="B997" s="206" t="s">
        <v>2947</v>
      </c>
      <c r="C997" s="205">
        <v>408</v>
      </c>
      <c r="D997" s="147">
        <f t="shared" si="57"/>
        <v>0.31129996852375924</v>
      </c>
      <c r="E997" s="148">
        <f t="shared" si="56"/>
        <v>4.2769528220655546E-5</v>
      </c>
      <c r="F997" s="148">
        <f t="shared" si="58"/>
        <v>2.2800980596261768E-2</v>
      </c>
    </row>
    <row r="998" spans="2:6" x14ac:dyDescent="0.2">
      <c r="B998" s="115" t="s">
        <v>2700</v>
      </c>
      <c r="C998" s="114">
        <v>408</v>
      </c>
      <c r="D998" s="147">
        <f t="shared" si="57"/>
        <v>0.31161473087818164</v>
      </c>
      <c r="E998" s="148">
        <f t="shared" si="56"/>
        <v>4.2769528220655546E-5</v>
      </c>
      <c r="F998" s="148">
        <f t="shared" si="58"/>
        <v>2.2843750124482424E-2</v>
      </c>
    </row>
    <row r="999" spans="2:6" x14ac:dyDescent="0.2">
      <c r="B999" s="115" t="s">
        <v>1158</v>
      </c>
      <c r="C999" s="114">
        <v>408</v>
      </c>
      <c r="D999" s="147">
        <f t="shared" si="57"/>
        <v>0.31192949323260405</v>
      </c>
      <c r="E999" s="148">
        <f t="shared" si="56"/>
        <v>4.2769528220655546E-5</v>
      </c>
      <c r="F999" s="148">
        <f t="shared" si="58"/>
        <v>2.288651965270308E-2</v>
      </c>
    </row>
    <row r="1000" spans="2:6" x14ac:dyDescent="0.2">
      <c r="B1000" s="206" t="s">
        <v>428</v>
      </c>
      <c r="C1000" s="205">
        <v>408</v>
      </c>
      <c r="D1000" s="147">
        <f t="shared" si="57"/>
        <v>0.31224425558702645</v>
      </c>
      <c r="E1000" s="148">
        <f t="shared" si="56"/>
        <v>4.2769528220655546E-5</v>
      </c>
      <c r="F1000" s="148">
        <f t="shared" si="58"/>
        <v>2.2929289180923736E-2</v>
      </c>
    </row>
    <row r="1001" spans="2:6" x14ac:dyDescent="0.2">
      <c r="B1001" s="115" t="s">
        <v>1978</v>
      </c>
      <c r="C1001" s="114">
        <v>409</v>
      </c>
      <c r="D1001" s="147">
        <f t="shared" si="57"/>
        <v>0.31255901794144886</v>
      </c>
      <c r="E1001" s="148">
        <f t="shared" si="56"/>
        <v>4.2874355495706172E-5</v>
      </c>
      <c r="F1001" s="148">
        <f t="shared" si="58"/>
        <v>2.2972163536419444E-2</v>
      </c>
    </row>
    <row r="1002" spans="2:6" x14ac:dyDescent="0.2">
      <c r="B1002" s="206" t="s">
        <v>2924</v>
      </c>
      <c r="C1002" s="205">
        <v>410</v>
      </c>
      <c r="D1002" s="147">
        <f t="shared" si="57"/>
        <v>0.31287378029587126</v>
      </c>
      <c r="E1002" s="148">
        <f t="shared" si="56"/>
        <v>4.2979182770756798E-5</v>
      </c>
      <c r="F1002" s="148">
        <f t="shared" si="58"/>
        <v>2.3015142719190199E-2</v>
      </c>
    </row>
    <row r="1003" spans="2:6" x14ac:dyDescent="0.2">
      <c r="B1003" s="115" t="s">
        <v>2916</v>
      </c>
      <c r="C1003" s="114">
        <v>410</v>
      </c>
      <c r="D1003" s="147">
        <f t="shared" si="57"/>
        <v>0.31318854265029367</v>
      </c>
      <c r="E1003" s="148">
        <f t="shared" si="56"/>
        <v>4.2979182770756798E-5</v>
      </c>
      <c r="F1003" s="148">
        <f t="shared" si="58"/>
        <v>2.3058121901960955E-2</v>
      </c>
    </row>
    <row r="1004" spans="2:6" x14ac:dyDescent="0.2">
      <c r="B1004" s="115" t="s">
        <v>1914</v>
      </c>
      <c r="C1004" s="114">
        <v>410</v>
      </c>
      <c r="D1004" s="147">
        <f t="shared" si="57"/>
        <v>0.31350330500471607</v>
      </c>
      <c r="E1004" s="148">
        <f t="shared" si="56"/>
        <v>4.2979182770756798E-5</v>
      </c>
      <c r="F1004" s="148">
        <f t="shared" si="58"/>
        <v>2.310110108473171E-2</v>
      </c>
    </row>
    <row r="1005" spans="2:6" x14ac:dyDescent="0.2">
      <c r="B1005" s="206" t="s">
        <v>1556</v>
      </c>
      <c r="C1005" s="205">
        <v>410</v>
      </c>
      <c r="D1005" s="147">
        <f t="shared" si="57"/>
        <v>0.31381806735913848</v>
      </c>
      <c r="E1005" s="148">
        <f t="shared" si="56"/>
        <v>4.2979182770756798E-5</v>
      </c>
      <c r="F1005" s="148">
        <f t="shared" si="58"/>
        <v>2.3144080267502466E-2</v>
      </c>
    </row>
    <row r="1006" spans="2:6" x14ac:dyDescent="0.2">
      <c r="B1006" s="115" t="s">
        <v>73</v>
      </c>
      <c r="C1006" s="114">
        <v>410</v>
      </c>
      <c r="D1006" s="147">
        <f t="shared" si="57"/>
        <v>0.31413282971356088</v>
      </c>
      <c r="E1006" s="148">
        <f t="shared" si="56"/>
        <v>4.2979182770756798E-5</v>
      </c>
      <c r="F1006" s="148">
        <f t="shared" si="58"/>
        <v>2.3187059450273221E-2</v>
      </c>
    </row>
    <row r="1007" spans="2:6" x14ac:dyDescent="0.2">
      <c r="B1007" s="206" t="s">
        <v>1195</v>
      </c>
      <c r="C1007" s="205">
        <v>411</v>
      </c>
      <c r="D1007" s="147">
        <f t="shared" si="57"/>
        <v>0.31444759206798328</v>
      </c>
      <c r="E1007" s="148">
        <f t="shared" si="56"/>
        <v>4.3084010045807423E-5</v>
      </c>
      <c r="F1007" s="148">
        <f t="shared" si="58"/>
        <v>2.3230143460319028E-2</v>
      </c>
    </row>
    <row r="1008" spans="2:6" x14ac:dyDescent="0.2">
      <c r="B1008" s="206" t="s">
        <v>384</v>
      </c>
      <c r="C1008" s="205">
        <v>412</v>
      </c>
      <c r="D1008" s="147">
        <f t="shared" si="57"/>
        <v>0.31476235442240569</v>
      </c>
      <c r="E1008" s="148">
        <f t="shared" si="56"/>
        <v>4.3188837320858049E-5</v>
      </c>
      <c r="F1008" s="148">
        <f t="shared" si="58"/>
        <v>2.3273332297639886E-2</v>
      </c>
    </row>
    <row r="1009" spans="2:6" x14ac:dyDescent="0.2">
      <c r="B1009" s="115" t="s">
        <v>34</v>
      </c>
      <c r="C1009" s="114">
        <v>413</v>
      </c>
      <c r="D1009" s="147">
        <f t="shared" si="57"/>
        <v>0.31507711677682809</v>
      </c>
      <c r="E1009" s="148">
        <f t="shared" si="56"/>
        <v>4.3293664595908675E-5</v>
      </c>
      <c r="F1009" s="148">
        <f t="shared" si="58"/>
        <v>2.3316625962235795E-2</v>
      </c>
    </row>
    <row r="1010" spans="2:6" x14ac:dyDescent="0.2">
      <c r="B1010" s="206" t="s">
        <v>3091</v>
      </c>
      <c r="C1010" s="205">
        <v>415</v>
      </c>
      <c r="D1010" s="147">
        <f t="shared" si="57"/>
        <v>0.3153918791312505</v>
      </c>
      <c r="E1010" s="148">
        <f t="shared" si="56"/>
        <v>4.3503319146009926E-5</v>
      </c>
      <c r="F1010" s="148">
        <f t="shared" si="58"/>
        <v>2.3360129281381804E-2</v>
      </c>
    </row>
    <row r="1011" spans="2:6" x14ac:dyDescent="0.2">
      <c r="B1011" s="115" t="s">
        <v>2849</v>
      </c>
      <c r="C1011" s="114">
        <v>415</v>
      </c>
      <c r="D1011" s="147">
        <f t="shared" si="57"/>
        <v>0.3157066414856729</v>
      </c>
      <c r="E1011" s="148">
        <f t="shared" si="56"/>
        <v>4.3503319146009926E-5</v>
      </c>
      <c r="F1011" s="148">
        <f t="shared" si="58"/>
        <v>2.3403632600527812E-2</v>
      </c>
    </row>
    <row r="1012" spans="2:6" x14ac:dyDescent="0.2">
      <c r="B1012" s="115" t="s">
        <v>1834</v>
      </c>
      <c r="C1012" s="114">
        <v>416</v>
      </c>
      <c r="D1012" s="147">
        <f t="shared" si="57"/>
        <v>0.31602140384009531</v>
      </c>
      <c r="E1012" s="148">
        <f t="shared" si="56"/>
        <v>4.3608146421060552E-5</v>
      </c>
      <c r="F1012" s="148">
        <f t="shared" si="58"/>
        <v>2.3447240746948872E-2</v>
      </c>
    </row>
    <row r="1013" spans="2:6" x14ac:dyDescent="0.2">
      <c r="B1013" s="206" t="s">
        <v>1416</v>
      </c>
      <c r="C1013" s="205">
        <v>416</v>
      </c>
      <c r="D1013" s="147">
        <f t="shared" si="57"/>
        <v>0.31633616619451771</v>
      </c>
      <c r="E1013" s="148">
        <f t="shared" si="56"/>
        <v>4.3608146421060552E-5</v>
      </c>
      <c r="F1013" s="148">
        <f t="shared" si="58"/>
        <v>2.3490848893369932E-2</v>
      </c>
    </row>
    <row r="1014" spans="2:6" x14ac:dyDescent="0.2">
      <c r="B1014" s="206" t="s">
        <v>827</v>
      </c>
      <c r="C1014" s="205">
        <v>416</v>
      </c>
      <c r="D1014" s="147">
        <f t="shared" si="57"/>
        <v>0.31665092854894011</v>
      </c>
      <c r="E1014" s="148">
        <f t="shared" si="56"/>
        <v>4.3608146421060552E-5</v>
      </c>
      <c r="F1014" s="148">
        <f t="shared" si="58"/>
        <v>2.3534457039790992E-2</v>
      </c>
    </row>
    <row r="1015" spans="2:6" x14ac:dyDescent="0.2">
      <c r="B1015" s="115" t="s">
        <v>1392</v>
      </c>
      <c r="C1015" s="114">
        <v>417</v>
      </c>
      <c r="D1015" s="147">
        <f t="shared" si="57"/>
        <v>0.31696569090336252</v>
      </c>
      <c r="E1015" s="148">
        <f t="shared" si="56"/>
        <v>4.3712973696111177E-5</v>
      </c>
      <c r="F1015" s="148">
        <f t="shared" si="58"/>
        <v>2.3578170013487103E-2</v>
      </c>
    </row>
    <row r="1016" spans="2:6" x14ac:dyDescent="0.2">
      <c r="B1016" s="206" t="s">
        <v>1230</v>
      </c>
      <c r="C1016" s="205">
        <v>417</v>
      </c>
      <c r="D1016" s="147">
        <f t="shared" si="57"/>
        <v>0.31728045325778492</v>
      </c>
      <c r="E1016" s="148">
        <f t="shared" si="56"/>
        <v>4.3712973696111177E-5</v>
      </c>
      <c r="F1016" s="148">
        <f t="shared" si="58"/>
        <v>2.3621882987183214E-2</v>
      </c>
    </row>
    <row r="1017" spans="2:6" x14ac:dyDescent="0.2">
      <c r="B1017" s="115" t="s">
        <v>1105</v>
      </c>
      <c r="C1017" s="114">
        <v>417</v>
      </c>
      <c r="D1017" s="147">
        <f t="shared" si="57"/>
        <v>0.31759521561220733</v>
      </c>
      <c r="E1017" s="148">
        <f t="shared" si="56"/>
        <v>4.3712973696111177E-5</v>
      </c>
      <c r="F1017" s="148">
        <f t="shared" si="58"/>
        <v>2.3665595960879325E-2</v>
      </c>
    </row>
    <row r="1018" spans="2:6" x14ac:dyDescent="0.2">
      <c r="B1018" s="206" t="s">
        <v>103</v>
      </c>
      <c r="C1018" s="205">
        <v>419</v>
      </c>
      <c r="D1018" s="147">
        <f t="shared" si="57"/>
        <v>0.31790997796662973</v>
      </c>
      <c r="E1018" s="148">
        <f t="shared" si="56"/>
        <v>4.3922628246212435E-5</v>
      </c>
      <c r="F1018" s="148">
        <f t="shared" si="58"/>
        <v>2.3709518589125539E-2</v>
      </c>
    </row>
    <row r="1019" spans="2:6" x14ac:dyDescent="0.2">
      <c r="B1019" s="115" t="s">
        <v>1943</v>
      </c>
      <c r="C1019" s="114">
        <v>420</v>
      </c>
      <c r="D1019" s="147">
        <f t="shared" si="57"/>
        <v>0.31822474032105214</v>
      </c>
      <c r="E1019" s="148">
        <f t="shared" si="56"/>
        <v>4.4027455521263061E-5</v>
      </c>
      <c r="F1019" s="148">
        <f t="shared" si="58"/>
        <v>2.3753546044646801E-2</v>
      </c>
    </row>
    <row r="1020" spans="2:6" x14ac:dyDescent="0.2">
      <c r="B1020" s="115" t="s">
        <v>1596</v>
      </c>
      <c r="C1020" s="114">
        <v>423</v>
      </c>
      <c r="D1020" s="147">
        <f t="shared" si="57"/>
        <v>0.31853950267547454</v>
      </c>
      <c r="E1020" s="148">
        <f t="shared" si="56"/>
        <v>4.4341937346414938E-5</v>
      </c>
      <c r="F1020" s="148">
        <f t="shared" si="58"/>
        <v>2.3797887981993216E-2</v>
      </c>
    </row>
    <row r="1021" spans="2:6" x14ac:dyDescent="0.2">
      <c r="B1021" s="206" t="s">
        <v>776</v>
      </c>
      <c r="C1021" s="205">
        <v>423</v>
      </c>
      <c r="D1021" s="147">
        <f t="shared" si="57"/>
        <v>0.31885426502989694</v>
      </c>
      <c r="E1021" s="148">
        <f t="shared" si="56"/>
        <v>4.4341937346414938E-5</v>
      </c>
      <c r="F1021" s="148">
        <f t="shared" si="58"/>
        <v>2.3842229919339632E-2</v>
      </c>
    </row>
    <row r="1022" spans="2:6" x14ac:dyDescent="0.2">
      <c r="B1022" s="206" t="s">
        <v>425</v>
      </c>
      <c r="C1022" s="205">
        <v>424</v>
      </c>
      <c r="D1022" s="147">
        <f t="shared" si="57"/>
        <v>0.31916902738431935</v>
      </c>
      <c r="E1022" s="148">
        <f t="shared" si="56"/>
        <v>4.4446764621465564E-5</v>
      </c>
      <c r="F1022" s="148">
        <f t="shared" si="58"/>
        <v>2.3886676683961099E-2</v>
      </c>
    </row>
    <row r="1023" spans="2:6" x14ac:dyDescent="0.2">
      <c r="B1023" s="206" t="s">
        <v>1758</v>
      </c>
      <c r="C1023" s="205">
        <v>425</v>
      </c>
      <c r="D1023" s="147">
        <f t="shared" si="57"/>
        <v>0.31948378973874175</v>
      </c>
      <c r="E1023" s="148">
        <f t="shared" si="56"/>
        <v>4.4551591896516189E-5</v>
      </c>
      <c r="F1023" s="148">
        <f t="shared" si="58"/>
        <v>2.3931228275857613E-2</v>
      </c>
    </row>
    <row r="1024" spans="2:6" x14ac:dyDescent="0.2">
      <c r="B1024" s="206" t="s">
        <v>197</v>
      </c>
      <c r="C1024" s="205">
        <v>425</v>
      </c>
      <c r="D1024" s="147">
        <f t="shared" si="57"/>
        <v>0.31979855209316416</v>
      </c>
      <c r="E1024" s="148">
        <f t="shared" si="56"/>
        <v>4.4551591896516189E-5</v>
      </c>
      <c r="F1024" s="148">
        <f t="shared" si="58"/>
        <v>2.3975779867754128E-2</v>
      </c>
    </row>
    <row r="1025" spans="2:6" x14ac:dyDescent="0.2">
      <c r="B1025" s="206" t="s">
        <v>2552</v>
      </c>
      <c r="C1025" s="205">
        <v>426</v>
      </c>
      <c r="D1025" s="147">
        <f t="shared" si="57"/>
        <v>0.32011331444758656</v>
      </c>
      <c r="E1025" s="148">
        <f t="shared" si="56"/>
        <v>4.4656419171566815E-5</v>
      </c>
      <c r="F1025" s="148">
        <f t="shared" si="58"/>
        <v>2.4020436286925694E-2</v>
      </c>
    </row>
    <row r="1026" spans="2:6" x14ac:dyDescent="0.2">
      <c r="B1026" s="115" t="s">
        <v>2318</v>
      </c>
      <c r="C1026" s="114">
        <v>426</v>
      </c>
      <c r="D1026" s="147">
        <f t="shared" si="57"/>
        <v>0.32042807680200897</v>
      </c>
      <c r="E1026" s="148">
        <f t="shared" si="56"/>
        <v>4.4656419171566815E-5</v>
      </c>
      <c r="F1026" s="148">
        <f t="shared" si="58"/>
        <v>2.406509270609726E-2</v>
      </c>
    </row>
    <row r="1027" spans="2:6" x14ac:dyDescent="0.2">
      <c r="B1027" s="115" t="s">
        <v>892</v>
      </c>
      <c r="C1027" s="114">
        <v>426</v>
      </c>
      <c r="D1027" s="147">
        <f t="shared" si="57"/>
        <v>0.32074283915643137</v>
      </c>
      <c r="E1027" s="148">
        <f t="shared" si="56"/>
        <v>4.4656419171566815E-5</v>
      </c>
      <c r="F1027" s="148">
        <f t="shared" si="58"/>
        <v>2.4109749125268826E-2</v>
      </c>
    </row>
    <row r="1028" spans="2:6" x14ac:dyDescent="0.2">
      <c r="B1028" s="206" t="s">
        <v>1652</v>
      </c>
      <c r="C1028" s="205">
        <v>427</v>
      </c>
      <c r="D1028" s="147">
        <f t="shared" si="57"/>
        <v>0.32105760151085377</v>
      </c>
      <c r="E1028" s="148">
        <f t="shared" si="56"/>
        <v>4.4761246446617441E-5</v>
      </c>
      <c r="F1028" s="148">
        <f t="shared" si="58"/>
        <v>2.4154510371715444E-2</v>
      </c>
    </row>
    <row r="1029" spans="2:6" x14ac:dyDescent="0.2">
      <c r="B1029" s="206" t="s">
        <v>3122</v>
      </c>
      <c r="C1029" s="205">
        <v>428</v>
      </c>
      <c r="D1029" s="147">
        <f t="shared" si="57"/>
        <v>0.32137236386527618</v>
      </c>
      <c r="E1029" s="148">
        <f t="shared" si="56"/>
        <v>4.4866073721668073E-5</v>
      </c>
      <c r="F1029" s="148">
        <f t="shared" si="58"/>
        <v>2.4199376445437112E-2</v>
      </c>
    </row>
    <row r="1030" spans="2:6" x14ac:dyDescent="0.2">
      <c r="B1030" s="115" t="s">
        <v>2673</v>
      </c>
      <c r="C1030" s="114">
        <v>428</v>
      </c>
      <c r="D1030" s="147">
        <f t="shared" si="57"/>
        <v>0.32168712621969858</v>
      </c>
      <c r="E1030" s="148">
        <f t="shared" si="56"/>
        <v>4.4866073721668073E-5</v>
      </c>
      <c r="F1030" s="148">
        <f t="shared" si="58"/>
        <v>2.4244242519158781E-2</v>
      </c>
    </row>
    <row r="1031" spans="2:6" x14ac:dyDescent="0.2">
      <c r="B1031" s="115" t="s">
        <v>2163</v>
      </c>
      <c r="C1031" s="114">
        <v>428</v>
      </c>
      <c r="D1031" s="147">
        <f t="shared" si="57"/>
        <v>0.32200188857412099</v>
      </c>
      <c r="E1031" s="148">
        <f t="shared" si="56"/>
        <v>4.4866073721668073E-5</v>
      </c>
      <c r="F1031" s="148">
        <f t="shared" si="58"/>
        <v>2.428910859288045E-2</v>
      </c>
    </row>
    <row r="1032" spans="2:6" x14ac:dyDescent="0.2">
      <c r="B1032" s="115" t="s">
        <v>451</v>
      </c>
      <c r="C1032" s="114">
        <v>428</v>
      </c>
      <c r="D1032" s="147">
        <f t="shared" si="57"/>
        <v>0.32231665092854339</v>
      </c>
      <c r="E1032" s="148">
        <f t="shared" si="56"/>
        <v>4.4866073721668073E-5</v>
      </c>
      <c r="F1032" s="148">
        <f t="shared" si="58"/>
        <v>2.4333974666602119E-2</v>
      </c>
    </row>
    <row r="1033" spans="2:6" x14ac:dyDescent="0.2">
      <c r="B1033" s="206" t="s">
        <v>1639</v>
      </c>
      <c r="C1033" s="205">
        <v>429</v>
      </c>
      <c r="D1033" s="147">
        <f t="shared" si="57"/>
        <v>0.3226314132829658</v>
      </c>
      <c r="E1033" s="148">
        <f t="shared" ref="E1033:E1096" si="59">C1033/$O$18</f>
        <v>4.4970900996718699E-5</v>
      </c>
      <c r="F1033" s="148">
        <f t="shared" si="58"/>
        <v>2.4378945567598839E-2</v>
      </c>
    </row>
    <row r="1034" spans="2:6" x14ac:dyDescent="0.2">
      <c r="B1034" s="115" t="s">
        <v>3019</v>
      </c>
      <c r="C1034" s="114">
        <v>431</v>
      </c>
      <c r="D1034" s="147">
        <f t="shared" ref="D1034:D1097" si="60">D1033+1/$L$18</f>
        <v>0.3229461756373882</v>
      </c>
      <c r="E1034" s="148">
        <f t="shared" si="59"/>
        <v>4.518055554681995E-5</v>
      </c>
      <c r="F1034" s="148">
        <f t="shared" ref="F1034:F1097" si="61">F1033+E1034</f>
        <v>2.4424126123145658E-2</v>
      </c>
    </row>
    <row r="1035" spans="2:6" x14ac:dyDescent="0.2">
      <c r="B1035" s="115" t="s">
        <v>2083</v>
      </c>
      <c r="C1035" s="114">
        <v>431</v>
      </c>
      <c r="D1035" s="147">
        <f t="shared" si="60"/>
        <v>0.3232609379918106</v>
      </c>
      <c r="E1035" s="148">
        <f t="shared" si="59"/>
        <v>4.518055554681995E-5</v>
      </c>
      <c r="F1035" s="148">
        <f t="shared" si="61"/>
        <v>2.4469306678692477E-2</v>
      </c>
    </row>
    <row r="1036" spans="2:6" x14ac:dyDescent="0.2">
      <c r="B1036" s="206" t="s">
        <v>2004</v>
      </c>
      <c r="C1036" s="205">
        <v>432</v>
      </c>
      <c r="D1036" s="147">
        <f t="shared" si="60"/>
        <v>0.32357570034623301</v>
      </c>
      <c r="E1036" s="148">
        <f t="shared" si="59"/>
        <v>4.5285382821870576E-5</v>
      </c>
      <c r="F1036" s="148">
        <f t="shared" si="61"/>
        <v>2.4514592061514347E-2</v>
      </c>
    </row>
    <row r="1037" spans="2:6" x14ac:dyDescent="0.2">
      <c r="B1037" s="206" t="s">
        <v>1899</v>
      </c>
      <c r="C1037" s="205">
        <v>433</v>
      </c>
      <c r="D1037" s="147">
        <f t="shared" si="60"/>
        <v>0.32389046270065541</v>
      </c>
      <c r="E1037" s="148">
        <f t="shared" si="59"/>
        <v>4.5390210096921201E-5</v>
      </c>
      <c r="F1037" s="148">
        <f t="shared" si="61"/>
        <v>2.4559982271611269E-2</v>
      </c>
    </row>
    <row r="1038" spans="2:6" x14ac:dyDescent="0.2">
      <c r="B1038" s="115" t="s">
        <v>723</v>
      </c>
      <c r="C1038" s="114">
        <v>433</v>
      </c>
      <c r="D1038" s="147">
        <f t="shared" si="60"/>
        <v>0.32420522505507782</v>
      </c>
      <c r="E1038" s="148">
        <f t="shared" si="59"/>
        <v>4.5390210096921201E-5</v>
      </c>
      <c r="F1038" s="148">
        <f t="shared" si="61"/>
        <v>2.4605372481708191E-2</v>
      </c>
    </row>
    <row r="1039" spans="2:6" x14ac:dyDescent="0.2">
      <c r="B1039" s="115" t="s">
        <v>1983</v>
      </c>
      <c r="C1039" s="114">
        <v>434</v>
      </c>
      <c r="D1039" s="147">
        <f t="shared" si="60"/>
        <v>0.32451998740950022</v>
      </c>
      <c r="E1039" s="148">
        <f t="shared" si="59"/>
        <v>4.5495037371971827E-5</v>
      </c>
      <c r="F1039" s="148">
        <f t="shared" si="61"/>
        <v>2.4650867519080164E-2</v>
      </c>
    </row>
    <row r="1040" spans="2:6" x14ac:dyDescent="0.2">
      <c r="B1040" s="206" t="s">
        <v>1866</v>
      </c>
      <c r="C1040" s="205">
        <v>434</v>
      </c>
      <c r="D1040" s="147">
        <f t="shared" si="60"/>
        <v>0.32483474976392263</v>
      </c>
      <c r="E1040" s="148">
        <f t="shared" si="59"/>
        <v>4.5495037371971827E-5</v>
      </c>
      <c r="F1040" s="148">
        <f t="shared" si="61"/>
        <v>2.4696362556452137E-2</v>
      </c>
    </row>
    <row r="1041" spans="2:6" x14ac:dyDescent="0.2">
      <c r="B1041" s="206" t="s">
        <v>663</v>
      </c>
      <c r="C1041" s="205">
        <v>434</v>
      </c>
      <c r="D1041" s="147">
        <f t="shared" si="60"/>
        <v>0.32514951211834503</v>
      </c>
      <c r="E1041" s="148">
        <f t="shared" si="59"/>
        <v>4.5495037371971827E-5</v>
      </c>
      <c r="F1041" s="148">
        <f t="shared" si="61"/>
        <v>2.474185759382411E-2</v>
      </c>
    </row>
    <row r="1042" spans="2:6" x14ac:dyDescent="0.2">
      <c r="B1042" s="206" t="s">
        <v>2139</v>
      </c>
      <c r="C1042" s="205">
        <v>435</v>
      </c>
      <c r="D1042" s="147">
        <f t="shared" si="60"/>
        <v>0.32546427447276743</v>
      </c>
      <c r="E1042" s="148">
        <f t="shared" si="59"/>
        <v>4.5599864647022453E-5</v>
      </c>
      <c r="F1042" s="148">
        <f t="shared" si="61"/>
        <v>2.4787457458471131E-2</v>
      </c>
    </row>
    <row r="1043" spans="2:6" x14ac:dyDescent="0.2">
      <c r="B1043" s="115" t="s">
        <v>1305</v>
      </c>
      <c r="C1043" s="114">
        <v>435</v>
      </c>
      <c r="D1043" s="147">
        <f t="shared" si="60"/>
        <v>0.32577903682718984</v>
      </c>
      <c r="E1043" s="148">
        <f t="shared" si="59"/>
        <v>4.5599864647022453E-5</v>
      </c>
      <c r="F1043" s="148">
        <f t="shared" si="61"/>
        <v>2.4833057323118152E-2</v>
      </c>
    </row>
    <row r="1044" spans="2:6" x14ac:dyDescent="0.2">
      <c r="B1044" s="206" t="s">
        <v>2576</v>
      </c>
      <c r="C1044" s="205">
        <v>437</v>
      </c>
      <c r="D1044" s="147">
        <f t="shared" si="60"/>
        <v>0.32609379918161224</v>
      </c>
      <c r="E1044" s="148">
        <f t="shared" si="59"/>
        <v>4.5809519197123704E-5</v>
      </c>
      <c r="F1044" s="148">
        <f t="shared" si="61"/>
        <v>2.4878866842315276E-2</v>
      </c>
    </row>
    <row r="1045" spans="2:6" x14ac:dyDescent="0.2">
      <c r="B1045" s="206" t="s">
        <v>2136</v>
      </c>
      <c r="C1045" s="205">
        <v>437</v>
      </c>
      <c r="D1045" s="147">
        <f t="shared" si="60"/>
        <v>0.32640856153603465</v>
      </c>
      <c r="E1045" s="148">
        <f t="shared" si="59"/>
        <v>4.5809519197123704E-5</v>
      </c>
      <c r="F1045" s="148">
        <f t="shared" si="61"/>
        <v>2.49246763615124E-2</v>
      </c>
    </row>
    <row r="1046" spans="2:6" x14ac:dyDescent="0.2">
      <c r="B1046" s="206" t="s">
        <v>1143</v>
      </c>
      <c r="C1046" s="205">
        <v>437</v>
      </c>
      <c r="D1046" s="147">
        <f t="shared" si="60"/>
        <v>0.32672332389045705</v>
      </c>
      <c r="E1046" s="148">
        <f t="shared" si="59"/>
        <v>4.5809519197123704E-5</v>
      </c>
      <c r="F1046" s="148">
        <f t="shared" si="61"/>
        <v>2.4970485880709523E-2</v>
      </c>
    </row>
    <row r="1047" spans="2:6" x14ac:dyDescent="0.2">
      <c r="B1047" s="115" t="s">
        <v>829</v>
      </c>
      <c r="C1047" s="114">
        <v>437</v>
      </c>
      <c r="D1047" s="147">
        <f t="shared" si="60"/>
        <v>0.32703808624487946</v>
      </c>
      <c r="E1047" s="148">
        <f t="shared" si="59"/>
        <v>4.5809519197123704E-5</v>
      </c>
      <c r="F1047" s="148">
        <f t="shared" si="61"/>
        <v>2.5016295399906647E-2</v>
      </c>
    </row>
    <row r="1048" spans="2:6" x14ac:dyDescent="0.2">
      <c r="B1048" s="206" t="s">
        <v>875</v>
      </c>
      <c r="C1048" s="205">
        <v>438</v>
      </c>
      <c r="D1048" s="147">
        <f t="shared" si="60"/>
        <v>0.32735284859930186</v>
      </c>
      <c r="E1048" s="148">
        <f t="shared" si="59"/>
        <v>4.5914346472174337E-5</v>
      </c>
      <c r="F1048" s="148">
        <f t="shared" si="61"/>
        <v>2.5062209746378822E-2</v>
      </c>
    </row>
    <row r="1049" spans="2:6" x14ac:dyDescent="0.2">
      <c r="B1049" s="206" t="s">
        <v>657</v>
      </c>
      <c r="C1049" s="205">
        <v>438</v>
      </c>
      <c r="D1049" s="147">
        <f t="shared" si="60"/>
        <v>0.32766761095372426</v>
      </c>
      <c r="E1049" s="148">
        <f t="shared" si="59"/>
        <v>4.5914346472174337E-5</v>
      </c>
      <c r="F1049" s="148">
        <f t="shared" si="61"/>
        <v>2.5108124092850997E-2</v>
      </c>
    </row>
    <row r="1050" spans="2:6" x14ac:dyDescent="0.2">
      <c r="B1050" s="115" t="s">
        <v>208</v>
      </c>
      <c r="C1050" s="114">
        <v>438</v>
      </c>
      <c r="D1050" s="147">
        <f t="shared" si="60"/>
        <v>0.32798237330814667</v>
      </c>
      <c r="E1050" s="148">
        <f t="shared" si="59"/>
        <v>4.5914346472174337E-5</v>
      </c>
      <c r="F1050" s="148">
        <f t="shared" si="61"/>
        <v>2.5154038439323172E-2</v>
      </c>
    </row>
    <row r="1051" spans="2:6" x14ac:dyDescent="0.2">
      <c r="B1051" s="115" t="s">
        <v>15</v>
      </c>
      <c r="C1051" s="114">
        <v>438</v>
      </c>
      <c r="D1051" s="147">
        <f t="shared" si="60"/>
        <v>0.32829713566256907</v>
      </c>
      <c r="E1051" s="148">
        <f t="shared" si="59"/>
        <v>4.5914346472174337E-5</v>
      </c>
      <c r="F1051" s="148">
        <f t="shared" si="61"/>
        <v>2.5199952785795347E-2</v>
      </c>
    </row>
    <row r="1052" spans="2:6" x14ac:dyDescent="0.2">
      <c r="B1052" s="115" t="s">
        <v>2445</v>
      </c>
      <c r="C1052" s="114">
        <v>439</v>
      </c>
      <c r="D1052" s="147">
        <f t="shared" si="60"/>
        <v>0.32861189801699148</v>
      </c>
      <c r="E1052" s="148">
        <f t="shared" si="59"/>
        <v>4.6019173747224962E-5</v>
      </c>
      <c r="F1052" s="148">
        <f t="shared" si="61"/>
        <v>2.5245971959542573E-2</v>
      </c>
    </row>
    <row r="1053" spans="2:6" x14ac:dyDescent="0.2">
      <c r="B1053" s="206" t="s">
        <v>2047</v>
      </c>
      <c r="C1053" s="205">
        <v>440</v>
      </c>
      <c r="D1053" s="147">
        <f t="shared" si="60"/>
        <v>0.32892666037141388</v>
      </c>
      <c r="E1053" s="148">
        <f t="shared" si="59"/>
        <v>4.6124001022275588E-5</v>
      </c>
      <c r="F1053" s="148">
        <f t="shared" si="61"/>
        <v>2.5292095960564847E-2</v>
      </c>
    </row>
    <row r="1054" spans="2:6" x14ac:dyDescent="0.2">
      <c r="B1054" s="206" t="s">
        <v>91</v>
      </c>
      <c r="C1054" s="205">
        <v>440</v>
      </c>
      <c r="D1054" s="147">
        <f t="shared" si="60"/>
        <v>0.32924142272583629</v>
      </c>
      <c r="E1054" s="148">
        <f t="shared" si="59"/>
        <v>4.6124001022275588E-5</v>
      </c>
      <c r="F1054" s="148">
        <f t="shared" si="61"/>
        <v>2.5338219961587121E-2</v>
      </c>
    </row>
    <row r="1055" spans="2:6" x14ac:dyDescent="0.2">
      <c r="B1055" s="115" t="s">
        <v>716</v>
      </c>
      <c r="C1055" s="114">
        <v>441</v>
      </c>
      <c r="D1055" s="147">
        <f t="shared" si="60"/>
        <v>0.32955618508025869</v>
      </c>
      <c r="E1055" s="148">
        <f t="shared" si="59"/>
        <v>4.6228828297326213E-5</v>
      </c>
      <c r="F1055" s="148">
        <f t="shared" si="61"/>
        <v>2.5384448789884446E-2</v>
      </c>
    </row>
    <row r="1056" spans="2:6" x14ac:dyDescent="0.2">
      <c r="B1056" s="206" t="s">
        <v>174</v>
      </c>
      <c r="C1056" s="205">
        <v>441</v>
      </c>
      <c r="D1056" s="147">
        <f t="shared" si="60"/>
        <v>0.32987094743468109</v>
      </c>
      <c r="E1056" s="148">
        <f t="shared" si="59"/>
        <v>4.6228828297326213E-5</v>
      </c>
      <c r="F1056" s="148">
        <f t="shared" si="61"/>
        <v>2.5430677618181772E-2</v>
      </c>
    </row>
    <row r="1057" spans="2:6" x14ac:dyDescent="0.2">
      <c r="B1057" s="115" t="s">
        <v>1687</v>
      </c>
      <c r="C1057" s="114">
        <v>442</v>
      </c>
      <c r="D1057" s="147">
        <f t="shared" si="60"/>
        <v>0.3301857097891035</v>
      </c>
      <c r="E1057" s="148">
        <f t="shared" si="59"/>
        <v>4.6333655572376839E-5</v>
      </c>
      <c r="F1057" s="148">
        <f t="shared" si="61"/>
        <v>2.5477011273754149E-2</v>
      </c>
    </row>
    <row r="1058" spans="2:6" x14ac:dyDescent="0.2">
      <c r="B1058" s="115" t="s">
        <v>1322</v>
      </c>
      <c r="C1058" s="114">
        <v>442</v>
      </c>
      <c r="D1058" s="147">
        <f t="shared" si="60"/>
        <v>0.3305004721435259</v>
      </c>
      <c r="E1058" s="148">
        <f t="shared" si="59"/>
        <v>4.6333655572376839E-5</v>
      </c>
      <c r="F1058" s="148">
        <f t="shared" si="61"/>
        <v>2.5523344929326525E-2</v>
      </c>
    </row>
    <row r="1059" spans="2:6" x14ac:dyDescent="0.2">
      <c r="B1059" s="206" t="s">
        <v>26</v>
      </c>
      <c r="C1059" s="205">
        <v>442</v>
      </c>
      <c r="D1059" s="147">
        <f t="shared" si="60"/>
        <v>0.33081523449794831</v>
      </c>
      <c r="E1059" s="148">
        <f t="shared" si="59"/>
        <v>4.6333655572376839E-5</v>
      </c>
      <c r="F1059" s="148">
        <f t="shared" si="61"/>
        <v>2.5569678584898902E-2</v>
      </c>
    </row>
    <row r="1060" spans="2:6" x14ac:dyDescent="0.2">
      <c r="B1060" s="115" t="s">
        <v>3135</v>
      </c>
      <c r="C1060" s="114">
        <v>443</v>
      </c>
      <c r="D1060" s="147">
        <f t="shared" si="60"/>
        <v>0.33112999685237071</v>
      </c>
      <c r="E1060" s="148">
        <f t="shared" si="59"/>
        <v>4.6438482847427465E-5</v>
      </c>
      <c r="F1060" s="148">
        <f t="shared" si="61"/>
        <v>2.561611706774633E-2</v>
      </c>
    </row>
    <row r="1061" spans="2:6" x14ac:dyDescent="0.2">
      <c r="B1061" s="115" t="s">
        <v>1295</v>
      </c>
      <c r="C1061" s="114">
        <v>443</v>
      </c>
      <c r="D1061" s="147">
        <f t="shared" si="60"/>
        <v>0.33144475920679312</v>
      </c>
      <c r="E1061" s="148">
        <f t="shared" si="59"/>
        <v>4.6438482847427465E-5</v>
      </c>
      <c r="F1061" s="148">
        <f t="shared" si="61"/>
        <v>2.5662555550593758E-2</v>
      </c>
    </row>
    <row r="1062" spans="2:6" x14ac:dyDescent="0.2">
      <c r="B1062" s="206" t="s">
        <v>290</v>
      </c>
      <c r="C1062" s="205">
        <v>443</v>
      </c>
      <c r="D1062" s="147">
        <f t="shared" si="60"/>
        <v>0.33175952156121552</v>
      </c>
      <c r="E1062" s="148">
        <f t="shared" si="59"/>
        <v>4.6438482847427465E-5</v>
      </c>
      <c r="F1062" s="148">
        <f t="shared" si="61"/>
        <v>2.5708994033441186E-2</v>
      </c>
    </row>
    <row r="1063" spans="2:6" x14ac:dyDescent="0.2">
      <c r="B1063" s="206" t="s">
        <v>2584</v>
      </c>
      <c r="C1063" s="205">
        <v>444</v>
      </c>
      <c r="D1063" s="147">
        <f t="shared" si="60"/>
        <v>0.33207428391563792</v>
      </c>
      <c r="E1063" s="148">
        <f t="shared" si="59"/>
        <v>4.654331012247809E-5</v>
      </c>
      <c r="F1063" s="148">
        <f t="shared" si="61"/>
        <v>2.5755537343563666E-2</v>
      </c>
    </row>
    <row r="1064" spans="2:6" x14ac:dyDescent="0.2">
      <c r="B1064" s="206" t="s">
        <v>1818</v>
      </c>
      <c r="C1064" s="205">
        <v>444</v>
      </c>
      <c r="D1064" s="147">
        <f t="shared" si="60"/>
        <v>0.33238904627006033</v>
      </c>
      <c r="E1064" s="148">
        <f t="shared" si="59"/>
        <v>4.654331012247809E-5</v>
      </c>
      <c r="F1064" s="148">
        <f t="shared" si="61"/>
        <v>2.5802080653686145E-2</v>
      </c>
    </row>
    <row r="1065" spans="2:6" x14ac:dyDescent="0.2">
      <c r="B1065" s="206" t="s">
        <v>1637</v>
      </c>
      <c r="C1065" s="205">
        <v>444</v>
      </c>
      <c r="D1065" s="147">
        <f t="shared" si="60"/>
        <v>0.33270380862448273</v>
      </c>
      <c r="E1065" s="148">
        <f t="shared" si="59"/>
        <v>4.654331012247809E-5</v>
      </c>
      <c r="F1065" s="148">
        <f t="shared" si="61"/>
        <v>2.5848623963808624E-2</v>
      </c>
    </row>
    <row r="1066" spans="2:6" x14ac:dyDescent="0.2">
      <c r="B1066" s="115" t="s">
        <v>1009</v>
      </c>
      <c r="C1066" s="114">
        <v>445</v>
      </c>
      <c r="D1066" s="147">
        <f t="shared" si="60"/>
        <v>0.33301857097890514</v>
      </c>
      <c r="E1066" s="148">
        <f t="shared" si="59"/>
        <v>4.6648137397528716E-5</v>
      </c>
      <c r="F1066" s="148">
        <f t="shared" si="61"/>
        <v>2.5895272101206152E-2</v>
      </c>
    </row>
    <row r="1067" spans="2:6" x14ac:dyDescent="0.2">
      <c r="B1067" s="115" t="s">
        <v>814</v>
      </c>
      <c r="C1067" s="114">
        <v>445</v>
      </c>
      <c r="D1067" s="147">
        <f t="shared" si="60"/>
        <v>0.33333333333332754</v>
      </c>
      <c r="E1067" s="148">
        <f t="shared" si="59"/>
        <v>4.6648137397528716E-5</v>
      </c>
      <c r="F1067" s="148">
        <f t="shared" si="61"/>
        <v>2.5941920238603679E-2</v>
      </c>
    </row>
    <row r="1068" spans="2:6" x14ac:dyDescent="0.2">
      <c r="B1068" s="206" t="s">
        <v>1772</v>
      </c>
      <c r="C1068" s="205">
        <v>446</v>
      </c>
      <c r="D1068" s="147">
        <f t="shared" si="60"/>
        <v>0.33364809568774995</v>
      </c>
      <c r="E1068" s="148">
        <f t="shared" si="59"/>
        <v>4.6752964672579342E-5</v>
      </c>
      <c r="F1068" s="148">
        <f t="shared" si="61"/>
        <v>2.5988673203276257E-2</v>
      </c>
    </row>
    <row r="1069" spans="2:6" x14ac:dyDescent="0.2">
      <c r="B1069" s="206" t="s">
        <v>1353</v>
      </c>
      <c r="C1069" s="205">
        <v>446</v>
      </c>
      <c r="D1069" s="147">
        <f t="shared" si="60"/>
        <v>0.33396285804217235</v>
      </c>
      <c r="E1069" s="148">
        <f t="shared" si="59"/>
        <v>4.6752964672579342E-5</v>
      </c>
      <c r="F1069" s="148">
        <f t="shared" si="61"/>
        <v>2.6035426167948836E-2</v>
      </c>
    </row>
    <row r="1070" spans="2:6" x14ac:dyDescent="0.2">
      <c r="B1070" s="115" t="s">
        <v>2611</v>
      </c>
      <c r="C1070" s="114">
        <v>447</v>
      </c>
      <c r="D1070" s="147">
        <f t="shared" si="60"/>
        <v>0.33427762039659475</v>
      </c>
      <c r="E1070" s="148">
        <f t="shared" si="59"/>
        <v>4.6857791947629967E-5</v>
      </c>
      <c r="F1070" s="148">
        <f t="shared" si="61"/>
        <v>2.6082283959896466E-2</v>
      </c>
    </row>
    <row r="1071" spans="2:6" x14ac:dyDescent="0.2">
      <c r="B1071" s="115" t="s">
        <v>3146</v>
      </c>
      <c r="C1071" s="114">
        <v>448</v>
      </c>
      <c r="D1071" s="147">
        <f t="shared" si="60"/>
        <v>0.33459238275101716</v>
      </c>
      <c r="E1071" s="148">
        <f t="shared" si="59"/>
        <v>4.69626192226806E-5</v>
      </c>
      <c r="F1071" s="148">
        <f t="shared" si="61"/>
        <v>2.6129246579119147E-2</v>
      </c>
    </row>
    <row r="1072" spans="2:6" x14ac:dyDescent="0.2">
      <c r="B1072" s="115" t="s">
        <v>2482</v>
      </c>
      <c r="C1072" s="114">
        <v>448</v>
      </c>
      <c r="D1072" s="147">
        <f t="shared" si="60"/>
        <v>0.33490714510543956</v>
      </c>
      <c r="E1072" s="148">
        <f t="shared" si="59"/>
        <v>4.69626192226806E-5</v>
      </c>
      <c r="F1072" s="148">
        <f t="shared" si="61"/>
        <v>2.6176209198341828E-2</v>
      </c>
    </row>
    <row r="1073" spans="2:6" x14ac:dyDescent="0.2">
      <c r="B1073" s="206" t="s">
        <v>823</v>
      </c>
      <c r="C1073" s="205">
        <v>448</v>
      </c>
      <c r="D1073" s="147">
        <f t="shared" si="60"/>
        <v>0.33522190745986197</v>
      </c>
      <c r="E1073" s="148">
        <f t="shared" si="59"/>
        <v>4.69626192226806E-5</v>
      </c>
      <c r="F1073" s="148">
        <f t="shared" si="61"/>
        <v>2.6223171817564509E-2</v>
      </c>
    </row>
    <row r="1074" spans="2:6" x14ac:dyDescent="0.2">
      <c r="B1074" s="206" t="s">
        <v>1851</v>
      </c>
      <c r="C1074" s="205">
        <v>449</v>
      </c>
      <c r="D1074" s="147">
        <f t="shared" si="60"/>
        <v>0.33553666981428437</v>
      </c>
      <c r="E1074" s="148">
        <f t="shared" si="59"/>
        <v>4.7067446497731226E-5</v>
      </c>
      <c r="F1074" s="148">
        <f t="shared" si="61"/>
        <v>2.6270239264062242E-2</v>
      </c>
    </row>
    <row r="1075" spans="2:6" x14ac:dyDescent="0.2">
      <c r="B1075" s="206" t="s">
        <v>1513</v>
      </c>
      <c r="C1075" s="205">
        <v>449</v>
      </c>
      <c r="D1075" s="147">
        <f t="shared" si="60"/>
        <v>0.33585143216870678</v>
      </c>
      <c r="E1075" s="148">
        <f t="shared" si="59"/>
        <v>4.7067446497731226E-5</v>
      </c>
      <c r="F1075" s="148">
        <f t="shared" si="61"/>
        <v>2.6317306710559974E-2</v>
      </c>
    </row>
    <row r="1076" spans="2:6" x14ac:dyDescent="0.2">
      <c r="B1076" s="206" t="s">
        <v>2459</v>
      </c>
      <c r="C1076" s="205">
        <v>450</v>
      </c>
      <c r="D1076" s="147">
        <f t="shared" si="60"/>
        <v>0.33616619452312918</v>
      </c>
      <c r="E1076" s="148">
        <f t="shared" si="59"/>
        <v>4.7172273772781851E-5</v>
      </c>
      <c r="F1076" s="148">
        <f t="shared" si="61"/>
        <v>2.6364478984332754E-2</v>
      </c>
    </row>
    <row r="1077" spans="2:6" x14ac:dyDescent="0.2">
      <c r="B1077" s="206" t="s">
        <v>1297</v>
      </c>
      <c r="C1077" s="205">
        <v>450</v>
      </c>
      <c r="D1077" s="147">
        <f t="shared" si="60"/>
        <v>0.33648095687755158</v>
      </c>
      <c r="E1077" s="148">
        <f t="shared" si="59"/>
        <v>4.7172273772781851E-5</v>
      </c>
      <c r="F1077" s="148">
        <f t="shared" si="61"/>
        <v>2.6411651258105535E-2</v>
      </c>
    </row>
    <row r="1078" spans="2:6" x14ac:dyDescent="0.2">
      <c r="B1078" s="115" t="s">
        <v>1545</v>
      </c>
      <c r="C1078" s="114">
        <v>451</v>
      </c>
      <c r="D1078" s="147">
        <f t="shared" si="60"/>
        <v>0.33679571923197399</v>
      </c>
      <c r="E1078" s="148">
        <f t="shared" si="59"/>
        <v>4.7277101047832477E-5</v>
      </c>
      <c r="F1078" s="148">
        <f t="shared" si="61"/>
        <v>2.6458928359153366E-2</v>
      </c>
    </row>
    <row r="1079" spans="2:6" x14ac:dyDescent="0.2">
      <c r="B1079" s="115" t="s">
        <v>267</v>
      </c>
      <c r="C1079" s="114">
        <v>451</v>
      </c>
      <c r="D1079" s="147">
        <f t="shared" si="60"/>
        <v>0.33711048158639639</v>
      </c>
      <c r="E1079" s="148">
        <f t="shared" si="59"/>
        <v>4.7277101047832477E-5</v>
      </c>
      <c r="F1079" s="148">
        <f t="shared" si="61"/>
        <v>2.6506205460201198E-2</v>
      </c>
    </row>
    <row r="1080" spans="2:6" x14ac:dyDescent="0.2">
      <c r="B1080" s="115" t="s">
        <v>1909</v>
      </c>
      <c r="C1080" s="114">
        <v>452</v>
      </c>
      <c r="D1080" s="147">
        <f t="shared" si="60"/>
        <v>0.3374252439408188</v>
      </c>
      <c r="E1080" s="148">
        <f t="shared" si="59"/>
        <v>4.7381928322883102E-5</v>
      </c>
      <c r="F1080" s="148">
        <f t="shared" si="61"/>
        <v>2.6553587388524081E-2</v>
      </c>
    </row>
    <row r="1081" spans="2:6" x14ac:dyDescent="0.2">
      <c r="B1081" s="115" t="s">
        <v>807</v>
      </c>
      <c r="C1081" s="114">
        <v>452</v>
      </c>
      <c r="D1081" s="147">
        <f t="shared" si="60"/>
        <v>0.3377400062952412</v>
      </c>
      <c r="E1081" s="148">
        <f t="shared" si="59"/>
        <v>4.7381928322883102E-5</v>
      </c>
      <c r="F1081" s="148">
        <f t="shared" si="61"/>
        <v>2.6600969316846964E-2</v>
      </c>
    </row>
    <row r="1082" spans="2:6" x14ac:dyDescent="0.2">
      <c r="B1082" s="206" t="s">
        <v>94</v>
      </c>
      <c r="C1082" s="205">
        <v>452</v>
      </c>
      <c r="D1082" s="147">
        <f t="shared" si="60"/>
        <v>0.33805476864966361</v>
      </c>
      <c r="E1082" s="148">
        <f t="shared" si="59"/>
        <v>4.7381928322883102E-5</v>
      </c>
      <c r="F1082" s="148">
        <f t="shared" si="61"/>
        <v>2.6648351245169847E-2</v>
      </c>
    </row>
    <row r="1083" spans="2:6" x14ac:dyDescent="0.2">
      <c r="B1083" s="115" t="s">
        <v>39</v>
      </c>
      <c r="C1083" s="114">
        <v>452</v>
      </c>
      <c r="D1083" s="147">
        <f t="shared" si="60"/>
        <v>0.33836953100408601</v>
      </c>
      <c r="E1083" s="148">
        <f t="shared" si="59"/>
        <v>4.7381928322883102E-5</v>
      </c>
      <c r="F1083" s="148">
        <f t="shared" si="61"/>
        <v>2.669573317349273E-2</v>
      </c>
    </row>
    <row r="1084" spans="2:6" x14ac:dyDescent="0.2">
      <c r="B1084" s="115" t="s">
        <v>593</v>
      </c>
      <c r="C1084" s="114">
        <v>453</v>
      </c>
      <c r="D1084" s="147">
        <f t="shared" si="60"/>
        <v>0.33868429335850841</v>
      </c>
      <c r="E1084" s="148">
        <f t="shared" si="59"/>
        <v>4.7486755597933728E-5</v>
      </c>
      <c r="F1084" s="148">
        <f t="shared" si="61"/>
        <v>2.6743219929090664E-2</v>
      </c>
    </row>
    <row r="1085" spans="2:6" x14ac:dyDescent="0.2">
      <c r="B1085" s="206" t="s">
        <v>16</v>
      </c>
      <c r="C1085" s="205">
        <v>453</v>
      </c>
      <c r="D1085" s="147">
        <f t="shared" si="60"/>
        <v>0.33899905571293082</v>
      </c>
      <c r="E1085" s="148">
        <f t="shared" si="59"/>
        <v>4.7486755597933728E-5</v>
      </c>
      <c r="F1085" s="148">
        <f t="shared" si="61"/>
        <v>2.6790706684688598E-2</v>
      </c>
    </row>
    <row r="1086" spans="2:6" x14ac:dyDescent="0.2">
      <c r="B1086" s="206" t="s">
        <v>2973</v>
      </c>
      <c r="C1086" s="205">
        <v>454</v>
      </c>
      <c r="D1086" s="147">
        <f t="shared" si="60"/>
        <v>0.33931381806735322</v>
      </c>
      <c r="E1086" s="148">
        <f t="shared" si="59"/>
        <v>4.7591582872984354E-5</v>
      </c>
      <c r="F1086" s="148">
        <f t="shared" si="61"/>
        <v>2.6838298267561584E-2</v>
      </c>
    </row>
    <row r="1087" spans="2:6" x14ac:dyDescent="0.2">
      <c r="B1087" s="206" t="s">
        <v>1668</v>
      </c>
      <c r="C1087" s="205">
        <v>454</v>
      </c>
      <c r="D1087" s="147">
        <f t="shared" si="60"/>
        <v>0.33962858042177563</v>
      </c>
      <c r="E1087" s="148">
        <f t="shared" si="59"/>
        <v>4.7591582872984354E-5</v>
      </c>
      <c r="F1087" s="148">
        <f t="shared" si="61"/>
        <v>2.688588985043457E-2</v>
      </c>
    </row>
    <row r="1088" spans="2:6" x14ac:dyDescent="0.2">
      <c r="B1088" s="206" t="s">
        <v>913</v>
      </c>
      <c r="C1088" s="205">
        <v>455</v>
      </c>
      <c r="D1088" s="147">
        <f t="shared" si="60"/>
        <v>0.33994334277619803</v>
      </c>
      <c r="E1088" s="148">
        <f t="shared" si="59"/>
        <v>4.7696410148034979E-5</v>
      </c>
      <c r="F1088" s="148">
        <f t="shared" si="61"/>
        <v>2.6933586260582603E-2</v>
      </c>
    </row>
    <row r="1089" spans="2:6" x14ac:dyDescent="0.2">
      <c r="B1089" s="115" t="s">
        <v>308</v>
      </c>
      <c r="C1089" s="114">
        <v>455</v>
      </c>
      <c r="D1089" s="147">
        <f t="shared" si="60"/>
        <v>0.34025810513062044</v>
      </c>
      <c r="E1089" s="148">
        <f t="shared" si="59"/>
        <v>4.7696410148034979E-5</v>
      </c>
      <c r="F1089" s="148">
        <f t="shared" si="61"/>
        <v>2.6981282670730636E-2</v>
      </c>
    </row>
    <row r="1090" spans="2:6" x14ac:dyDescent="0.2">
      <c r="B1090" s="206" t="s">
        <v>76</v>
      </c>
      <c r="C1090" s="205">
        <v>455</v>
      </c>
      <c r="D1090" s="147">
        <f t="shared" si="60"/>
        <v>0.34057286748504284</v>
      </c>
      <c r="E1090" s="148">
        <f t="shared" si="59"/>
        <v>4.7696410148034979E-5</v>
      </c>
      <c r="F1090" s="148">
        <f t="shared" si="61"/>
        <v>2.702897908087867E-2</v>
      </c>
    </row>
    <row r="1091" spans="2:6" x14ac:dyDescent="0.2">
      <c r="B1091" s="206" t="s">
        <v>1633</v>
      </c>
      <c r="C1091" s="205">
        <v>456</v>
      </c>
      <c r="D1091" s="147">
        <f t="shared" si="60"/>
        <v>0.34088762983946524</v>
      </c>
      <c r="E1091" s="148">
        <f t="shared" si="59"/>
        <v>4.7801237423085605E-5</v>
      </c>
      <c r="F1091" s="148">
        <f t="shared" si="61"/>
        <v>2.7076780318301755E-2</v>
      </c>
    </row>
    <row r="1092" spans="2:6" x14ac:dyDescent="0.2">
      <c r="B1092" s="115" t="s">
        <v>2126</v>
      </c>
      <c r="C1092" s="114">
        <v>457</v>
      </c>
      <c r="D1092" s="147">
        <f t="shared" si="60"/>
        <v>0.34120239219388765</v>
      </c>
      <c r="E1092" s="148">
        <f t="shared" si="59"/>
        <v>4.7906064698136231E-5</v>
      </c>
      <c r="F1092" s="148">
        <f t="shared" si="61"/>
        <v>2.7124686382999891E-2</v>
      </c>
    </row>
    <row r="1093" spans="2:6" x14ac:dyDescent="0.2">
      <c r="B1093" s="206" t="s">
        <v>2041</v>
      </c>
      <c r="C1093" s="205">
        <v>457</v>
      </c>
      <c r="D1093" s="147">
        <f t="shared" si="60"/>
        <v>0.34151715454831005</v>
      </c>
      <c r="E1093" s="148">
        <f t="shared" si="59"/>
        <v>4.7906064698136231E-5</v>
      </c>
      <c r="F1093" s="148">
        <f t="shared" si="61"/>
        <v>2.7172592447698027E-2</v>
      </c>
    </row>
    <row r="1094" spans="2:6" x14ac:dyDescent="0.2">
      <c r="B1094" s="206" t="s">
        <v>1970</v>
      </c>
      <c r="C1094" s="205">
        <v>457</v>
      </c>
      <c r="D1094" s="147">
        <f t="shared" si="60"/>
        <v>0.34183191690273246</v>
      </c>
      <c r="E1094" s="148">
        <f t="shared" si="59"/>
        <v>4.7906064698136231E-5</v>
      </c>
      <c r="F1094" s="148">
        <f t="shared" si="61"/>
        <v>2.7220498512396163E-2</v>
      </c>
    </row>
    <row r="1095" spans="2:6" x14ac:dyDescent="0.2">
      <c r="B1095" s="115" t="s">
        <v>647</v>
      </c>
      <c r="C1095" s="114">
        <v>457</v>
      </c>
      <c r="D1095" s="147">
        <f t="shared" si="60"/>
        <v>0.34214667925715486</v>
      </c>
      <c r="E1095" s="148">
        <f t="shared" si="59"/>
        <v>4.7906064698136231E-5</v>
      </c>
      <c r="F1095" s="148">
        <f t="shared" si="61"/>
        <v>2.7268404577094299E-2</v>
      </c>
    </row>
    <row r="1096" spans="2:6" x14ac:dyDescent="0.2">
      <c r="B1096" s="206" t="s">
        <v>511</v>
      </c>
      <c r="C1096" s="205">
        <v>457</v>
      </c>
      <c r="D1096" s="147">
        <f t="shared" si="60"/>
        <v>0.34246144161157727</v>
      </c>
      <c r="E1096" s="148">
        <f t="shared" si="59"/>
        <v>4.7906064698136231E-5</v>
      </c>
      <c r="F1096" s="148">
        <f t="shared" si="61"/>
        <v>2.7316310641792435E-2</v>
      </c>
    </row>
    <row r="1097" spans="2:6" x14ac:dyDescent="0.2">
      <c r="B1097" s="206" t="s">
        <v>2970</v>
      </c>
      <c r="C1097" s="205">
        <v>458</v>
      </c>
      <c r="D1097" s="147">
        <f t="shared" si="60"/>
        <v>0.34277620396599967</v>
      </c>
      <c r="E1097" s="148">
        <f t="shared" ref="E1097:E1160" si="62">C1097/$O$18</f>
        <v>4.8010891973186863E-5</v>
      </c>
      <c r="F1097" s="148">
        <f t="shared" si="61"/>
        <v>2.7364321533765622E-2</v>
      </c>
    </row>
    <row r="1098" spans="2:6" x14ac:dyDescent="0.2">
      <c r="B1098" s="115" t="s">
        <v>2828</v>
      </c>
      <c r="C1098" s="114">
        <v>458</v>
      </c>
      <c r="D1098" s="147">
        <f t="shared" ref="D1098:D1161" si="63">D1097+1/$L$18</f>
        <v>0.34309096632042207</v>
      </c>
      <c r="E1098" s="148">
        <f t="shared" si="62"/>
        <v>4.8010891973186863E-5</v>
      </c>
      <c r="F1098" s="148">
        <f t="shared" ref="F1098:F1161" si="64">F1097+E1098</f>
        <v>2.741233242573881E-2</v>
      </c>
    </row>
    <row r="1099" spans="2:6" x14ac:dyDescent="0.2">
      <c r="B1099" s="115" t="s">
        <v>2779</v>
      </c>
      <c r="C1099" s="114">
        <v>458</v>
      </c>
      <c r="D1099" s="147">
        <f t="shared" si="63"/>
        <v>0.34340572867484448</v>
      </c>
      <c r="E1099" s="148">
        <f t="shared" si="62"/>
        <v>4.8010891973186863E-5</v>
      </c>
      <c r="F1099" s="148">
        <f t="shared" si="64"/>
        <v>2.7460343317711997E-2</v>
      </c>
    </row>
    <row r="1100" spans="2:6" x14ac:dyDescent="0.2">
      <c r="B1100" s="115" t="s">
        <v>1905</v>
      </c>
      <c r="C1100" s="114">
        <v>460</v>
      </c>
      <c r="D1100" s="147">
        <f t="shared" si="63"/>
        <v>0.34372049102926688</v>
      </c>
      <c r="E1100" s="148">
        <f t="shared" si="62"/>
        <v>4.8220546523288115E-5</v>
      </c>
      <c r="F1100" s="148">
        <f t="shared" si="64"/>
        <v>2.7508563864235284E-2</v>
      </c>
    </row>
    <row r="1101" spans="2:6" x14ac:dyDescent="0.2">
      <c r="B1101" s="206" t="s">
        <v>93</v>
      </c>
      <c r="C1101" s="205">
        <v>460</v>
      </c>
      <c r="D1101" s="147">
        <f t="shared" si="63"/>
        <v>0.34403525338368929</v>
      </c>
      <c r="E1101" s="148">
        <f t="shared" si="62"/>
        <v>4.8220546523288115E-5</v>
      </c>
      <c r="F1101" s="148">
        <f t="shared" si="64"/>
        <v>2.755678441075857E-2</v>
      </c>
    </row>
    <row r="1102" spans="2:6" x14ac:dyDescent="0.2">
      <c r="B1102" s="115" t="s">
        <v>2127</v>
      </c>
      <c r="C1102" s="114">
        <v>461</v>
      </c>
      <c r="D1102" s="147">
        <f t="shared" si="63"/>
        <v>0.34435001573811169</v>
      </c>
      <c r="E1102" s="148">
        <f t="shared" si="62"/>
        <v>4.832537379833874E-5</v>
      </c>
      <c r="F1102" s="148">
        <f t="shared" si="64"/>
        <v>2.7605109784556908E-2</v>
      </c>
    </row>
    <row r="1103" spans="2:6" x14ac:dyDescent="0.2">
      <c r="B1103" s="115" t="s">
        <v>1813</v>
      </c>
      <c r="C1103" s="114">
        <v>461</v>
      </c>
      <c r="D1103" s="147">
        <f t="shared" si="63"/>
        <v>0.3446647780925341</v>
      </c>
      <c r="E1103" s="148">
        <f t="shared" si="62"/>
        <v>4.832537379833874E-5</v>
      </c>
      <c r="F1103" s="148">
        <f t="shared" si="64"/>
        <v>2.7653435158355246E-2</v>
      </c>
    </row>
    <row r="1104" spans="2:6" x14ac:dyDescent="0.2">
      <c r="B1104" s="206" t="s">
        <v>1507</v>
      </c>
      <c r="C1104" s="205">
        <v>462</v>
      </c>
      <c r="D1104" s="147">
        <f t="shared" si="63"/>
        <v>0.3449795404469565</v>
      </c>
      <c r="E1104" s="148">
        <f t="shared" si="62"/>
        <v>4.8430201073389366E-5</v>
      </c>
      <c r="F1104" s="148">
        <f t="shared" si="64"/>
        <v>2.7701865359428635E-2</v>
      </c>
    </row>
    <row r="1105" spans="2:6" x14ac:dyDescent="0.2">
      <c r="B1105" s="115" t="s">
        <v>2242</v>
      </c>
      <c r="C1105" s="114">
        <v>463</v>
      </c>
      <c r="D1105" s="147">
        <f t="shared" si="63"/>
        <v>0.34529430280137891</v>
      </c>
      <c r="E1105" s="148">
        <f t="shared" si="62"/>
        <v>4.8535028348439992E-5</v>
      </c>
      <c r="F1105" s="148">
        <f t="shared" si="64"/>
        <v>2.7750400387777076E-2</v>
      </c>
    </row>
    <row r="1106" spans="2:6" x14ac:dyDescent="0.2">
      <c r="B1106" s="206" t="s">
        <v>109</v>
      </c>
      <c r="C1106" s="205">
        <v>463</v>
      </c>
      <c r="D1106" s="147">
        <f t="shared" si="63"/>
        <v>0.34560906515580131</v>
      </c>
      <c r="E1106" s="148">
        <f t="shared" si="62"/>
        <v>4.8535028348439992E-5</v>
      </c>
      <c r="F1106" s="148">
        <f t="shared" si="64"/>
        <v>2.7798935416125516E-2</v>
      </c>
    </row>
    <row r="1107" spans="2:6" x14ac:dyDescent="0.2">
      <c r="B1107" s="206" t="s">
        <v>1740</v>
      </c>
      <c r="C1107" s="205">
        <v>464</v>
      </c>
      <c r="D1107" s="147">
        <f t="shared" si="63"/>
        <v>0.34592382751022371</v>
      </c>
      <c r="E1107" s="148">
        <f t="shared" si="62"/>
        <v>4.8639855623490617E-5</v>
      </c>
      <c r="F1107" s="148">
        <f t="shared" si="64"/>
        <v>2.7847575271749008E-2</v>
      </c>
    </row>
    <row r="1108" spans="2:6" x14ac:dyDescent="0.2">
      <c r="B1108" s="206" t="s">
        <v>1571</v>
      </c>
      <c r="C1108" s="205">
        <v>464</v>
      </c>
      <c r="D1108" s="147">
        <f t="shared" si="63"/>
        <v>0.34623858986464612</v>
      </c>
      <c r="E1108" s="148">
        <f t="shared" si="62"/>
        <v>4.8639855623490617E-5</v>
      </c>
      <c r="F1108" s="148">
        <f t="shared" si="64"/>
        <v>2.78962151273725E-2</v>
      </c>
    </row>
    <row r="1109" spans="2:6" x14ac:dyDescent="0.2">
      <c r="B1109" s="115" t="s">
        <v>847</v>
      </c>
      <c r="C1109" s="114">
        <v>464</v>
      </c>
      <c r="D1109" s="147">
        <f t="shared" si="63"/>
        <v>0.34655335221906852</v>
      </c>
      <c r="E1109" s="148">
        <f t="shared" si="62"/>
        <v>4.8639855623490617E-5</v>
      </c>
      <c r="F1109" s="148">
        <f t="shared" si="64"/>
        <v>2.7944854982995992E-2</v>
      </c>
    </row>
    <row r="1110" spans="2:6" x14ac:dyDescent="0.2">
      <c r="B1110" s="115" t="s">
        <v>580</v>
      </c>
      <c r="C1110" s="114">
        <v>464</v>
      </c>
      <c r="D1110" s="147">
        <f t="shared" si="63"/>
        <v>0.34686811457349093</v>
      </c>
      <c r="E1110" s="148">
        <f t="shared" si="62"/>
        <v>4.8639855623490617E-5</v>
      </c>
      <c r="F1110" s="148">
        <f t="shared" si="64"/>
        <v>2.7993494838619484E-2</v>
      </c>
    </row>
    <row r="1111" spans="2:6" x14ac:dyDescent="0.2">
      <c r="B1111" s="206" t="s">
        <v>1070</v>
      </c>
      <c r="C1111" s="205">
        <v>466</v>
      </c>
      <c r="D1111" s="147">
        <f t="shared" si="63"/>
        <v>0.34718287692791333</v>
      </c>
      <c r="E1111" s="148">
        <f t="shared" si="62"/>
        <v>4.8849510173591868E-5</v>
      </c>
      <c r="F1111" s="148">
        <f t="shared" si="64"/>
        <v>2.8042344348793075E-2</v>
      </c>
    </row>
    <row r="1112" spans="2:6" x14ac:dyDescent="0.2">
      <c r="B1112" s="206" t="s">
        <v>574</v>
      </c>
      <c r="C1112" s="205">
        <v>466</v>
      </c>
      <c r="D1112" s="147">
        <f t="shared" si="63"/>
        <v>0.34749763928233574</v>
      </c>
      <c r="E1112" s="148">
        <f t="shared" si="62"/>
        <v>4.8849510173591868E-5</v>
      </c>
      <c r="F1112" s="148">
        <f t="shared" si="64"/>
        <v>2.8091193858966666E-2</v>
      </c>
    </row>
    <row r="1113" spans="2:6" x14ac:dyDescent="0.2">
      <c r="B1113" s="206" t="s">
        <v>733</v>
      </c>
      <c r="C1113" s="205">
        <v>467</v>
      </c>
      <c r="D1113" s="147">
        <f t="shared" si="63"/>
        <v>0.34781240163675814</v>
      </c>
      <c r="E1113" s="148">
        <f t="shared" si="62"/>
        <v>4.8954337448642494E-5</v>
      </c>
      <c r="F1113" s="148">
        <f t="shared" si="64"/>
        <v>2.8140148196415308E-2</v>
      </c>
    </row>
    <row r="1114" spans="2:6" x14ac:dyDescent="0.2">
      <c r="B1114" s="115" t="s">
        <v>2921</v>
      </c>
      <c r="C1114" s="114">
        <v>469</v>
      </c>
      <c r="D1114" s="147">
        <f t="shared" si="63"/>
        <v>0.34812716399118054</v>
      </c>
      <c r="E1114" s="148">
        <f t="shared" si="62"/>
        <v>4.9163991998743752E-5</v>
      </c>
      <c r="F1114" s="148">
        <f t="shared" si="64"/>
        <v>2.8189312188414053E-2</v>
      </c>
    </row>
    <row r="1115" spans="2:6" x14ac:dyDescent="0.2">
      <c r="B1115" s="115" t="s">
        <v>1616</v>
      </c>
      <c r="C1115" s="114">
        <v>469</v>
      </c>
      <c r="D1115" s="147">
        <f t="shared" si="63"/>
        <v>0.34844192634560295</v>
      </c>
      <c r="E1115" s="148">
        <f t="shared" si="62"/>
        <v>4.9163991998743752E-5</v>
      </c>
      <c r="F1115" s="148">
        <f t="shared" si="64"/>
        <v>2.8238476180412798E-2</v>
      </c>
    </row>
    <row r="1116" spans="2:6" x14ac:dyDescent="0.2">
      <c r="B1116" s="115" t="s">
        <v>1277</v>
      </c>
      <c r="C1116" s="114">
        <v>469</v>
      </c>
      <c r="D1116" s="147">
        <f t="shared" si="63"/>
        <v>0.34875668870002535</v>
      </c>
      <c r="E1116" s="148">
        <f t="shared" si="62"/>
        <v>4.9163991998743752E-5</v>
      </c>
      <c r="F1116" s="148">
        <f t="shared" si="64"/>
        <v>2.8287640172411543E-2</v>
      </c>
    </row>
    <row r="1117" spans="2:6" x14ac:dyDescent="0.2">
      <c r="B1117" s="206" t="s">
        <v>2664</v>
      </c>
      <c r="C1117" s="205">
        <v>470</v>
      </c>
      <c r="D1117" s="147">
        <f t="shared" si="63"/>
        <v>0.34907145105444776</v>
      </c>
      <c r="E1117" s="148">
        <f t="shared" si="62"/>
        <v>4.9268819273794378E-5</v>
      </c>
      <c r="F1117" s="148">
        <f t="shared" si="64"/>
        <v>2.8336908991685335E-2</v>
      </c>
    </row>
    <row r="1118" spans="2:6" x14ac:dyDescent="0.2">
      <c r="B1118" s="115" t="s">
        <v>2306</v>
      </c>
      <c r="C1118" s="114">
        <v>470</v>
      </c>
      <c r="D1118" s="147">
        <f t="shared" si="63"/>
        <v>0.34938621340887016</v>
      </c>
      <c r="E1118" s="148">
        <f t="shared" si="62"/>
        <v>4.9268819273794378E-5</v>
      </c>
      <c r="F1118" s="148">
        <f t="shared" si="64"/>
        <v>2.8386177810959128E-2</v>
      </c>
    </row>
    <row r="1119" spans="2:6" x14ac:dyDescent="0.2">
      <c r="B1119" s="115" t="s">
        <v>976</v>
      </c>
      <c r="C1119" s="114">
        <v>470</v>
      </c>
      <c r="D1119" s="147">
        <f t="shared" si="63"/>
        <v>0.34970097576329257</v>
      </c>
      <c r="E1119" s="148">
        <f t="shared" si="62"/>
        <v>4.9268819273794378E-5</v>
      </c>
      <c r="F1119" s="148">
        <f t="shared" si="64"/>
        <v>2.8435446630232921E-2</v>
      </c>
    </row>
    <row r="1120" spans="2:6" x14ac:dyDescent="0.2">
      <c r="B1120" s="115" t="s">
        <v>736</v>
      </c>
      <c r="C1120" s="114">
        <v>470</v>
      </c>
      <c r="D1120" s="147">
        <f t="shared" si="63"/>
        <v>0.35001573811771497</v>
      </c>
      <c r="E1120" s="148">
        <f t="shared" si="62"/>
        <v>4.9268819273794378E-5</v>
      </c>
      <c r="F1120" s="148">
        <f t="shared" si="64"/>
        <v>2.8484715449506714E-2</v>
      </c>
    </row>
    <row r="1121" spans="2:6" x14ac:dyDescent="0.2">
      <c r="B1121" s="115" t="s">
        <v>2365</v>
      </c>
      <c r="C1121" s="114">
        <v>471</v>
      </c>
      <c r="D1121" s="147">
        <f t="shared" si="63"/>
        <v>0.35033050047213737</v>
      </c>
      <c r="E1121" s="148">
        <f t="shared" si="62"/>
        <v>4.9373646548845004E-5</v>
      </c>
      <c r="F1121" s="148">
        <f t="shared" si="64"/>
        <v>2.8534089096055558E-2</v>
      </c>
    </row>
    <row r="1122" spans="2:6" x14ac:dyDescent="0.2">
      <c r="B1122" s="206" t="s">
        <v>1741</v>
      </c>
      <c r="C1122" s="205">
        <v>471</v>
      </c>
      <c r="D1122" s="147">
        <f t="shared" si="63"/>
        <v>0.35064526282655978</v>
      </c>
      <c r="E1122" s="148">
        <f t="shared" si="62"/>
        <v>4.9373646548845004E-5</v>
      </c>
      <c r="F1122" s="148">
        <f t="shared" si="64"/>
        <v>2.8583462742604402E-2</v>
      </c>
    </row>
    <row r="1123" spans="2:6" x14ac:dyDescent="0.2">
      <c r="B1123" s="115" t="s">
        <v>2425</v>
      </c>
      <c r="C1123" s="114">
        <v>472</v>
      </c>
      <c r="D1123" s="147">
        <f t="shared" si="63"/>
        <v>0.35096002518098218</v>
      </c>
      <c r="E1123" s="148">
        <f t="shared" si="62"/>
        <v>4.9478473823895629E-5</v>
      </c>
      <c r="F1123" s="148">
        <f t="shared" si="64"/>
        <v>2.8632941216428297E-2</v>
      </c>
    </row>
    <row r="1124" spans="2:6" x14ac:dyDescent="0.2">
      <c r="B1124" s="115" t="s">
        <v>895</v>
      </c>
      <c r="C1124" s="114">
        <v>472</v>
      </c>
      <c r="D1124" s="147">
        <f t="shared" si="63"/>
        <v>0.35127478753540459</v>
      </c>
      <c r="E1124" s="148">
        <f t="shared" si="62"/>
        <v>4.9478473823895629E-5</v>
      </c>
      <c r="F1124" s="148">
        <f t="shared" si="64"/>
        <v>2.8682419690252193E-2</v>
      </c>
    </row>
    <row r="1125" spans="2:6" x14ac:dyDescent="0.2">
      <c r="B1125" s="206" t="s">
        <v>2490</v>
      </c>
      <c r="C1125" s="205">
        <v>473</v>
      </c>
      <c r="D1125" s="147">
        <f t="shared" si="63"/>
        <v>0.35158954988982699</v>
      </c>
      <c r="E1125" s="148">
        <f t="shared" si="62"/>
        <v>4.9583301098946255E-5</v>
      </c>
      <c r="F1125" s="148">
        <f t="shared" si="64"/>
        <v>2.873200299135114E-2</v>
      </c>
    </row>
    <row r="1126" spans="2:6" x14ac:dyDescent="0.2">
      <c r="B1126" s="206" t="s">
        <v>1019</v>
      </c>
      <c r="C1126" s="205">
        <v>475</v>
      </c>
      <c r="D1126" s="147">
        <f t="shared" si="63"/>
        <v>0.3519043122442494</v>
      </c>
      <c r="E1126" s="148">
        <f t="shared" si="62"/>
        <v>4.9792955649047506E-5</v>
      </c>
      <c r="F1126" s="148">
        <f t="shared" si="64"/>
        <v>2.8781795947000186E-2</v>
      </c>
    </row>
    <row r="1127" spans="2:6" x14ac:dyDescent="0.2">
      <c r="B1127" s="206" t="s">
        <v>1547</v>
      </c>
      <c r="C1127" s="205">
        <v>476</v>
      </c>
      <c r="D1127" s="147">
        <f t="shared" si="63"/>
        <v>0.3522190745986718</v>
      </c>
      <c r="E1127" s="148">
        <f t="shared" si="62"/>
        <v>4.9897782924098132E-5</v>
      </c>
      <c r="F1127" s="148">
        <f t="shared" si="64"/>
        <v>2.8831693729924283E-2</v>
      </c>
    </row>
    <row r="1128" spans="2:6" x14ac:dyDescent="0.2">
      <c r="B1128" s="115" t="s">
        <v>228</v>
      </c>
      <c r="C1128" s="114">
        <v>476</v>
      </c>
      <c r="D1128" s="147">
        <f t="shared" si="63"/>
        <v>0.3525338369530942</v>
      </c>
      <c r="E1128" s="148">
        <f t="shared" si="62"/>
        <v>4.9897782924098132E-5</v>
      </c>
      <c r="F1128" s="148">
        <f t="shared" si="64"/>
        <v>2.888159151284838E-2</v>
      </c>
    </row>
    <row r="1129" spans="2:6" x14ac:dyDescent="0.2">
      <c r="B1129" s="206" t="s">
        <v>1270</v>
      </c>
      <c r="C1129" s="205">
        <v>477</v>
      </c>
      <c r="D1129" s="147">
        <f t="shared" si="63"/>
        <v>0.35284859930751661</v>
      </c>
      <c r="E1129" s="148">
        <f t="shared" si="62"/>
        <v>5.0002610199148758E-5</v>
      </c>
      <c r="F1129" s="148">
        <f t="shared" si="64"/>
        <v>2.8931594123047528E-2</v>
      </c>
    </row>
    <row r="1130" spans="2:6" x14ac:dyDescent="0.2">
      <c r="B1130" s="206" t="s">
        <v>1390</v>
      </c>
      <c r="C1130" s="205">
        <v>478</v>
      </c>
      <c r="D1130" s="147">
        <f t="shared" si="63"/>
        <v>0.35316336166193901</v>
      </c>
      <c r="E1130" s="148">
        <f t="shared" si="62"/>
        <v>5.010743747419939E-5</v>
      </c>
      <c r="F1130" s="148">
        <f t="shared" si="64"/>
        <v>2.8981701560521728E-2</v>
      </c>
    </row>
    <row r="1131" spans="2:6" x14ac:dyDescent="0.2">
      <c r="B1131" s="115" t="s">
        <v>912</v>
      </c>
      <c r="C1131" s="114">
        <v>478</v>
      </c>
      <c r="D1131" s="147">
        <f t="shared" si="63"/>
        <v>0.35347812401636142</v>
      </c>
      <c r="E1131" s="148">
        <f t="shared" si="62"/>
        <v>5.010743747419939E-5</v>
      </c>
      <c r="F1131" s="148">
        <f t="shared" si="64"/>
        <v>2.9031808997995928E-2</v>
      </c>
    </row>
    <row r="1132" spans="2:6" x14ac:dyDescent="0.2">
      <c r="B1132" s="115" t="s">
        <v>2499</v>
      </c>
      <c r="C1132" s="114">
        <v>479</v>
      </c>
      <c r="D1132" s="147">
        <f t="shared" si="63"/>
        <v>0.35379288637078382</v>
      </c>
      <c r="E1132" s="148">
        <f t="shared" si="62"/>
        <v>5.0212264749250016E-5</v>
      </c>
      <c r="F1132" s="148">
        <f t="shared" si="64"/>
        <v>2.9082021262745179E-2</v>
      </c>
    </row>
    <row r="1133" spans="2:6" x14ac:dyDescent="0.2">
      <c r="B1133" s="206" t="s">
        <v>1608</v>
      </c>
      <c r="C1133" s="205">
        <v>479</v>
      </c>
      <c r="D1133" s="147">
        <f t="shared" si="63"/>
        <v>0.35410764872520623</v>
      </c>
      <c r="E1133" s="148">
        <f t="shared" si="62"/>
        <v>5.0212264749250016E-5</v>
      </c>
      <c r="F1133" s="148">
        <f t="shared" si="64"/>
        <v>2.9132233527494431E-2</v>
      </c>
    </row>
    <row r="1134" spans="2:6" x14ac:dyDescent="0.2">
      <c r="B1134" s="206" t="s">
        <v>1164</v>
      </c>
      <c r="C1134" s="205">
        <v>479</v>
      </c>
      <c r="D1134" s="147">
        <f t="shared" si="63"/>
        <v>0.35442241107962863</v>
      </c>
      <c r="E1134" s="148">
        <f t="shared" si="62"/>
        <v>5.0212264749250016E-5</v>
      </c>
      <c r="F1134" s="148">
        <f t="shared" si="64"/>
        <v>2.9182445792243682E-2</v>
      </c>
    </row>
    <row r="1135" spans="2:6" x14ac:dyDescent="0.2">
      <c r="B1135" s="206" t="s">
        <v>962</v>
      </c>
      <c r="C1135" s="205">
        <v>479</v>
      </c>
      <c r="D1135" s="147">
        <f t="shared" si="63"/>
        <v>0.35473717343405103</v>
      </c>
      <c r="E1135" s="148">
        <f t="shared" si="62"/>
        <v>5.0212264749250016E-5</v>
      </c>
      <c r="F1135" s="148">
        <f t="shared" si="64"/>
        <v>2.9232658056992933E-2</v>
      </c>
    </row>
    <row r="1136" spans="2:6" x14ac:dyDescent="0.2">
      <c r="B1136" s="206" t="s">
        <v>634</v>
      </c>
      <c r="C1136" s="205">
        <v>479</v>
      </c>
      <c r="D1136" s="147">
        <f t="shared" si="63"/>
        <v>0.35505193578847344</v>
      </c>
      <c r="E1136" s="148">
        <f t="shared" si="62"/>
        <v>5.0212264749250016E-5</v>
      </c>
      <c r="F1136" s="148">
        <f t="shared" si="64"/>
        <v>2.9282870321742184E-2</v>
      </c>
    </row>
    <row r="1137" spans="2:6" x14ac:dyDescent="0.2">
      <c r="B1137" s="115" t="s">
        <v>2895</v>
      </c>
      <c r="C1137" s="114">
        <v>481</v>
      </c>
      <c r="D1137" s="147">
        <f t="shared" si="63"/>
        <v>0.35536669814289584</v>
      </c>
      <c r="E1137" s="148">
        <f t="shared" si="62"/>
        <v>5.0421919299351267E-5</v>
      </c>
      <c r="F1137" s="148">
        <f t="shared" si="64"/>
        <v>2.9333292241041534E-2</v>
      </c>
    </row>
    <row r="1138" spans="2:6" x14ac:dyDescent="0.2">
      <c r="B1138" s="115" t="s">
        <v>1329</v>
      </c>
      <c r="C1138" s="114">
        <v>481</v>
      </c>
      <c r="D1138" s="147">
        <f t="shared" si="63"/>
        <v>0.35568146049731825</v>
      </c>
      <c r="E1138" s="148">
        <f t="shared" si="62"/>
        <v>5.0421919299351267E-5</v>
      </c>
      <c r="F1138" s="148">
        <f t="shared" si="64"/>
        <v>2.9383714160340885E-2</v>
      </c>
    </row>
    <row r="1139" spans="2:6" x14ac:dyDescent="0.2">
      <c r="B1139" s="115" t="s">
        <v>1163</v>
      </c>
      <c r="C1139" s="114">
        <v>481</v>
      </c>
      <c r="D1139" s="147">
        <f t="shared" si="63"/>
        <v>0.35599622285174065</v>
      </c>
      <c r="E1139" s="148">
        <f t="shared" si="62"/>
        <v>5.0421919299351267E-5</v>
      </c>
      <c r="F1139" s="148">
        <f t="shared" si="64"/>
        <v>2.9434136079640235E-2</v>
      </c>
    </row>
    <row r="1140" spans="2:6" x14ac:dyDescent="0.2">
      <c r="B1140" s="206" t="s">
        <v>1903</v>
      </c>
      <c r="C1140" s="205">
        <v>482</v>
      </c>
      <c r="D1140" s="147">
        <f t="shared" si="63"/>
        <v>0.35631098520616306</v>
      </c>
      <c r="E1140" s="148">
        <f t="shared" si="62"/>
        <v>5.0526746574401893E-5</v>
      </c>
      <c r="F1140" s="148">
        <f t="shared" si="64"/>
        <v>2.9484662826214637E-2</v>
      </c>
    </row>
    <row r="1141" spans="2:6" x14ac:dyDescent="0.2">
      <c r="B1141" s="115" t="s">
        <v>1377</v>
      </c>
      <c r="C1141" s="114">
        <v>482</v>
      </c>
      <c r="D1141" s="147">
        <f t="shared" si="63"/>
        <v>0.35662574756058546</v>
      </c>
      <c r="E1141" s="148">
        <f t="shared" si="62"/>
        <v>5.0526746574401893E-5</v>
      </c>
      <c r="F1141" s="148">
        <f t="shared" si="64"/>
        <v>2.9535189572789038E-2</v>
      </c>
    </row>
    <row r="1142" spans="2:6" x14ac:dyDescent="0.2">
      <c r="B1142" s="115" t="s">
        <v>1961</v>
      </c>
      <c r="C1142" s="114">
        <v>483</v>
      </c>
      <c r="D1142" s="147">
        <f t="shared" si="63"/>
        <v>0.35694050991500786</v>
      </c>
      <c r="E1142" s="148">
        <f t="shared" si="62"/>
        <v>5.0631573849452518E-5</v>
      </c>
      <c r="F1142" s="148">
        <f t="shared" si="64"/>
        <v>2.9585821146638491E-2</v>
      </c>
    </row>
    <row r="1143" spans="2:6" x14ac:dyDescent="0.2">
      <c r="B1143" s="115" t="s">
        <v>1713</v>
      </c>
      <c r="C1143" s="114">
        <v>483</v>
      </c>
      <c r="D1143" s="147">
        <f t="shared" si="63"/>
        <v>0.35725527226943027</v>
      </c>
      <c r="E1143" s="148">
        <f t="shared" si="62"/>
        <v>5.0631573849452518E-5</v>
      </c>
      <c r="F1143" s="148">
        <f t="shared" si="64"/>
        <v>2.9636452720487944E-2</v>
      </c>
    </row>
    <row r="1144" spans="2:6" x14ac:dyDescent="0.2">
      <c r="B1144" s="206" t="s">
        <v>2665</v>
      </c>
      <c r="C1144" s="205">
        <v>484</v>
      </c>
      <c r="D1144" s="147">
        <f t="shared" si="63"/>
        <v>0.35757003462385267</v>
      </c>
      <c r="E1144" s="148">
        <f t="shared" si="62"/>
        <v>5.0736401124503144E-5</v>
      </c>
      <c r="F1144" s="148">
        <f t="shared" si="64"/>
        <v>2.9687189121612449E-2</v>
      </c>
    </row>
    <row r="1145" spans="2:6" x14ac:dyDescent="0.2">
      <c r="B1145" s="115" t="s">
        <v>2010</v>
      </c>
      <c r="C1145" s="114">
        <v>484</v>
      </c>
      <c r="D1145" s="147">
        <f t="shared" si="63"/>
        <v>0.35788479697827508</v>
      </c>
      <c r="E1145" s="148">
        <f t="shared" si="62"/>
        <v>5.0736401124503144E-5</v>
      </c>
      <c r="F1145" s="148">
        <f t="shared" si="64"/>
        <v>2.9737925522736953E-2</v>
      </c>
    </row>
    <row r="1146" spans="2:6" x14ac:dyDescent="0.2">
      <c r="B1146" s="115" t="s">
        <v>1976</v>
      </c>
      <c r="C1146" s="114">
        <v>484</v>
      </c>
      <c r="D1146" s="147">
        <f t="shared" si="63"/>
        <v>0.35819955933269748</v>
      </c>
      <c r="E1146" s="148">
        <f t="shared" si="62"/>
        <v>5.0736401124503144E-5</v>
      </c>
      <c r="F1146" s="148">
        <f t="shared" si="64"/>
        <v>2.9788661923861457E-2</v>
      </c>
    </row>
    <row r="1147" spans="2:6" x14ac:dyDescent="0.2">
      <c r="B1147" s="206" t="s">
        <v>3061</v>
      </c>
      <c r="C1147" s="205">
        <v>485</v>
      </c>
      <c r="D1147" s="147">
        <f t="shared" si="63"/>
        <v>0.35851432168711989</v>
      </c>
      <c r="E1147" s="148">
        <f t="shared" si="62"/>
        <v>5.084122839955377E-5</v>
      </c>
      <c r="F1147" s="148">
        <f t="shared" si="64"/>
        <v>2.9839503152261009E-2</v>
      </c>
    </row>
    <row r="1148" spans="2:6" x14ac:dyDescent="0.2">
      <c r="B1148" s="206" t="s">
        <v>272</v>
      </c>
      <c r="C1148" s="205">
        <v>485</v>
      </c>
      <c r="D1148" s="147">
        <f t="shared" si="63"/>
        <v>0.35882908404154229</v>
      </c>
      <c r="E1148" s="148">
        <f t="shared" si="62"/>
        <v>5.084122839955377E-5</v>
      </c>
      <c r="F1148" s="148">
        <f t="shared" si="64"/>
        <v>2.9890344380660561E-2</v>
      </c>
    </row>
    <row r="1149" spans="2:6" x14ac:dyDescent="0.2">
      <c r="B1149" s="206" t="s">
        <v>223</v>
      </c>
      <c r="C1149" s="205">
        <v>485</v>
      </c>
      <c r="D1149" s="147">
        <f t="shared" si="63"/>
        <v>0.35914384639596469</v>
      </c>
      <c r="E1149" s="148">
        <f t="shared" si="62"/>
        <v>5.084122839955377E-5</v>
      </c>
      <c r="F1149" s="148">
        <f t="shared" si="64"/>
        <v>2.9941185609060113E-2</v>
      </c>
    </row>
    <row r="1150" spans="2:6" x14ac:dyDescent="0.2">
      <c r="B1150" s="115" t="s">
        <v>1908</v>
      </c>
      <c r="C1150" s="114">
        <v>486</v>
      </c>
      <c r="D1150" s="147">
        <f t="shared" si="63"/>
        <v>0.3594586087503871</v>
      </c>
      <c r="E1150" s="148">
        <f t="shared" si="62"/>
        <v>5.0946055674604395E-5</v>
      </c>
      <c r="F1150" s="148">
        <f t="shared" si="64"/>
        <v>2.9992131664734717E-2</v>
      </c>
    </row>
    <row r="1151" spans="2:6" x14ac:dyDescent="0.2">
      <c r="B1151" s="206" t="s">
        <v>1387</v>
      </c>
      <c r="C1151" s="205">
        <v>486</v>
      </c>
      <c r="D1151" s="147">
        <f t="shared" si="63"/>
        <v>0.3597733711048095</v>
      </c>
      <c r="E1151" s="148">
        <f t="shared" si="62"/>
        <v>5.0946055674604395E-5</v>
      </c>
      <c r="F1151" s="148">
        <f t="shared" si="64"/>
        <v>3.004307772040932E-2</v>
      </c>
    </row>
    <row r="1152" spans="2:6" x14ac:dyDescent="0.2">
      <c r="B1152" s="115" t="s">
        <v>3035</v>
      </c>
      <c r="C1152" s="114">
        <v>487</v>
      </c>
      <c r="D1152" s="147">
        <f t="shared" si="63"/>
        <v>0.36008813345923191</v>
      </c>
      <c r="E1152" s="148">
        <f t="shared" si="62"/>
        <v>5.1050882949655021E-5</v>
      </c>
      <c r="F1152" s="148">
        <f t="shared" si="64"/>
        <v>3.0094128603358975E-2</v>
      </c>
    </row>
    <row r="1153" spans="2:6" x14ac:dyDescent="0.2">
      <c r="B1153" s="115" t="s">
        <v>2040</v>
      </c>
      <c r="C1153" s="114">
        <v>487</v>
      </c>
      <c r="D1153" s="147">
        <f t="shared" si="63"/>
        <v>0.36040289581365431</v>
      </c>
      <c r="E1153" s="148">
        <f t="shared" si="62"/>
        <v>5.1050882949655021E-5</v>
      </c>
      <c r="F1153" s="148">
        <f t="shared" si="64"/>
        <v>3.014517948630863E-2</v>
      </c>
    </row>
    <row r="1154" spans="2:6" x14ac:dyDescent="0.2">
      <c r="B1154" s="206" t="s">
        <v>1650</v>
      </c>
      <c r="C1154" s="205">
        <v>487</v>
      </c>
      <c r="D1154" s="147">
        <f t="shared" si="63"/>
        <v>0.36071765816807672</v>
      </c>
      <c r="E1154" s="148">
        <f t="shared" si="62"/>
        <v>5.1050882949655021E-5</v>
      </c>
      <c r="F1154" s="148">
        <f t="shared" si="64"/>
        <v>3.0196230369258285E-2</v>
      </c>
    </row>
    <row r="1155" spans="2:6" x14ac:dyDescent="0.2">
      <c r="B1155" s="115" t="s">
        <v>1435</v>
      </c>
      <c r="C1155" s="114">
        <v>487</v>
      </c>
      <c r="D1155" s="147">
        <f t="shared" si="63"/>
        <v>0.36103242052249912</v>
      </c>
      <c r="E1155" s="148">
        <f t="shared" si="62"/>
        <v>5.1050882949655021E-5</v>
      </c>
      <c r="F1155" s="148">
        <f t="shared" si="64"/>
        <v>3.0247281252207939E-2</v>
      </c>
    </row>
    <row r="1156" spans="2:6" x14ac:dyDescent="0.2">
      <c r="B1156" s="115" t="s">
        <v>1695</v>
      </c>
      <c r="C1156" s="114">
        <v>489</v>
      </c>
      <c r="D1156" s="147">
        <f t="shared" si="63"/>
        <v>0.36134718287692152</v>
      </c>
      <c r="E1156" s="148">
        <f t="shared" si="62"/>
        <v>5.1260537499756279E-5</v>
      </c>
      <c r="F1156" s="148">
        <f t="shared" si="64"/>
        <v>3.0298541789707697E-2</v>
      </c>
    </row>
    <row r="1157" spans="2:6" x14ac:dyDescent="0.2">
      <c r="B1157" s="115" t="s">
        <v>645</v>
      </c>
      <c r="C1157" s="114">
        <v>489</v>
      </c>
      <c r="D1157" s="147">
        <f t="shared" si="63"/>
        <v>0.36166194523134393</v>
      </c>
      <c r="E1157" s="148">
        <f t="shared" si="62"/>
        <v>5.1260537499756279E-5</v>
      </c>
      <c r="F1157" s="148">
        <f t="shared" si="64"/>
        <v>3.0349802327207454E-2</v>
      </c>
    </row>
    <row r="1158" spans="2:6" x14ac:dyDescent="0.2">
      <c r="B1158" s="206" t="s">
        <v>1444</v>
      </c>
      <c r="C1158" s="205">
        <v>490</v>
      </c>
      <c r="D1158" s="147">
        <f t="shared" si="63"/>
        <v>0.36197670758576633</v>
      </c>
      <c r="E1158" s="148">
        <f t="shared" si="62"/>
        <v>5.1365364774806905E-5</v>
      </c>
      <c r="F1158" s="148">
        <f t="shared" si="64"/>
        <v>3.0401167691982259E-2</v>
      </c>
    </row>
    <row r="1159" spans="2:6" x14ac:dyDescent="0.2">
      <c r="B1159" s="206" t="s">
        <v>61</v>
      </c>
      <c r="C1159" s="205">
        <v>491</v>
      </c>
      <c r="D1159" s="147">
        <f t="shared" si="63"/>
        <v>0.36229146994018874</v>
      </c>
      <c r="E1159" s="148">
        <f t="shared" si="62"/>
        <v>5.147019204985753E-5</v>
      </c>
      <c r="F1159" s="148">
        <f t="shared" si="64"/>
        <v>3.0452637884032116E-2</v>
      </c>
    </row>
    <row r="1160" spans="2:6" x14ac:dyDescent="0.2">
      <c r="B1160" s="115" t="s">
        <v>2057</v>
      </c>
      <c r="C1160" s="114">
        <v>492</v>
      </c>
      <c r="D1160" s="147">
        <f t="shared" si="63"/>
        <v>0.36260623229461114</v>
      </c>
      <c r="E1160" s="148">
        <f t="shared" si="62"/>
        <v>5.1575019324908156E-5</v>
      </c>
      <c r="F1160" s="148">
        <f t="shared" si="64"/>
        <v>3.0504212903357024E-2</v>
      </c>
    </row>
    <row r="1161" spans="2:6" x14ac:dyDescent="0.2">
      <c r="B1161" s="206" t="s">
        <v>728</v>
      </c>
      <c r="C1161" s="205">
        <v>492</v>
      </c>
      <c r="D1161" s="147">
        <f t="shared" si="63"/>
        <v>0.36292099464903355</v>
      </c>
      <c r="E1161" s="148">
        <f t="shared" ref="E1161:E1224" si="65">C1161/$O$18</f>
        <v>5.1575019324908156E-5</v>
      </c>
      <c r="F1161" s="148">
        <f t="shared" si="64"/>
        <v>3.0555787922681932E-2</v>
      </c>
    </row>
    <row r="1162" spans="2:6" x14ac:dyDescent="0.2">
      <c r="B1162" s="206" t="s">
        <v>2869</v>
      </c>
      <c r="C1162" s="205">
        <v>493</v>
      </c>
      <c r="D1162" s="147">
        <f t="shared" ref="D1162:D1225" si="66">D1161+1/$L$18</f>
        <v>0.36323575700345595</v>
      </c>
      <c r="E1162" s="148">
        <f t="shared" si="65"/>
        <v>5.1679846599958782E-5</v>
      </c>
      <c r="F1162" s="148">
        <f t="shared" ref="F1162:F1225" si="67">F1161+E1162</f>
        <v>3.0607467769281891E-2</v>
      </c>
    </row>
    <row r="1163" spans="2:6" x14ac:dyDescent="0.2">
      <c r="B1163" s="206" t="s">
        <v>2143</v>
      </c>
      <c r="C1163" s="205">
        <v>494</v>
      </c>
      <c r="D1163" s="147">
        <f t="shared" si="66"/>
        <v>0.36355051935787835</v>
      </c>
      <c r="E1163" s="148">
        <f t="shared" si="65"/>
        <v>5.1784673875009407E-5</v>
      </c>
      <c r="F1163" s="148">
        <f t="shared" si="67"/>
        <v>3.0659252443156901E-2</v>
      </c>
    </row>
    <row r="1164" spans="2:6" x14ac:dyDescent="0.2">
      <c r="B1164" s="206" t="s">
        <v>2732</v>
      </c>
      <c r="C1164" s="205">
        <v>495</v>
      </c>
      <c r="D1164" s="147">
        <f t="shared" si="66"/>
        <v>0.36386528171230076</v>
      </c>
      <c r="E1164" s="148">
        <f t="shared" si="65"/>
        <v>5.1889501150060033E-5</v>
      </c>
      <c r="F1164" s="148">
        <f t="shared" si="67"/>
        <v>3.071114194430696E-2</v>
      </c>
    </row>
    <row r="1165" spans="2:6" x14ac:dyDescent="0.2">
      <c r="B1165" s="115" t="s">
        <v>202</v>
      </c>
      <c r="C1165" s="114">
        <v>495</v>
      </c>
      <c r="D1165" s="147">
        <f t="shared" si="66"/>
        <v>0.36418004406672316</v>
      </c>
      <c r="E1165" s="148">
        <f t="shared" si="65"/>
        <v>5.1889501150060033E-5</v>
      </c>
      <c r="F1165" s="148">
        <f t="shared" si="67"/>
        <v>3.0763031445457018E-2</v>
      </c>
    </row>
    <row r="1166" spans="2:6" x14ac:dyDescent="0.2">
      <c r="B1166" s="206" t="s">
        <v>2313</v>
      </c>
      <c r="C1166" s="205">
        <v>496</v>
      </c>
      <c r="D1166" s="147">
        <f t="shared" si="66"/>
        <v>0.36449480642114557</v>
      </c>
      <c r="E1166" s="148">
        <f t="shared" si="65"/>
        <v>5.1994328425110659E-5</v>
      </c>
      <c r="F1166" s="148">
        <f t="shared" si="67"/>
        <v>3.0815025773882128E-2</v>
      </c>
    </row>
    <row r="1167" spans="2:6" x14ac:dyDescent="0.2">
      <c r="B1167" s="115" t="s">
        <v>2125</v>
      </c>
      <c r="C1167" s="114">
        <v>496</v>
      </c>
      <c r="D1167" s="147">
        <f t="shared" si="66"/>
        <v>0.36480956877556797</v>
      </c>
      <c r="E1167" s="148">
        <f t="shared" si="65"/>
        <v>5.1994328425110659E-5</v>
      </c>
      <c r="F1167" s="148">
        <f t="shared" si="67"/>
        <v>3.0867020102307238E-2</v>
      </c>
    </row>
    <row r="1168" spans="2:6" x14ac:dyDescent="0.2">
      <c r="B1168" s="206" t="s">
        <v>1874</v>
      </c>
      <c r="C1168" s="205">
        <v>496</v>
      </c>
      <c r="D1168" s="147">
        <f t="shared" si="66"/>
        <v>0.36512433112999038</v>
      </c>
      <c r="E1168" s="148">
        <f t="shared" si="65"/>
        <v>5.1994328425110659E-5</v>
      </c>
      <c r="F1168" s="148">
        <f t="shared" si="67"/>
        <v>3.0919014430732347E-2</v>
      </c>
    </row>
    <row r="1169" spans="2:6" x14ac:dyDescent="0.2">
      <c r="B1169" s="206" t="s">
        <v>1817</v>
      </c>
      <c r="C1169" s="205">
        <v>496</v>
      </c>
      <c r="D1169" s="147">
        <f t="shared" si="66"/>
        <v>0.36543909348441278</v>
      </c>
      <c r="E1169" s="148">
        <f t="shared" si="65"/>
        <v>5.1994328425110659E-5</v>
      </c>
      <c r="F1169" s="148">
        <f t="shared" si="67"/>
        <v>3.0971008759157457E-2</v>
      </c>
    </row>
    <row r="1170" spans="2:6" x14ac:dyDescent="0.2">
      <c r="B1170" s="115" t="s">
        <v>1521</v>
      </c>
      <c r="C1170" s="114">
        <v>496</v>
      </c>
      <c r="D1170" s="147">
        <f t="shared" si="66"/>
        <v>0.36575385583883518</v>
      </c>
      <c r="E1170" s="148">
        <f t="shared" si="65"/>
        <v>5.1994328425110659E-5</v>
      </c>
      <c r="F1170" s="148">
        <f t="shared" si="67"/>
        <v>3.1023003087582567E-2</v>
      </c>
    </row>
    <row r="1171" spans="2:6" x14ac:dyDescent="0.2">
      <c r="B1171" s="115" t="s">
        <v>243</v>
      </c>
      <c r="C1171" s="114">
        <v>496</v>
      </c>
      <c r="D1171" s="147">
        <f t="shared" si="66"/>
        <v>0.36606861819325759</v>
      </c>
      <c r="E1171" s="148">
        <f t="shared" si="65"/>
        <v>5.1994328425110659E-5</v>
      </c>
      <c r="F1171" s="148">
        <f t="shared" si="67"/>
        <v>3.1074997416007676E-2</v>
      </c>
    </row>
    <row r="1172" spans="2:6" x14ac:dyDescent="0.2">
      <c r="B1172" s="115" t="s">
        <v>1348</v>
      </c>
      <c r="C1172" s="114">
        <v>497</v>
      </c>
      <c r="D1172" s="147">
        <f t="shared" si="66"/>
        <v>0.36638338054767999</v>
      </c>
      <c r="E1172" s="148">
        <f t="shared" si="65"/>
        <v>5.2099155700161284E-5</v>
      </c>
      <c r="F1172" s="148">
        <f t="shared" si="67"/>
        <v>3.1127096571707837E-2</v>
      </c>
    </row>
    <row r="1173" spans="2:6" x14ac:dyDescent="0.2">
      <c r="B1173" s="115" t="s">
        <v>956</v>
      </c>
      <c r="C1173" s="114">
        <v>497</v>
      </c>
      <c r="D1173" s="147">
        <f t="shared" si="66"/>
        <v>0.3666981429021024</v>
      </c>
      <c r="E1173" s="148">
        <f t="shared" si="65"/>
        <v>5.2099155700161284E-5</v>
      </c>
      <c r="F1173" s="148">
        <f t="shared" si="67"/>
        <v>3.1179195727407998E-2</v>
      </c>
    </row>
    <row r="1174" spans="2:6" x14ac:dyDescent="0.2">
      <c r="B1174" s="206" t="s">
        <v>2416</v>
      </c>
      <c r="C1174" s="205">
        <v>498</v>
      </c>
      <c r="D1174" s="147">
        <f t="shared" si="66"/>
        <v>0.3670129052565248</v>
      </c>
      <c r="E1174" s="148">
        <f t="shared" si="65"/>
        <v>5.2203982975211917E-5</v>
      </c>
      <c r="F1174" s="148">
        <f t="shared" si="67"/>
        <v>3.1231399710383211E-2</v>
      </c>
    </row>
    <row r="1175" spans="2:6" x14ac:dyDescent="0.2">
      <c r="B1175" s="115" t="s">
        <v>198</v>
      </c>
      <c r="C1175" s="114">
        <v>498</v>
      </c>
      <c r="D1175" s="147">
        <f t="shared" si="66"/>
        <v>0.36732766761094721</v>
      </c>
      <c r="E1175" s="148">
        <f t="shared" si="65"/>
        <v>5.2203982975211917E-5</v>
      </c>
      <c r="F1175" s="148">
        <f t="shared" si="67"/>
        <v>3.1283603693358419E-2</v>
      </c>
    </row>
    <row r="1176" spans="2:6" x14ac:dyDescent="0.2">
      <c r="B1176" s="206" t="s">
        <v>1199</v>
      </c>
      <c r="C1176" s="205">
        <v>499</v>
      </c>
      <c r="D1176" s="147">
        <f t="shared" si="66"/>
        <v>0.36764242996536961</v>
      </c>
      <c r="E1176" s="148">
        <f t="shared" si="65"/>
        <v>5.2308810250262542E-5</v>
      </c>
      <c r="F1176" s="148">
        <f t="shared" si="67"/>
        <v>3.1335912503608683E-2</v>
      </c>
    </row>
    <row r="1177" spans="2:6" x14ac:dyDescent="0.2">
      <c r="B1177" s="206" t="s">
        <v>337</v>
      </c>
      <c r="C1177" s="205">
        <v>499</v>
      </c>
      <c r="D1177" s="147">
        <f t="shared" si="66"/>
        <v>0.36795719231979201</v>
      </c>
      <c r="E1177" s="148">
        <f t="shared" si="65"/>
        <v>5.2308810250262542E-5</v>
      </c>
      <c r="F1177" s="148">
        <f t="shared" si="67"/>
        <v>3.1388221313858947E-2</v>
      </c>
    </row>
    <row r="1178" spans="2:6" x14ac:dyDescent="0.2">
      <c r="B1178" s="115" t="s">
        <v>1320</v>
      </c>
      <c r="C1178" s="114">
        <v>500</v>
      </c>
      <c r="D1178" s="147">
        <f t="shared" si="66"/>
        <v>0.36827195467421442</v>
      </c>
      <c r="E1178" s="148">
        <f t="shared" si="65"/>
        <v>5.2413637525313168E-5</v>
      </c>
      <c r="F1178" s="148">
        <f t="shared" si="67"/>
        <v>3.1440634951384258E-2</v>
      </c>
    </row>
    <row r="1179" spans="2:6" x14ac:dyDescent="0.2">
      <c r="B1179" s="206" t="s">
        <v>1274</v>
      </c>
      <c r="C1179" s="205">
        <v>500</v>
      </c>
      <c r="D1179" s="147">
        <f t="shared" si="66"/>
        <v>0.36858671702863682</v>
      </c>
      <c r="E1179" s="148">
        <f t="shared" si="65"/>
        <v>5.2413637525313168E-5</v>
      </c>
      <c r="F1179" s="148">
        <f t="shared" si="67"/>
        <v>3.149304858890957E-2</v>
      </c>
    </row>
    <row r="1180" spans="2:6" x14ac:dyDescent="0.2">
      <c r="B1180" s="206" t="s">
        <v>2521</v>
      </c>
      <c r="C1180" s="205">
        <v>501</v>
      </c>
      <c r="D1180" s="147">
        <f t="shared" si="66"/>
        <v>0.36890147938305923</v>
      </c>
      <c r="E1180" s="148">
        <f t="shared" si="65"/>
        <v>5.2518464800363794E-5</v>
      </c>
      <c r="F1180" s="148">
        <f t="shared" si="67"/>
        <v>3.1545567053709936E-2</v>
      </c>
    </row>
    <row r="1181" spans="2:6" x14ac:dyDescent="0.2">
      <c r="B1181" s="206" t="s">
        <v>1662</v>
      </c>
      <c r="C1181" s="205">
        <v>502</v>
      </c>
      <c r="D1181" s="147">
        <f t="shared" si="66"/>
        <v>0.36921624173748163</v>
      </c>
      <c r="E1181" s="148">
        <f t="shared" si="65"/>
        <v>5.2623292075414419E-5</v>
      </c>
      <c r="F1181" s="148">
        <f t="shared" si="67"/>
        <v>3.159819034578535E-2</v>
      </c>
    </row>
    <row r="1182" spans="2:6" x14ac:dyDescent="0.2">
      <c r="B1182" s="206" t="s">
        <v>922</v>
      </c>
      <c r="C1182" s="205">
        <v>502</v>
      </c>
      <c r="D1182" s="147">
        <f t="shared" si="66"/>
        <v>0.36953100409190404</v>
      </c>
      <c r="E1182" s="148">
        <f t="shared" si="65"/>
        <v>5.2623292075414419E-5</v>
      </c>
      <c r="F1182" s="148">
        <f t="shared" si="67"/>
        <v>3.1650813637860764E-2</v>
      </c>
    </row>
    <row r="1183" spans="2:6" x14ac:dyDescent="0.2">
      <c r="B1183" s="115" t="s">
        <v>238</v>
      </c>
      <c r="C1183" s="114">
        <v>502</v>
      </c>
      <c r="D1183" s="147">
        <f t="shared" si="66"/>
        <v>0.36984576644632644</v>
      </c>
      <c r="E1183" s="148">
        <f t="shared" si="65"/>
        <v>5.2623292075414419E-5</v>
      </c>
      <c r="F1183" s="148">
        <f t="shared" si="67"/>
        <v>3.1703436929936178E-2</v>
      </c>
    </row>
    <row r="1184" spans="2:6" x14ac:dyDescent="0.2">
      <c r="B1184" s="115" t="s">
        <v>1946</v>
      </c>
      <c r="C1184" s="114">
        <v>503</v>
      </c>
      <c r="D1184" s="147">
        <f t="shared" si="66"/>
        <v>0.37016052880074884</v>
      </c>
      <c r="E1184" s="148">
        <f t="shared" si="65"/>
        <v>5.2728119350465045E-5</v>
      </c>
      <c r="F1184" s="148">
        <f t="shared" si="67"/>
        <v>3.175616504928664E-2</v>
      </c>
    </row>
    <row r="1185" spans="2:6" x14ac:dyDescent="0.2">
      <c r="B1185" s="206" t="s">
        <v>1526</v>
      </c>
      <c r="C1185" s="205">
        <v>503</v>
      </c>
      <c r="D1185" s="147">
        <f t="shared" si="66"/>
        <v>0.37047529115517125</v>
      </c>
      <c r="E1185" s="148">
        <f t="shared" si="65"/>
        <v>5.2728119350465045E-5</v>
      </c>
      <c r="F1185" s="148">
        <f t="shared" si="67"/>
        <v>3.1808893168637102E-2</v>
      </c>
    </row>
    <row r="1186" spans="2:6" x14ac:dyDescent="0.2">
      <c r="B1186" s="206" t="s">
        <v>771</v>
      </c>
      <c r="C1186" s="205">
        <v>503</v>
      </c>
      <c r="D1186" s="147">
        <f t="shared" si="66"/>
        <v>0.37079005350959365</v>
      </c>
      <c r="E1186" s="148">
        <f t="shared" si="65"/>
        <v>5.2728119350465045E-5</v>
      </c>
      <c r="F1186" s="148">
        <f t="shared" si="67"/>
        <v>3.1861621287987564E-2</v>
      </c>
    </row>
    <row r="1187" spans="2:6" x14ac:dyDescent="0.2">
      <c r="B1187" s="115" t="s">
        <v>3051</v>
      </c>
      <c r="C1187" s="114">
        <v>504</v>
      </c>
      <c r="D1187" s="147">
        <f t="shared" si="66"/>
        <v>0.37110481586401606</v>
      </c>
      <c r="E1187" s="148">
        <f t="shared" si="65"/>
        <v>5.2832946625515671E-5</v>
      </c>
      <c r="F1187" s="148">
        <f t="shared" si="67"/>
        <v>3.1914454234613081E-2</v>
      </c>
    </row>
    <row r="1188" spans="2:6" x14ac:dyDescent="0.2">
      <c r="B1188" s="115" t="s">
        <v>3067</v>
      </c>
      <c r="C1188" s="114">
        <v>505</v>
      </c>
      <c r="D1188" s="147">
        <f t="shared" si="66"/>
        <v>0.37141957821843846</v>
      </c>
      <c r="E1188" s="148">
        <f t="shared" si="65"/>
        <v>5.2937773900566296E-5</v>
      </c>
      <c r="F1188" s="148">
        <f t="shared" si="67"/>
        <v>3.1967392008513645E-2</v>
      </c>
    </row>
    <row r="1189" spans="2:6" x14ac:dyDescent="0.2">
      <c r="B1189" s="115" t="s">
        <v>869</v>
      </c>
      <c r="C1189" s="114">
        <v>505</v>
      </c>
      <c r="D1189" s="147">
        <f t="shared" si="66"/>
        <v>0.37173434057286087</v>
      </c>
      <c r="E1189" s="148">
        <f t="shared" si="65"/>
        <v>5.2937773900566296E-5</v>
      </c>
      <c r="F1189" s="148">
        <f t="shared" si="67"/>
        <v>3.202032978241421E-2</v>
      </c>
    </row>
    <row r="1190" spans="2:6" x14ac:dyDescent="0.2">
      <c r="B1190" s="206" t="s">
        <v>2244</v>
      </c>
      <c r="C1190" s="205">
        <v>506</v>
      </c>
      <c r="D1190" s="147">
        <f t="shared" si="66"/>
        <v>0.37204910292728327</v>
      </c>
      <c r="E1190" s="148">
        <f t="shared" si="65"/>
        <v>5.3042601175616922E-5</v>
      </c>
      <c r="F1190" s="148">
        <f t="shared" si="67"/>
        <v>3.2073372383589829E-2</v>
      </c>
    </row>
    <row r="1191" spans="2:6" x14ac:dyDescent="0.2">
      <c r="B1191" s="206" t="s">
        <v>638</v>
      </c>
      <c r="C1191" s="205">
        <v>506</v>
      </c>
      <c r="D1191" s="147">
        <f t="shared" si="66"/>
        <v>0.37236386528170567</v>
      </c>
      <c r="E1191" s="148">
        <f t="shared" si="65"/>
        <v>5.3042601175616922E-5</v>
      </c>
      <c r="F1191" s="148">
        <f t="shared" si="67"/>
        <v>3.2126414984765449E-2</v>
      </c>
    </row>
    <row r="1192" spans="2:6" x14ac:dyDescent="0.2">
      <c r="B1192" s="115" t="s">
        <v>2599</v>
      </c>
      <c r="C1192" s="114">
        <v>507</v>
      </c>
      <c r="D1192" s="147">
        <f t="shared" si="66"/>
        <v>0.37267862763612808</v>
      </c>
      <c r="E1192" s="148">
        <f t="shared" si="65"/>
        <v>5.3147428450667548E-5</v>
      </c>
      <c r="F1192" s="148">
        <f t="shared" si="67"/>
        <v>3.2179562413216116E-2</v>
      </c>
    </row>
    <row r="1193" spans="2:6" x14ac:dyDescent="0.2">
      <c r="B1193" s="115" t="s">
        <v>2496</v>
      </c>
      <c r="C1193" s="114">
        <v>507</v>
      </c>
      <c r="D1193" s="147">
        <f t="shared" si="66"/>
        <v>0.37299338999055048</v>
      </c>
      <c r="E1193" s="148">
        <f t="shared" si="65"/>
        <v>5.3147428450667548E-5</v>
      </c>
      <c r="F1193" s="148">
        <f t="shared" si="67"/>
        <v>3.2232709841666783E-2</v>
      </c>
    </row>
    <row r="1194" spans="2:6" x14ac:dyDescent="0.2">
      <c r="B1194" s="206" t="s">
        <v>1762</v>
      </c>
      <c r="C1194" s="205">
        <v>507</v>
      </c>
      <c r="D1194" s="147">
        <f t="shared" si="66"/>
        <v>0.37330815234497289</v>
      </c>
      <c r="E1194" s="148">
        <f t="shared" si="65"/>
        <v>5.3147428450667548E-5</v>
      </c>
      <c r="F1194" s="148">
        <f t="shared" si="67"/>
        <v>3.228585727011745E-2</v>
      </c>
    </row>
    <row r="1195" spans="2:6" x14ac:dyDescent="0.2">
      <c r="B1195" s="206" t="s">
        <v>1218</v>
      </c>
      <c r="C1195" s="205">
        <v>508</v>
      </c>
      <c r="D1195" s="147">
        <f t="shared" si="66"/>
        <v>0.37362291469939529</v>
      </c>
      <c r="E1195" s="148">
        <f t="shared" si="65"/>
        <v>5.325225572571818E-5</v>
      </c>
      <c r="F1195" s="148">
        <f t="shared" si="67"/>
        <v>3.2339109525843165E-2</v>
      </c>
    </row>
    <row r="1196" spans="2:6" x14ac:dyDescent="0.2">
      <c r="B1196" s="206" t="s">
        <v>759</v>
      </c>
      <c r="C1196" s="205">
        <v>508</v>
      </c>
      <c r="D1196" s="147">
        <f t="shared" si="66"/>
        <v>0.3739376770538177</v>
      </c>
      <c r="E1196" s="148">
        <f t="shared" si="65"/>
        <v>5.325225572571818E-5</v>
      </c>
      <c r="F1196" s="148">
        <f t="shared" si="67"/>
        <v>3.2392361781568881E-2</v>
      </c>
    </row>
    <row r="1197" spans="2:6" x14ac:dyDescent="0.2">
      <c r="B1197" s="206" t="s">
        <v>2436</v>
      </c>
      <c r="C1197" s="205">
        <v>510</v>
      </c>
      <c r="D1197" s="147">
        <f t="shared" si="66"/>
        <v>0.3742524394082401</v>
      </c>
      <c r="E1197" s="148">
        <f t="shared" si="65"/>
        <v>5.3461910275819431E-5</v>
      </c>
      <c r="F1197" s="148">
        <f t="shared" si="67"/>
        <v>3.2445823691844698E-2</v>
      </c>
    </row>
    <row r="1198" spans="2:6" x14ac:dyDescent="0.2">
      <c r="B1198" s="206" t="s">
        <v>1942</v>
      </c>
      <c r="C1198" s="205">
        <v>510</v>
      </c>
      <c r="D1198" s="147">
        <f t="shared" si="66"/>
        <v>0.3745672017626625</v>
      </c>
      <c r="E1198" s="148">
        <f t="shared" si="65"/>
        <v>5.3461910275819431E-5</v>
      </c>
      <c r="F1198" s="148">
        <f t="shared" si="67"/>
        <v>3.2499285602120516E-2</v>
      </c>
    </row>
    <row r="1199" spans="2:6" x14ac:dyDescent="0.2">
      <c r="B1199" s="115" t="s">
        <v>2857</v>
      </c>
      <c r="C1199" s="114">
        <v>511</v>
      </c>
      <c r="D1199" s="147">
        <f t="shared" si="66"/>
        <v>0.37488196411708491</v>
      </c>
      <c r="E1199" s="148">
        <f t="shared" si="65"/>
        <v>5.3566737550870057E-5</v>
      </c>
      <c r="F1199" s="148">
        <f t="shared" si="67"/>
        <v>3.2552852339671388E-2</v>
      </c>
    </row>
    <row r="1200" spans="2:6" x14ac:dyDescent="0.2">
      <c r="B1200" s="206" t="s">
        <v>2641</v>
      </c>
      <c r="C1200" s="205">
        <v>511</v>
      </c>
      <c r="D1200" s="147">
        <f t="shared" si="66"/>
        <v>0.37519672647150731</v>
      </c>
      <c r="E1200" s="148">
        <f t="shared" si="65"/>
        <v>5.3566737550870057E-5</v>
      </c>
      <c r="F1200" s="148">
        <f t="shared" si="67"/>
        <v>3.2606419077222261E-2</v>
      </c>
    </row>
    <row r="1201" spans="2:6" x14ac:dyDescent="0.2">
      <c r="B1201" s="206" t="s">
        <v>2109</v>
      </c>
      <c r="C1201" s="205">
        <v>511</v>
      </c>
      <c r="D1201" s="147">
        <f t="shared" si="66"/>
        <v>0.37551148882592972</v>
      </c>
      <c r="E1201" s="148">
        <f t="shared" si="65"/>
        <v>5.3566737550870057E-5</v>
      </c>
      <c r="F1201" s="148">
        <f t="shared" si="67"/>
        <v>3.2659985814773133E-2</v>
      </c>
    </row>
    <row r="1202" spans="2:6" x14ac:dyDescent="0.2">
      <c r="B1202" s="206" t="s">
        <v>3003</v>
      </c>
      <c r="C1202" s="205">
        <v>512</v>
      </c>
      <c r="D1202" s="147">
        <f t="shared" si="66"/>
        <v>0.37582625118035212</v>
      </c>
      <c r="E1202" s="148">
        <f t="shared" si="65"/>
        <v>5.3671564825920683E-5</v>
      </c>
      <c r="F1202" s="148">
        <f t="shared" si="67"/>
        <v>3.2713657379599054E-2</v>
      </c>
    </row>
    <row r="1203" spans="2:6" x14ac:dyDescent="0.2">
      <c r="B1203" s="115" t="s">
        <v>1752</v>
      </c>
      <c r="C1203" s="114">
        <v>513</v>
      </c>
      <c r="D1203" s="147">
        <f t="shared" si="66"/>
        <v>0.37614101353477453</v>
      </c>
      <c r="E1203" s="148">
        <f t="shared" si="65"/>
        <v>5.3776392100971308E-5</v>
      </c>
      <c r="F1203" s="148">
        <f t="shared" si="67"/>
        <v>3.2767433771700022E-2</v>
      </c>
    </row>
    <row r="1204" spans="2:6" x14ac:dyDescent="0.2">
      <c r="B1204" s="115" t="s">
        <v>307</v>
      </c>
      <c r="C1204" s="114">
        <v>513</v>
      </c>
      <c r="D1204" s="147">
        <f t="shared" si="66"/>
        <v>0.37645577588919693</v>
      </c>
      <c r="E1204" s="148">
        <f t="shared" si="65"/>
        <v>5.3776392100971308E-5</v>
      </c>
      <c r="F1204" s="148">
        <f t="shared" si="67"/>
        <v>3.282121016380099E-2</v>
      </c>
    </row>
    <row r="1205" spans="2:6" x14ac:dyDescent="0.2">
      <c r="B1205" s="115" t="s">
        <v>1145</v>
      </c>
      <c r="C1205" s="114">
        <v>514</v>
      </c>
      <c r="D1205" s="147">
        <f t="shared" si="66"/>
        <v>0.37677053824361934</v>
      </c>
      <c r="E1205" s="148">
        <f t="shared" si="65"/>
        <v>5.3881219376021934E-5</v>
      </c>
      <c r="F1205" s="148">
        <f t="shared" si="67"/>
        <v>3.2875091383177013E-2</v>
      </c>
    </row>
    <row r="1206" spans="2:6" x14ac:dyDescent="0.2">
      <c r="B1206" s="206" t="s">
        <v>1643</v>
      </c>
      <c r="C1206" s="205">
        <v>515</v>
      </c>
      <c r="D1206" s="147">
        <f t="shared" si="66"/>
        <v>0.37708530059804174</v>
      </c>
      <c r="E1206" s="148">
        <f t="shared" si="65"/>
        <v>5.398604665107256E-5</v>
      </c>
      <c r="F1206" s="148">
        <f t="shared" si="67"/>
        <v>3.2929077429828084E-2</v>
      </c>
    </row>
    <row r="1207" spans="2:6" x14ac:dyDescent="0.2">
      <c r="B1207" s="206" t="s">
        <v>600</v>
      </c>
      <c r="C1207" s="205">
        <v>515</v>
      </c>
      <c r="D1207" s="147">
        <f t="shared" si="66"/>
        <v>0.37740006295246414</v>
      </c>
      <c r="E1207" s="148">
        <f t="shared" si="65"/>
        <v>5.398604665107256E-5</v>
      </c>
      <c r="F1207" s="148">
        <f t="shared" si="67"/>
        <v>3.2983063476479155E-2</v>
      </c>
    </row>
    <row r="1208" spans="2:6" x14ac:dyDescent="0.2">
      <c r="B1208" s="206" t="s">
        <v>2739</v>
      </c>
      <c r="C1208" s="205">
        <v>516</v>
      </c>
      <c r="D1208" s="147">
        <f t="shared" si="66"/>
        <v>0.37771482530688655</v>
      </c>
      <c r="E1208" s="148">
        <f t="shared" si="65"/>
        <v>5.4090873926123185E-5</v>
      </c>
      <c r="F1208" s="148">
        <f t="shared" si="67"/>
        <v>3.303715435040528E-2</v>
      </c>
    </row>
    <row r="1209" spans="2:6" x14ac:dyDescent="0.2">
      <c r="B1209" s="115" t="s">
        <v>519</v>
      </c>
      <c r="C1209" s="114">
        <v>516</v>
      </c>
      <c r="D1209" s="147">
        <f t="shared" si="66"/>
        <v>0.37802958766130895</v>
      </c>
      <c r="E1209" s="148">
        <f t="shared" si="65"/>
        <v>5.4090873926123185E-5</v>
      </c>
      <c r="F1209" s="148">
        <f t="shared" si="67"/>
        <v>3.3091245224331406E-2</v>
      </c>
    </row>
    <row r="1210" spans="2:6" x14ac:dyDescent="0.2">
      <c r="B1210" s="115" t="s">
        <v>507</v>
      </c>
      <c r="C1210" s="114">
        <v>516</v>
      </c>
      <c r="D1210" s="147">
        <f t="shared" si="66"/>
        <v>0.37834435001573136</v>
      </c>
      <c r="E1210" s="148">
        <f t="shared" si="65"/>
        <v>5.4090873926123185E-5</v>
      </c>
      <c r="F1210" s="148">
        <f t="shared" si="67"/>
        <v>3.3145336098257532E-2</v>
      </c>
    </row>
    <row r="1211" spans="2:6" x14ac:dyDescent="0.2">
      <c r="B1211" s="115" t="s">
        <v>933</v>
      </c>
      <c r="C1211" s="114">
        <v>517</v>
      </c>
      <c r="D1211" s="147">
        <f t="shared" si="66"/>
        <v>0.37865911237015376</v>
      </c>
      <c r="E1211" s="148">
        <f t="shared" si="65"/>
        <v>5.4195701201173811E-5</v>
      </c>
      <c r="F1211" s="148">
        <f t="shared" si="67"/>
        <v>3.3199531799458705E-2</v>
      </c>
    </row>
    <row r="1212" spans="2:6" x14ac:dyDescent="0.2">
      <c r="B1212" s="206" t="s">
        <v>887</v>
      </c>
      <c r="C1212" s="205">
        <v>518</v>
      </c>
      <c r="D1212" s="147">
        <f t="shared" si="66"/>
        <v>0.37897387472457617</v>
      </c>
      <c r="E1212" s="148">
        <f t="shared" si="65"/>
        <v>5.4300528476224443E-5</v>
      </c>
      <c r="F1212" s="148">
        <f t="shared" si="67"/>
        <v>3.3253832327934926E-2</v>
      </c>
    </row>
    <row r="1213" spans="2:6" x14ac:dyDescent="0.2">
      <c r="B1213" s="115" t="s">
        <v>794</v>
      </c>
      <c r="C1213" s="114">
        <v>518</v>
      </c>
      <c r="D1213" s="147">
        <f t="shared" si="66"/>
        <v>0.37928863707899857</v>
      </c>
      <c r="E1213" s="148">
        <f t="shared" si="65"/>
        <v>5.4300528476224443E-5</v>
      </c>
      <c r="F1213" s="148">
        <f t="shared" si="67"/>
        <v>3.3308132856411148E-2</v>
      </c>
    </row>
    <row r="1214" spans="2:6" x14ac:dyDescent="0.2">
      <c r="B1214" s="115" t="s">
        <v>2483</v>
      </c>
      <c r="C1214" s="114">
        <v>519</v>
      </c>
      <c r="D1214" s="147">
        <f t="shared" si="66"/>
        <v>0.37960339943342097</v>
      </c>
      <c r="E1214" s="148">
        <f t="shared" si="65"/>
        <v>5.4405355751275069E-5</v>
      </c>
      <c r="F1214" s="148">
        <f t="shared" si="67"/>
        <v>3.3362538212162424E-2</v>
      </c>
    </row>
    <row r="1215" spans="2:6" x14ac:dyDescent="0.2">
      <c r="B1215" s="115" t="s">
        <v>2456</v>
      </c>
      <c r="C1215" s="114">
        <v>519</v>
      </c>
      <c r="D1215" s="147">
        <f t="shared" si="66"/>
        <v>0.37991816178784338</v>
      </c>
      <c r="E1215" s="148">
        <f t="shared" si="65"/>
        <v>5.4405355751275069E-5</v>
      </c>
      <c r="F1215" s="148">
        <f t="shared" si="67"/>
        <v>3.34169435679137E-2</v>
      </c>
    </row>
    <row r="1216" spans="2:6" x14ac:dyDescent="0.2">
      <c r="B1216" s="115" t="s">
        <v>770</v>
      </c>
      <c r="C1216" s="114">
        <v>519</v>
      </c>
      <c r="D1216" s="147">
        <f t="shared" si="66"/>
        <v>0.38023292414226578</v>
      </c>
      <c r="E1216" s="148">
        <f t="shared" si="65"/>
        <v>5.4405355751275069E-5</v>
      </c>
      <c r="F1216" s="148">
        <f t="shared" si="67"/>
        <v>3.3471348923664976E-2</v>
      </c>
    </row>
    <row r="1217" spans="2:6" x14ac:dyDescent="0.2">
      <c r="B1217" s="206" t="s">
        <v>684</v>
      </c>
      <c r="C1217" s="205">
        <v>519</v>
      </c>
      <c r="D1217" s="147">
        <f t="shared" si="66"/>
        <v>0.38054768649668819</v>
      </c>
      <c r="E1217" s="148">
        <f t="shared" si="65"/>
        <v>5.4405355751275069E-5</v>
      </c>
      <c r="F1217" s="148">
        <f t="shared" si="67"/>
        <v>3.3525754279416252E-2</v>
      </c>
    </row>
    <row r="1218" spans="2:6" x14ac:dyDescent="0.2">
      <c r="B1218" s="206" t="s">
        <v>585</v>
      </c>
      <c r="C1218" s="205">
        <v>520</v>
      </c>
      <c r="D1218" s="147">
        <f t="shared" si="66"/>
        <v>0.38086244885111059</v>
      </c>
      <c r="E1218" s="148">
        <f t="shared" si="65"/>
        <v>5.4510183026325695E-5</v>
      </c>
      <c r="F1218" s="148">
        <f t="shared" si="67"/>
        <v>3.3580264462442576E-2</v>
      </c>
    </row>
    <row r="1219" spans="2:6" x14ac:dyDescent="0.2">
      <c r="B1219" s="206" t="s">
        <v>941</v>
      </c>
      <c r="C1219" s="205">
        <v>521</v>
      </c>
      <c r="D1219" s="147">
        <f t="shared" si="66"/>
        <v>0.381177211205533</v>
      </c>
      <c r="E1219" s="148">
        <f t="shared" si="65"/>
        <v>5.461501030137632E-5</v>
      </c>
      <c r="F1219" s="148">
        <f t="shared" si="67"/>
        <v>3.3634879472743955E-2</v>
      </c>
    </row>
    <row r="1220" spans="2:6" x14ac:dyDescent="0.2">
      <c r="B1220" s="115" t="s">
        <v>901</v>
      </c>
      <c r="C1220" s="114">
        <v>521</v>
      </c>
      <c r="D1220" s="147">
        <f t="shared" si="66"/>
        <v>0.3814919735599554</v>
      </c>
      <c r="E1220" s="148">
        <f t="shared" si="65"/>
        <v>5.461501030137632E-5</v>
      </c>
      <c r="F1220" s="148">
        <f t="shared" si="67"/>
        <v>3.3689494483045333E-2</v>
      </c>
    </row>
    <row r="1221" spans="2:6" x14ac:dyDescent="0.2">
      <c r="B1221" s="206" t="s">
        <v>2111</v>
      </c>
      <c r="C1221" s="205">
        <v>522</v>
      </c>
      <c r="D1221" s="147">
        <f t="shared" si="66"/>
        <v>0.3818067359143778</v>
      </c>
      <c r="E1221" s="148">
        <f t="shared" si="65"/>
        <v>5.4719837576426946E-5</v>
      </c>
      <c r="F1221" s="148">
        <f t="shared" si="67"/>
        <v>3.374421432062176E-2</v>
      </c>
    </row>
    <row r="1222" spans="2:6" x14ac:dyDescent="0.2">
      <c r="B1222" s="206" t="s">
        <v>1719</v>
      </c>
      <c r="C1222" s="205">
        <v>522</v>
      </c>
      <c r="D1222" s="147">
        <f t="shared" si="66"/>
        <v>0.38212149826880021</v>
      </c>
      <c r="E1222" s="148">
        <f t="shared" si="65"/>
        <v>5.4719837576426946E-5</v>
      </c>
      <c r="F1222" s="148">
        <f t="shared" si="67"/>
        <v>3.3798934158198186E-2</v>
      </c>
    </row>
    <row r="1223" spans="2:6" x14ac:dyDescent="0.2">
      <c r="B1223" s="206" t="s">
        <v>2462</v>
      </c>
      <c r="C1223" s="205">
        <v>523</v>
      </c>
      <c r="D1223" s="147">
        <f t="shared" si="66"/>
        <v>0.38243626062322261</v>
      </c>
      <c r="E1223" s="148">
        <f t="shared" si="65"/>
        <v>5.4824664851477572E-5</v>
      </c>
      <c r="F1223" s="148">
        <f t="shared" si="67"/>
        <v>3.3853758823049661E-2</v>
      </c>
    </row>
    <row r="1224" spans="2:6" x14ac:dyDescent="0.2">
      <c r="B1224" s="115" t="s">
        <v>2395</v>
      </c>
      <c r="C1224" s="114">
        <v>523</v>
      </c>
      <c r="D1224" s="147">
        <f t="shared" si="66"/>
        <v>0.38275102297764502</v>
      </c>
      <c r="E1224" s="148">
        <f t="shared" si="65"/>
        <v>5.4824664851477572E-5</v>
      </c>
      <c r="F1224" s="148">
        <f t="shared" si="67"/>
        <v>3.3908583487901135E-2</v>
      </c>
    </row>
    <row r="1225" spans="2:6" x14ac:dyDescent="0.2">
      <c r="B1225" s="206" t="s">
        <v>3094</v>
      </c>
      <c r="C1225" s="205">
        <v>525</v>
      </c>
      <c r="D1225" s="147">
        <f t="shared" si="66"/>
        <v>0.38306578533206742</v>
      </c>
      <c r="E1225" s="148">
        <f t="shared" ref="E1225:E1288" si="68">C1225/$O$18</f>
        <v>5.5034319401578823E-5</v>
      </c>
      <c r="F1225" s="148">
        <f t="shared" si="67"/>
        <v>3.3963617807302712E-2</v>
      </c>
    </row>
    <row r="1226" spans="2:6" x14ac:dyDescent="0.2">
      <c r="B1226" s="115" t="s">
        <v>1885</v>
      </c>
      <c r="C1226" s="114">
        <v>525</v>
      </c>
      <c r="D1226" s="147">
        <f t="shared" ref="D1226:D1289" si="69">D1225+1/$L$18</f>
        <v>0.38338054768648983</v>
      </c>
      <c r="E1226" s="148">
        <f t="shared" si="68"/>
        <v>5.5034319401578823E-5</v>
      </c>
      <c r="F1226" s="148">
        <f t="shared" ref="F1226:F1289" si="70">F1225+E1226</f>
        <v>3.4018652126704289E-2</v>
      </c>
    </row>
    <row r="1227" spans="2:6" x14ac:dyDescent="0.2">
      <c r="B1227" s="115" t="s">
        <v>1658</v>
      </c>
      <c r="C1227" s="114">
        <v>525</v>
      </c>
      <c r="D1227" s="147">
        <f t="shared" si="69"/>
        <v>0.38369531004091223</v>
      </c>
      <c r="E1227" s="148">
        <f t="shared" si="68"/>
        <v>5.5034319401578823E-5</v>
      </c>
      <c r="F1227" s="148">
        <f t="shared" si="70"/>
        <v>3.4073686446105866E-2</v>
      </c>
    </row>
    <row r="1228" spans="2:6" x14ac:dyDescent="0.2">
      <c r="B1228" s="115" t="s">
        <v>30</v>
      </c>
      <c r="C1228" s="114">
        <v>525</v>
      </c>
      <c r="D1228" s="147">
        <f t="shared" si="69"/>
        <v>0.38401007239533463</v>
      </c>
      <c r="E1228" s="148">
        <f t="shared" si="68"/>
        <v>5.5034319401578823E-5</v>
      </c>
      <c r="F1228" s="148">
        <f t="shared" si="70"/>
        <v>3.4128720765507443E-2</v>
      </c>
    </row>
    <row r="1229" spans="2:6" x14ac:dyDescent="0.2">
      <c r="B1229" s="206" t="s">
        <v>277</v>
      </c>
      <c r="C1229" s="205">
        <v>526</v>
      </c>
      <c r="D1229" s="147">
        <f t="shared" si="69"/>
        <v>0.38432483474975704</v>
      </c>
      <c r="E1229" s="148">
        <f t="shared" si="68"/>
        <v>5.5139146676629449E-5</v>
      </c>
      <c r="F1229" s="148">
        <f t="shared" si="70"/>
        <v>3.4183859912184075E-2</v>
      </c>
    </row>
    <row r="1230" spans="2:6" x14ac:dyDescent="0.2">
      <c r="B1230" s="115" t="s">
        <v>212</v>
      </c>
      <c r="C1230" s="114">
        <v>527</v>
      </c>
      <c r="D1230" s="147">
        <f t="shared" si="69"/>
        <v>0.38463959710417944</v>
      </c>
      <c r="E1230" s="148">
        <f t="shared" si="68"/>
        <v>5.5243973951680074E-5</v>
      </c>
      <c r="F1230" s="148">
        <f t="shared" si="70"/>
        <v>3.4239103886135755E-2</v>
      </c>
    </row>
    <row r="1231" spans="2:6" x14ac:dyDescent="0.2">
      <c r="B1231" s="206" t="s">
        <v>173</v>
      </c>
      <c r="C1231" s="205">
        <v>528</v>
      </c>
      <c r="D1231" s="147">
        <f t="shared" si="69"/>
        <v>0.38495435945860185</v>
      </c>
      <c r="E1231" s="148">
        <f t="shared" si="68"/>
        <v>5.5348801226730707E-5</v>
      </c>
      <c r="F1231" s="148">
        <f t="shared" si="70"/>
        <v>3.4294452687362482E-2</v>
      </c>
    </row>
    <row r="1232" spans="2:6" x14ac:dyDescent="0.2">
      <c r="B1232" s="115" t="s">
        <v>688</v>
      </c>
      <c r="C1232" s="114">
        <v>529</v>
      </c>
      <c r="D1232" s="147">
        <f t="shared" si="69"/>
        <v>0.38526912181302425</v>
      </c>
      <c r="E1232" s="148">
        <f t="shared" si="68"/>
        <v>5.5453628501781332E-5</v>
      </c>
      <c r="F1232" s="148">
        <f t="shared" si="70"/>
        <v>3.4349906315864265E-2</v>
      </c>
    </row>
    <row r="1233" spans="2:6" x14ac:dyDescent="0.2">
      <c r="B1233" s="206" t="s">
        <v>1681</v>
      </c>
      <c r="C1233" s="205">
        <v>530</v>
      </c>
      <c r="D1233" s="147">
        <f t="shared" si="69"/>
        <v>0.38558388416744666</v>
      </c>
      <c r="E1233" s="148">
        <f t="shared" si="68"/>
        <v>5.5558455776831958E-5</v>
      </c>
      <c r="F1233" s="148">
        <f t="shared" si="70"/>
        <v>3.4405464771641095E-2</v>
      </c>
    </row>
    <row r="1234" spans="2:6" x14ac:dyDescent="0.2">
      <c r="B1234" s="206" t="s">
        <v>2961</v>
      </c>
      <c r="C1234" s="205">
        <v>531</v>
      </c>
      <c r="D1234" s="147">
        <f t="shared" si="69"/>
        <v>0.38589864652186906</v>
      </c>
      <c r="E1234" s="148">
        <f t="shared" si="68"/>
        <v>5.5663283051882584E-5</v>
      </c>
      <c r="F1234" s="148">
        <f t="shared" si="70"/>
        <v>3.446112805469298E-2</v>
      </c>
    </row>
    <row r="1235" spans="2:6" x14ac:dyDescent="0.2">
      <c r="B1235" s="115" t="s">
        <v>2721</v>
      </c>
      <c r="C1235" s="114">
        <v>531</v>
      </c>
      <c r="D1235" s="147">
        <f t="shared" si="69"/>
        <v>0.38621340887629146</v>
      </c>
      <c r="E1235" s="148">
        <f t="shared" si="68"/>
        <v>5.5663283051882584E-5</v>
      </c>
      <c r="F1235" s="148">
        <f t="shared" si="70"/>
        <v>3.4516791337744865E-2</v>
      </c>
    </row>
    <row r="1236" spans="2:6" x14ac:dyDescent="0.2">
      <c r="B1236" s="206" t="s">
        <v>1570</v>
      </c>
      <c r="C1236" s="205">
        <v>531</v>
      </c>
      <c r="D1236" s="147">
        <f t="shared" si="69"/>
        <v>0.38652817123071387</v>
      </c>
      <c r="E1236" s="148">
        <f t="shared" si="68"/>
        <v>5.5663283051882584E-5</v>
      </c>
      <c r="F1236" s="148">
        <f t="shared" si="70"/>
        <v>3.457245462079675E-2</v>
      </c>
    </row>
    <row r="1237" spans="2:6" x14ac:dyDescent="0.2">
      <c r="B1237" s="115" t="s">
        <v>333</v>
      </c>
      <c r="C1237" s="114">
        <v>532</v>
      </c>
      <c r="D1237" s="147">
        <f t="shared" si="69"/>
        <v>0.38684293358513627</v>
      </c>
      <c r="E1237" s="148">
        <f t="shared" si="68"/>
        <v>5.5768110326933209E-5</v>
      </c>
      <c r="F1237" s="148">
        <f t="shared" si="70"/>
        <v>3.4628222731123683E-2</v>
      </c>
    </row>
    <row r="1238" spans="2:6" x14ac:dyDescent="0.2">
      <c r="B1238" s="115" t="s">
        <v>1289</v>
      </c>
      <c r="C1238" s="114">
        <v>533</v>
      </c>
      <c r="D1238" s="147">
        <f t="shared" si="69"/>
        <v>0.38715769593955868</v>
      </c>
      <c r="E1238" s="148">
        <f t="shared" si="68"/>
        <v>5.5872937601983835E-5</v>
      </c>
      <c r="F1238" s="148">
        <f t="shared" si="70"/>
        <v>3.4684095668725663E-2</v>
      </c>
    </row>
    <row r="1239" spans="2:6" x14ac:dyDescent="0.2">
      <c r="B1239" s="115" t="s">
        <v>2710</v>
      </c>
      <c r="C1239" s="114">
        <v>534</v>
      </c>
      <c r="D1239" s="147">
        <f t="shared" si="69"/>
        <v>0.38747245829398108</v>
      </c>
      <c r="E1239" s="148">
        <f t="shared" si="68"/>
        <v>5.5977764877034461E-5</v>
      </c>
      <c r="F1239" s="148">
        <f t="shared" si="70"/>
        <v>3.4740073433602699E-2</v>
      </c>
    </row>
    <row r="1240" spans="2:6" x14ac:dyDescent="0.2">
      <c r="B1240" s="206" t="s">
        <v>1066</v>
      </c>
      <c r="C1240" s="205">
        <v>534</v>
      </c>
      <c r="D1240" s="147">
        <f t="shared" si="69"/>
        <v>0.38778722064840349</v>
      </c>
      <c r="E1240" s="148">
        <f t="shared" si="68"/>
        <v>5.5977764877034461E-5</v>
      </c>
      <c r="F1240" s="148">
        <f t="shared" si="70"/>
        <v>3.4796051198479734E-2</v>
      </c>
    </row>
    <row r="1241" spans="2:6" x14ac:dyDescent="0.2">
      <c r="B1241" s="206" t="s">
        <v>711</v>
      </c>
      <c r="C1241" s="205">
        <v>534</v>
      </c>
      <c r="D1241" s="147">
        <f t="shared" si="69"/>
        <v>0.38810198300282589</v>
      </c>
      <c r="E1241" s="148">
        <f t="shared" si="68"/>
        <v>5.5977764877034461E-5</v>
      </c>
      <c r="F1241" s="148">
        <f t="shared" si="70"/>
        <v>3.485202896335677E-2</v>
      </c>
    </row>
    <row r="1242" spans="2:6" x14ac:dyDescent="0.2">
      <c r="B1242" s="115" t="s">
        <v>900</v>
      </c>
      <c r="C1242" s="114">
        <v>535</v>
      </c>
      <c r="D1242" s="147">
        <f t="shared" si="69"/>
        <v>0.38841674535724829</v>
      </c>
      <c r="E1242" s="148">
        <f t="shared" si="68"/>
        <v>5.6082592152085086E-5</v>
      </c>
      <c r="F1242" s="148">
        <f t="shared" si="70"/>
        <v>3.4908111555508853E-2</v>
      </c>
    </row>
    <row r="1243" spans="2:6" x14ac:dyDescent="0.2">
      <c r="B1243" s="206" t="s">
        <v>3009</v>
      </c>
      <c r="C1243" s="205">
        <v>536</v>
      </c>
      <c r="D1243" s="147">
        <f t="shared" si="69"/>
        <v>0.3887315077116707</v>
      </c>
      <c r="E1243" s="148">
        <f t="shared" si="68"/>
        <v>5.6187419427135712E-5</v>
      </c>
      <c r="F1243" s="148">
        <f t="shared" si="70"/>
        <v>3.4964298974935991E-2</v>
      </c>
    </row>
    <row r="1244" spans="2:6" x14ac:dyDescent="0.2">
      <c r="B1244" s="115" t="s">
        <v>355</v>
      </c>
      <c r="C1244" s="114">
        <v>536</v>
      </c>
      <c r="D1244" s="147">
        <f t="shared" si="69"/>
        <v>0.3890462700660931</v>
      </c>
      <c r="E1244" s="148">
        <f t="shared" si="68"/>
        <v>5.6187419427135712E-5</v>
      </c>
      <c r="F1244" s="148">
        <f t="shared" si="70"/>
        <v>3.5020486394363129E-2</v>
      </c>
    </row>
    <row r="1245" spans="2:6" x14ac:dyDescent="0.2">
      <c r="B1245" s="206" t="s">
        <v>2467</v>
      </c>
      <c r="C1245" s="205">
        <v>539</v>
      </c>
      <c r="D1245" s="147">
        <f t="shared" si="69"/>
        <v>0.38936103242051551</v>
      </c>
      <c r="E1245" s="148">
        <f t="shared" si="68"/>
        <v>5.6501901252287596E-5</v>
      </c>
      <c r="F1245" s="148">
        <f t="shared" si="70"/>
        <v>3.5076988295615417E-2</v>
      </c>
    </row>
    <row r="1246" spans="2:6" x14ac:dyDescent="0.2">
      <c r="B1246" s="115" t="s">
        <v>2451</v>
      </c>
      <c r="C1246" s="114">
        <v>539</v>
      </c>
      <c r="D1246" s="147">
        <f t="shared" si="69"/>
        <v>0.38967579477493791</v>
      </c>
      <c r="E1246" s="148">
        <f t="shared" si="68"/>
        <v>5.6501901252287596E-5</v>
      </c>
      <c r="F1246" s="148">
        <f t="shared" si="70"/>
        <v>3.5133490196867706E-2</v>
      </c>
    </row>
    <row r="1247" spans="2:6" x14ac:dyDescent="0.2">
      <c r="B1247" s="115" t="s">
        <v>1989</v>
      </c>
      <c r="C1247" s="114">
        <v>539</v>
      </c>
      <c r="D1247" s="147">
        <f t="shared" si="69"/>
        <v>0.38999055712936032</v>
      </c>
      <c r="E1247" s="148">
        <f t="shared" si="68"/>
        <v>5.6501901252287596E-5</v>
      </c>
      <c r="F1247" s="148">
        <f t="shared" si="70"/>
        <v>3.5189992098119995E-2</v>
      </c>
    </row>
    <row r="1248" spans="2:6" x14ac:dyDescent="0.2">
      <c r="B1248" s="115" t="s">
        <v>1454</v>
      </c>
      <c r="C1248" s="114">
        <v>540</v>
      </c>
      <c r="D1248" s="147">
        <f t="shared" si="69"/>
        <v>0.39030531948378272</v>
      </c>
      <c r="E1248" s="148">
        <f t="shared" si="68"/>
        <v>5.6606728527338221E-5</v>
      </c>
      <c r="F1248" s="148">
        <f t="shared" si="70"/>
        <v>3.5246598826647331E-2</v>
      </c>
    </row>
    <row r="1249" spans="2:6" x14ac:dyDescent="0.2">
      <c r="B1249" s="115" t="s">
        <v>287</v>
      </c>
      <c r="C1249" s="114">
        <v>540</v>
      </c>
      <c r="D1249" s="147">
        <f t="shared" si="69"/>
        <v>0.39062008183820512</v>
      </c>
      <c r="E1249" s="148">
        <f t="shared" si="68"/>
        <v>5.6606728527338221E-5</v>
      </c>
      <c r="F1249" s="148">
        <f t="shared" si="70"/>
        <v>3.5303205555174667E-2</v>
      </c>
    </row>
    <row r="1250" spans="2:6" x14ac:dyDescent="0.2">
      <c r="B1250" s="206" t="s">
        <v>2955</v>
      </c>
      <c r="C1250" s="205">
        <v>541</v>
      </c>
      <c r="D1250" s="147">
        <f t="shared" si="69"/>
        <v>0.39093484419262753</v>
      </c>
      <c r="E1250" s="148">
        <f t="shared" si="68"/>
        <v>5.6711555802388847E-5</v>
      </c>
      <c r="F1250" s="148">
        <f t="shared" si="70"/>
        <v>3.5359917110977059E-2</v>
      </c>
    </row>
    <row r="1251" spans="2:6" x14ac:dyDescent="0.2">
      <c r="B1251" s="206" t="s">
        <v>35</v>
      </c>
      <c r="C1251" s="205">
        <v>541</v>
      </c>
      <c r="D1251" s="147">
        <f t="shared" si="69"/>
        <v>0.39124960654704993</v>
      </c>
      <c r="E1251" s="148">
        <f t="shared" si="68"/>
        <v>5.6711555802388847E-5</v>
      </c>
      <c r="F1251" s="148">
        <f t="shared" si="70"/>
        <v>3.541662866677945E-2</v>
      </c>
    </row>
    <row r="1252" spans="2:6" x14ac:dyDescent="0.2">
      <c r="B1252" s="206" t="s">
        <v>3100</v>
      </c>
      <c r="C1252" s="205">
        <v>542</v>
      </c>
      <c r="D1252" s="147">
        <f t="shared" si="69"/>
        <v>0.39156436890147234</v>
      </c>
      <c r="E1252" s="148">
        <f t="shared" si="68"/>
        <v>5.6816383077439473E-5</v>
      </c>
      <c r="F1252" s="148">
        <f t="shared" si="70"/>
        <v>3.5473445049856889E-2</v>
      </c>
    </row>
    <row r="1253" spans="2:6" x14ac:dyDescent="0.2">
      <c r="B1253" s="206" t="s">
        <v>2715</v>
      </c>
      <c r="C1253" s="205">
        <v>542</v>
      </c>
      <c r="D1253" s="147">
        <f t="shared" si="69"/>
        <v>0.39187913125589474</v>
      </c>
      <c r="E1253" s="148">
        <f t="shared" si="68"/>
        <v>5.6816383077439473E-5</v>
      </c>
      <c r="F1253" s="148">
        <f t="shared" si="70"/>
        <v>3.5530261432934328E-2</v>
      </c>
    </row>
    <row r="1254" spans="2:6" x14ac:dyDescent="0.2">
      <c r="B1254" s="115" t="s">
        <v>1696</v>
      </c>
      <c r="C1254" s="114">
        <v>542</v>
      </c>
      <c r="D1254" s="147">
        <f t="shared" si="69"/>
        <v>0.39219389361031715</v>
      </c>
      <c r="E1254" s="148">
        <f t="shared" si="68"/>
        <v>5.6816383077439473E-5</v>
      </c>
      <c r="F1254" s="148">
        <f t="shared" si="70"/>
        <v>3.5587077816011767E-2</v>
      </c>
    </row>
    <row r="1255" spans="2:6" x14ac:dyDescent="0.2">
      <c r="B1255" s="115" t="s">
        <v>1533</v>
      </c>
      <c r="C1255" s="114">
        <v>542</v>
      </c>
      <c r="D1255" s="147">
        <f t="shared" si="69"/>
        <v>0.39250865596473955</v>
      </c>
      <c r="E1255" s="148">
        <f t="shared" si="68"/>
        <v>5.6816383077439473E-5</v>
      </c>
      <c r="F1255" s="148">
        <f t="shared" si="70"/>
        <v>3.5643894199089206E-2</v>
      </c>
    </row>
    <row r="1256" spans="2:6" x14ac:dyDescent="0.2">
      <c r="B1256" s="115" t="s">
        <v>2314</v>
      </c>
      <c r="C1256" s="114">
        <v>543</v>
      </c>
      <c r="D1256" s="147">
        <f t="shared" si="69"/>
        <v>0.39282341831916195</v>
      </c>
      <c r="E1256" s="148">
        <f t="shared" si="68"/>
        <v>5.6921210352490098E-5</v>
      </c>
      <c r="F1256" s="148">
        <f t="shared" si="70"/>
        <v>3.5700815409441693E-2</v>
      </c>
    </row>
    <row r="1257" spans="2:6" x14ac:dyDescent="0.2">
      <c r="B1257" s="115" t="s">
        <v>1604</v>
      </c>
      <c r="C1257" s="114">
        <v>544</v>
      </c>
      <c r="D1257" s="147">
        <f t="shared" si="69"/>
        <v>0.39313818067358436</v>
      </c>
      <c r="E1257" s="148">
        <f t="shared" si="68"/>
        <v>5.7026037627540724E-5</v>
      </c>
      <c r="F1257" s="148">
        <f t="shared" si="70"/>
        <v>3.5757841447069234E-2</v>
      </c>
    </row>
    <row r="1258" spans="2:6" x14ac:dyDescent="0.2">
      <c r="B1258" s="115" t="s">
        <v>1574</v>
      </c>
      <c r="C1258" s="114">
        <v>544</v>
      </c>
      <c r="D1258" s="147">
        <f t="shared" si="69"/>
        <v>0.39345294302800676</v>
      </c>
      <c r="E1258" s="148">
        <f t="shared" si="68"/>
        <v>5.7026037627540724E-5</v>
      </c>
      <c r="F1258" s="148">
        <f t="shared" si="70"/>
        <v>3.5814867484696776E-2</v>
      </c>
    </row>
    <row r="1259" spans="2:6" x14ac:dyDescent="0.2">
      <c r="B1259" s="206" t="s">
        <v>1326</v>
      </c>
      <c r="C1259" s="205">
        <v>545</v>
      </c>
      <c r="D1259" s="147">
        <f t="shared" si="69"/>
        <v>0.39376770538242917</v>
      </c>
      <c r="E1259" s="148">
        <f t="shared" si="68"/>
        <v>5.713086490259135E-5</v>
      </c>
      <c r="F1259" s="148">
        <f t="shared" si="70"/>
        <v>3.5871998349599366E-2</v>
      </c>
    </row>
    <row r="1260" spans="2:6" x14ac:dyDescent="0.2">
      <c r="B1260" s="206" t="s">
        <v>280</v>
      </c>
      <c r="C1260" s="205">
        <v>546</v>
      </c>
      <c r="D1260" s="147">
        <f t="shared" si="69"/>
        <v>0.39408246773685157</v>
      </c>
      <c r="E1260" s="148">
        <f t="shared" si="68"/>
        <v>5.7235692177641975E-5</v>
      </c>
      <c r="F1260" s="148">
        <f t="shared" si="70"/>
        <v>3.592923404177701E-2</v>
      </c>
    </row>
    <row r="1261" spans="2:6" x14ac:dyDescent="0.2">
      <c r="B1261" s="206" t="s">
        <v>3158</v>
      </c>
      <c r="C1261" s="205">
        <v>547</v>
      </c>
      <c r="D1261" s="147">
        <f t="shared" si="69"/>
        <v>0.39439723009127398</v>
      </c>
      <c r="E1261" s="148">
        <f t="shared" si="68"/>
        <v>5.7340519452692601E-5</v>
      </c>
      <c r="F1261" s="148">
        <f t="shared" si="70"/>
        <v>3.5986574561229702E-2</v>
      </c>
    </row>
    <row r="1262" spans="2:6" x14ac:dyDescent="0.2">
      <c r="B1262" s="206" t="s">
        <v>851</v>
      </c>
      <c r="C1262" s="205">
        <v>547</v>
      </c>
      <c r="D1262" s="147">
        <f t="shared" si="69"/>
        <v>0.39471199244569638</v>
      </c>
      <c r="E1262" s="148">
        <f t="shared" si="68"/>
        <v>5.7340519452692601E-5</v>
      </c>
      <c r="F1262" s="148">
        <f t="shared" si="70"/>
        <v>3.6043915080682394E-2</v>
      </c>
    </row>
    <row r="1263" spans="2:6" x14ac:dyDescent="0.2">
      <c r="B1263" s="115" t="s">
        <v>2953</v>
      </c>
      <c r="C1263" s="114">
        <v>549</v>
      </c>
      <c r="D1263" s="147">
        <f t="shared" si="69"/>
        <v>0.39502675480011878</v>
      </c>
      <c r="E1263" s="148">
        <f t="shared" si="68"/>
        <v>5.7550174002793859E-5</v>
      </c>
      <c r="F1263" s="148">
        <f t="shared" si="70"/>
        <v>3.6101465254685189E-2</v>
      </c>
    </row>
    <row r="1264" spans="2:6" x14ac:dyDescent="0.2">
      <c r="B1264" s="206" t="s">
        <v>2154</v>
      </c>
      <c r="C1264" s="205">
        <v>549</v>
      </c>
      <c r="D1264" s="147">
        <f t="shared" si="69"/>
        <v>0.39534151715454119</v>
      </c>
      <c r="E1264" s="148">
        <f t="shared" si="68"/>
        <v>5.7550174002793859E-5</v>
      </c>
      <c r="F1264" s="148">
        <f t="shared" si="70"/>
        <v>3.6159015428687984E-2</v>
      </c>
    </row>
    <row r="1265" spans="2:6" x14ac:dyDescent="0.2">
      <c r="B1265" s="206" t="s">
        <v>1226</v>
      </c>
      <c r="C1265" s="205">
        <v>550</v>
      </c>
      <c r="D1265" s="147">
        <f t="shared" si="69"/>
        <v>0.39565627950896359</v>
      </c>
      <c r="E1265" s="148">
        <f t="shared" si="68"/>
        <v>5.7655001277844485E-5</v>
      </c>
      <c r="F1265" s="148">
        <f t="shared" si="70"/>
        <v>3.6216670429965826E-2</v>
      </c>
    </row>
    <row r="1266" spans="2:6" x14ac:dyDescent="0.2">
      <c r="B1266" s="115" t="s">
        <v>499</v>
      </c>
      <c r="C1266" s="114">
        <v>550</v>
      </c>
      <c r="D1266" s="147">
        <f t="shared" si="69"/>
        <v>0.395971041863386</v>
      </c>
      <c r="E1266" s="148">
        <f t="shared" si="68"/>
        <v>5.7655001277844485E-5</v>
      </c>
      <c r="F1266" s="148">
        <f t="shared" si="70"/>
        <v>3.6274325431243669E-2</v>
      </c>
    </row>
    <row r="1267" spans="2:6" x14ac:dyDescent="0.2">
      <c r="B1267" s="115" t="s">
        <v>2092</v>
      </c>
      <c r="C1267" s="114">
        <v>551</v>
      </c>
      <c r="D1267" s="147">
        <f t="shared" si="69"/>
        <v>0.3962858042178084</v>
      </c>
      <c r="E1267" s="148">
        <f t="shared" si="68"/>
        <v>5.775982855289511E-5</v>
      </c>
      <c r="F1267" s="148">
        <f t="shared" si="70"/>
        <v>3.6332085259796566E-2</v>
      </c>
    </row>
    <row r="1268" spans="2:6" x14ac:dyDescent="0.2">
      <c r="B1268" s="115" t="s">
        <v>156</v>
      </c>
      <c r="C1268" s="114">
        <v>551</v>
      </c>
      <c r="D1268" s="147">
        <f t="shared" si="69"/>
        <v>0.39660056657223081</v>
      </c>
      <c r="E1268" s="148">
        <f t="shared" si="68"/>
        <v>5.775982855289511E-5</v>
      </c>
      <c r="F1268" s="148">
        <f t="shared" si="70"/>
        <v>3.6389845088349464E-2</v>
      </c>
    </row>
    <row r="1269" spans="2:6" x14ac:dyDescent="0.2">
      <c r="B1269" s="115" t="s">
        <v>135</v>
      </c>
      <c r="C1269" s="114">
        <v>552</v>
      </c>
      <c r="D1269" s="147">
        <f t="shared" si="69"/>
        <v>0.39691532892665321</v>
      </c>
      <c r="E1269" s="148">
        <f t="shared" si="68"/>
        <v>5.7864655827945736E-5</v>
      </c>
      <c r="F1269" s="148">
        <f t="shared" si="70"/>
        <v>3.6447709744177409E-2</v>
      </c>
    </row>
    <row r="1270" spans="2:6" x14ac:dyDescent="0.2">
      <c r="B1270" s="206" t="s">
        <v>2066</v>
      </c>
      <c r="C1270" s="205">
        <v>553</v>
      </c>
      <c r="D1270" s="147">
        <f t="shared" si="69"/>
        <v>0.39723009128107561</v>
      </c>
      <c r="E1270" s="148">
        <f t="shared" si="68"/>
        <v>5.7969483102996362E-5</v>
      </c>
      <c r="F1270" s="148">
        <f t="shared" si="70"/>
        <v>3.6505679227280402E-2</v>
      </c>
    </row>
    <row r="1271" spans="2:6" x14ac:dyDescent="0.2">
      <c r="B1271" s="115" t="s">
        <v>2524</v>
      </c>
      <c r="C1271" s="114">
        <v>554</v>
      </c>
      <c r="D1271" s="147">
        <f t="shared" si="69"/>
        <v>0.39754485363549802</v>
      </c>
      <c r="E1271" s="148">
        <f t="shared" si="68"/>
        <v>5.8074310378046987E-5</v>
      </c>
      <c r="F1271" s="148">
        <f t="shared" si="70"/>
        <v>3.656375353765845E-2</v>
      </c>
    </row>
    <row r="1272" spans="2:6" x14ac:dyDescent="0.2">
      <c r="B1272" s="206" t="s">
        <v>1595</v>
      </c>
      <c r="C1272" s="205">
        <v>556</v>
      </c>
      <c r="D1272" s="147">
        <f t="shared" si="69"/>
        <v>0.39785961598992042</v>
      </c>
      <c r="E1272" s="148">
        <f t="shared" si="68"/>
        <v>5.8283964928148239E-5</v>
      </c>
      <c r="F1272" s="148">
        <f t="shared" si="70"/>
        <v>3.66220375025866E-2</v>
      </c>
    </row>
    <row r="1273" spans="2:6" x14ac:dyDescent="0.2">
      <c r="B1273" s="206" t="s">
        <v>1356</v>
      </c>
      <c r="C1273" s="205">
        <v>556</v>
      </c>
      <c r="D1273" s="147">
        <f t="shared" si="69"/>
        <v>0.39817437834434283</v>
      </c>
      <c r="E1273" s="148">
        <f t="shared" si="68"/>
        <v>5.8283964928148239E-5</v>
      </c>
      <c r="F1273" s="148">
        <f t="shared" si="70"/>
        <v>3.6680321467514751E-2</v>
      </c>
    </row>
    <row r="1274" spans="2:6" x14ac:dyDescent="0.2">
      <c r="B1274" s="115" t="s">
        <v>746</v>
      </c>
      <c r="C1274" s="114">
        <v>556</v>
      </c>
      <c r="D1274" s="147">
        <f t="shared" si="69"/>
        <v>0.39848914069876523</v>
      </c>
      <c r="E1274" s="148">
        <f t="shared" si="68"/>
        <v>5.8283964928148239E-5</v>
      </c>
      <c r="F1274" s="148">
        <f t="shared" si="70"/>
        <v>3.6738605432442901E-2</v>
      </c>
    </row>
    <row r="1275" spans="2:6" x14ac:dyDescent="0.2">
      <c r="B1275" s="115" t="s">
        <v>674</v>
      </c>
      <c r="C1275" s="114">
        <v>556</v>
      </c>
      <c r="D1275" s="147">
        <f t="shared" si="69"/>
        <v>0.39880390305318764</v>
      </c>
      <c r="E1275" s="148">
        <f t="shared" si="68"/>
        <v>5.8283964928148239E-5</v>
      </c>
      <c r="F1275" s="148">
        <f t="shared" si="70"/>
        <v>3.6796889397371052E-2</v>
      </c>
    </row>
    <row r="1276" spans="2:6" x14ac:dyDescent="0.2">
      <c r="B1276" s="206" t="s">
        <v>421</v>
      </c>
      <c r="C1276" s="205">
        <v>557</v>
      </c>
      <c r="D1276" s="147">
        <f t="shared" si="69"/>
        <v>0.39911866540761004</v>
      </c>
      <c r="E1276" s="148">
        <f t="shared" si="68"/>
        <v>5.8388792203198864E-5</v>
      </c>
      <c r="F1276" s="148">
        <f t="shared" si="70"/>
        <v>3.685527818957425E-2</v>
      </c>
    </row>
    <row r="1277" spans="2:6" x14ac:dyDescent="0.2">
      <c r="B1277" s="206" t="s">
        <v>2929</v>
      </c>
      <c r="C1277" s="205">
        <v>558</v>
      </c>
      <c r="D1277" s="147">
        <f t="shared" si="69"/>
        <v>0.39943342776203244</v>
      </c>
      <c r="E1277" s="148">
        <f t="shared" si="68"/>
        <v>5.8493619478249497E-5</v>
      </c>
      <c r="F1277" s="148">
        <f t="shared" si="70"/>
        <v>3.6913771809052497E-2</v>
      </c>
    </row>
    <row r="1278" spans="2:6" x14ac:dyDescent="0.2">
      <c r="B1278" s="115" t="s">
        <v>1077</v>
      </c>
      <c r="C1278" s="114">
        <v>558</v>
      </c>
      <c r="D1278" s="147">
        <f t="shared" si="69"/>
        <v>0.39974819011645485</v>
      </c>
      <c r="E1278" s="148">
        <f t="shared" si="68"/>
        <v>5.8493619478249497E-5</v>
      </c>
      <c r="F1278" s="148">
        <f t="shared" si="70"/>
        <v>3.6972265428530743E-2</v>
      </c>
    </row>
    <row r="1279" spans="2:6" x14ac:dyDescent="0.2">
      <c r="B1279" s="206" t="s">
        <v>692</v>
      </c>
      <c r="C1279" s="205">
        <v>558</v>
      </c>
      <c r="D1279" s="147">
        <f t="shared" si="69"/>
        <v>0.40006295247087725</v>
      </c>
      <c r="E1279" s="148">
        <f t="shared" si="68"/>
        <v>5.8493619478249497E-5</v>
      </c>
      <c r="F1279" s="148">
        <f t="shared" si="70"/>
        <v>3.7030759048008989E-2</v>
      </c>
    </row>
    <row r="1280" spans="2:6" x14ac:dyDescent="0.2">
      <c r="B1280" s="206" t="s">
        <v>494</v>
      </c>
      <c r="C1280" s="205">
        <v>558</v>
      </c>
      <c r="D1280" s="147">
        <f t="shared" si="69"/>
        <v>0.40037771482529966</v>
      </c>
      <c r="E1280" s="148">
        <f t="shared" si="68"/>
        <v>5.8493619478249497E-5</v>
      </c>
      <c r="F1280" s="148">
        <f t="shared" si="70"/>
        <v>3.7089252667487235E-2</v>
      </c>
    </row>
    <row r="1281" spans="2:6" x14ac:dyDescent="0.2">
      <c r="B1281" s="115" t="s">
        <v>1234</v>
      </c>
      <c r="C1281" s="114">
        <v>559</v>
      </c>
      <c r="D1281" s="147">
        <f t="shared" si="69"/>
        <v>0.40069247717972206</v>
      </c>
      <c r="E1281" s="148">
        <f t="shared" si="68"/>
        <v>5.8598446753300122E-5</v>
      </c>
      <c r="F1281" s="148">
        <f t="shared" si="70"/>
        <v>3.7147851114240536E-2</v>
      </c>
    </row>
    <row r="1282" spans="2:6" x14ac:dyDescent="0.2">
      <c r="B1282" s="115" t="s">
        <v>1159</v>
      </c>
      <c r="C1282" s="114">
        <v>559</v>
      </c>
      <c r="D1282" s="147">
        <f t="shared" si="69"/>
        <v>0.40100723953414447</v>
      </c>
      <c r="E1282" s="148">
        <f t="shared" si="68"/>
        <v>5.8598446753300122E-5</v>
      </c>
      <c r="F1282" s="148">
        <f t="shared" si="70"/>
        <v>3.7206449560993837E-2</v>
      </c>
    </row>
    <row r="1283" spans="2:6" x14ac:dyDescent="0.2">
      <c r="B1283" s="206" t="s">
        <v>813</v>
      </c>
      <c r="C1283" s="205">
        <v>560</v>
      </c>
      <c r="D1283" s="147">
        <f t="shared" si="69"/>
        <v>0.40132200188856687</v>
      </c>
      <c r="E1283" s="148">
        <f t="shared" si="68"/>
        <v>5.8703274028350748E-5</v>
      </c>
      <c r="F1283" s="148">
        <f t="shared" si="70"/>
        <v>3.7265152835022186E-2</v>
      </c>
    </row>
    <row r="1284" spans="2:6" x14ac:dyDescent="0.2">
      <c r="B1284" s="115" t="s">
        <v>789</v>
      </c>
      <c r="C1284" s="114">
        <v>560</v>
      </c>
      <c r="D1284" s="147">
        <f t="shared" si="69"/>
        <v>0.40163676424298927</v>
      </c>
      <c r="E1284" s="148">
        <f t="shared" si="68"/>
        <v>5.8703274028350748E-5</v>
      </c>
      <c r="F1284" s="148">
        <f t="shared" si="70"/>
        <v>3.7323856109050535E-2</v>
      </c>
    </row>
    <row r="1285" spans="2:6" x14ac:dyDescent="0.2">
      <c r="B1285" s="206" t="s">
        <v>2377</v>
      </c>
      <c r="C1285" s="205">
        <v>561</v>
      </c>
      <c r="D1285" s="147">
        <f t="shared" si="69"/>
        <v>0.40195152659741168</v>
      </c>
      <c r="E1285" s="148">
        <f t="shared" si="68"/>
        <v>5.8808101303401374E-5</v>
      </c>
      <c r="F1285" s="148">
        <f t="shared" si="70"/>
        <v>3.7382664210353939E-2</v>
      </c>
    </row>
    <row r="1286" spans="2:6" x14ac:dyDescent="0.2">
      <c r="B1286" s="206" t="s">
        <v>1441</v>
      </c>
      <c r="C1286" s="205">
        <v>561</v>
      </c>
      <c r="D1286" s="147">
        <f t="shared" si="69"/>
        <v>0.40226628895183408</v>
      </c>
      <c r="E1286" s="148">
        <f t="shared" si="68"/>
        <v>5.8808101303401374E-5</v>
      </c>
      <c r="F1286" s="148">
        <f t="shared" si="70"/>
        <v>3.7441472311657342E-2</v>
      </c>
    </row>
    <row r="1287" spans="2:6" x14ac:dyDescent="0.2">
      <c r="B1287" s="206" t="s">
        <v>2691</v>
      </c>
      <c r="C1287" s="205">
        <v>562</v>
      </c>
      <c r="D1287" s="147">
        <f t="shared" si="69"/>
        <v>0.40258105130625649</v>
      </c>
      <c r="E1287" s="148">
        <f t="shared" si="68"/>
        <v>5.8912928578451999E-5</v>
      </c>
      <c r="F1287" s="148">
        <f t="shared" si="70"/>
        <v>3.7500385240235794E-2</v>
      </c>
    </row>
    <row r="1288" spans="2:6" x14ac:dyDescent="0.2">
      <c r="B1288" s="115" t="s">
        <v>2243</v>
      </c>
      <c r="C1288" s="114">
        <v>562</v>
      </c>
      <c r="D1288" s="147">
        <f t="shared" si="69"/>
        <v>0.40289581366067889</v>
      </c>
      <c r="E1288" s="148">
        <f t="shared" si="68"/>
        <v>5.8912928578451999E-5</v>
      </c>
      <c r="F1288" s="148">
        <f t="shared" si="70"/>
        <v>3.7559298168814245E-2</v>
      </c>
    </row>
    <row r="1289" spans="2:6" x14ac:dyDescent="0.2">
      <c r="B1289" s="206" t="s">
        <v>2407</v>
      </c>
      <c r="C1289" s="205">
        <v>563</v>
      </c>
      <c r="D1289" s="147">
        <f t="shared" si="69"/>
        <v>0.4032105760151013</v>
      </c>
      <c r="E1289" s="148">
        <f t="shared" ref="E1289:E1352" si="71">C1289/$O$18</f>
        <v>5.9017755853502625E-5</v>
      </c>
      <c r="F1289" s="148">
        <f t="shared" si="70"/>
        <v>3.7618315924667745E-2</v>
      </c>
    </row>
    <row r="1290" spans="2:6" x14ac:dyDescent="0.2">
      <c r="B1290" s="115" t="s">
        <v>1042</v>
      </c>
      <c r="C1290" s="114">
        <v>564</v>
      </c>
      <c r="D1290" s="147">
        <f t="shared" ref="D1290:D1353" si="72">D1289+1/$L$18</f>
        <v>0.4035253383695237</v>
      </c>
      <c r="E1290" s="148">
        <f t="shared" si="71"/>
        <v>5.9122583128553251E-5</v>
      </c>
      <c r="F1290" s="148">
        <f t="shared" ref="F1290:F1353" si="73">F1289+E1290</f>
        <v>3.7677438507796299E-2</v>
      </c>
    </row>
    <row r="1291" spans="2:6" x14ac:dyDescent="0.2">
      <c r="B1291" s="115" t="s">
        <v>2391</v>
      </c>
      <c r="C1291" s="114">
        <v>565</v>
      </c>
      <c r="D1291" s="147">
        <f t="shared" si="72"/>
        <v>0.4038401007239461</v>
      </c>
      <c r="E1291" s="148">
        <f t="shared" si="71"/>
        <v>5.9227410403603876E-5</v>
      </c>
      <c r="F1291" s="148">
        <f t="shared" si="73"/>
        <v>3.7736665918199901E-2</v>
      </c>
    </row>
    <row r="1292" spans="2:6" x14ac:dyDescent="0.2">
      <c r="B1292" s="206" t="s">
        <v>1863</v>
      </c>
      <c r="C1292" s="205">
        <v>566</v>
      </c>
      <c r="D1292" s="147">
        <f t="shared" si="72"/>
        <v>0.40415486307836851</v>
      </c>
      <c r="E1292" s="148">
        <f t="shared" si="71"/>
        <v>5.9332237678654502E-5</v>
      </c>
      <c r="F1292" s="148">
        <f t="shared" si="73"/>
        <v>3.7795998155878557E-2</v>
      </c>
    </row>
    <row r="1293" spans="2:6" x14ac:dyDescent="0.2">
      <c r="B1293" s="206" t="s">
        <v>1420</v>
      </c>
      <c r="C1293" s="205">
        <v>566</v>
      </c>
      <c r="D1293" s="147">
        <f t="shared" si="72"/>
        <v>0.40446962543279091</v>
      </c>
      <c r="E1293" s="148">
        <f t="shared" si="71"/>
        <v>5.9332237678654502E-5</v>
      </c>
      <c r="F1293" s="148">
        <f t="shared" si="73"/>
        <v>3.7855330393557214E-2</v>
      </c>
    </row>
    <row r="1294" spans="2:6" x14ac:dyDescent="0.2">
      <c r="B1294" s="206" t="s">
        <v>1310</v>
      </c>
      <c r="C1294" s="205">
        <v>566</v>
      </c>
      <c r="D1294" s="147">
        <f t="shared" si="72"/>
        <v>0.40478438778721332</v>
      </c>
      <c r="E1294" s="148">
        <f t="shared" si="71"/>
        <v>5.9332237678654502E-5</v>
      </c>
      <c r="F1294" s="148">
        <f t="shared" si="73"/>
        <v>3.7914662631235871E-2</v>
      </c>
    </row>
    <row r="1295" spans="2:6" x14ac:dyDescent="0.2">
      <c r="B1295" s="206" t="s">
        <v>2443</v>
      </c>
      <c r="C1295" s="205">
        <v>567</v>
      </c>
      <c r="D1295" s="147">
        <f t="shared" si="72"/>
        <v>0.40509915014163572</v>
      </c>
      <c r="E1295" s="148">
        <f t="shared" si="71"/>
        <v>5.9437064953705128E-5</v>
      </c>
      <c r="F1295" s="148">
        <f t="shared" si="73"/>
        <v>3.7974099696189575E-2</v>
      </c>
    </row>
    <row r="1296" spans="2:6" x14ac:dyDescent="0.2">
      <c r="B1296" s="206" t="s">
        <v>2133</v>
      </c>
      <c r="C1296" s="205">
        <v>567</v>
      </c>
      <c r="D1296" s="147">
        <f t="shared" si="72"/>
        <v>0.40541391249605813</v>
      </c>
      <c r="E1296" s="148">
        <f t="shared" si="71"/>
        <v>5.9437064953705128E-5</v>
      </c>
      <c r="F1296" s="148">
        <f t="shared" si="73"/>
        <v>3.803353676114328E-2</v>
      </c>
    </row>
    <row r="1297" spans="2:6" x14ac:dyDescent="0.2">
      <c r="B1297" s="206" t="s">
        <v>1034</v>
      </c>
      <c r="C1297" s="205">
        <v>567</v>
      </c>
      <c r="D1297" s="147">
        <f t="shared" si="72"/>
        <v>0.40572867485048053</v>
      </c>
      <c r="E1297" s="148">
        <f t="shared" si="71"/>
        <v>5.9437064953705128E-5</v>
      </c>
      <c r="F1297" s="148">
        <f t="shared" si="73"/>
        <v>3.8092973826096985E-2</v>
      </c>
    </row>
    <row r="1298" spans="2:6" x14ac:dyDescent="0.2">
      <c r="B1298" s="206" t="s">
        <v>683</v>
      </c>
      <c r="C1298" s="205">
        <v>567</v>
      </c>
      <c r="D1298" s="147">
        <f t="shared" si="72"/>
        <v>0.40604343720490294</v>
      </c>
      <c r="E1298" s="148">
        <f t="shared" si="71"/>
        <v>5.9437064953705128E-5</v>
      </c>
      <c r="F1298" s="148">
        <f t="shared" si="73"/>
        <v>3.8152410891050689E-2</v>
      </c>
    </row>
    <row r="1299" spans="2:6" x14ac:dyDescent="0.2">
      <c r="B1299" s="206" t="s">
        <v>2290</v>
      </c>
      <c r="C1299" s="205">
        <v>568</v>
      </c>
      <c r="D1299" s="147">
        <f t="shared" si="72"/>
        <v>0.40635819955932534</v>
      </c>
      <c r="E1299" s="148">
        <f t="shared" si="71"/>
        <v>5.954189222875576E-5</v>
      </c>
      <c r="F1299" s="148">
        <f t="shared" si="73"/>
        <v>3.8211952783279442E-2</v>
      </c>
    </row>
    <row r="1300" spans="2:6" x14ac:dyDescent="0.2">
      <c r="B1300" s="115" t="s">
        <v>1478</v>
      </c>
      <c r="C1300" s="114">
        <v>568</v>
      </c>
      <c r="D1300" s="147">
        <f t="shared" si="72"/>
        <v>0.40667296191374774</v>
      </c>
      <c r="E1300" s="148">
        <f t="shared" si="71"/>
        <v>5.954189222875576E-5</v>
      </c>
      <c r="F1300" s="148">
        <f t="shared" si="73"/>
        <v>3.8271494675508194E-2</v>
      </c>
    </row>
    <row r="1301" spans="2:6" x14ac:dyDescent="0.2">
      <c r="B1301" s="115" t="s">
        <v>619</v>
      </c>
      <c r="C1301" s="114">
        <v>568</v>
      </c>
      <c r="D1301" s="147">
        <f t="shared" si="72"/>
        <v>0.40698772426817015</v>
      </c>
      <c r="E1301" s="148">
        <f t="shared" si="71"/>
        <v>5.954189222875576E-5</v>
      </c>
      <c r="F1301" s="148">
        <f t="shared" si="73"/>
        <v>3.8331036567736947E-2</v>
      </c>
    </row>
    <row r="1302" spans="2:6" x14ac:dyDescent="0.2">
      <c r="B1302" s="115" t="s">
        <v>414</v>
      </c>
      <c r="C1302" s="114">
        <v>568</v>
      </c>
      <c r="D1302" s="147">
        <f t="shared" si="72"/>
        <v>0.40730248662259255</v>
      </c>
      <c r="E1302" s="148">
        <f t="shared" si="71"/>
        <v>5.954189222875576E-5</v>
      </c>
      <c r="F1302" s="148">
        <f t="shared" si="73"/>
        <v>3.8390578459965699E-2</v>
      </c>
    </row>
    <row r="1303" spans="2:6" x14ac:dyDescent="0.2">
      <c r="B1303" s="115" t="s">
        <v>1365</v>
      </c>
      <c r="C1303" s="114">
        <v>570</v>
      </c>
      <c r="D1303" s="147">
        <f t="shared" si="72"/>
        <v>0.40761724897701496</v>
      </c>
      <c r="E1303" s="148">
        <f t="shared" si="71"/>
        <v>5.9751546778857011E-5</v>
      </c>
      <c r="F1303" s="148">
        <f t="shared" si="73"/>
        <v>3.8450330006744554E-2</v>
      </c>
    </row>
    <row r="1304" spans="2:6" x14ac:dyDescent="0.2">
      <c r="B1304" s="206" t="s">
        <v>773</v>
      </c>
      <c r="C1304" s="205">
        <v>570</v>
      </c>
      <c r="D1304" s="147">
        <f t="shared" si="72"/>
        <v>0.40793201133143736</v>
      </c>
      <c r="E1304" s="148">
        <f t="shared" si="71"/>
        <v>5.9751546778857011E-5</v>
      </c>
      <c r="F1304" s="148">
        <f t="shared" si="73"/>
        <v>3.8510081553523409E-2</v>
      </c>
    </row>
    <row r="1305" spans="2:6" x14ac:dyDescent="0.2">
      <c r="B1305" s="115" t="s">
        <v>479</v>
      </c>
      <c r="C1305" s="114">
        <v>570</v>
      </c>
      <c r="D1305" s="147">
        <f t="shared" si="72"/>
        <v>0.40824677368585977</v>
      </c>
      <c r="E1305" s="148">
        <f t="shared" si="71"/>
        <v>5.9751546778857011E-5</v>
      </c>
      <c r="F1305" s="148">
        <f t="shared" si="73"/>
        <v>3.8569833100302264E-2</v>
      </c>
    </row>
    <row r="1306" spans="2:6" x14ac:dyDescent="0.2">
      <c r="B1306" s="206" t="s">
        <v>394</v>
      </c>
      <c r="C1306" s="205">
        <v>570</v>
      </c>
      <c r="D1306" s="147">
        <f t="shared" si="72"/>
        <v>0.40856153604028217</v>
      </c>
      <c r="E1306" s="148">
        <f t="shared" si="71"/>
        <v>5.9751546778857011E-5</v>
      </c>
      <c r="F1306" s="148">
        <f t="shared" si="73"/>
        <v>3.8629584647081119E-2</v>
      </c>
    </row>
    <row r="1307" spans="2:6" x14ac:dyDescent="0.2">
      <c r="B1307" s="115" t="s">
        <v>2401</v>
      </c>
      <c r="C1307" s="114">
        <v>571</v>
      </c>
      <c r="D1307" s="147">
        <f t="shared" si="72"/>
        <v>0.40887629839470457</v>
      </c>
      <c r="E1307" s="148">
        <f t="shared" si="71"/>
        <v>5.9856374053907637E-5</v>
      </c>
      <c r="F1307" s="148">
        <f t="shared" si="73"/>
        <v>3.8689441021135029E-2</v>
      </c>
    </row>
    <row r="1308" spans="2:6" x14ac:dyDescent="0.2">
      <c r="B1308" s="206" t="s">
        <v>2637</v>
      </c>
      <c r="C1308" s="205">
        <v>572</v>
      </c>
      <c r="D1308" s="147">
        <f t="shared" si="72"/>
        <v>0.40919106074912698</v>
      </c>
      <c r="E1308" s="148">
        <f t="shared" si="71"/>
        <v>5.9961201328958263E-5</v>
      </c>
      <c r="F1308" s="148">
        <f t="shared" si="73"/>
        <v>3.8749402222463987E-2</v>
      </c>
    </row>
    <row r="1309" spans="2:6" x14ac:dyDescent="0.2">
      <c r="B1309" s="115" t="s">
        <v>3104</v>
      </c>
      <c r="C1309" s="114">
        <v>573</v>
      </c>
      <c r="D1309" s="147">
        <f t="shared" si="72"/>
        <v>0.40950582310354938</v>
      </c>
      <c r="E1309" s="148">
        <f t="shared" si="71"/>
        <v>6.0066028604008888E-5</v>
      </c>
      <c r="F1309" s="148">
        <f t="shared" si="73"/>
        <v>3.8809468251067993E-2</v>
      </c>
    </row>
    <row r="1310" spans="2:6" x14ac:dyDescent="0.2">
      <c r="B1310" s="115" t="s">
        <v>1056</v>
      </c>
      <c r="C1310" s="114">
        <v>573</v>
      </c>
      <c r="D1310" s="147">
        <f t="shared" si="72"/>
        <v>0.40982058545797179</v>
      </c>
      <c r="E1310" s="148">
        <f t="shared" si="71"/>
        <v>6.0066028604008888E-5</v>
      </c>
      <c r="F1310" s="148">
        <f t="shared" si="73"/>
        <v>3.8869534279671998E-2</v>
      </c>
    </row>
    <row r="1311" spans="2:6" x14ac:dyDescent="0.2">
      <c r="B1311" s="115" t="s">
        <v>1379</v>
      </c>
      <c r="C1311" s="114">
        <v>577</v>
      </c>
      <c r="D1311" s="147">
        <f t="shared" si="72"/>
        <v>0.41013534781239419</v>
      </c>
      <c r="E1311" s="148">
        <f t="shared" si="71"/>
        <v>6.0485337704211391E-5</v>
      </c>
      <c r="F1311" s="148">
        <f t="shared" si="73"/>
        <v>3.8930019617376209E-2</v>
      </c>
    </row>
    <row r="1312" spans="2:6" x14ac:dyDescent="0.2">
      <c r="B1312" s="115" t="s">
        <v>461</v>
      </c>
      <c r="C1312" s="114">
        <v>577</v>
      </c>
      <c r="D1312" s="147">
        <f t="shared" si="72"/>
        <v>0.4104501101668166</v>
      </c>
      <c r="E1312" s="148">
        <f t="shared" si="71"/>
        <v>6.0485337704211391E-5</v>
      </c>
      <c r="F1312" s="148">
        <f t="shared" si="73"/>
        <v>3.899050495508042E-2</v>
      </c>
    </row>
    <row r="1313" spans="2:6" x14ac:dyDescent="0.2">
      <c r="B1313" s="115" t="s">
        <v>2039</v>
      </c>
      <c r="C1313" s="114">
        <v>578</v>
      </c>
      <c r="D1313" s="147">
        <f t="shared" si="72"/>
        <v>0.410764872521239</v>
      </c>
      <c r="E1313" s="148">
        <f t="shared" si="71"/>
        <v>6.0590164979262024E-5</v>
      </c>
      <c r="F1313" s="148">
        <f t="shared" si="73"/>
        <v>3.9051095120059678E-2</v>
      </c>
    </row>
    <row r="1314" spans="2:6" x14ac:dyDescent="0.2">
      <c r="B1314" s="115" t="s">
        <v>1300</v>
      </c>
      <c r="C1314" s="114">
        <v>578</v>
      </c>
      <c r="D1314" s="147">
        <f t="shared" si="72"/>
        <v>0.4110796348756614</v>
      </c>
      <c r="E1314" s="148">
        <f t="shared" si="71"/>
        <v>6.0590164979262024E-5</v>
      </c>
      <c r="F1314" s="148">
        <f t="shared" si="73"/>
        <v>3.9111685285038937E-2</v>
      </c>
    </row>
    <row r="1315" spans="2:6" x14ac:dyDescent="0.2">
      <c r="B1315" s="206" t="s">
        <v>124</v>
      </c>
      <c r="C1315" s="205">
        <v>578</v>
      </c>
      <c r="D1315" s="147">
        <f t="shared" si="72"/>
        <v>0.41139439723008381</v>
      </c>
      <c r="E1315" s="148">
        <f t="shared" si="71"/>
        <v>6.0590164979262024E-5</v>
      </c>
      <c r="F1315" s="148">
        <f t="shared" si="73"/>
        <v>3.9172275450018196E-2</v>
      </c>
    </row>
    <row r="1316" spans="2:6" x14ac:dyDescent="0.2">
      <c r="B1316" s="206" t="s">
        <v>10</v>
      </c>
      <c r="C1316" s="205">
        <v>578</v>
      </c>
      <c r="D1316" s="147">
        <f t="shared" si="72"/>
        <v>0.41170915958450621</v>
      </c>
      <c r="E1316" s="148">
        <f t="shared" si="71"/>
        <v>6.0590164979262024E-5</v>
      </c>
      <c r="F1316" s="148">
        <f t="shared" si="73"/>
        <v>3.9232865614997454E-2</v>
      </c>
    </row>
    <row r="1317" spans="2:6" x14ac:dyDescent="0.2">
      <c r="B1317" s="206" t="s">
        <v>667</v>
      </c>
      <c r="C1317" s="205">
        <v>580</v>
      </c>
      <c r="D1317" s="147">
        <f t="shared" si="72"/>
        <v>0.41202392193892862</v>
      </c>
      <c r="E1317" s="148">
        <f t="shared" si="71"/>
        <v>6.0799819529363275E-5</v>
      </c>
      <c r="F1317" s="148">
        <f t="shared" si="73"/>
        <v>3.9293665434526816E-2</v>
      </c>
    </row>
    <row r="1318" spans="2:6" x14ac:dyDescent="0.2">
      <c r="B1318" s="115" t="s">
        <v>336</v>
      </c>
      <c r="C1318" s="114">
        <v>580</v>
      </c>
      <c r="D1318" s="147">
        <f t="shared" si="72"/>
        <v>0.41233868429335102</v>
      </c>
      <c r="E1318" s="148">
        <f t="shared" si="71"/>
        <v>6.0799819529363275E-5</v>
      </c>
      <c r="F1318" s="148">
        <f t="shared" si="73"/>
        <v>3.9354465254056177E-2</v>
      </c>
    </row>
    <row r="1319" spans="2:6" x14ac:dyDescent="0.2">
      <c r="B1319" s="206" t="s">
        <v>649</v>
      </c>
      <c r="C1319" s="205">
        <v>581</v>
      </c>
      <c r="D1319" s="147">
        <f t="shared" si="72"/>
        <v>0.41265344664777343</v>
      </c>
      <c r="E1319" s="148">
        <f t="shared" si="71"/>
        <v>6.0904646804413901E-5</v>
      </c>
      <c r="F1319" s="148">
        <f t="shared" si="73"/>
        <v>3.9415369900860593E-2</v>
      </c>
    </row>
    <row r="1320" spans="2:6" x14ac:dyDescent="0.2">
      <c r="B1320" s="115" t="s">
        <v>1271</v>
      </c>
      <c r="C1320" s="114">
        <v>582</v>
      </c>
      <c r="D1320" s="147">
        <f t="shared" si="72"/>
        <v>0.41296820900219583</v>
      </c>
      <c r="E1320" s="148">
        <f t="shared" si="71"/>
        <v>6.1009474079464526E-5</v>
      </c>
      <c r="F1320" s="148">
        <f t="shared" si="73"/>
        <v>3.9476379374940057E-2</v>
      </c>
    </row>
    <row r="1321" spans="2:6" x14ac:dyDescent="0.2">
      <c r="B1321" s="206" t="s">
        <v>849</v>
      </c>
      <c r="C1321" s="205">
        <v>582</v>
      </c>
      <c r="D1321" s="147">
        <f t="shared" si="72"/>
        <v>0.41328297135661823</v>
      </c>
      <c r="E1321" s="148">
        <f t="shared" si="71"/>
        <v>6.1009474079464526E-5</v>
      </c>
      <c r="F1321" s="148">
        <f t="shared" si="73"/>
        <v>3.9537388849019521E-2</v>
      </c>
    </row>
    <row r="1322" spans="2:6" x14ac:dyDescent="0.2">
      <c r="B1322" s="115" t="s">
        <v>777</v>
      </c>
      <c r="C1322" s="114">
        <v>582</v>
      </c>
      <c r="D1322" s="147">
        <f t="shared" si="72"/>
        <v>0.41359773371104064</v>
      </c>
      <c r="E1322" s="148">
        <f t="shared" si="71"/>
        <v>6.1009474079464526E-5</v>
      </c>
      <c r="F1322" s="148">
        <f t="shared" si="73"/>
        <v>3.9598398323098985E-2</v>
      </c>
    </row>
    <row r="1323" spans="2:6" x14ac:dyDescent="0.2">
      <c r="B1323" s="206" t="s">
        <v>133</v>
      </c>
      <c r="C1323" s="205">
        <v>583</v>
      </c>
      <c r="D1323" s="147">
        <f t="shared" si="72"/>
        <v>0.41391249606546304</v>
      </c>
      <c r="E1323" s="148">
        <f t="shared" si="71"/>
        <v>6.1114301354515152E-5</v>
      </c>
      <c r="F1323" s="148">
        <f t="shared" si="73"/>
        <v>3.9659512624453497E-2</v>
      </c>
    </row>
    <row r="1324" spans="2:6" x14ac:dyDescent="0.2">
      <c r="B1324" s="115" t="s">
        <v>2072</v>
      </c>
      <c r="C1324" s="114">
        <v>586</v>
      </c>
      <c r="D1324" s="147">
        <f t="shared" si="72"/>
        <v>0.41422725841988545</v>
      </c>
      <c r="E1324" s="148">
        <f t="shared" si="71"/>
        <v>6.1428783179667029E-5</v>
      </c>
      <c r="F1324" s="148">
        <f t="shared" si="73"/>
        <v>3.9720941407633166E-2</v>
      </c>
    </row>
    <row r="1325" spans="2:6" x14ac:dyDescent="0.2">
      <c r="B1325" s="115" t="s">
        <v>2829</v>
      </c>
      <c r="C1325" s="114">
        <v>587</v>
      </c>
      <c r="D1325" s="147">
        <f t="shared" si="72"/>
        <v>0.41454202077430785</v>
      </c>
      <c r="E1325" s="148">
        <f t="shared" si="71"/>
        <v>6.1533610454717654E-5</v>
      </c>
      <c r="F1325" s="148">
        <f t="shared" si="73"/>
        <v>3.9782475018087883E-2</v>
      </c>
    </row>
    <row r="1326" spans="2:6" x14ac:dyDescent="0.2">
      <c r="B1326" s="115" t="s">
        <v>2979</v>
      </c>
      <c r="C1326" s="114">
        <v>588</v>
      </c>
      <c r="D1326" s="147">
        <f t="shared" si="72"/>
        <v>0.41485678312873026</v>
      </c>
      <c r="E1326" s="148">
        <f t="shared" si="71"/>
        <v>6.163843772976828E-5</v>
      </c>
      <c r="F1326" s="148">
        <f t="shared" si="73"/>
        <v>3.9844113455817648E-2</v>
      </c>
    </row>
    <row r="1327" spans="2:6" x14ac:dyDescent="0.2">
      <c r="B1327" s="206" t="s">
        <v>2904</v>
      </c>
      <c r="C1327" s="205">
        <v>588</v>
      </c>
      <c r="D1327" s="147">
        <f t="shared" si="72"/>
        <v>0.41517154548315266</v>
      </c>
      <c r="E1327" s="148">
        <f t="shared" si="71"/>
        <v>6.163843772976828E-5</v>
      </c>
      <c r="F1327" s="148">
        <f t="shared" si="73"/>
        <v>3.9905751893547413E-2</v>
      </c>
    </row>
    <row r="1328" spans="2:6" x14ac:dyDescent="0.2">
      <c r="B1328" s="206" t="s">
        <v>695</v>
      </c>
      <c r="C1328" s="205">
        <v>588</v>
      </c>
      <c r="D1328" s="147">
        <f t="shared" si="72"/>
        <v>0.41548630783757506</v>
      </c>
      <c r="E1328" s="148">
        <f t="shared" si="71"/>
        <v>6.163843772976828E-5</v>
      </c>
      <c r="F1328" s="148">
        <f t="shared" si="73"/>
        <v>3.9967390331277178E-2</v>
      </c>
    </row>
    <row r="1329" spans="2:6" x14ac:dyDescent="0.2">
      <c r="B1329" s="115" t="s">
        <v>1726</v>
      </c>
      <c r="C1329" s="114">
        <v>589</v>
      </c>
      <c r="D1329" s="147">
        <f t="shared" si="72"/>
        <v>0.41580107019199747</v>
      </c>
      <c r="E1329" s="148">
        <f t="shared" si="71"/>
        <v>6.1743265004818906E-5</v>
      </c>
      <c r="F1329" s="148">
        <f t="shared" si="73"/>
        <v>4.0029133596281997E-2</v>
      </c>
    </row>
    <row r="1330" spans="2:6" x14ac:dyDescent="0.2">
      <c r="B1330" s="115" t="s">
        <v>1000</v>
      </c>
      <c r="C1330" s="114">
        <v>589</v>
      </c>
      <c r="D1330" s="147">
        <f t="shared" si="72"/>
        <v>0.41611583254641987</v>
      </c>
      <c r="E1330" s="148">
        <f t="shared" si="71"/>
        <v>6.1743265004818906E-5</v>
      </c>
      <c r="F1330" s="148">
        <f t="shared" si="73"/>
        <v>4.0090876861286817E-2</v>
      </c>
    </row>
    <row r="1331" spans="2:6" x14ac:dyDescent="0.2">
      <c r="B1331" s="206" t="s">
        <v>1301</v>
      </c>
      <c r="C1331" s="205">
        <v>590</v>
      </c>
      <c r="D1331" s="147">
        <f t="shared" si="72"/>
        <v>0.41643059490084228</v>
      </c>
      <c r="E1331" s="148">
        <f t="shared" si="71"/>
        <v>6.1848092279869531E-5</v>
      </c>
      <c r="F1331" s="148">
        <f t="shared" si="73"/>
        <v>4.0152724953566685E-2</v>
      </c>
    </row>
    <row r="1332" spans="2:6" x14ac:dyDescent="0.2">
      <c r="B1332" s="206" t="s">
        <v>1080</v>
      </c>
      <c r="C1332" s="205">
        <v>590</v>
      </c>
      <c r="D1332" s="147">
        <f t="shared" si="72"/>
        <v>0.41674535725526468</v>
      </c>
      <c r="E1332" s="148">
        <f t="shared" si="71"/>
        <v>6.1848092279869531E-5</v>
      </c>
      <c r="F1332" s="148">
        <f t="shared" si="73"/>
        <v>4.0214573045846552E-2</v>
      </c>
    </row>
    <row r="1333" spans="2:6" x14ac:dyDescent="0.2">
      <c r="B1333" s="115" t="s">
        <v>2200</v>
      </c>
      <c r="C1333" s="114">
        <v>591</v>
      </c>
      <c r="D1333" s="147">
        <f t="shared" si="72"/>
        <v>0.41706011960968709</v>
      </c>
      <c r="E1333" s="148">
        <f t="shared" si="71"/>
        <v>6.1952919554920157E-5</v>
      </c>
      <c r="F1333" s="148">
        <f t="shared" si="73"/>
        <v>4.0276525965401475E-2</v>
      </c>
    </row>
    <row r="1334" spans="2:6" x14ac:dyDescent="0.2">
      <c r="B1334" s="115" t="s">
        <v>1789</v>
      </c>
      <c r="C1334" s="114">
        <v>591</v>
      </c>
      <c r="D1334" s="147">
        <f t="shared" si="72"/>
        <v>0.41737488196410949</v>
      </c>
      <c r="E1334" s="148">
        <f t="shared" si="71"/>
        <v>6.1952919554920157E-5</v>
      </c>
      <c r="F1334" s="148">
        <f t="shared" si="73"/>
        <v>4.0338478884956397E-2</v>
      </c>
    </row>
    <row r="1335" spans="2:6" x14ac:dyDescent="0.2">
      <c r="B1335" s="206" t="s">
        <v>3150</v>
      </c>
      <c r="C1335" s="205">
        <v>592</v>
      </c>
      <c r="D1335" s="147">
        <f t="shared" si="72"/>
        <v>0.41768964431853189</v>
      </c>
      <c r="E1335" s="148">
        <f t="shared" si="71"/>
        <v>6.2057746829970783E-5</v>
      </c>
      <c r="F1335" s="148">
        <f t="shared" si="73"/>
        <v>4.0400536631786367E-2</v>
      </c>
    </row>
    <row r="1336" spans="2:6" x14ac:dyDescent="0.2">
      <c r="B1336" s="206" t="s">
        <v>2909</v>
      </c>
      <c r="C1336" s="205">
        <v>592</v>
      </c>
      <c r="D1336" s="147">
        <f t="shared" si="72"/>
        <v>0.4180044066729543</v>
      </c>
      <c r="E1336" s="148">
        <f t="shared" si="71"/>
        <v>6.2057746829970783E-5</v>
      </c>
      <c r="F1336" s="148">
        <f t="shared" si="73"/>
        <v>4.0462594378616337E-2</v>
      </c>
    </row>
    <row r="1337" spans="2:6" x14ac:dyDescent="0.2">
      <c r="B1337" s="115" t="s">
        <v>1852</v>
      </c>
      <c r="C1337" s="114">
        <v>592</v>
      </c>
      <c r="D1337" s="147">
        <f t="shared" si="72"/>
        <v>0.4183191690273767</v>
      </c>
      <c r="E1337" s="148">
        <f t="shared" si="71"/>
        <v>6.2057746829970783E-5</v>
      </c>
      <c r="F1337" s="148">
        <f t="shared" si="73"/>
        <v>4.0524652125446307E-2</v>
      </c>
    </row>
    <row r="1338" spans="2:6" x14ac:dyDescent="0.2">
      <c r="B1338" s="115" t="s">
        <v>1227</v>
      </c>
      <c r="C1338" s="114">
        <v>592</v>
      </c>
      <c r="D1338" s="147">
        <f t="shared" si="72"/>
        <v>0.41863393138179911</v>
      </c>
      <c r="E1338" s="148">
        <f t="shared" si="71"/>
        <v>6.2057746829970783E-5</v>
      </c>
      <c r="F1338" s="148">
        <f t="shared" si="73"/>
        <v>4.0586709872276278E-2</v>
      </c>
    </row>
    <row r="1339" spans="2:6" x14ac:dyDescent="0.2">
      <c r="B1339" s="115" t="s">
        <v>364</v>
      </c>
      <c r="C1339" s="114">
        <v>592</v>
      </c>
      <c r="D1339" s="147">
        <f t="shared" si="72"/>
        <v>0.41894869373622151</v>
      </c>
      <c r="E1339" s="148">
        <f t="shared" si="71"/>
        <v>6.2057746829970783E-5</v>
      </c>
      <c r="F1339" s="148">
        <f t="shared" si="73"/>
        <v>4.0648767619106248E-2</v>
      </c>
    </row>
    <row r="1340" spans="2:6" x14ac:dyDescent="0.2">
      <c r="B1340" s="115" t="s">
        <v>2132</v>
      </c>
      <c r="C1340" s="114">
        <v>593</v>
      </c>
      <c r="D1340" s="147">
        <f t="shared" si="72"/>
        <v>0.41926345609064392</v>
      </c>
      <c r="E1340" s="148">
        <f t="shared" si="71"/>
        <v>6.2162574105021408E-5</v>
      </c>
      <c r="F1340" s="148">
        <f t="shared" si="73"/>
        <v>4.0710930193211266E-2</v>
      </c>
    </row>
    <row r="1341" spans="2:6" x14ac:dyDescent="0.2">
      <c r="B1341" s="206" t="s">
        <v>1099</v>
      </c>
      <c r="C1341" s="205">
        <v>593</v>
      </c>
      <c r="D1341" s="147">
        <f t="shared" si="72"/>
        <v>0.41957821844506632</v>
      </c>
      <c r="E1341" s="148">
        <f t="shared" si="71"/>
        <v>6.2162574105021408E-5</v>
      </c>
      <c r="F1341" s="148">
        <f t="shared" si="73"/>
        <v>4.0773092767316284E-2</v>
      </c>
    </row>
    <row r="1342" spans="2:6" x14ac:dyDescent="0.2">
      <c r="B1342" s="206" t="s">
        <v>2115</v>
      </c>
      <c r="C1342" s="205">
        <v>594</v>
      </c>
      <c r="D1342" s="147">
        <f t="shared" si="72"/>
        <v>0.41989298079948872</v>
      </c>
      <c r="E1342" s="148">
        <f t="shared" si="71"/>
        <v>6.2267401380072048E-5</v>
      </c>
      <c r="F1342" s="148">
        <f t="shared" si="73"/>
        <v>4.0835360168696357E-2</v>
      </c>
    </row>
    <row r="1343" spans="2:6" x14ac:dyDescent="0.2">
      <c r="B1343" s="206" t="s">
        <v>1376</v>
      </c>
      <c r="C1343" s="205">
        <v>594</v>
      </c>
      <c r="D1343" s="147">
        <f t="shared" si="72"/>
        <v>0.42020774315391113</v>
      </c>
      <c r="E1343" s="148">
        <f t="shared" si="71"/>
        <v>6.2267401380072048E-5</v>
      </c>
      <c r="F1343" s="148">
        <f t="shared" si="73"/>
        <v>4.0897627570076429E-2</v>
      </c>
    </row>
    <row r="1344" spans="2:6" x14ac:dyDescent="0.2">
      <c r="B1344" s="115" t="s">
        <v>636</v>
      </c>
      <c r="C1344" s="114">
        <v>594</v>
      </c>
      <c r="D1344" s="147">
        <f t="shared" si="72"/>
        <v>0.42052250550833353</v>
      </c>
      <c r="E1344" s="148">
        <f t="shared" si="71"/>
        <v>6.2267401380072048E-5</v>
      </c>
      <c r="F1344" s="148">
        <f t="shared" si="73"/>
        <v>4.0959894971456502E-2</v>
      </c>
    </row>
    <row r="1345" spans="2:6" x14ac:dyDescent="0.2">
      <c r="B1345" s="206" t="s">
        <v>1973</v>
      </c>
      <c r="C1345" s="205">
        <v>595</v>
      </c>
      <c r="D1345" s="147">
        <f t="shared" si="72"/>
        <v>0.42083726786275594</v>
      </c>
      <c r="E1345" s="148">
        <f t="shared" si="71"/>
        <v>6.2372228655122673E-5</v>
      </c>
      <c r="F1345" s="148">
        <f t="shared" si="73"/>
        <v>4.1022267200111623E-2</v>
      </c>
    </row>
    <row r="1346" spans="2:6" x14ac:dyDescent="0.2">
      <c r="B1346" s="206" t="s">
        <v>361</v>
      </c>
      <c r="C1346" s="205">
        <v>595</v>
      </c>
      <c r="D1346" s="147">
        <f t="shared" si="72"/>
        <v>0.42115203021717834</v>
      </c>
      <c r="E1346" s="148">
        <f t="shared" si="71"/>
        <v>6.2372228655122673E-5</v>
      </c>
      <c r="F1346" s="148">
        <f t="shared" si="73"/>
        <v>4.1084639428766744E-2</v>
      </c>
    </row>
    <row r="1347" spans="2:6" x14ac:dyDescent="0.2">
      <c r="B1347" s="206" t="s">
        <v>3161</v>
      </c>
      <c r="C1347" s="205">
        <v>596</v>
      </c>
      <c r="D1347" s="147">
        <f t="shared" si="72"/>
        <v>0.42146679257160075</v>
      </c>
      <c r="E1347" s="148">
        <f t="shared" si="71"/>
        <v>6.2477055930173299E-5</v>
      </c>
      <c r="F1347" s="148">
        <f t="shared" si="73"/>
        <v>4.1147116484696919E-2</v>
      </c>
    </row>
    <row r="1348" spans="2:6" x14ac:dyDescent="0.2">
      <c r="B1348" s="115" t="s">
        <v>2903</v>
      </c>
      <c r="C1348" s="114">
        <v>596</v>
      </c>
      <c r="D1348" s="147">
        <f t="shared" si="72"/>
        <v>0.42178155492602315</v>
      </c>
      <c r="E1348" s="148">
        <f t="shared" si="71"/>
        <v>6.2477055930173299E-5</v>
      </c>
      <c r="F1348" s="148">
        <f t="shared" si="73"/>
        <v>4.1209593540627094E-2</v>
      </c>
    </row>
    <row r="1349" spans="2:6" x14ac:dyDescent="0.2">
      <c r="B1349" s="115" t="s">
        <v>2050</v>
      </c>
      <c r="C1349" s="114">
        <v>596</v>
      </c>
      <c r="D1349" s="147">
        <f t="shared" si="72"/>
        <v>0.42209631728044555</v>
      </c>
      <c r="E1349" s="148">
        <f t="shared" si="71"/>
        <v>6.2477055930173299E-5</v>
      </c>
      <c r="F1349" s="148">
        <f t="shared" si="73"/>
        <v>4.127207059655727E-2</v>
      </c>
    </row>
    <row r="1350" spans="2:6" x14ac:dyDescent="0.2">
      <c r="B1350" s="115" t="s">
        <v>642</v>
      </c>
      <c r="C1350" s="114">
        <v>596</v>
      </c>
      <c r="D1350" s="147">
        <f t="shared" si="72"/>
        <v>0.42241107963486796</v>
      </c>
      <c r="E1350" s="148">
        <f t="shared" si="71"/>
        <v>6.2477055930173299E-5</v>
      </c>
      <c r="F1350" s="148">
        <f t="shared" si="73"/>
        <v>4.1334547652487445E-2</v>
      </c>
    </row>
    <row r="1351" spans="2:6" x14ac:dyDescent="0.2">
      <c r="B1351" s="206" t="s">
        <v>80</v>
      </c>
      <c r="C1351" s="205">
        <v>596</v>
      </c>
      <c r="D1351" s="147">
        <f t="shared" si="72"/>
        <v>0.42272584198929036</v>
      </c>
      <c r="E1351" s="148">
        <f t="shared" si="71"/>
        <v>6.2477055930173299E-5</v>
      </c>
      <c r="F1351" s="148">
        <f t="shared" si="73"/>
        <v>4.1397024708417621E-2</v>
      </c>
    </row>
    <row r="1352" spans="2:6" x14ac:dyDescent="0.2">
      <c r="B1352" s="206" t="s">
        <v>1417</v>
      </c>
      <c r="C1352" s="205">
        <v>597</v>
      </c>
      <c r="D1352" s="147">
        <f t="shared" si="72"/>
        <v>0.42304060434371277</v>
      </c>
      <c r="E1352" s="148">
        <f t="shared" si="71"/>
        <v>6.2581883205223925E-5</v>
      </c>
      <c r="F1352" s="148">
        <f t="shared" si="73"/>
        <v>4.1459606591622844E-2</v>
      </c>
    </row>
    <row r="1353" spans="2:6" x14ac:dyDescent="0.2">
      <c r="B1353" s="206" t="s">
        <v>1378</v>
      </c>
      <c r="C1353" s="205">
        <v>597</v>
      </c>
      <c r="D1353" s="147">
        <f t="shared" si="72"/>
        <v>0.42335536669813517</v>
      </c>
      <c r="E1353" s="148">
        <f t="shared" ref="E1353:E1416" si="74">C1353/$O$18</f>
        <v>6.2581883205223925E-5</v>
      </c>
      <c r="F1353" s="148">
        <f t="shared" si="73"/>
        <v>4.1522188474828067E-2</v>
      </c>
    </row>
    <row r="1354" spans="2:6" x14ac:dyDescent="0.2">
      <c r="B1354" s="206" t="s">
        <v>2158</v>
      </c>
      <c r="C1354" s="205">
        <v>598</v>
      </c>
      <c r="D1354" s="147">
        <f t="shared" ref="D1354:D1417" si="75">D1353+1/$L$18</f>
        <v>0.42367012905255758</v>
      </c>
      <c r="E1354" s="148">
        <f t="shared" si="74"/>
        <v>6.268671048027455E-5</v>
      </c>
      <c r="F1354" s="148">
        <f t="shared" ref="F1354:F1417" si="76">F1353+E1354</f>
        <v>4.1584875185308338E-2</v>
      </c>
    </row>
    <row r="1355" spans="2:6" x14ac:dyDescent="0.2">
      <c r="B1355" s="115" t="s">
        <v>1453</v>
      </c>
      <c r="C1355" s="114">
        <v>598</v>
      </c>
      <c r="D1355" s="147">
        <f t="shared" si="75"/>
        <v>0.42398489140697998</v>
      </c>
      <c r="E1355" s="148">
        <f t="shared" si="74"/>
        <v>6.268671048027455E-5</v>
      </c>
      <c r="F1355" s="148">
        <f t="shared" si="76"/>
        <v>4.164756189578861E-2</v>
      </c>
    </row>
    <row r="1356" spans="2:6" x14ac:dyDescent="0.2">
      <c r="B1356" s="115" t="s">
        <v>3129</v>
      </c>
      <c r="C1356" s="114">
        <v>599</v>
      </c>
      <c r="D1356" s="147">
        <f t="shared" si="75"/>
        <v>0.42429965376140238</v>
      </c>
      <c r="E1356" s="148">
        <f t="shared" si="74"/>
        <v>6.2791537755325176E-5</v>
      </c>
      <c r="F1356" s="148">
        <f t="shared" si="76"/>
        <v>4.1710353433543935E-2</v>
      </c>
    </row>
    <row r="1357" spans="2:6" x14ac:dyDescent="0.2">
      <c r="B1357" s="115" t="s">
        <v>2892</v>
      </c>
      <c r="C1357" s="114">
        <v>599</v>
      </c>
      <c r="D1357" s="147">
        <f t="shared" si="75"/>
        <v>0.42461441611582479</v>
      </c>
      <c r="E1357" s="148">
        <f t="shared" si="74"/>
        <v>6.2791537755325176E-5</v>
      </c>
      <c r="F1357" s="148">
        <f t="shared" si="76"/>
        <v>4.1773144971299261E-2</v>
      </c>
    </row>
    <row r="1358" spans="2:6" x14ac:dyDescent="0.2">
      <c r="B1358" s="206" t="s">
        <v>2797</v>
      </c>
      <c r="C1358" s="205">
        <v>599</v>
      </c>
      <c r="D1358" s="147">
        <f t="shared" si="75"/>
        <v>0.42492917847024719</v>
      </c>
      <c r="E1358" s="148">
        <f t="shared" si="74"/>
        <v>6.2791537755325176E-5</v>
      </c>
      <c r="F1358" s="148">
        <f t="shared" si="76"/>
        <v>4.1835936509054587E-2</v>
      </c>
    </row>
    <row r="1359" spans="2:6" x14ac:dyDescent="0.2">
      <c r="B1359" s="115" t="s">
        <v>2748</v>
      </c>
      <c r="C1359" s="114">
        <v>600</v>
      </c>
      <c r="D1359" s="147">
        <f t="shared" si="75"/>
        <v>0.4252439408246696</v>
      </c>
      <c r="E1359" s="148">
        <f t="shared" si="74"/>
        <v>6.2896365030375802E-5</v>
      </c>
      <c r="F1359" s="148">
        <f t="shared" si="76"/>
        <v>4.1898832874084961E-2</v>
      </c>
    </row>
    <row r="1360" spans="2:6" x14ac:dyDescent="0.2">
      <c r="B1360" s="115" t="s">
        <v>2718</v>
      </c>
      <c r="C1360" s="114">
        <v>600</v>
      </c>
      <c r="D1360" s="147">
        <f t="shared" si="75"/>
        <v>0.425558703179092</v>
      </c>
      <c r="E1360" s="148">
        <f t="shared" si="74"/>
        <v>6.2896365030375802E-5</v>
      </c>
      <c r="F1360" s="148">
        <f t="shared" si="76"/>
        <v>4.1961729239115335E-2</v>
      </c>
    </row>
    <row r="1361" spans="2:6" x14ac:dyDescent="0.2">
      <c r="B1361" s="206" t="s">
        <v>2660</v>
      </c>
      <c r="C1361" s="205">
        <v>601</v>
      </c>
      <c r="D1361" s="147">
        <f t="shared" si="75"/>
        <v>0.42587346553351441</v>
      </c>
      <c r="E1361" s="148">
        <f t="shared" si="74"/>
        <v>6.3001192305426427E-5</v>
      </c>
      <c r="F1361" s="148">
        <f t="shared" si="76"/>
        <v>4.2024730431420763E-2</v>
      </c>
    </row>
    <row r="1362" spans="2:6" x14ac:dyDescent="0.2">
      <c r="B1362" s="206" t="s">
        <v>2232</v>
      </c>
      <c r="C1362" s="205">
        <v>601</v>
      </c>
      <c r="D1362" s="147">
        <f t="shared" si="75"/>
        <v>0.42618822788793681</v>
      </c>
      <c r="E1362" s="148">
        <f t="shared" si="74"/>
        <v>6.3001192305426427E-5</v>
      </c>
      <c r="F1362" s="148">
        <f t="shared" si="76"/>
        <v>4.2087731623726192E-2</v>
      </c>
    </row>
    <row r="1363" spans="2:6" x14ac:dyDescent="0.2">
      <c r="B1363" s="115" t="s">
        <v>2777</v>
      </c>
      <c r="C1363" s="114">
        <v>602</v>
      </c>
      <c r="D1363" s="147">
        <f t="shared" si="75"/>
        <v>0.42650299024235921</v>
      </c>
      <c r="E1363" s="148">
        <f t="shared" si="74"/>
        <v>6.3106019580477053E-5</v>
      </c>
      <c r="F1363" s="148">
        <f t="shared" si="76"/>
        <v>4.2150837643306668E-2</v>
      </c>
    </row>
    <row r="1364" spans="2:6" x14ac:dyDescent="0.2">
      <c r="B1364" s="115" t="s">
        <v>2585</v>
      </c>
      <c r="C1364" s="114">
        <v>602</v>
      </c>
      <c r="D1364" s="147">
        <f t="shared" si="75"/>
        <v>0.42681775259678162</v>
      </c>
      <c r="E1364" s="148">
        <f t="shared" si="74"/>
        <v>6.3106019580477053E-5</v>
      </c>
      <c r="F1364" s="148">
        <f t="shared" si="76"/>
        <v>4.2213943662887145E-2</v>
      </c>
    </row>
    <row r="1365" spans="2:6" x14ac:dyDescent="0.2">
      <c r="B1365" s="115" t="s">
        <v>2387</v>
      </c>
      <c r="C1365" s="114">
        <v>603</v>
      </c>
      <c r="D1365" s="147">
        <f t="shared" si="75"/>
        <v>0.42713251495120402</v>
      </c>
      <c r="E1365" s="148">
        <f t="shared" si="74"/>
        <v>6.3210846855527679E-5</v>
      </c>
      <c r="F1365" s="148">
        <f t="shared" si="76"/>
        <v>4.2277154509742669E-2</v>
      </c>
    </row>
    <row r="1366" spans="2:6" x14ac:dyDescent="0.2">
      <c r="B1366" s="206" t="s">
        <v>1128</v>
      </c>
      <c r="C1366" s="205">
        <v>605</v>
      </c>
      <c r="D1366" s="147">
        <f t="shared" si="75"/>
        <v>0.42744727730562643</v>
      </c>
      <c r="E1366" s="148">
        <f t="shared" si="74"/>
        <v>6.342050140562893E-5</v>
      </c>
      <c r="F1366" s="148">
        <f t="shared" si="76"/>
        <v>4.2340575011148296E-2</v>
      </c>
    </row>
    <row r="1367" spans="2:6" x14ac:dyDescent="0.2">
      <c r="B1367" s="206" t="s">
        <v>270</v>
      </c>
      <c r="C1367" s="205">
        <v>605</v>
      </c>
      <c r="D1367" s="147">
        <f t="shared" si="75"/>
        <v>0.42776203966004883</v>
      </c>
      <c r="E1367" s="148">
        <f t="shared" si="74"/>
        <v>6.342050140562893E-5</v>
      </c>
      <c r="F1367" s="148">
        <f t="shared" si="76"/>
        <v>4.2403995512553923E-2</v>
      </c>
    </row>
    <row r="1368" spans="2:6" x14ac:dyDescent="0.2">
      <c r="B1368" s="115" t="s">
        <v>1854</v>
      </c>
      <c r="C1368" s="114">
        <v>606</v>
      </c>
      <c r="D1368" s="147">
        <f t="shared" si="75"/>
        <v>0.42807680201447124</v>
      </c>
      <c r="E1368" s="148">
        <f t="shared" si="74"/>
        <v>6.3525328680679556E-5</v>
      </c>
      <c r="F1368" s="148">
        <f t="shared" si="76"/>
        <v>4.2467520841234604E-2</v>
      </c>
    </row>
    <row r="1369" spans="2:6" x14ac:dyDescent="0.2">
      <c r="B1369" s="115" t="s">
        <v>1312</v>
      </c>
      <c r="C1369" s="114">
        <v>607</v>
      </c>
      <c r="D1369" s="147">
        <f t="shared" si="75"/>
        <v>0.42839156436889364</v>
      </c>
      <c r="E1369" s="148">
        <f t="shared" si="74"/>
        <v>6.3630155955730181E-5</v>
      </c>
      <c r="F1369" s="148">
        <f t="shared" si="76"/>
        <v>4.2531150997190334E-2</v>
      </c>
    </row>
    <row r="1370" spans="2:6" x14ac:dyDescent="0.2">
      <c r="B1370" s="206" t="s">
        <v>1244</v>
      </c>
      <c r="C1370" s="205">
        <v>607</v>
      </c>
      <c r="D1370" s="147">
        <f t="shared" si="75"/>
        <v>0.42870632672331604</v>
      </c>
      <c r="E1370" s="148">
        <f t="shared" si="74"/>
        <v>6.3630155955730181E-5</v>
      </c>
      <c r="F1370" s="148">
        <f t="shared" si="76"/>
        <v>4.2594781153146064E-2</v>
      </c>
    </row>
    <row r="1371" spans="2:6" x14ac:dyDescent="0.2">
      <c r="B1371" s="115" t="s">
        <v>2337</v>
      </c>
      <c r="C1371" s="114">
        <v>608</v>
      </c>
      <c r="D1371" s="147">
        <f t="shared" si="75"/>
        <v>0.42902108907773845</v>
      </c>
      <c r="E1371" s="148">
        <f t="shared" si="74"/>
        <v>6.3734983230780807E-5</v>
      </c>
      <c r="F1371" s="148">
        <f t="shared" si="76"/>
        <v>4.2658516136376841E-2</v>
      </c>
    </row>
    <row r="1372" spans="2:6" x14ac:dyDescent="0.2">
      <c r="B1372" s="206" t="s">
        <v>709</v>
      </c>
      <c r="C1372" s="205">
        <v>608</v>
      </c>
      <c r="D1372" s="147">
        <f t="shared" si="75"/>
        <v>0.42933585143216085</v>
      </c>
      <c r="E1372" s="148">
        <f t="shared" si="74"/>
        <v>6.3734983230780807E-5</v>
      </c>
      <c r="F1372" s="148">
        <f t="shared" si="76"/>
        <v>4.2722251119607618E-2</v>
      </c>
    </row>
    <row r="1373" spans="2:6" x14ac:dyDescent="0.2">
      <c r="B1373" s="206" t="s">
        <v>2466</v>
      </c>
      <c r="C1373" s="205">
        <v>610</v>
      </c>
      <c r="D1373" s="147">
        <f t="shared" si="75"/>
        <v>0.42965061378658326</v>
      </c>
      <c r="E1373" s="148">
        <f t="shared" si="74"/>
        <v>6.3944637780882058E-5</v>
      </c>
      <c r="F1373" s="148">
        <f t="shared" si="76"/>
        <v>4.2786195757388498E-2</v>
      </c>
    </row>
    <row r="1374" spans="2:6" x14ac:dyDescent="0.2">
      <c r="B1374" s="206" t="s">
        <v>2100</v>
      </c>
      <c r="C1374" s="205">
        <v>610</v>
      </c>
      <c r="D1374" s="147">
        <f t="shared" si="75"/>
        <v>0.42996537614100566</v>
      </c>
      <c r="E1374" s="148">
        <f t="shared" si="74"/>
        <v>6.3944637780882058E-5</v>
      </c>
      <c r="F1374" s="148">
        <f t="shared" si="76"/>
        <v>4.2850140395169378E-2</v>
      </c>
    </row>
    <row r="1375" spans="2:6" x14ac:dyDescent="0.2">
      <c r="B1375" s="115" t="s">
        <v>3110</v>
      </c>
      <c r="C1375" s="114">
        <v>611</v>
      </c>
      <c r="D1375" s="147">
        <f t="shared" si="75"/>
        <v>0.43028013849542807</v>
      </c>
      <c r="E1375" s="148">
        <f t="shared" si="74"/>
        <v>6.4049465055932684E-5</v>
      </c>
      <c r="F1375" s="148">
        <f t="shared" si="76"/>
        <v>4.2914189860225313E-2</v>
      </c>
    </row>
    <row r="1376" spans="2:6" x14ac:dyDescent="0.2">
      <c r="B1376" s="206" t="s">
        <v>47</v>
      </c>
      <c r="C1376" s="205">
        <v>612</v>
      </c>
      <c r="D1376" s="147">
        <f t="shared" si="75"/>
        <v>0.43059490084985047</v>
      </c>
      <c r="E1376" s="148">
        <f t="shared" si="74"/>
        <v>6.4154292330983309E-5</v>
      </c>
      <c r="F1376" s="148">
        <f t="shared" si="76"/>
        <v>4.2978344152556296E-2</v>
      </c>
    </row>
    <row r="1377" spans="2:6" x14ac:dyDescent="0.2">
      <c r="B1377" s="206" t="s">
        <v>834</v>
      </c>
      <c r="C1377" s="205">
        <v>613</v>
      </c>
      <c r="D1377" s="147">
        <f t="shared" si="75"/>
        <v>0.43090966320427287</v>
      </c>
      <c r="E1377" s="148">
        <f t="shared" si="74"/>
        <v>6.4259119606033935E-5</v>
      </c>
      <c r="F1377" s="148">
        <f t="shared" si="76"/>
        <v>4.3042603272162326E-2</v>
      </c>
    </row>
    <row r="1378" spans="2:6" x14ac:dyDescent="0.2">
      <c r="B1378" s="206" t="s">
        <v>741</v>
      </c>
      <c r="C1378" s="205">
        <v>613</v>
      </c>
      <c r="D1378" s="147">
        <f t="shared" si="75"/>
        <v>0.43122442555869528</v>
      </c>
      <c r="E1378" s="148">
        <f t="shared" si="74"/>
        <v>6.4259119606033935E-5</v>
      </c>
      <c r="F1378" s="148">
        <f t="shared" si="76"/>
        <v>4.3106862391768357E-2</v>
      </c>
    </row>
    <row r="1379" spans="2:6" x14ac:dyDescent="0.2">
      <c r="B1379" s="206" t="s">
        <v>2667</v>
      </c>
      <c r="C1379" s="205">
        <v>614</v>
      </c>
      <c r="D1379" s="147">
        <f t="shared" si="75"/>
        <v>0.43153918791311768</v>
      </c>
      <c r="E1379" s="148">
        <f t="shared" si="74"/>
        <v>6.4363946881084574E-5</v>
      </c>
      <c r="F1379" s="148">
        <f t="shared" si="76"/>
        <v>4.3171226338649442E-2</v>
      </c>
    </row>
    <row r="1380" spans="2:6" x14ac:dyDescent="0.2">
      <c r="B1380" s="206" t="s">
        <v>225</v>
      </c>
      <c r="C1380" s="205">
        <v>614</v>
      </c>
      <c r="D1380" s="147">
        <f t="shared" si="75"/>
        <v>0.43185395026754009</v>
      </c>
      <c r="E1380" s="148">
        <f t="shared" si="74"/>
        <v>6.4363946881084574E-5</v>
      </c>
      <c r="F1380" s="148">
        <f t="shared" si="76"/>
        <v>4.3235590285530527E-2</v>
      </c>
    </row>
    <row r="1381" spans="2:6" x14ac:dyDescent="0.2">
      <c r="B1381" s="206" t="s">
        <v>2384</v>
      </c>
      <c r="C1381" s="205">
        <v>617</v>
      </c>
      <c r="D1381" s="147">
        <f t="shared" si="75"/>
        <v>0.43216871262196249</v>
      </c>
      <c r="E1381" s="148">
        <f t="shared" si="74"/>
        <v>6.4678428706236451E-5</v>
      </c>
      <c r="F1381" s="148">
        <f t="shared" si="76"/>
        <v>4.3300268714236763E-2</v>
      </c>
    </row>
    <row r="1382" spans="2:6" x14ac:dyDescent="0.2">
      <c r="B1382" s="115" t="s">
        <v>2326</v>
      </c>
      <c r="C1382" s="114">
        <v>617</v>
      </c>
      <c r="D1382" s="147">
        <f t="shared" si="75"/>
        <v>0.4324834749763849</v>
      </c>
      <c r="E1382" s="148">
        <f t="shared" si="74"/>
        <v>6.4678428706236451E-5</v>
      </c>
      <c r="F1382" s="148">
        <f t="shared" si="76"/>
        <v>4.3364947142942999E-2</v>
      </c>
    </row>
    <row r="1383" spans="2:6" x14ac:dyDescent="0.2">
      <c r="B1383" s="206" t="s">
        <v>754</v>
      </c>
      <c r="C1383" s="205">
        <v>617</v>
      </c>
      <c r="D1383" s="147">
        <f t="shared" si="75"/>
        <v>0.4327982373308073</v>
      </c>
      <c r="E1383" s="148">
        <f t="shared" si="74"/>
        <v>6.4678428706236451E-5</v>
      </c>
      <c r="F1383" s="148">
        <f t="shared" si="76"/>
        <v>4.3429625571649234E-2</v>
      </c>
    </row>
    <row r="1384" spans="2:6" x14ac:dyDescent="0.2">
      <c r="B1384" s="206" t="s">
        <v>1263</v>
      </c>
      <c r="C1384" s="205">
        <v>618</v>
      </c>
      <c r="D1384" s="147">
        <f t="shared" si="75"/>
        <v>0.4331129996852297</v>
      </c>
      <c r="E1384" s="148">
        <f t="shared" si="74"/>
        <v>6.4783255981287077E-5</v>
      </c>
      <c r="F1384" s="148">
        <f t="shared" si="76"/>
        <v>4.3494408827630525E-2</v>
      </c>
    </row>
    <row r="1385" spans="2:6" x14ac:dyDescent="0.2">
      <c r="B1385" s="115" t="s">
        <v>2704</v>
      </c>
      <c r="C1385" s="114">
        <v>619</v>
      </c>
      <c r="D1385" s="147">
        <f t="shared" si="75"/>
        <v>0.43342776203965211</v>
      </c>
      <c r="E1385" s="148">
        <f t="shared" si="74"/>
        <v>6.4888083256337703E-5</v>
      </c>
      <c r="F1385" s="148">
        <f t="shared" si="76"/>
        <v>4.3559296910886863E-2</v>
      </c>
    </row>
    <row r="1386" spans="2:6" x14ac:dyDescent="0.2">
      <c r="B1386" s="115" t="s">
        <v>2301</v>
      </c>
      <c r="C1386" s="114">
        <v>619</v>
      </c>
      <c r="D1386" s="147">
        <f t="shared" si="75"/>
        <v>0.43374252439407451</v>
      </c>
      <c r="E1386" s="148">
        <f t="shared" si="74"/>
        <v>6.4888083256337703E-5</v>
      </c>
      <c r="F1386" s="148">
        <f t="shared" si="76"/>
        <v>4.3624184994143202E-2</v>
      </c>
    </row>
    <row r="1387" spans="2:6" x14ac:dyDescent="0.2">
      <c r="B1387" s="115" t="s">
        <v>2859</v>
      </c>
      <c r="C1387" s="114">
        <v>621</v>
      </c>
      <c r="D1387" s="147">
        <f t="shared" si="75"/>
        <v>0.43405728674849692</v>
      </c>
      <c r="E1387" s="148">
        <f t="shared" si="74"/>
        <v>6.5097737806438954E-5</v>
      </c>
      <c r="F1387" s="148">
        <f t="shared" si="76"/>
        <v>4.3689282731949643E-2</v>
      </c>
    </row>
    <row r="1388" spans="2:6" x14ac:dyDescent="0.2">
      <c r="B1388" s="115" t="s">
        <v>2630</v>
      </c>
      <c r="C1388" s="114">
        <v>621</v>
      </c>
      <c r="D1388" s="147">
        <f t="shared" si="75"/>
        <v>0.43437204910291932</v>
      </c>
      <c r="E1388" s="148">
        <f t="shared" si="74"/>
        <v>6.5097737806438954E-5</v>
      </c>
      <c r="F1388" s="148">
        <f t="shared" si="76"/>
        <v>4.3754380469756084E-2</v>
      </c>
    </row>
    <row r="1389" spans="2:6" x14ac:dyDescent="0.2">
      <c r="B1389" s="115" t="s">
        <v>1931</v>
      </c>
      <c r="C1389" s="114">
        <v>621</v>
      </c>
      <c r="D1389" s="147">
        <f t="shared" si="75"/>
        <v>0.43468681145734173</v>
      </c>
      <c r="E1389" s="148">
        <f t="shared" si="74"/>
        <v>6.5097737806438954E-5</v>
      </c>
      <c r="F1389" s="148">
        <f t="shared" si="76"/>
        <v>4.3819478207562525E-2</v>
      </c>
    </row>
    <row r="1390" spans="2:6" x14ac:dyDescent="0.2">
      <c r="B1390" s="115" t="s">
        <v>1020</v>
      </c>
      <c r="C1390" s="114">
        <v>621</v>
      </c>
      <c r="D1390" s="147">
        <f t="shared" si="75"/>
        <v>0.43500157381176413</v>
      </c>
      <c r="E1390" s="148">
        <f t="shared" si="74"/>
        <v>6.5097737806438954E-5</v>
      </c>
      <c r="F1390" s="148">
        <f t="shared" si="76"/>
        <v>4.3884575945368966E-2</v>
      </c>
    </row>
    <row r="1391" spans="2:6" x14ac:dyDescent="0.2">
      <c r="B1391" s="206" t="s">
        <v>2356</v>
      </c>
      <c r="C1391" s="205">
        <v>622</v>
      </c>
      <c r="D1391" s="147">
        <f t="shared" si="75"/>
        <v>0.43531633616618653</v>
      </c>
      <c r="E1391" s="148">
        <f t="shared" si="74"/>
        <v>6.520256508148958E-5</v>
      </c>
      <c r="F1391" s="148">
        <f t="shared" si="76"/>
        <v>4.3949778510450455E-2</v>
      </c>
    </row>
    <row r="1392" spans="2:6" x14ac:dyDescent="0.2">
      <c r="B1392" s="206" t="s">
        <v>2226</v>
      </c>
      <c r="C1392" s="205">
        <v>622</v>
      </c>
      <c r="D1392" s="147">
        <f t="shared" si="75"/>
        <v>0.43563109852060894</v>
      </c>
      <c r="E1392" s="148">
        <f t="shared" si="74"/>
        <v>6.520256508148958E-5</v>
      </c>
      <c r="F1392" s="148">
        <f t="shared" si="76"/>
        <v>4.4014981075531943E-2</v>
      </c>
    </row>
    <row r="1393" spans="2:6" x14ac:dyDescent="0.2">
      <c r="B1393" s="115" t="s">
        <v>2192</v>
      </c>
      <c r="C1393" s="114">
        <v>622</v>
      </c>
      <c r="D1393" s="147">
        <f t="shared" si="75"/>
        <v>0.43594586087503134</v>
      </c>
      <c r="E1393" s="148">
        <f t="shared" si="74"/>
        <v>6.520256508148958E-5</v>
      </c>
      <c r="F1393" s="148">
        <f t="shared" si="76"/>
        <v>4.4080183640613432E-2</v>
      </c>
    </row>
    <row r="1394" spans="2:6" x14ac:dyDescent="0.2">
      <c r="B1394" s="115" t="s">
        <v>1404</v>
      </c>
      <c r="C1394" s="114">
        <v>622</v>
      </c>
      <c r="D1394" s="147">
        <f t="shared" si="75"/>
        <v>0.43626062322945375</v>
      </c>
      <c r="E1394" s="148">
        <f t="shared" si="74"/>
        <v>6.520256508148958E-5</v>
      </c>
      <c r="F1394" s="148">
        <f t="shared" si="76"/>
        <v>4.4145386205694921E-2</v>
      </c>
    </row>
    <row r="1395" spans="2:6" x14ac:dyDescent="0.2">
      <c r="B1395" s="206" t="s">
        <v>3147</v>
      </c>
      <c r="C1395" s="205">
        <v>623</v>
      </c>
      <c r="D1395" s="147">
        <f t="shared" si="75"/>
        <v>0.43657538558387615</v>
      </c>
      <c r="E1395" s="148">
        <f t="shared" si="74"/>
        <v>6.5307392356540205E-5</v>
      </c>
      <c r="F1395" s="148">
        <f t="shared" si="76"/>
        <v>4.4210693598051465E-2</v>
      </c>
    </row>
    <row r="1396" spans="2:6" x14ac:dyDescent="0.2">
      <c r="B1396" s="206" t="s">
        <v>2695</v>
      </c>
      <c r="C1396" s="205">
        <v>623</v>
      </c>
      <c r="D1396" s="147">
        <f t="shared" si="75"/>
        <v>0.43689014793829856</v>
      </c>
      <c r="E1396" s="148">
        <f t="shared" si="74"/>
        <v>6.5307392356540205E-5</v>
      </c>
      <c r="F1396" s="148">
        <f t="shared" si="76"/>
        <v>4.4276000990408008E-2</v>
      </c>
    </row>
    <row r="1397" spans="2:6" x14ac:dyDescent="0.2">
      <c r="B1397" s="206" t="s">
        <v>2123</v>
      </c>
      <c r="C1397" s="205">
        <v>623</v>
      </c>
      <c r="D1397" s="147">
        <f t="shared" si="75"/>
        <v>0.43720491029272096</v>
      </c>
      <c r="E1397" s="148">
        <f t="shared" si="74"/>
        <v>6.5307392356540205E-5</v>
      </c>
      <c r="F1397" s="148">
        <f t="shared" si="76"/>
        <v>4.4341308382764552E-2</v>
      </c>
    </row>
    <row r="1398" spans="2:6" x14ac:dyDescent="0.2">
      <c r="B1398" s="115" t="s">
        <v>2331</v>
      </c>
      <c r="C1398" s="114">
        <v>625</v>
      </c>
      <c r="D1398" s="147">
        <f t="shared" si="75"/>
        <v>0.43751967264714337</v>
      </c>
      <c r="E1398" s="148">
        <f t="shared" si="74"/>
        <v>6.5517046906641457E-5</v>
      </c>
      <c r="F1398" s="148">
        <f t="shared" si="76"/>
        <v>4.4406825429671191E-2</v>
      </c>
    </row>
    <row r="1399" spans="2:6" x14ac:dyDescent="0.2">
      <c r="B1399" s="115" t="s">
        <v>1436</v>
      </c>
      <c r="C1399" s="114">
        <v>625</v>
      </c>
      <c r="D1399" s="147">
        <f t="shared" si="75"/>
        <v>0.43783443500156577</v>
      </c>
      <c r="E1399" s="148">
        <f t="shared" si="74"/>
        <v>6.5517046906641457E-5</v>
      </c>
      <c r="F1399" s="148">
        <f t="shared" si="76"/>
        <v>4.4472342476577831E-2</v>
      </c>
    </row>
    <row r="1400" spans="2:6" x14ac:dyDescent="0.2">
      <c r="B1400" s="115" t="s">
        <v>921</v>
      </c>
      <c r="C1400" s="114">
        <v>626</v>
      </c>
      <c r="D1400" s="147">
        <f t="shared" si="75"/>
        <v>0.43814919735598817</v>
      </c>
      <c r="E1400" s="148">
        <f t="shared" si="74"/>
        <v>6.5621874181692082E-5</v>
      </c>
      <c r="F1400" s="148">
        <f t="shared" si="76"/>
        <v>4.4537964350759525E-2</v>
      </c>
    </row>
    <row r="1401" spans="2:6" x14ac:dyDescent="0.2">
      <c r="B1401" s="115" t="s">
        <v>1884</v>
      </c>
      <c r="C1401" s="114">
        <v>627</v>
      </c>
      <c r="D1401" s="147">
        <f t="shared" si="75"/>
        <v>0.43846395971041058</v>
      </c>
      <c r="E1401" s="148">
        <f t="shared" si="74"/>
        <v>6.5726701456742708E-5</v>
      </c>
      <c r="F1401" s="148">
        <f t="shared" si="76"/>
        <v>4.4603691052216267E-2</v>
      </c>
    </row>
    <row r="1402" spans="2:6" x14ac:dyDescent="0.2">
      <c r="B1402" s="115" t="s">
        <v>2822</v>
      </c>
      <c r="C1402" s="114">
        <v>628</v>
      </c>
      <c r="D1402" s="147">
        <f t="shared" si="75"/>
        <v>0.43877872206483298</v>
      </c>
      <c r="E1402" s="148">
        <f t="shared" si="74"/>
        <v>6.5831528731793334E-5</v>
      </c>
      <c r="F1402" s="148">
        <f t="shared" si="76"/>
        <v>4.4669522580948064E-2</v>
      </c>
    </row>
    <row r="1403" spans="2:6" x14ac:dyDescent="0.2">
      <c r="B1403" s="115" t="s">
        <v>703</v>
      </c>
      <c r="C1403" s="114">
        <v>628</v>
      </c>
      <c r="D1403" s="147">
        <f t="shared" si="75"/>
        <v>0.43909348441925539</v>
      </c>
      <c r="E1403" s="148">
        <f t="shared" si="74"/>
        <v>6.5831528731793334E-5</v>
      </c>
      <c r="F1403" s="148">
        <f t="shared" si="76"/>
        <v>4.473535410967986E-2</v>
      </c>
    </row>
    <row r="1404" spans="2:6" x14ac:dyDescent="0.2">
      <c r="B1404" s="206" t="s">
        <v>1859</v>
      </c>
      <c r="C1404" s="205">
        <v>629</v>
      </c>
      <c r="D1404" s="147">
        <f t="shared" si="75"/>
        <v>0.43940824677367779</v>
      </c>
      <c r="E1404" s="148">
        <f t="shared" si="74"/>
        <v>6.5936356006843959E-5</v>
      </c>
      <c r="F1404" s="148">
        <f t="shared" si="76"/>
        <v>4.4801290465686705E-2</v>
      </c>
    </row>
    <row r="1405" spans="2:6" x14ac:dyDescent="0.2">
      <c r="B1405" s="115" t="s">
        <v>2446</v>
      </c>
      <c r="C1405" s="114">
        <v>630</v>
      </c>
      <c r="D1405" s="147">
        <f t="shared" si="75"/>
        <v>0.4397230091281002</v>
      </c>
      <c r="E1405" s="148">
        <f t="shared" si="74"/>
        <v>6.6041183281894585E-5</v>
      </c>
      <c r="F1405" s="148">
        <f t="shared" si="76"/>
        <v>4.4867331648968597E-2</v>
      </c>
    </row>
    <row r="1406" spans="2:6" x14ac:dyDescent="0.2">
      <c r="B1406" s="115" t="s">
        <v>2030</v>
      </c>
      <c r="C1406" s="114">
        <v>631</v>
      </c>
      <c r="D1406" s="147">
        <f t="shared" si="75"/>
        <v>0.4400377714825226</v>
      </c>
      <c r="E1406" s="148">
        <f t="shared" si="74"/>
        <v>6.6146010556945211E-5</v>
      </c>
      <c r="F1406" s="148">
        <f t="shared" si="76"/>
        <v>4.4933477659525545E-2</v>
      </c>
    </row>
    <row r="1407" spans="2:6" x14ac:dyDescent="0.2">
      <c r="B1407" s="206" t="s">
        <v>1368</v>
      </c>
      <c r="C1407" s="205">
        <v>631</v>
      </c>
      <c r="D1407" s="147">
        <f t="shared" si="75"/>
        <v>0.440352533836945</v>
      </c>
      <c r="E1407" s="148">
        <f t="shared" si="74"/>
        <v>6.6146010556945211E-5</v>
      </c>
      <c r="F1407" s="148">
        <f t="shared" si="76"/>
        <v>4.4999623670082492E-2</v>
      </c>
    </row>
    <row r="1408" spans="2:6" x14ac:dyDescent="0.2">
      <c r="B1408" s="115" t="s">
        <v>2962</v>
      </c>
      <c r="C1408" s="114">
        <v>632</v>
      </c>
      <c r="D1408" s="147">
        <f t="shared" si="75"/>
        <v>0.44066729619136741</v>
      </c>
      <c r="E1408" s="148">
        <f t="shared" si="74"/>
        <v>6.6250837831995836E-5</v>
      </c>
      <c r="F1408" s="148">
        <f t="shared" si="76"/>
        <v>4.5065874507914487E-2</v>
      </c>
    </row>
    <row r="1409" spans="2:6" x14ac:dyDescent="0.2">
      <c r="B1409" s="206" t="s">
        <v>2393</v>
      </c>
      <c r="C1409" s="205">
        <v>632</v>
      </c>
      <c r="D1409" s="147">
        <f t="shared" si="75"/>
        <v>0.44098205854578981</v>
      </c>
      <c r="E1409" s="148">
        <f t="shared" si="74"/>
        <v>6.6250837831995836E-5</v>
      </c>
      <c r="F1409" s="148">
        <f t="shared" si="76"/>
        <v>4.5132125345746482E-2</v>
      </c>
    </row>
    <row r="1410" spans="2:6" x14ac:dyDescent="0.2">
      <c r="B1410" s="115" t="s">
        <v>2678</v>
      </c>
      <c r="C1410" s="114">
        <v>634</v>
      </c>
      <c r="D1410" s="147">
        <f t="shared" si="75"/>
        <v>0.44129682090021222</v>
      </c>
      <c r="E1410" s="148">
        <f t="shared" si="74"/>
        <v>6.6460492382097101E-5</v>
      </c>
      <c r="F1410" s="148">
        <f t="shared" si="76"/>
        <v>4.519858583812858E-2</v>
      </c>
    </row>
    <row r="1411" spans="2:6" x14ac:dyDescent="0.2">
      <c r="B1411" s="115" t="s">
        <v>2460</v>
      </c>
      <c r="C1411" s="114">
        <v>634</v>
      </c>
      <c r="D1411" s="147">
        <f t="shared" si="75"/>
        <v>0.44161158325463462</v>
      </c>
      <c r="E1411" s="148">
        <f t="shared" si="74"/>
        <v>6.6460492382097101E-5</v>
      </c>
      <c r="F1411" s="148">
        <f t="shared" si="76"/>
        <v>4.5265046330510678E-2</v>
      </c>
    </row>
    <row r="1412" spans="2:6" x14ac:dyDescent="0.2">
      <c r="B1412" s="206" t="s">
        <v>596</v>
      </c>
      <c r="C1412" s="205">
        <v>634</v>
      </c>
      <c r="D1412" s="147">
        <f t="shared" si="75"/>
        <v>0.44192634560905703</v>
      </c>
      <c r="E1412" s="148">
        <f t="shared" si="74"/>
        <v>6.6460492382097101E-5</v>
      </c>
      <c r="F1412" s="148">
        <f t="shared" si="76"/>
        <v>4.5331506822892775E-2</v>
      </c>
    </row>
    <row r="1413" spans="2:6" x14ac:dyDescent="0.2">
      <c r="B1413" s="206" t="s">
        <v>159</v>
      </c>
      <c r="C1413" s="205">
        <v>634</v>
      </c>
      <c r="D1413" s="147">
        <f t="shared" si="75"/>
        <v>0.44224110796347943</v>
      </c>
      <c r="E1413" s="148">
        <f t="shared" si="74"/>
        <v>6.6460492382097101E-5</v>
      </c>
      <c r="F1413" s="148">
        <f t="shared" si="76"/>
        <v>4.5397967315274873E-2</v>
      </c>
    </row>
    <row r="1414" spans="2:6" x14ac:dyDescent="0.2">
      <c r="B1414" s="206" t="s">
        <v>1861</v>
      </c>
      <c r="C1414" s="205">
        <v>635</v>
      </c>
      <c r="D1414" s="147">
        <f t="shared" si="75"/>
        <v>0.44255587031790183</v>
      </c>
      <c r="E1414" s="148">
        <f t="shared" si="74"/>
        <v>6.6565319657147727E-5</v>
      </c>
      <c r="F1414" s="148">
        <f t="shared" si="76"/>
        <v>4.5464532634932019E-2</v>
      </c>
    </row>
    <row r="1415" spans="2:6" x14ac:dyDescent="0.2">
      <c r="B1415" s="206" t="s">
        <v>1720</v>
      </c>
      <c r="C1415" s="205">
        <v>635</v>
      </c>
      <c r="D1415" s="147">
        <f t="shared" si="75"/>
        <v>0.44287063267232424</v>
      </c>
      <c r="E1415" s="148">
        <f t="shared" si="74"/>
        <v>6.6565319657147727E-5</v>
      </c>
      <c r="F1415" s="148">
        <f t="shared" si="76"/>
        <v>4.5531097954589164E-2</v>
      </c>
    </row>
    <row r="1416" spans="2:6" x14ac:dyDescent="0.2">
      <c r="B1416" s="115" t="s">
        <v>1475</v>
      </c>
      <c r="C1416" s="114">
        <v>635</v>
      </c>
      <c r="D1416" s="147">
        <f t="shared" si="75"/>
        <v>0.44318539502674664</v>
      </c>
      <c r="E1416" s="148">
        <f t="shared" si="74"/>
        <v>6.6565319657147727E-5</v>
      </c>
      <c r="F1416" s="148">
        <f t="shared" si="76"/>
        <v>4.559766327424631E-2</v>
      </c>
    </row>
    <row r="1417" spans="2:6" x14ac:dyDescent="0.2">
      <c r="B1417" s="206" t="s">
        <v>2818</v>
      </c>
      <c r="C1417" s="205">
        <v>636</v>
      </c>
      <c r="D1417" s="147">
        <f t="shared" si="75"/>
        <v>0.44350015738116905</v>
      </c>
      <c r="E1417" s="148">
        <f t="shared" ref="E1417:E1480" si="77">C1417/$O$18</f>
        <v>6.6670146932198352E-5</v>
      </c>
      <c r="F1417" s="148">
        <f t="shared" si="76"/>
        <v>4.566433342117851E-2</v>
      </c>
    </row>
    <row r="1418" spans="2:6" x14ac:dyDescent="0.2">
      <c r="B1418" s="115" t="s">
        <v>96</v>
      </c>
      <c r="C1418" s="114">
        <v>636</v>
      </c>
      <c r="D1418" s="147">
        <f t="shared" ref="D1418:D1481" si="78">D1417+1/$L$18</f>
        <v>0.44381491973559145</v>
      </c>
      <c r="E1418" s="148">
        <f t="shared" si="77"/>
        <v>6.6670146932198352E-5</v>
      </c>
      <c r="F1418" s="148">
        <f t="shared" ref="F1418:F1481" si="79">F1417+E1418</f>
        <v>4.573100356811071E-2</v>
      </c>
    </row>
    <row r="1419" spans="2:6" x14ac:dyDescent="0.2">
      <c r="B1419" s="115" t="s">
        <v>1231</v>
      </c>
      <c r="C1419" s="114">
        <v>637</v>
      </c>
      <c r="D1419" s="147">
        <f t="shared" si="78"/>
        <v>0.44412968209001386</v>
      </c>
      <c r="E1419" s="148">
        <f t="shared" si="77"/>
        <v>6.6774974207248978E-5</v>
      </c>
      <c r="F1419" s="148">
        <f t="shared" si="79"/>
        <v>4.5797778542317959E-2</v>
      </c>
    </row>
    <row r="1420" spans="2:6" x14ac:dyDescent="0.2">
      <c r="B1420" s="206" t="s">
        <v>1189</v>
      </c>
      <c r="C1420" s="205">
        <v>637</v>
      </c>
      <c r="D1420" s="147">
        <f t="shared" si="78"/>
        <v>0.44444444444443626</v>
      </c>
      <c r="E1420" s="148">
        <f t="shared" si="77"/>
        <v>6.6774974207248978E-5</v>
      </c>
      <c r="F1420" s="148">
        <f t="shared" si="79"/>
        <v>4.5864553516525207E-2</v>
      </c>
    </row>
    <row r="1421" spans="2:6" x14ac:dyDescent="0.2">
      <c r="B1421" s="206" t="s">
        <v>2972</v>
      </c>
      <c r="C1421" s="205">
        <v>639</v>
      </c>
      <c r="D1421" s="147">
        <f t="shared" si="78"/>
        <v>0.44475920679885866</v>
      </c>
      <c r="E1421" s="148">
        <f t="shared" si="77"/>
        <v>6.6984628757350229E-5</v>
      </c>
      <c r="F1421" s="148">
        <f t="shared" si="79"/>
        <v>4.5931538145282558E-2</v>
      </c>
    </row>
    <row r="1422" spans="2:6" x14ac:dyDescent="0.2">
      <c r="B1422" s="115" t="s">
        <v>1308</v>
      </c>
      <c r="C1422" s="114">
        <v>639</v>
      </c>
      <c r="D1422" s="147">
        <f t="shared" si="78"/>
        <v>0.44507396915328107</v>
      </c>
      <c r="E1422" s="148">
        <f t="shared" si="77"/>
        <v>6.6984628757350229E-5</v>
      </c>
      <c r="F1422" s="148">
        <f t="shared" si="79"/>
        <v>4.5998522774039909E-2</v>
      </c>
    </row>
    <row r="1423" spans="2:6" x14ac:dyDescent="0.2">
      <c r="B1423" s="115" t="s">
        <v>1901</v>
      </c>
      <c r="C1423" s="114">
        <v>640</v>
      </c>
      <c r="D1423" s="147">
        <f t="shared" si="78"/>
        <v>0.44538873150770347</v>
      </c>
      <c r="E1423" s="148">
        <f t="shared" si="77"/>
        <v>6.7089456032400855E-5</v>
      </c>
      <c r="F1423" s="148">
        <f t="shared" si="79"/>
        <v>4.6065612230072307E-2</v>
      </c>
    </row>
    <row r="1424" spans="2:6" x14ac:dyDescent="0.2">
      <c r="B1424" s="206" t="s">
        <v>1488</v>
      </c>
      <c r="C1424" s="205">
        <v>640</v>
      </c>
      <c r="D1424" s="147">
        <f t="shared" si="78"/>
        <v>0.44570349386212588</v>
      </c>
      <c r="E1424" s="148">
        <f t="shared" si="77"/>
        <v>6.7089456032400855E-5</v>
      </c>
      <c r="F1424" s="148">
        <f t="shared" si="79"/>
        <v>4.6132701686104706E-2</v>
      </c>
    </row>
    <row r="1425" spans="2:6" x14ac:dyDescent="0.2">
      <c r="B1425" s="206" t="s">
        <v>1653</v>
      </c>
      <c r="C1425" s="205">
        <v>641</v>
      </c>
      <c r="D1425" s="147">
        <f t="shared" si="78"/>
        <v>0.44601825621654828</v>
      </c>
      <c r="E1425" s="148">
        <f t="shared" si="77"/>
        <v>6.7194283307451481E-5</v>
      </c>
      <c r="F1425" s="148">
        <f t="shared" si="79"/>
        <v>4.6199895969412159E-2</v>
      </c>
    </row>
    <row r="1426" spans="2:6" x14ac:dyDescent="0.2">
      <c r="B1426" s="115" t="s">
        <v>190</v>
      </c>
      <c r="C1426" s="114">
        <v>641</v>
      </c>
      <c r="D1426" s="147">
        <f t="shared" si="78"/>
        <v>0.44633301857097069</v>
      </c>
      <c r="E1426" s="148">
        <f t="shared" si="77"/>
        <v>6.7194283307451481E-5</v>
      </c>
      <c r="F1426" s="148">
        <f t="shared" si="79"/>
        <v>4.6267090252719613E-2</v>
      </c>
    </row>
    <row r="1427" spans="2:6" x14ac:dyDescent="0.2">
      <c r="B1427" s="115" t="s">
        <v>2560</v>
      </c>
      <c r="C1427" s="114">
        <v>642</v>
      </c>
      <c r="D1427" s="147">
        <f t="shared" si="78"/>
        <v>0.44664778092539309</v>
      </c>
      <c r="E1427" s="148">
        <f t="shared" si="77"/>
        <v>6.7299110582502106E-5</v>
      </c>
      <c r="F1427" s="148">
        <f t="shared" si="79"/>
        <v>4.6334389363302114E-2</v>
      </c>
    </row>
    <row r="1428" spans="2:6" x14ac:dyDescent="0.2">
      <c r="B1428" s="206" t="s">
        <v>2300</v>
      </c>
      <c r="C1428" s="205">
        <v>642</v>
      </c>
      <c r="D1428" s="147">
        <f t="shared" si="78"/>
        <v>0.44696254327981549</v>
      </c>
      <c r="E1428" s="148">
        <f t="shared" si="77"/>
        <v>6.7299110582502106E-5</v>
      </c>
      <c r="F1428" s="148">
        <f t="shared" si="79"/>
        <v>4.6401688473884616E-2</v>
      </c>
    </row>
    <row r="1429" spans="2:6" x14ac:dyDescent="0.2">
      <c r="B1429" s="115" t="s">
        <v>1826</v>
      </c>
      <c r="C1429" s="114">
        <v>642</v>
      </c>
      <c r="D1429" s="147">
        <f t="shared" si="78"/>
        <v>0.4472773056342379</v>
      </c>
      <c r="E1429" s="148">
        <f t="shared" si="77"/>
        <v>6.7299110582502106E-5</v>
      </c>
      <c r="F1429" s="148">
        <f t="shared" si="79"/>
        <v>4.6468987584467117E-2</v>
      </c>
    </row>
    <row r="1430" spans="2:6" x14ac:dyDescent="0.2">
      <c r="B1430" s="206" t="s">
        <v>3118</v>
      </c>
      <c r="C1430" s="205">
        <v>643</v>
      </c>
      <c r="D1430" s="147">
        <f t="shared" si="78"/>
        <v>0.4475920679886603</v>
      </c>
      <c r="E1430" s="148">
        <f t="shared" si="77"/>
        <v>6.7403937857552732E-5</v>
      </c>
      <c r="F1430" s="148">
        <f t="shared" si="79"/>
        <v>4.6536391522324673E-2</v>
      </c>
    </row>
    <row r="1431" spans="2:6" x14ac:dyDescent="0.2">
      <c r="B1431" s="115" t="s">
        <v>2622</v>
      </c>
      <c r="C1431" s="114">
        <v>643</v>
      </c>
      <c r="D1431" s="147">
        <f t="shared" si="78"/>
        <v>0.44790683034308271</v>
      </c>
      <c r="E1431" s="148">
        <f t="shared" si="77"/>
        <v>6.7403937857552732E-5</v>
      </c>
      <c r="F1431" s="148">
        <f t="shared" si="79"/>
        <v>4.6603795460182229E-2</v>
      </c>
    </row>
    <row r="1432" spans="2:6" x14ac:dyDescent="0.2">
      <c r="B1432" s="115" t="s">
        <v>283</v>
      </c>
      <c r="C1432" s="114">
        <v>643</v>
      </c>
      <c r="D1432" s="147">
        <f t="shared" si="78"/>
        <v>0.44822159269750511</v>
      </c>
      <c r="E1432" s="148">
        <f t="shared" si="77"/>
        <v>6.7403937857552732E-5</v>
      </c>
      <c r="F1432" s="148">
        <f t="shared" si="79"/>
        <v>4.6671199398039785E-2</v>
      </c>
    </row>
    <row r="1433" spans="2:6" x14ac:dyDescent="0.2">
      <c r="B1433" s="206" t="s">
        <v>3107</v>
      </c>
      <c r="C1433" s="205">
        <v>646</v>
      </c>
      <c r="D1433" s="147">
        <f t="shared" si="78"/>
        <v>0.44853635505192752</v>
      </c>
      <c r="E1433" s="148">
        <f t="shared" si="77"/>
        <v>6.7718419682704609E-5</v>
      </c>
      <c r="F1433" s="148">
        <f t="shared" si="79"/>
        <v>4.6738917817722492E-2</v>
      </c>
    </row>
    <row r="1434" spans="2:6" x14ac:dyDescent="0.2">
      <c r="B1434" s="206" t="s">
        <v>1512</v>
      </c>
      <c r="C1434" s="205">
        <v>646</v>
      </c>
      <c r="D1434" s="147">
        <f t="shared" si="78"/>
        <v>0.44885111740634992</v>
      </c>
      <c r="E1434" s="148">
        <f t="shared" si="77"/>
        <v>6.7718419682704609E-5</v>
      </c>
      <c r="F1434" s="148">
        <f t="shared" si="79"/>
        <v>4.6806636237405198E-2</v>
      </c>
    </row>
    <row r="1435" spans="2:6" x14ac:dyDescent="0.2">
      <c r="B1435" s="206" t="s">
        <v>2759</v>
      </c>
      <c r="C1435" s="205">
        <v>647</v>
      </c>
      <c r="D1435" s="147">
        <f t="shared" si="78"/>
        <v>0.44916587976077232</v>
      </c>
      <c r="E1435" s="148">
        <f t="shared" si="77"/>
        <v>6.7823246957755235E-5</v>
      </c>
      <c r="F1435" s="148">
        <f t="shared" si="79"/>
        <v>4.6874459484362953E-2</v>
      </c>
    </row>
    <row r="1436" spans="2:6" x14ac:dyDescent="0.2">
      <c r="B1436" s="206" t="s">
        <v>332</v>
      </c>
      <c r="C1436" s="205">
        <v>647</v>
      </c>
      <c r="D1436" s="147">
        <f t="shared" si="78"/>
        <v>0.44948064211519473</v>
      </c>
      <c r="E1436" s="148">
        <f t="shared" si="77"/>
        <v>6.7823246957755235E-5</v>
      </c>
      <c r="F1436" s="148">
        <f t="shared" si="79"/>
        <v>4.6942282731320707E-2</v>
      </c>
    </row>
    <row r="1437" spans="2:6" x14ac:dyDescent="0.2">
      <c r="B1437" s="206" t="s">
        <v>21</v>
      </c>
      <c r="C1437" s="205">
        <v>647</v>
      </c>
      <c r="D1437" s="147">
        <f t="shared" si="78"/>
        <v>0.44979540446961713</v>
      </c>
      <c r="E1437" s="148">
        <f t="shared" si="77"/>
        <v>6.7823246957755235E-5</v>
      </c>
      <c r="F1437" s="148">
        <f t="shared" si="79"/>
        <v>4.7010105978278462E-2</v>
      </c>
    </row>
    <row r="1438" spans="2:6" x14ac:dyDescent="0.2">
      <c r="B1438" s="115" t="s">
        <v>2805</v>
      </c>
      <c r="C1438" s="114">
        <v>648</v>
      </c>
      <c r="D1438" s="147">
        <f t="shared" si="78"/>
        <v>0.45011016682403954</v>
      </c>
      <c r="E1438" s="148">
        <f t="shared" si="77"/>
        <v>6.792807423280586E-5</v>
      </c>
      <c r="F1438" s="148">
        <f t="shared" si="79"/>
        <v>4.7078034052511271E-2</v>
      </c>
    </row>
    <row r="1439" spans="2:6" x14ac:dyDescent="0.2">
      <c r="B1439" s="206" t="s">
        <v>1692</v>
      </c>
      <c r="C1439" s="205">
        <v>648</v>
      </c>
      <c r="D1439" s="147">
        <f t="shared" si="78"/>
        <v>0.45042492917846194</v>
      </c>
      <c r="E1439" s="148">
        <f t="shared" si="77"/>
        <v>6.792807423280586E-5</v>
      </c>
      <c r="F1439" s="148">
        <f t="shared" si="79"/>
        <v>4.714596212674408E-2</v>
      </c>
    </row>
    <row r="1440" spans="2:6" x14ac:dyDescent="0.2">
      <c r="B1440" s="206" t="s">
        <v>927</v>
      </c>
      <c r="C1440" s="205">
        <v>648</v>
      </c>
      <c r="D1440" s="147">
        <f t="shared" si="78"/>
        <v>0.45073969153288435</v>
      </c>
      <c r="E1440" s="148">
        <f t="shared" si="77"/>
        <v>6.792807423280586E-5</v>
      </c>
      <c r="F1440" s="148">
        <f t="shared" si="79"/>
        <v>4.7213890200976889E-2</v>
      </c>
    </row>
    <row r="1441" spans="2:6" x14ac:dyDescent="0.2">
      <c r="B1441" s="206" t="s">
        <v>131</v>
      </c>
      <c r="C1441" s="205">
        <v>648</v>
      </c>
      <c r="D1441" s="147">
        <f t="shared" si="78"/>
        <v>0.45105445388730675</v>
      </c>
      <c r="E1441" s="148">
        <f t="shared" si="77"/>
        <v>6.792807423280586E-5</v>
      </c>
      <c r="F1441" s="148">
        <f t="shared" si="79"/>
        <v>4.7281818275209699E-2</v>
      </c>
    </row>
    <row r="1442" spans="2:6" x14ac:dyDescent="0.2">
      <c r="B1442" s="206" t="s">
        <v>1237</v>
      </c>
      <c r="C1442" s="205">
        <v>649</v>
      </c>
      <c r="D1442" s="147">
        <f t="shared" si="78"/>
        <v>0.45136921624172915</v>
      </c>
      <c r="E1442" s="148">
        <f t="shared" si="77"/>
        <v>6.8032901507856486E-5</v>
      </c>
      <c r="F1442" s="148">
        <f t="shared" si="79"/>
        <v>4.7349851176717556E-2</v>
      </c>
    </row>
    <row r="1443" spans="2:6" x14ac:dyDescent="0.2">
      <c r="B1443" s="115" t="s">
        <v>1702</v>
      </c>
      <c r="C1443" s="114">
        <v>651</v>
      </c>
      <c r="D1443" s="147">
        <f t="shared" si="78"/>
        <v>0.45168397859615156</v>
      </c>
      <c r="E1443" s="148">
        <f t="shared" si="77"/>
        <v>6.8242556057957737E-5</v>
      </c>
      <c r="F1443" s="148">
        <f t="shared" si="79"/>
        <v>4.7418093732775515E-2</v>
      </c>
    </row>
    <row r="1444" spans="2:6" x14ac:dyDescent="0.2">
      <c r="B1444" s="206" t="s">
        <v>2438</v>
      </c>
      <c r="C1444" s="205">
        <v>652</v>
      </c>
      <c r="D1444" s="147">
        <f t="shared" si="78"/>
        <v>0.45199874095057396</v>
      </c>
      <c r="E1444" s="148">
        <f t="shared" si="77"/>
        <v>6.8347383333008363E-5</v>
      </c>
      <c r="F1444" s="148">
        <f t="shared" si="79"/>
        <v>4.7486441116108523E-2</v>
      </c>
    </row>
    <row r="1445" spans="2:6" x14ac:dyDescent="0.2">
      <c r="B1445" s="115" t="s">
        <v>2278</v>
      </c>
      <c r="C1445" s="114">
        <v>653</v>
      </c>
      <c r="D1445" s="147">
        <f t="shared" si="78"/>
        <v>0.45231350330499637</v>
      </c>
      <c r="E1445" s="148">
        <f t="shared" si="77"/>
        <v>6.8452210608058989E-5</v>
      </c>
      <c r="F1445" s="148">
        <f t="shared" si="79"/>
        <v>4.7554893326716585E-2</v>
      </c>
    </row>
    <row r="1446" spans="2:6" x14ac:dyDescent="0.2">
      <c r="B1446" s="115" t="s">
        <v>1535</v>
      </c>
      <c r="C1446" s="114">
        <v>653</v>
      </c>
      <c r="D1446" s="147">
        <f t="shared" si="78"/>
        <v>0.45262826565941877</v>
      </c>
      <c r="E1446" s="148">
        <f t="shared" si="77"/>
        <v>6.8452210608058989E-5</v>
      </c>
      <c r="F1446" s="148">
        <f t="shared" si="79"/>
        <v>4.7623345537324648E-2</v>
      </c>
    </row>
    <row r="1447" spans="2:6" x14ac:dyDescent="0.2">
      <c r="B1447" s="206" t="s">
        <v>3115</v>
      </c>
      <c r="C1447" s="205">
        <v>654</v>
      </c>
      <c r="D1447" s="147">
        <f t="shared" si="78"/>
        <v>0.45294302801384118</v>
      </c>
      <c r="E1447" s="148">
        <f t="shared" si="77"/>
        <v>6.8557037883109628E-5</v>
      </c>
      <c r="F1447" s="148">
        <f t="shared" si="79"/>
        <v>4.7691902575207758E-2</v>
      </c>
    </row>
    <row r="1448" spans="2:6" x14ac:dyDescent="0.2">
      <c r="B1448" s="206" t="s">
        <v>1607</v>
      </c>
      <c r="C1448" s="205">
        <v>654</v>
      </c>
      <c r="D1448" s="147">
        <f t="shared" si="78"/>
        <v>0.45325779036826358</v>
      </c>
      <c r="E1448" s="148">
        <f t="shared" si="77"/>
        <v>6.8557037883109628E-5</v>
      </c>
      <c r="F1448" s="148">
        <f t="shared" si="79"/>
        <v>4.7760459613090868E-2</v>
      </c>
    </row>
    <row r="1449" spans="2:6" x14ac:dyDescent="0.2">
      <c r="B1449" s="115" t="s">
        <v>1267</v>
      </c>
      <c r="C1449" s="114">
        <v>654</v>
      </c>
      <c r="D1449" s="147">
        <f t="shared" si="78"/>
        <v>0.45357255272268598</v>
      </c>
      <c r="E1449" s="148">
        <f t="shared" si="77"/>
        <v>6.8557037883109628E-5</v>
      </c>
      <c r="F1449" s="148">
        <f t="shared" si="79"/>
        <v>4.7829016650973978E-2</v>
      </c>
    </row>
    <row r="1450" spans="2:6" x14ac:dyDescent="0.2">
      <c r="B1450" s="115" t="s">
        <v>2486</v>
      </c>
      <c r="C1450" s="114">
        <v>655</v>
      </c>
      <c r="D1450" s="147">
        <f t="shared" si="78"/>
        <v>0.45388731507710839</v>
      </c>
      <c r="E1450" s="148">
        <f t="shared" si="77"/>
        <v>6.8661865158160253E-5</v>
      </c>
      <c r="F1450" s="148">
        <f t="shared" si="79"/>
        <v>4.7897678516132136E-2</v>
      </c>
    </row>
    <row r="1451" spans="2:6" x14ac:dyDescent="0.2">
      <c r="B1451" s="115" t="s">
        <v>1575</v>
      </c>
      <c r="C1451" s="114">
        <v>656</v>
      </c>
      <c r="D1451" s="147">
        <f t="shared" si="78"/>
        <v>0.45420207743153079</v>
      </c>
      <c r="E1451" s="148">
        <f t="shared" si="77"/>
        <v>6.8766692433210879E-5</v>
      </c>
      <c r="F1451" s="148">
        <f t="shared" si="79"/>
        <v>4.7966445208565349E-2</v>
      </c>
    </row>
    <row r="1452" spans="2:6" x14ac:dyDescent="0.2">
      <c r="B1452" s="115" t="s">
        <v>718</v>
      </c>
      <c r="C1452" s="114">
        <v>656</v>
      </c>
      <c r="D1452" s="147">
        <f t="shared" si="78"/>
        <v>0.4545168397859532</v>
      </c>
      <c r="E1452" s="148">
        <f t="shared" si="77"/>
        <v>6.8766692433210879E-5</v>
      </c>
      <c r="F1452" s="148">
        <f t="shared" si="79"/>
        <v>4.8035211900998562E-2</v>
      </c>
    </row>
    <row r="1453" spans="2:6" x14ac:dyDescent="0.2">
      <c r="B1453" s="206" t="s">
        <v>2497</v>
      </c>
      <c r="C1453" s="205">
        <v>658</v>
      </c>
      <c r="D1453" s="147">
        <f t="shared" si="78"/>
        <v>0.4548316021403756</v>
      </c>
      <c r="E1453" s="148">
        <f t="shared" si="77"/>
        <v>6.897634698331213E-5</v>
      </c>
      <c r="F1453" s="148">
        <f t="shared" si="79"/>
        <v>4.8104188247981877E-2</v>
      </c>
    </row>
    <row r="1454" spans="2:6" x14ac:dyDescent="0.2">
      <c r="B1454" s="115" t="s">
        <v>3056</v>
      </c>
      <c r="C1454" s="114">
        <v>659</v>
      </c>
      <c r="D1454" s="147">
        <f t="shared" si="78"/>
        <v>0.45514636449479801</v>
      </c>
      <c r="E1454" s="148">
        <f t="shared" si="77"/>
        <v>6.9081174258362756E-5</v>
      </c>
      <c r="F1454" s="148">
        <f t="shared" si="79"/>
        <v>4.8173269422240241E-2</v>
      </c>
    </row>
    <row r="1455" spans="2:6" x14ac:dyDescent="0.2">
      <c r="B1455" s="115" t="s">
        <v>2808</v>
      </c>
      <c r="C1455" s="114">
        <v>659</v>
      </c>
      <c r="D1455" s="147">
        <f t="shared" si="78"/>
        <v>0.45546112684922041</v>
      </c>
      <c r="E1455" s="148">
        <f t="shared" si="77"/>
        <v>6.9081174258362756E-5</v>
      </c>
      <c r="F1455" s="148">
        <f t="shared" si="79"/>
        <v>4.8242350596498604E-2</v>
      </c>
    </row>
    <row r="1456" spans="2:6" x14ac:dyDescent="0.2">
      <c r="B1456" s="206" t="s">
        <v>375</v>
      </c>
      <c r="C1456" s="205">
        <v>659</v>
      </c>
      <c r="D1456" s="147">
        <f t="shared" si="78"/>
        <v>0.45577588920364281</v>
      </c>
      <c r="E1456" s="148">
        <f t="shared" si="77"/>
        <v>6.9081174258362756E-5</v>
      </c>
      <c r="F1456" s="148">
        <f t="shared" si="79"/>
        <v>4.8311431770756967E-2</v>
      </c>
    </row>
    <row r="1457" spans="2:6" x14ac:dyDescent="0.2">
      <c r="B1457" s="206" t="s">
        <v>3145</v>
      </c>
      <c r="C1457" s="205">
        <v>660</v>
      </c>
      <c r="D1457" s="147">
        <f t="shared" si="78"/>
        <v>0.45609065155806522</v>
      </c>
      <c r="E1457" s="148">
        <f t="shared" si="77"/>
        <v>6.9186001533413382E-5</v>
      </c>
      <c r="F1457" s="148">
        <f t="shared" si="79"/>
        <v>4.8380617772290378E-2</v>
      </c>
    </row>
    <row r="1458" spans="2:6" x14ac:dyDescent="0.2">
      <c r="B1458" s="206" t="s">
        <v>2580</v>
      </c>
      <c r="C1458" s="205">
        <v>661</v>
      </c>
      <c r="D1458" s="147">
        <f t="shared" si="78"/>
        <v>0.45640541391248762</v>
      </c>
      <c r="E1458" s="148">
        <f t="shared" si="77"/>
        <v>6.9290828808464007E-5</v>
      </c>
      <c r="F1458" s="148">
        <f t="shared" si="79"/>
        <v>4.8449908601098844E-2</v>
      </c>
    </row>
    <row r="1459" spans="2:6" x14ac:dyDescent="0.2">
      <c r="B1459" s="115" t="s">
        <v>2692</v>
      </c>
      <c r="C1459" s="114">
        <v>662</v>
      </c>
      <c r="D1459" s="147">
        <f t="shared" si="78"/>
        <v>0.45672017626691003</v>
      </c>
      <c r="E1459" s="148">
        <f t="shared" si="77"/>
        <v>6.9395656083514633E-5</v>
      </c>
      <c r="F1459" s="148">
        <f t="shared" si="79"/>
        <v>4.8519304257182358E-2</v>
      </c>
    </row>
    <row r="1460" spans="2:6" x14ac:dyDescent="0.2">
      <c r="B1460" s="115" t="s">
        <v>2189</v>
      </c>
      <c r="C1460" s="114">
        <v>662</v>
      </c>
      <c r="D1460" s="147">
        <f t="shared" si="78"/>
        <v>0.45703493862133243</v>
      </c>
      <c r="E1460" s="148">
        <f t="shared" si="77"/>
        <v>6.9395656083514633E-5</v>
      </c>
      <c r="F1460" s="148">
        <f t="shared" si="79"/>
        <v>4.8588699913265872E-2</v>
      </c>
    </row>
    <row r="1461" spans="2:6" x14ac:dyDescent="0.2">
      <c r="B1461" s="206" t="s">
        <v>744</v>
      </c>
      <c r="C1461" s="205">
        <v>662</v>
      </c>
      <c r="D1461" s="147">
        <f t="shared" si="78"/>
        <v>0.45734970097575484</v>
      </c>
      <c r="E1461" s="148">
        <f t="shared" si="77"/>
        <v>6.9395656083514633E-5</v>
      </c>
      <c r="F1461" s="148">
        <f t="shared" si="79"/>
        <v>4.8658095569349386E-2</v>
      </c>
    </row>
    <row r="1462" spans="2:6" x14ac:dyDescent="0.2">
      <c r="B1462" s="206" t="s">
        <v>2546</v>
      </c>
      <c r="C1462" s="205">
        <v>663</v>
      </c>
      <c r="D1462" s="147">
        <f t="shared" si="78"/>
        <v>0.45766446333017724</v>
      </c>
      <c r="E1462" s="148">
        <f t="shared" si="77"/>
        <v>6.9500483358565259E-5</v>
      </c>
      <c r="F1462" s="148">
        <f t="shared" si="79"/>
        <v>4.8727596052707954E-2</v>
      </c>
    </row>
    <row r="1463" spans="2:6" x14ac:dyDescent="0.2">
      <c r="B1463" s="206" t="s">
        <v>2677</v>
      </c>
      <c r="C1463" s="205">
        <v>664</v>
      </c>
      <c r="D1463" s="147">
        <f t="shared" si="78"/>
        <v>0.45797922568459964</v>
      </c>
      <c r="E1463" s="148">
        <f t="shared" si="77"/>
        <v>6.9605310633615884E-5</v>
      </c>
      <c r="F1463" s="148">
        <f t="shared" si="79"/>
        <v>4.879720136334157E-2</v>
      </c>
    </row>
    <row r="1464" spans="2:6" x14ac:dyDescent="0.2">
      <c r="B1464" s="115" t="s">
        <v>1792</v>
      </c>
      <c r="C1464" s="114">
        <v>664</v>
      </c>
      <c r="D1464" s="147">
        <f t="shared" si="78"/>
        <v>0.45829398803902205</v>
      </c>
      <c r="E1464" s="148">
        <f t="shared" si="77"/>
        <v>6.9605310633615884E-5</v>
      </c>
      <c r="F1464" s="148">
        <f t="shared" si="79"/>
        <v>4.8866806673975187E-2</v>
      </c>
    </row>
    <row r="1465" spans="2:6" x14ac:dyDescent="0.2">
      <c r="B1465" s="206" t="s">
        <v>1280</v>
      </c>
      <c r="C1465" s="205">
        <v>664</v>
      </c>
      <c r="D1465" s="147">
        <f t="shared" si="78"/>
        <v>0.45860875039344445</v>
      </c>
      <c r="E1465" s="148">
        <f t="shared" si="77"/>
        <v>6.9605310633615884E-5</v>
      </c>
      <c r="F1465" s="148">
        <f t="shared" si="79"/>
        <v>4.8936411984608803E-2</v>
      </c>
    </row>
    <row r="1466" spans="2:6" x14ac:dyDescent="0.2">
      <c r="B1466" s="206" t="s">
        <v>118</v>
      </c>
      <c r="C1466" s="205">
        <v>664</v>
      </c>
      <c r="D1466" s="147">
        <f t="shared" si="78"/>
        <v>0.45892351274786686</v>
      </c>
      <c r="E1466" s="148">
        <f t="shared" si="77"/>
        <v>6.9605310633615884E-5</v>
      </c>
      <c r="F1466" s="148">
        <f t="shared" si="79"/>
        <v>4.900601729524242E-2</v>
      </c>
    </row>
    <row r="1467" spans="2:6" x14ac:dyDescent="0.2">
      <c r="B1467" s="115" t="s">
        <v>802</v>
      </c>
      <c r="C1467" s="114">
        <v>665</v>
      </c>
      <c r="D1467" s="147">
        <f t="shared" si="78"/>
        <v>0.45923827510228926</v>
      </c>
      <c r="E1467" s="148">
        <f t="shared" si="77"/>
        <v>6.971013790866651E-5</v>
      </c>
      <c r="F1467" s="148">
        <f t="shared" si="79"/>
        <v>4.9075727433151084E-2</v>
      </c>
    </row>
    <row r="1468" spans="2:6" x14ac:dyDescent="0.2">
      <c r="B1468" s="206" t="s">
        <v>1285</v>
      </c>
      <c r="C1468" s="205">
        <v>666</v>
      </c>
      <c r="D1468" s="147">
        <f t="shared" si="78"/>
        <v>0.45955303745671167</v>
      </c>
      <c r="E1468" s="148">
        <f t="shared" si="77"/>
        <v>6.9814965183717136E-5</v>
      </c>
      <c r="F1468" s="148">
        <f t="shared" si="79"/>
        <v>4.9145542398334803E-2</v>
      </c>
    </row>
    <row r="1469" spans="2:6" x14ac:dyDescent="0.2">
      <c r="B1469" s="206" t="s">
        <v>2481</v>
      </c>
      <c r="C1469" s="205">
        <v>667</v>
      </c>
      <c r="D1469" s="147">
        <f t="shared" si="78"/>
        <v>0.45986779981113407</v>
      </c>
      <c r="E1469" s="148">
        <f t="shared" si="77"/>
        <v>6.9919792458767761E-5</v>
      </c>
      <c r="F1469" s="148">
        <f t="shared" si="79"/>
        <v>4.921546219079357E-2</v>
      </c>
    </row>
    <row r="1470" spans="2:6" x14ac:dyDescent="0.2">
      <c r="B1470" s="206" t="s">
        <v>412</v>
      </c>
      <c r="C1470" s="205">
        <v>667</v>
      </c>
      <c r="D1470" s="147">
        <f t="shared" si="78"/>
        <v>0.46018256216555647</v>
      </c>
      <c r="E1470" s="148">
        <f t="shared" si="77"/>
        <v>6.9919792458767761E-5</v>
      </c>
      <c r="F1470" s="148">
        <f t="shared" si="79"/>
        <v>4.9285381983252337E-2</v>
      </c>
    </row>
    <row r="1471" spans="2:6" x14ac:dyDescent="0.2">
      <c r="B1471" s="206" t="s">
        <v>3108</v>
      </c>
      <c r="C1471" s="205">
        <v>668</v>
      </c>
      <c r="D1471" s="147">
        <f t="shared" si="78"/>
        <v>0.46049732451997888</v>
      </c>
      <c r="E1471" s="148">
        <f t="shared" si="77"/>
        <v>7.0024619733818387E-5</v>
      </c>
      <c r="F1471" s="148">
        <f t="shared" si="79"/>
        <v>4.9355406602986159E-2</v>
      </c>
    </row>
    <row r="1472" spans="2:6" x14ac:dyDescent="0.2">
      <c r="B1472" s="115" t="s">
        <v>1494</v>
      </c>
      <c r="C1472" s="114">
        <v>668</v>
      </c>
      <c r="D1472" s="147">
        <f t="shared" si="78"/>
        <v>0.46081208687440128</v>
      </c>
      <c r="E1472" s="148">
        <f t="shared" si="77"/>
        <v>7.0024619733818387E-5</v>
      </c>
      <c r="F1472" s="148">
        <f t="shared" si="79"/>
        <v>4.942543122271998E-2</v>
      </c>
    </row>
    <row r="1473" spans="2:6" x14ac:dyDescent="0.2">
      <c r="B1473" s="115" t="s">
        <v>1446</v>
      </c>
      <c r="C1473" s="114">
        <v>668</v>
      </c>
      <c r="D1473" s="147">
        <f t="shared" si="78"/>
        <v>0.46112684922882369</v>
      </c>
      <c r="E1473" s="148">
        <f t="shared" si="77"/>
        <v>7.0024619733818387E-5</v>
      </c>
      <c r="F1473" s="148">
        <f t="shared" si="79"/>
        <v>4.9495455842453802E-2</v>
      </c>
    </row>
    <row r="1474" spans="2:6" x14ac:dyDescent="0.2">
      <c r="B1474" s="115" t="s">
        <v>1824</v>
      </c>
      <c r="C1474" s="114">
        <v>669</v>
      </c>
      <c r="D1474" s="147">
        <f t="shared" si="78"/>
        <v>0.46144161158324609</v>
      </c>
      <c r="E1474" s="148">
        <f t="shared" si="77"/>
        <v>7.0129447008869013E-5</v>
      </c>
      <c r="F1474" s="148">
        <f t="shared" si="79"/>
        <v>4.9565585289462671E-2</v>
      </c>
    </row>
    <row r="1475" spans="2:6" x14ac:dyDescent="0.2">
      <c r="B1475" s="115" t="s">
        <v>3023</v>
      </c>
      <c r="C1475" s="114">
        <v>670</v>
      </c>
      <c r="D1475" s="147">
        <f t="shared" si="78"/>
        <v>0.4617563739376685</v>
      </c>
      <c r="E1475" s="148">
        <f t="shared" si="77"/>
        <v>7.0234274283919638E-5</v>
      </c>
      <c r="F1475" s="148">
        <f t="shared" si="79"/>
        <v>4.9635819563746589E-2</v>
      </c>
    </row>
    <row r="1476" spans="2:6" x14ac:dyDescent="0.2">
      <c r="B1476" s="206" t="s">
        <v>1682</v>
      </c>
      <c r="C1476" s="205">
        <v>670</v>
      </c>
      <c r="D1476" s="147">
        <f t="shared" si="78"/>
        <v>0.4620711362920909</v>
      </c>
      <c r="E1476" s="148">
        <f t="shared" si="77"/>
        <v>7.0234274283919638E-5</v>
      </c>
      <c r="F1476" s="148">
        <f t="shared" si="79"/>
        <v>4.9706053838030506E-2</v>
      </c>
    </row>
    <row r="1477" spans="2:6" x14ac:dyDescent="0.2">
      <c r="B1477" s="115" t="s">
        <v>1443</v>
      </c>
      <c r="C1477" s="114">
        <v>671</v>
      </c>
      <c r="D1477" s="147">
        <f t="shared" si="78"/>
        <v>0.4623858986465133</v>
      </c>
      <c r="E1477" s="148">
        <f t="shared" si="77"/>
        <v>7.0339101558970264E-5</v>
      </c>
      <c r="F1477" s="148">
        <f t="shared" si="79"/>
        <v>4.9776392939589478E-2</v>
      </c>
    </row>
    <row r="1478" spans="2:6" x14ac:dyDescent="0.2">
      <c r="B1478" s="206" t="s">
        <v>818</v>
      </c>
      <c r="C1478" s="205">
        <v>671</v>
      </c>
      <c r="D1478" s="147">
        <f t="shared" si="78"/>
        <v>0.46270066100093571</v>
      </c>
      <c r="E1478" s="148">
        <f t="shared" si="77"/>
        <v>7.0339101558970264E-5</v>
      </c>
      <c r="F1478" s="148">
        <f t="shared" si="79"/>
        <v>4.984673204114845E-2</v>
      </c>
    </row>
    <row r="1479" spans="2:6" x14ac:dyDescent="0.2">
      <c r="B1479" s="115" t="s">
        <v>79</v>
      </c>
      <c r="C1479" s="114">
        <v>671</v>
      </c>
      <c r="D1479" s="147">
        <f t="shared" si="78"/>
        <v>0.46301542335535811</v>
      </c>
      <c r="E1479" s="148">
        <f t="shared" si="77"/>
        <v>7.0339101558970264E-5</v>
      </c>
      <c r="F1479" s="148">
        <f t="shared" si="79"/>
        <v>4.9917071142707423E-2</v>
      </c>
    </row>
    <row r="1480" spans="2:6" x14ac:dyDescent="0.2">
      <c r="B1480" s="206" t="s">
        <v>1497</v>
      </c>
      <c r="C1480" s="205">
        <v>672</v>
      </c>
      <c r="D1480" s="147">
        <f t="shared" si="78"/>
        <v>0.46333018570978052</v>
      </c>
      <c r="E1480" s="148">
        <f t="shared" si="77"/>
        <v>7.044392883402089E-5</v>
      </c>
      <c r="F1480" s="148">
        <f t="shared" si="79"/>
        <v>4.9987515071541443E-2</v>
      </c>
    </row>
    <row r="1481" spans="2:6" x14ac:dyDescent="0.2">
      <c r="B1481" s="206" t="s">
        <v>843</v>
      </c>
      <c r="C1481" s="205">
        <v>672</v>
      </c>
      <c r="D1481" s="147">
        <f t="shared" si="78"/>
        <v>0.46364494806420292</v>
      </c>
      <c r="E1481" s="148">
        <f t="shared" ref="E1481:E1544" si="80">C1481/$O$18</f>
        <v>7.044392883402089E-5</v>
      </c>
      <c r="F1481" s="148">
        <f t="shared" si="79"/>
        <v>5.0057959000375463E-2</v>
      </c>
    </row>
    <row r="1482" spans="2:6" x14ac:dyDescent="0.2">
      <c r="B1482" s="206" t="s">
        <v>1751</v>
      </c>
      <c r="C1482" s="205">
        <v>673</v>
      </c>
      <c r="D1482" s="147">
        <f t="shared" ref="D1482:D1545" si="81">D1481+1/$L$18</f>
        <v>0.46395971041862533</v>
      </c>
      <c r="E1482" s="148">
        <f t="shared" si="80"/>
        <v>7.0548756109071515E-5</v>
      </c>
      <c r="F1482" s="148">
        <f t="shared" ref="F1482:F1545" si="82">F1481+E1482</f>
        <v>5.0128507756484537E-2</v>
      </c>
    </row>
    <row r="1483" spans="2:6" x14ac:dyDescent="0.2">
      <c r="B1483" s="206" t="s">
        <v>1712</v>
      </c>
      <c r="C1483" s="205">
        <v>673</v>
      </c>
      <c r="D1483" s="147">
        <f t="shared" si="81"/>
        <v>0.46427447277304773</v>
      </c>
      <c r="E1483" s="148">
        <f t="shared" si="80"/>
        <v>7.0548756109071515E-5</v>
      </c>
      <c r="F1483" s="148">
        <f t="shared" si="82"/>
        <v>5.0199056512593612E-2</v>
      </c>
    </row>
    <row r="1484" spans="2:6" x14ac:dyDescent="0.2">
      <c r="B1484" s="115" t="s">
        <v>2844</v>
      </c>
      <c r="C1484" s="114">
        <v>674</v>
      </c>
      <c r="D1484" s="147">
        <f t="shared" si="81"/>
        <v>0.46458923512747013</v>
      </c>
      <c r="E1484" s="148">
        <f t="shared" si="80"/>
        <v>7.0653583384122154E-5</v>
      </c>
      <c r="F1484" s="148">
        <f t="shared" si="82"/>
        <v>5.0269710095977735E-2</v>
      </c>
    </row>
    <row r="1485" spans="2:6" x14ac:dyDescent="0.2">
      <c r="B1485" s="115" t="s">
        <v>530</v>
      </c>
      <c r="C1485" s="114">
        <v>675</v>
      </c>
      <c r="D1485" s="147">
        <f t="shared" si="81"/>
        <v>0.46490399748189254</v>
      </c>
      <c r="E1485" s="148">
        <f t="shared" si="80"/>
        <v>7.075841065917278E-5</v>
      </c>
      <c r="F1485" s="148">
        <f t="shared" si="82"/>
        <v>5.0340468506636905E-2</v>
      </c>
    </row>
    <row r="1486" spans="2:6" x14ac:dyDescent="0.2">
      <c r="B1486" s="115" t="s">
        <v>300</v>
      </c>
      <c r="C1486" s="114">
        <v>675</v>
      </c>
      <c r="D1486" s="147">
        <f t="shared" si="81"/>
        <v>0.46521875983631494</v>
      </c>
      <c r="E1486" s="148">
        <f t="shared" si="80"/>
        <v>7.075841065917278E-5</v>
      </c>
      <c r="F1486" s="148">
        <f t="shared" si="82"/>
        <v>5.0411226917296076E-2</v>
      </c>
    </row>
    <row r="1487" spans="2:6" x14ac:dyDescent="0.2">
      <c r="B1487" s="206" t="s">
        <v>2422</v>
      </c>
      <c r="C1487" s="205">
        <v>676</v>
      </c>
      <c r="D1487" s="147">
        <f t="shared" si="81"/>
        <v>0.46553352219073735</v>
      </c>
      <c r="E1487" s="148">
        <f t="shared" si="80"/>
        <v>7.0863237934223406E-5</v>
      </c>
      <c r="F1487" s="148">
        <f t="shared" si="82"/>
        <v>5.0482090155230301E-2</v>
      </c>
    </row>
    <row r="1488" spans="2:6" x14ac:dyDescent="0.2">
      <c r="B1488" s="115" t="s">
        <v>1117</v>
      </c>
      <c r="C1488" s="114">
        <v>676</v>
      </c>
      <c r="D1488" s="147">
        <f t="shared" si="81"/>
        <v>0.46584828454515975</v>
      </c>
      <c r="E1488" s="148">
        <f t="shared" si="80"/>
        <v>7.0863237934223406E-5</v>
      </c>
      <c r="F1488" s="148">
        <f t="shared" si="82"/>
        <v>5.0552953393164526E-2</v>
      </c>
    </row>
    <row r="1489" spans="2:6" x14ac:dyDescent="0.2">
      <c r="B1489" s="206" t="s">
        <v>2029</v>
      </c>
      <c r="C1489" s="205">
        <v>677</v>
      </c>
      <c r="D1489" s="147">
        <f t="shared" si="81"/>
        <v>0.46616304689958216</v>
      </c>
      <c r="E1489" s="148">
        <f t="shared" si="80"/>
        <v>7.0968065209274031E-5</v>
      </c>
      <c r="F1489" s="148">
        <f t="shared" si="82"/>
        <v>5.06239214583738E-2</v>
      </c>
    </row>
    <row r="1490" spans="2:6" x14ac:dyDescent="0.2">
      <c r="B1490" s="115" t="s">
        <v>918</v>
      </c>
      <c r="C1490" s="114">
        <v>677</v>
      </c>
      <c r="D1490" s="147">
        <f t="shared" si="81"/>
        <v>0.46647780925400456</v>
      </c>
      <c r="E1490" s="148">
        <f t="shared" si="80"/>
        <v>7.0968065209274031E-5</v>
      </c>
      <c r="F1490" s="148">
        <f t="shared" si="82"/>
        <v>5.0694889523583073E-2</v>
      </c>
    </row>
    <row r="1491" spans="2:6" x14ac:dyDescent="0.2">
      <c r="B1491" s="206" t="s">
        <v>2656</v>
      </c>
      <c r="C1491" s="205">
        <v>680</v>
      </c>
      <c r="D1491" s="147">
        <f t="shared" si="81"/>
        <v>0.46679257160842696</v>
      </c>
      <c r="E1491" s="148">
        <f t="shared" si="80"/>
        <v>7.1282547034425908E-5</v>
      </c>
      <c r="F1491" s="148">
        <f t="shared" si="82"/>
        <v>5.0766172070617496E-2</v>
      </c>
    </row>
    <row r="1492" spans="2:6" x14ac:dyDescent="0.2">
      <c r="B1492" s="206" t="s">
        <v>206</v>
      </c>
      <c r="C1492" s="205">
        <v>680</v>
      </c>
      <c r="D1492" s="147">
        <f t="shared" si="81"/>
        <v>0.46710733396284937</v>
      </c>
      <c r="E1492" s="148">
        <f t="shared" si="80"/>
        <v>7.1282547034425908E-5</v>
      </c>
      <c r="F1492" s="148">
        <f t="shared" si="82"/>
        <v>5.083745461765192E-2</v>
      </c>
    </row>
    <row r="1493" spans="2:6" x14ac:dyDescent="0.2">
      <c r="B1493" s="115" t="s">
        <v>2919</v>
      </c>
      <c r="C1493" s="114">
        <v>681</v>
      </c>
      <c r="D1493" s="147">
        <f t="shared" si="81"/>
        <v>0.46742209631727177</v>
      </c>
      <c r="E1493" s="148">
        <f t="shared" si="80"/>
        <v>7.1387374309476534E-5</v>
      </c>
      <c r="F1493" s="148">
        <f t="shared" si="82"/>
        <v>5.0908841991961398E-2</v>
      </c>
    </row>
    <row r="1494" spans="2:6" x14ac:dyDescent="0.2">
      <c r="B1494" s="115" t="s">
        <v>2792</v>
      </c>
      <c r="C1494" s="114">
        <v>681</v>
      </c>
      <c r="D1494" s="147">
        <f t="shared" si="81"/>
        <v>0.46773685867169418</v>
      </c>
      <c r="E1494" s="148">
        <f t="shared" si="80"/>
        <v>7.1387374309476534E-5</v>
      </c>
      <c r="F1494" s="148">
        <f t="shared" si="82"/>
        <v>5.0980229366270877E-2</v>
      </c>
    </row>
    <row r="1495" spans="2:6" x14ac:dyDescent="0.2">
      <c r="B1495" s="115" t="s">
        <v>1430</v>
      </c>
      <c r="C1495" s="114">
        <v>681</v>
      </c>
      <c r="D1495" s="147">
        <f t="shared" si="81"/>
        <v>0.46805162102611658</v>
      </c>
      <c r="E1495" s="148">
        <f t="shared" si="80"/>
        <v>7.1387374309476534E-5</v>
      </c>
      <c r="F1495" s="148">
        <f t="shared" si="82"/>
        <v>5.1051616740580355E-2</v>
      </c>
    </row>
    <row r="1496" spans="2:6" x14ac:dyDescent="0.2">
      <c r="B1496" s="115" t="s">
        <v>1155</v>
      </c>
      <c r="C1496" s="114">
        <v>681</v>
      </c>
      <c r="D1496" s="147">
        <f t="shared" si="81"/>
        <v>0.46836638338053899</v>
      </c>
      <c r="E1496" s="148">
        <f t="shared" si="80"/>
        <v>7.1387374309476534E-5</v>
      </c>
      <c r="F1496" s="148">
        <f t="shared" si="82"/>
        <v>5.1123004114889833E-2</v>
      </c>
    </row>
    <row r="1497" spans="2:6" x14ac:dyDescent="0.2">
      <c r="B1497" s="206" t="s">
        <v>2939</v>
      </c>
      <c r="C1497" s="205">
        <v>682</v>
      </c>
      <c r="D1497" s="147">
        <f t="shared" si="81"/>
        <v>0.46868114573496139</v>
      </c>
      <c r="E1497" s="148">
        <f t="shared" si="80"/>
        <v>7.149220158452716E-5</v>
      </c>
      <c r="F1497" s="148">
        <f t="shared" si="82"/>
        <v>5.119449631647436E-2</v>
      </c>
    </row>
    <row r="1498" spans="2:6" x14ac:dyDescent="0.2">
      <c r="B1498" s="115" t="s">
        <v>2661</v>
      </c>
      <c r="C1498" s="114">
        <v>683</v>
      </c>
      <c r="D1498" s="147">
        <f t="shared" si="81"/>
        <v>0.4689959080893838</v>
      </c>
      <c r="E1498" s="148">
        <f t="shared" si="80"/>
        <v>7.1597028859577785E-5</v>
      </c>
      <c r="F1498" s="148">
        <f t="shared" si="82"/>
        <v>5.1266093345333941E-2</v>
      </c>
    </row>
    <row r="1499" spans="2:6" x14ac:dyDescent="0.2">
      <c r="B1499" s="115" t="s">
        <v>2999</v>
      </c>
      <c r="C1499" s="114">
        <v>684</v>
      </c>
      <c r="D1499" s="147">
        <f t="shared" si="81"/>
        <v>0.4693106704438062</v>
      </c>
      <c r="E1499" s="148">
        <f t="shared" si="80"/>
        <v>7.1701856134628411E-5</v>
      </c>
      <c r="F1499" s="148">
        <f t="shared" si="82"/>
        <v>5.133779520146857E-2</v>
      </c>
    </row>
    <row r="1500" spans="2:6" x14ac:dyDescent="0.2">
      <c r="B1500" s="115" t="s">
        <v>1510</v>
      </c>
      <c r="C1500" s="114">
        <v>684</v>
      </c>
      <c r="D1500" s="147">
        <f t="shared" si="81"/>
        <v>0.4696254327982286</v>
      </c>
      <c r="E1500" s="148">
        <f t="shared" si="80"/>
        <v>7.1701856134628411E-5</v>
      </c>
      <c r="F1500" s="148">
        <f t="shared" si="82"/>
        <v>5.1409497057603198E-2</v>
      </c>
    </row>
    <row r="1501" spans="2:6" x14ac:dyDescent="0.2">
      <c r="B1501" s="115" t="s">
        <v>1190</v>
      </c>
      <c r="C1501" s="114">
        <v>684</v>
      </c>
      <c r="D1501" s="147">
        <f t="shared" si="81"/>
        <v>0.46994019515265101</v>
      </c>
      <c r="E1501" s="148">
        <f t="shared" si="80"/>
        <v>7.1701856134628411E-5</v>
      </c>
      <c r="F1501" s="148">
        <f t="shared" si="82"/>
        <v>5.1481198913737827E-2</v>
      </c>
    </row>
    <row r="1502" spans="2:6" x14ac:dyDescent="0.2">
      <c r="B1502" s="115" t="s">
        <v>1440</v>
      </c>
      <c r="C1502" s="114">
        <v>685</v>
      </c>
      <c r="D1502" s="147">
        <f t="shared" si="81"/>
        <v>0.47025495750707341</v>
      </c>
      <c r="E1502" s="148">
        <f t="shared" si="80"/>
        <v>7.1806683409679037E-5</v>
      </c>
      <c r="F1502" s="148">
        <f t="shared" si="82"/>
        <v>5.1553005597147504E-2</v>
      </c>
    </row>
    <row r="1503" spans="2:6" x14ac:dyDescent="0.2">
      <c r="B1503" s="206" t="s">
        <v>752</v>
      </c>
      <c r="C1503" s="205">
        <v>685</v>
      </c>
      <c r="D1503" s="147">
        <f t="shared" si="81"/>
        <v>0.47056971986149582</v>
      </c>
      <c r="E1503" s="148">
        <f t="shared" si="80"/>
        <v>7.1806683409679037E-5</v>
      </c>
      <c r="F1503" s="148">
        <f t="shared" si="82"/>
        <v>5.1624812280557181E-2</v>
      </c>
    </row>
    <row r="1504" spans="2:6" x14ac:dyDescent="0.2">
      <c r="B1504" s="115" t="s">
        <v>2776</v>
      </c>
      <c r="C1504" s="114">
        <v>686</v>
      </c>
      <c r="D1504" s="147">
        <f t="shared" si="81"/>
        <v>0.47088448221591822</v>
      </c>
      <c r="E1504" s="148">
        <f t="shared" si="80"/>
        <v>7.1911510684729662E-5</v>
      </c>
      <c r="F1504" s="148">
        <f t="shared" si="82"/>
        <v>5.1696723791241912E-2</v>
      </c>
    </row>
    <row r="1505" spans="2:6" x14ac:dyDescent="0.2">
      <c r="B1505" s="115" t="s">
        <v>2403</v>
      </c>
      <c r="C1505" s="114">
        <v>686</v>
      </c>
      <c r="D1505" s="147">
        <f t="shared" si="81"/>
        <v>0.47119924457034063</v>
      </c>
      <c r="E1505" s="148">
        <f t="shared" si="80"/>
        <v>7.1911510684729662E-5</v>
      </c>
      <c r="F1505" s="148">
        <f t="shared" si="82"/>
        <v>5.1768635301926644E-2</v>
      </c>
    </row>
    <row r="1506" spans="2:6" x14ac:dyDescent="0.2">
      <c r="B1506" s="115" t="s">
        <v>1953</v>
      </c>
      <c r="C1506" s="114">
        <v>686</v>
      </c>
      <c r="D1506" s="147">
        <f t="shared" si="81"/>
        <v>0.47151400692476303</v>
      </c>
      <c r="E1506" s="148">
        <f t="shared" si="80"/>
        <v>7.1911510684729662E-5</v>
      </c>
      <c r="F1506" s="148">
        <f t="shared" si="82"/>
        <v>5.1840546812611375E-2</v>
      </c>
    </row>
    <row r="1507" spans="2:6" x14ac:dyDescent="0.2">
      <c r="B1507" s="206" t="s">
        <v>1026</v>
      </c>
      <c r="C1507" s="205">
        <v>687</v>
      </c>
      <c r="D1507" s="147">
        <f t="shared" si="81"/>
        <v>0.47182876927918543</v>
      </c>
      <c r="E1507" s="148">
        <f t="shared" si="80"/>
        <v>7.2016337959780288E-5</v>
      </c>
      <c r="F1507" s="148">
        <f t="shared" si="82"/>
        <v>5.1912563150571155E-2</v>
      </c>
    </row>
    <row r="1508" spans="2:6" x14ac:dyDescent="0.2">
      <c r="B1508" s="206" t="s">
        <v>722</v>
      </c>
      <c r="C1508" s="205">
        <v>688</v>
      </c>
      <c r="D1508" s="147">
        <f t="shared" si="81"/>
        <v>0.47214353163360784</v>
      </c>
      <c r="E1508" s="148">
        <f t="shared" si="80"/>
        <v>7.2121165234830914E-5</v>
      </c>
      <c r="F1508" s="148">
        <f t="shared" si="82"/>
        <v>5.1984684315805989E-2</v>
      </c>
    </row>
    <row r="1509" spans="2:6" x14ac:dyDescent="0.2">
      <c r="B1509" s="206" t="s">
        <v>3124</v>
      </c>
      <c r="C1509" s="205">
        <v>689</v>
      </c>
      <c r="D1509" s="147">
        <f t="shared" si="81"/>
        <v>0.47245829398803024</v>
      </c>
      <c r="E1509" s="148">
        <f t="shared" si="80"/>
        <v>7.2225992509881539E-5</v>
      </c>
      <c r="F1509" s="148">
        <f t="shared" si="82"/>
        <v>5.2056910308315871E-2</v>
      </c>
    </row>
    <row r="1510" spans="2:6" x14ac:dyDescent="0.2">
      <c r="B1510" s="206" t="s">
        <v>2194</v>
      </c>
      <c r="C1510" s="205">
        <v>689</v>
      </c>
      <c r="D1510" s="147">
        <f t="shared" si="81"/>
        <v>0.47277305634245265</v>
      </c>
      <c r="E1510" s="148">
        <f t="shared" si="80"/>
        <v>7.2225992509881539E-5</v>
      </c>
      <c r="F1510" s="148">
        <f t="shared" si="82"/>
        <v>5.2129136300825753E-2</v>
      </c>
    </row>
    <row r="1511" spans="2:6" x14ac:dyDescent="0.2">
      <c r="B1511" s="115" t="s">
        <v>2291</v>
      </c>
      <c r="C1511" s="114">
        <v>690</v>
      </c>
      <c r="D1511" s="147">
        <f t="shared" si="81"/>
        <v>0.47308781869687505</v>
      </c>
      <c r="E1511" s="148">
        <f t="shared" si="80"/>
        <v>7.2330819784932165E-5</v>
      </c>
      <c r="F1511" s="148">
        <f t="shared" si="82"/>
        <v>5.2201467120610683E-2</v>
      </c>
    </row>
    <row r="1512" spans="2:6" x14ac:dyDescent="0.2">
      <c r="B1512" s="115" t="s">
        <v>2012</v>
      </c>
      <c r="C1512" s="114">
        <v>690</v>
      </c>
      <c r="D1512" s="147">
        <f t="shared" si="81"/>
        <v>0.47340258105129746</v>
      </c>
      <c r="E1512" s="148">
        <f t="shared" si="80"/>
        <v>7.2330819784932165E-5</v>
      </c>
      <c r="F1512" s="148">
        <f t="shared" si="82"/>
        <v>5.2273797940395612E-2</v>
      </c>
    </row>
    <row r="1513" spans="2:6" x14ac:dyDescent="0.2">
      <c r="B1513" s="115" t="s">
        <v>1113</v>
      </c>
      <c r="C1513" s="114">
        <v>690</v>
      </c>
      <c r="D1513" s="147">
        <f t="shared" si="81"/>
        <v>0.47371734340571986</v>
      </c>
      <c r="E1513" s="148">
        <f t="shared" si="80"/>
        <v>7.2330819784932165E-5</v>
      </c>
      <c r="F1513" s="148">
        <f t="shared" si="82"/>
        <v>5.2346128760180542E-2</v>
      </c>
    </row>
    <row r="1514" spans="2:6" x14ac:dyDescent="0.2">
      <c r="B1514" s="115" t="s">
        <v>321</v>
      </c>
      <c r="C1514" s="114">
        <v>690</v>
      </c>
      <c r="D1514" s="147">
        <f t="shared" si="81"/>
        <v>0.47403210576014226</v>
      </c>
      <c r="E1514" s="148">
        <f t="shared" si="80"/>
        <v>7.2330819784932165E-5</v>
      </c>
      <c r="F1514" s="148">
        <f t="shared" si="82"/>
        <v>5.2418459579965472E-2</v>
      </c>
    </row>
    <row r="1515" spans="2:6" x14ac:dyDescent="0.2">
      <c r="B1515" s="206" t="s">
        <v>800</v>
      </c>
      <c r="C1515" s="205">
        <v>692</v>
      </c>
      <c r="D1515" s="147">
        <f t="shared" si="81"/>
        <v>0.47434686811456467</v>
      </c>
      <c r="E1515" s="148">
        <f t="shared" si="80"/>
        <v>7.2540474335033416E-5</v>
      </c>
      <c r="F1515" s="148">
        <f t="shared" si="82"/>
        <v>5.2491000054300505E-2</v>
      </c>
    </row>
    <row r="1516" spans="2:6" x14ac:dyDescent="0.2">
      <c r="B1516" s="206" t="s">
        <v>166</v>
      </c>
      <c r="C1516" s="205">
        <v>693</v>
      </c>
      <c r="D1516" s="147">
        <f t="shared" si="81"/>
        <v>0.47466163046898707</v>
      </c>
      <c r="E1516" s="148">
        <f t="shared" si="80"/>
        <v>7.2645301610084042E-5</v>
      </c>
      <c r="F1516" s="148">
        <f t="shared" si="82"/>
        <v>5.2563645355910592E-2</v>
      </c>
    </row>
    <row r="1517" spans="2:6" x14ac:dyDescent="0.2">
      <c r="B1517" s="115" t="s">
        <v>374</v>
      </c>
      <c r="C1517" s="114">
        <v>694</v>
      </c>
      <c r="D1517" s="147">
        <f t="shared" si="81"/>
        <v>0.47497639282340948</v>
      </c>
      <c r="E1517" s="148">
        <f t="shared" si="80"/>
        <v>7.2750128885134681E-5</v>
      </c>
      <c r="F1517" s="148">
        <f t="shared" si="82"/>
        <v>5.2636395484795727E-2</v>
      </c>
    </row>
    <row r="1518" spans="2:6" x14ac:dyDescent="0.2">
      <c r="B1518" s="115" t="s">
        <v>2681</v>
      </c>
      <c r="C1518" s="114">
        <v>695</v>
      </c>
      <c r="D1518" s="147">
        <f t="shared" si="81"/>
        <v>0.47529115517783188</v>
      </c>
      <c r="E1518" s="148">
        <f t="shared" si="80"/>
        <v>7.2854956160185307E-5</v>
      </c>
      <c r="F1518" s="148">
        <f t="shared" si="82"/>
        <v>5.270925044095591E-2</v>
      </c>
    </row>
    <row r="1519" spans="2:6" x14ac:dyDescent="0.2">
      <c r="B1519" s="206" t="s">
        <v>661</v>
      </c>
      <c r="C1519" s="205">
        <v>696</v>
      </c>
      <c r="D1519" s="147">
        <f t="shared" si="81"/>
        <v>0.47560591753225429</v>
      </c>
      <c r="E1519" s="148">
        <f t="shared" si="80"/>
        <v>7.2959783435235933E-5</v>
      </c>
      <c r="F1519" s="148">
        <f t="shared" si="82"/>
        <v>5.2782210224391148E-2</v>
      </c>
    </row>
    <row r="1520" spans="2:6" x14ac:dyDescent="0.2">
      <c r="B1520" s="115" t="s">
        <v>2877</v>
      </c>
      <c r="C1520" s="114">
        <v>698</v>
      </c>
      <c r="D1520" s="147">
        <f t="shared" si="81"/>
        <v>0.47592067988667669</v>
      </c>
      <c r="E1520" s="148">
        <f t="shared" si="80"/>
        <v>7.3169437985337184E-5</v>
      </c>
      <c r="F1520" s="148">
        <f t="shared" si="82"/>
        <v>5.2855379662376488E-2</v>
      </c>
    </row>
    <row r="1521" spans="2:6" x14ac:dyDescent="0.2">
      <c r="B1521" s="206" t="s">
        <v>2694</v>
      </c>
      <c r="C1521" s="205">
        <v>700</v>
      </c>
      <c r="D1521" s="147">
        <f t="shared" si="81"/>
        <v>0.47623544224109909</v>
      </c>
      <c r="E1521" s="148">
        <f t="shared" si="80"/>
        <v>7.3379092535438435E-5</v>
      </c>
      <c r="F1521" s="148">
        <f t="shared" si="82"/>
        <v>5.2928758754911924E-2</v>
      </c>
    </row>
    <row r="1522" spans="2:6" x14ac:dyDescent="0.2">
      <c r="B1522" s="206" t="s">
        <v>1233</v>
      </c>
      <c r="C1522" s="205">
        <v>702</v>
      </c>
      <c r="D1522" s="147">
        <f t="shared" si="81"/>
        <v>0.4765502045955215</v>
      </c>
      <c r="E1522" s="148">
        <f t="shared" si="80"/>
        <v>7.3588747085539686E-5</v>
      </c>
      <c r="F1522" s="148">
        <f t="shared" si="82"/>
        <v>5.3002347501997463E-2</v>
      </c>
    </row>
    <row r="1523" spans="2:6" x14ac:dyDescent="0.2">
      <c r="B1523" s="206" t="s">
        <v>324</v>
      </c>
      <c r="C1523" s="205">
        <v>702</v>
      </c>
      <c r="D1523" s="147">
        <f t="shared" si="81"/>
        <v>0.4768649669499439</v>
      </c>
      <c r="E1523" s="148">
        <f t="shared" si="80"/>
        <v>7.3588747085539686E-5</v>
      </c>
      <c r="F1523" s="148">
        <f t="shared" si="82"/>
        <v>5.3075936249083001E-2</v>
      </c>
    </row>
    <row r="1524" spans="2:6" x14ac:dyDescent="0.2">
      <c r="B1524" s="206" t="s">
        <v>1593</v>
      </c>
      <c r="C1524" s="205">
        <v>704</v>
      </c>
      <c r="D1524" s="147">
        <f t="shared" si="81"/>
        <v>0.47717972930436631</v>
      </c>
      <c r="E1524" s="148">
        <f t="shared" si="80"/>
        <v>7.3798401635640938E-5</v>
      </c>
      <c r="F1524" s="148">
        <f t="shared" si="82"/>
        <v>5.3149734650718643E-2</v>
      </c>
    </row>
    <row r="1525" spans="2:6" x14ac:dyDescent="0.2">
      <c r="B1525" s="206" t="s">
        <v>2449</v>
      </c>
      <c r="C1525" s="205">
        <v>706</v>
      </c>
      <c r="D1525" s="147">
        <f t="shared" si="81"/>
        <v>0.47749449165878871</v>
      </c>
      <c r="E1525" s="148">
        <f t="shared" si="80"/>
        <v>7.4008056185742189E-5</v>
      </c>
      <c r="F1525" s="148">
        <f t="shared" si="82"/>
        <v>5.3223742706904387E-2</v>
      </c>
    </row>
    <row r="1526" spans="2:6" x14ac:dyDescent="0.2">
      <c r="B1526" s="206" t="s">
        <v>714</v>
      </c>
      <c r="C1526" s="205">
        <v>706</v>
      </c>
      <c r="D1526" s="147">
        <f t="shared" si="81"/>
        <v>0.47780925401321112</v>
      </c>
      <c r="E1526" s="148">
        <f t="shared" si="80"/>
        <v>7.4008056185742189E-5</v>
      </c>
      <c r="F1526" s="148">
        <f t="shared" si="82"/>
        <v>5.3297750763090131E-2</v>
      </c>
    </row>
    <row r="1527" spans="2:6" x14ac:dyDescent="0.2">
      <c r="B1527" s="115" t="s">
        <v>3057</v>
      </c>
      <c r="C1527" s="114">
        <v>707</v>
      </c>
      <c r="D1527" s="147">
        <f t="shared" si="81"/>
        <v>0.47812401636763352</v>
      </c>
      <c r="E1527" s="148">
        <f t="shared" si="80"/>
        <v>7.4112883460792815E-5</v>
      </c>
      <c r="F1527" s="148">
        <f t="shared" si="82"/>
        <v>5.3371863646550922E-2</v>
      </c>
    </row>
    <row r="1528" spans="2:6" x14ac:dyDescent="0.2">
      <c r="B1528" s="206" t="s">
        <v>2063</v>
      </c>
      <c r="C1528" s="205">
        <v>707</v>
      </c>
      <c r="D1528" s="147">
        <f t="shared" si="81"/>
        <v>0.47843877872205592</v>
      </c>
      <c r="E1528" s="148">
        <f t="shared" si="80"/>
        <v>7.4112883460792815E-5</v>
      </c>
      <c r="F1528" s="148">
        <f t="shared" si="82"/>
        <v>5.3445976530011714E-2</v>
      </c>
    </row>
    <row r="1529" spans="2:6" x14ac:dyDescent="0.2">
      <c r="B1529" s="206" t="s">
        <v>2959</v>
      </c>
      <c r="C1529" s="205">
        <v>708</v>
      </c>
      <c r="D1529" s="147">
        <f t="shared" si="81"/>
        <v>0.47875354107647833</v>
      </c>
      <c r="E1529" s="148">
        <f t="shared" si="80"/>
        <v>7.421771073584344E-5</v>
      </c>
      <c r="F1529" s="148">
        <f t="shared" si="82"/>
        <v>5.3520194240747561E-2</v>
      </c>
    </row>
    <row r="1530" spans="2:6" x14ac:dyDescent="0.2">
      <c r="B1530" s="115" t="s">
        <v>2282</v>
      </c>
      <c r="C1530" s="114">
        <v>708</v>
      </c>
      <c r="D1530" s="147">
        <f t="shared" si="81"/>
        <v>0.47906830343090073</v>
      </c>
      <c r="E1530" s="148">
        <f t="shared" si="80"/>
        <v>7.421771073584344E-5</v>
      </c>
      <c r="F1530" s="148">
        <f t="shared" si="82"/>
        <v>5.3594411951483407E-2</v>
      </c>
    </row>
    <row r="1531" spans="2:6" x14ac:dyDescent="0.2">
      <c r="B1531" s="115" t="s">
        <v>2925</v>
      </c>
      <c r="C1531" s="114">
        <v>709</v>
      </c>
      <c r="D1531" s="147">
        <f t="shared" si="81"/>
        <v>0.47938306578532314</v>
      </c>
      <c r="E1531" s="148">
        <f t="shared" si="80"/>
        <v>7.4322538010894066E-5</v>
      </c>
      <c r="F1531" s="148">
        <f t="shared" si="82"/>
        <v>5.3668734489494302E-2</v>
      </c>
    </row>
    <row r="1532" spans="2:6" x14ac:dyDescent="0.2">
      <c r="B1532" s="206" t="s">
        <v>2861</v>
      </c>
      <c r="C1532" s="205">
        <v>709</v>
      </c>
      <c r="D1532" s="147">
        <f t="shared" si="81"/>
        <v>0.47969782813974554</v>
      </c>
      <c r="E1532" s="148">
        <f t="shared" si="80"/>
        <v>7.4322538010894066E-5</v>
      </c>
      <c r="F1532" s="148">
        <f t="shared" si="82"/>
        <v>5.3743057027505196E-2</v>
      </c>
    </row>
    <row r="1533" spans="2:6" x14ac:dyDescent="0.2">
      <c r="B1533" s="206" t="s">
        <v>366</v>
      </c>
      <c r="C1533" s="205">
        <v>710</v>
      </c>
      <c r="D1533" s="147">
        <f t="shared" si="81"/>
        <v>0.48001259049416795</v>
      </c>
      <c r="E1533" s="148">
        <f t="shared" si="80"/>
        <v>7.4427365285944692E-5</v>
      </c>
      <c r="F1533" s="148">
        <f t="shared" si="82"/>
        <v>5.3817484392791139E-2</v>
      </c>
    </row>
    <row r="1534" spans="2:6" x14ac:dyDescent="0.2">
      <c r="B1534" s="115" t="s">
        <v>920</v>
      </c>
      <c r="C1534" s="114">
        <v>711</v>
      </c>
      <c r="D1534" s="147">
        <f t="shared" si="81"/>
        <v>0.48032735284859035</v>
      </c>
      <c r="E1534" s="148">
        <f t="shared" si="80"/>
        <v>7.4532192560995317E-5</v>
      </c>
      <c r="F1534" s="148">
        <f t="shared" si="82"/>
        <v>5.3892016585352136E-2</v>
      </c>
    </row>
    <row r="1535" spans="2:6" x14ac:dyDescent="0.2">
      <c r="B1535" s="206" t="s">
        <v>245</v>
      </c>
      <c r="C1535" s="205">
        <v>711</v>
      </c>
      <c r="D1535" s="147">
        <f t="shared" si="81"/>
        <v>0.48064211520301275</v>
      </c>
      <c r="E1535" s="148">
        <f t="shared" si="80"/>
        <v>7.4532192560995317E-5</v>
      </c>
      <c r="F1535" s="148">
        <f t="shared" si="82"/>
        <v>5.3966548777913133E-2</v>
      </c>
    </row>
    <row r="1536" spans="2:6" x14ac:dyDescent="0.2">
      <c r="B1536" s="206" t="s">
        <v>825</v>
      </c>
      <c r="C1536" s="205">
        <v>714</v>
      </c>
      <c r="D1536" s="147">
        <f t="shared" si="81"/>
        <v>0.48095687755743516</v>
      </c>
      <c r="E1536" s="148">
        <f t="shared" si="80"/>
        <v>7.4846674386147208E-5</v>
      </c>
      <c r="F1536" s="148">
        <f t="shared" si="82"/>
        <v>5.404139545229928E-2</v>
      </c>
    </row>
    <row r="1537" spans="2:6" x14ac:dyDescent="0.2">
      <c r="B1537" s="206" t="s">
        <v>2396</v>
      </c>
      <c r="C1537" s="205">
        <v>715</v>
      </c>
      <c r="D1537" s="147">
        <f t="shared" si="81"/>
        <v>0.48127163991185756</v>
      </c>
      <c r="E1537" s="148">
        <f t="shared" si="80"/>
        <v>7.4951501661197834E-5</v>
      </c>
      <c r="F1537" s="148">
        <f t="shared" si="82"/>
        <v>5.4116346953960476E-2</v>
      </c>
    </row>
    <row r="1538" spans="2:6" x14ac:dyDescent="0.2">
      <c r="B1538" s="206" t="s">
        <v>2281</v>
      </c>
      <c r="C1538" s="205">
        <v>715</v>
      </c>
      <c r="D1538" s="147">
        <f t="shared" si="81"/>
        <v>0.48158640226627997</v>
      </c>
      <c r="E1538" s="148">
        <f t="shared" si="80"/>
        <v>7.4951501661197834E-5</v>
      </c>
      <c r="F1538" s="148">
        <f t="shared" si="82"/>
        <v>5.4191298455621671E-2</v>
      </c>
    </row>
    <row r="1539" spans="2:6" x14ac:dyDescent="0.2">
      <c r="B1539" s="206" t="s">
        <v>2038</v>
      </c>
      <c r="C1539" s="205">
        <v>715</v>
      </c>
      <c r="D1539" s="147">
        <f t="shared" si="81"/>
        <v>0.48190116462070237</v>
      </c>
      <c r="E1539" s="148">
        <f t="shared" si="80"/>
        <v>7.4951501661197834E-5</v>
      </c>
      <c r="F1539" s="148">
        <f t="shared" si="82"/>
        <v>5.4266249957282867E-2</v>
      </c>
    </row>
    <row r="1540" spans="2:6" x14ac:dyDescent="0.2">
      <c r="B1540" s="206" t="s">
        <v>271</v>
      </c>
      <c r="C1540" s="205">
        <v>715</v>
      </c>
      <c r="D1540" s="147">
        <f t="shared" si="81"/>
        <v>0.48221592697512478</v>
      </c>
      <c r="E1540" s="148">
        <f t="shared" si="80"/>
        <v>7.4951501661197834E-5</v>
      </c>
      <c r="F1540" s="148">
        <f t="shared" si="82"/>
        <v>5.4341201458944062E-2</v>
      </c>
    </row>
    <row r="1541" spans="2:6" x14ac:dyDescent="0.2">
      <c r="B1541" s="115" t="s">
        <v>675</v>
      </c>
      <c r="C1541" s="114">
        <v>716</v>
      </c>
      <c r="D1541" s="147">
        <f t="shared" si="81"/>
        <v>0.48253068932954718</v>
      </c>
      <c r="E1541" s="148">
        <f t="shared" si="80"/>
        <v>7.5056328936248459E-5</v>
      </c>
      <c r="F1541" s="148">
        <f t="shared" si="82"/>
        <v>5.4416257787880312E-2</v>
      </c>
    </row>
    <row r="1542" spans="2:6" x14ac:dyDescent="0.2">
      <c r="B1542" s="206" t="s">
        <v>1872</v>
      </c>
      <c r="C1542" s="205">
        <v>717</v>
      </c>
      <c r="D1542" s="147">
        <f t="shared" si="81"/>
        <v>0.48284545168396958</v>
      </c>
      <c r="E1542" s="148">
        <f t="shared" si="80"/>
        <v>7.5161156211299085E-5</v>
      </c>
      <c r="F1542" s="148">
        <f t="shared" si="82"/>
        <v>5.449141894409161E-2</v>
      </c>
    </row>
    <row r="1543" spans="2:6" x14ac:dyDescent="0.2">
      <c r="B1543" s="206" t="s">
        <v>1569</v>
      </c>
      <c r="C1543" s="205">
        <v>717</v>
      </c>
      <c r="D1543" s="147">
        <f t="shared" si="81"/>
        <v>0.48316021403839199</v>
      </c>
      <c r="E1543" s="148">
        <f t="shared" si="80"/>
        <v>7.5161156211299085E-5</v>
      </c>
      <c r="F1543" s="148">
        <f t="shared" si="82"/>
        <v>5.4566580100302908E-2</v>
      </c>
    </row>
    <row r="1544" spans="2:6" x14ac:dyDescent="0.2">
      <c r="B1544" s="115" t="s">
        <v>449</v>
      </c>
      <c r="C1544" s="114">
        <v>718</v>
      </c>
      <c r="D1544" s="147">
        <f t="shared" si="81"/>
        <v>0.48347497639281439</v>
      </c>
      <c r="E1544" s="148">
        <f t="shared" si="80"/>
        <v>7.5265983486349711E-5</v>
      </c>
      <c r="F1544" s="148">
        <f t="shared" si="82"/>
        <v>5.4641846083789261E-2</v>
      </c>
    </row>
    <row r="1545" spans="2:6" x14ac:dyDescent="0.2">
      <c r="B1545" s="115" t="s">
        <v>513</v>
      </c>
      <c r="C1545" s="114">
        <v>719</v>
      </c>
      <c r="D1545" s="147">
        <f t="shared" si="81"/>
        <v>0.4837897387472368</v>
      </c>
      <c r="E1545" s="148">
        <f t="shared" ref="E1545:E1608" si="83">C1545/$O$18</f>
        <v>7.5370810761400336E-5</v>
      </c>
      <c r="F1545" s="148">
        <f t="shared" si="82"/>
        <v>5.4717216894550662E-2</v>
      </c>
    </row>
    <row r="1546" spans="2:6" x14ac:dyDescent="0.2">
      <c r="B1546" s="115" t="s">
        <v>1266</v>
      </c>
      <c r="C1546" s="114">
        <v>720</v>
      </c>
      <c r="D1546" s="147">
        <f t="shared" ref="D1546:D1609" si="84">D1545+1/$L$18</f>
        <v>0.4841045011016592</v>
      </c>
      <c r="E1546" s="148">
        <f t="shared" si="83"/>
        <v>7.5475638036450962E-5</v>
      </c>
      <c r="F1546" s="148">
        <f t="shared" ref="F1546:F1609" si="85">F1545+E1546</f>
        <v>5.479269253258711E-2</v>
      </c>
    </row>
    <row r="1547" spans="2:6" x14ac:dyDescent="0.2">
      <c r="B1547" s="115" t="s">
        <v>471</v>
      </c>
      <c r="C1547" s="114">
        <v>721</v>
      </c>
      <c r="D1547" s="147">
        <f t="shared" si="84"/>
        <v>0.48441926345608161</v>
      </c>
      <c r="E1547" s="148">
        <f t="shared" si="83"/>
        <v>7.5580465311501588E-5</v>
      </c>
      <c r="F1547" s="148">
        <f t="shared" si="85"/>
        <v>5.4868272997898614E-2</v>
      </c>
    </row>
    <row r="1548" spans="2:6" x14ac:dyDescent="0.2">
      <c r="B1548" s="115" t="s">
        <v>1730</v>
      </c>
      <c r="C1548" s="114">
        <v>722</v>
      </c>
      <c r="D1548" s="147">
        <f t="shared" si="84"/>
        <v>0.48473402581050401</v>
      </c>
      <c r="E1548" s="148">
        <f t="shared" si="83"/>
        <v>7.5685292586552213E-5</v>
      </c>
      <c r="F1548" s="148">
        <f t="shared" si="85"/>
        <v>5.4943958290485165E-2</v>
      </c>
    </row>
    <row r="1549" spans="2:6" x14ac:dyDescent="0.2">
      <c r="B1549" s="206" t="s">
        <v>1966</v>
      </c>
      <c r="C1549" s="205">
        <v>723</v>
      </c>
      <c r="D1549" s="147">
        <f t="shared" si="84"/>
        <v>0.48504878816492641</v>
      </c>
      <c r="E1549" s="148">
        <f t="shared" si="83"/>
        <v>7.5790119861602839E-5</v>
      </c>
      <c r="F1549" s="148">
        <f t="shared" si="85"/>
        <v>5.5019748410346771E-2</v>
      </c>
    </row>
    <row r="1550" spans="2:6" x14ac:dyDescent="0.2">
      <c r="B1550" s="115" t="s">
        <v>1490</v>
      </c>
      <c r="C1550" s="114">
        <v>723</v>
      </c>
      <c r="D1550" s="147">
        <f t="shared" si="84"/>
        <v>0.48536355051934882</v>
      </c>
      <c r="E1550" s="148">
        <f t="shared" si="83"/>
        <v>7.5790119861602839E-5</v>
      </c>
      <c r="F1550" s="148">
        <f t="shared" si="85"/>
        <v>5.5095538530208377E-2</v>
      </c>
    </row>
    <row r="1551" spans="2:6" x14ac:dyDescent="0.2">
      <c r="B1551" s="206" t="s">
        <v>734</v>
      </c>
      <c r="C1551" s="205">
        <v>725</v>
      </c>
      <c r="D1551" s="147">
        <f t="shared" si="84"/>
        <v>0.48567831287377122</v>
      </c>
      <c r="E1551" s="148">
        <f t="shared" si="83"/>
        <v>7.599977441170409E-5</v>
      </c>
      <c r="F1551" s="148">
        <f t="shared" si="85"/>
        <v>5.5171538304620078E-2</v>
      </c>
    </row>
    <row r="1552" spans="2:6" x14ac:dyDescent="0.2">
      <c r="B1552" s="115" t="s">
        <v>2181</v>
      </c>
      <c r="C1552" s="114">
        <v>726</v>
      </c>
      <c r="D1552" s="147">
        <f t="shared" si="84"/>
        <v>0.48599307522819363</v>
      </c>
      <c r="E1552" s="148">
        <f t="shared" si="83"/>
        <v>7.6104601686754716E-5</v>
      </c>
      <c r="F1552" s="148">
        <f t="shared" si="85"/>
        <v>5.5247642906306835E-2</v>
      </c>
    </row>
    <row r="1553" spans="2:6" x14ac:dyDescent="0.2">
      <c r="B1553" s="206" t="s">
        <v>2329</v>
      </c>
      <c r="C1553" s="205">
        <v>727</v>
      </c>
      <c r="D1553" s="147">
        <f t="shared" si="84"/>
        <v>0.48630783758261603</v>
      </c>
      <c r="E1553" s="148">
        <f t="shared" si="83"/>
        <v>7.6209428961805341E-5</v>
      </c>
      <c r="F1553" s="148">
        <f t="shared" si="85"/>
        <v>5.5323852335268639E-2</v>
      </c>
    </row>
    <row r="1554" spans="2:6" x14ac:dyDescent="0.2">
      <c r="B1554" s="115" t="s">
        <v>1503</v>
      </c>
      <c r="C1554" s="114">
        <v>727</v>
      </c>
      <c r="D1554" s="147">
        <f t="shared" si="84"/>
        <v>0.48662259993703844</v>
      </c>
      <c r="E1554" s="148">
        <f t="shared" si="83"/>
        <v>7.6209428961805341E-5</v>
      </c>
      <c r="F1554" s="148">
        <f t="shared" si="85"/>
        <v>5.5400061764230443E-2</v>
      </c>
    </row>
    <row r="1555" spans="2:6" x14ac:dyDescent="0.2">
      <c r="B1555" s="206" t="s">
        <v>1222</v>
      </c>
      <c r="C1555" s="205">
        <v>727</v>
      </c>
      <c r="D1555" s="147">
        <f t="shared" si="84"/>
        <v>0.48693736229146084</v>
      </c>
      <c r="E1555" s="148">
        <f t="shared" si="83"/>
        <v>7.6209428961805341E-5</v>
      </c>
      <c r="F1555" s="148">
        <f t="shared" si="85"/>
        <v>5.5476271193192248E-2</v>
      </c>
    </row>
    <row r="1556" spans="2:6" x14ac:dyDescent="0.2">
      <c r="B1556" s="206" t="s">
        <v>1945</v>
      </c>
      <c r="C1556" s="205">
        <v>728</v>
      </c>
      <c r="D1556" s="147">
        <f t="shared" si="84"/>
        <v>0.48725212464588324</v>
      </c>
      <c r="E1556" s="148">
        <f t="shared" si="83"/>
        <v>7.6314256236855967E-5</v>
      </c>
      <c r="F1556" s="148">
        <f t="shared" si="85"/>
        <v>5.5552585449429107E-2</v>
      </c>
    </row>
    <row r="1557" spans="2:6" x14ac:dyDescent="0.2">
      <c r="B1557" s="206" t="s">
        <v>1704</v>
      </c>
      <c r="C1557" s="205">
        <v>728</v>
      </c>
      <c r="D1557" s="147">
        <f t="shared" si="84"/>
        <v>0.48756688700030565</v>
      </c>
      <c r="E1557" s="148">
        <f t="shared" si="83"/>
        <v>7.6314256236855967E-5</v>
      </c>
      <c r="F1557" s="148">
        <f t="shared" si="85"/>
        <v>5.5628899705665966E-2</v>
      </c>
    </row>
    <row r="1558" spans="2:6" x14ac:dyDescent="0.2">
      <c r="B1558" s="206" t="s">
        <v>1962</v>
      </c>
      <c r="C1558" s="205">
        <v>729</v>
      </c>
      <c r="D1558" s="147">
        <f t="shared" si="84"/>
        <v>0.48788164935472805</v>
      </c>
      <c r="E1558" s="148">
        <f t="shared" si="83"/>
        <v>7.6419083511906593E-5</v>
      </c>
      <c r="F1558" s="148">
        <f t="shared" si="85"/>
        <v>5.5705318789177873E-2</v>
      </c>
    </row>
    <row r="1559" spans="2:6" x14ac:dyDescent="0.2">
      <c r="B1559" s="206" t="s">
        <v>1537</v>
      </c>
      <c r="C1559" s="205">
        <v>730</v>
      </c>
      <c r="D1559" s="147">
        <f t="shared" si="84"/>
        <v>0.48819641170915046</v>
      </c>
      <c r="E1559" s="148">
        <f t="shared" si="83"/>
        <v>7.6523910786957218E-5</v>
      </c>
      <c r="F1559" s="148">
        <f t="shared" si="85"/>
        <v>5.5781842699964827E-2</v>
      </c>
    </row>
    <row r="1560" spans="2:6" x14ac:dyDescent="0.2">
      <c r="B1560" s="206" t="s">
        <v>562</v>
      </c>
      <c r="C1560" s="205">
        <v>730</v>
      </c>
      <c r="D1560" s="147">
        <f t="shared" si="84"/>
        <v>0.48851117406357286</v>
      </c>
      <c r="E1560" s="148">
        <f t="shared" si="83"/>
        <v>7.6523910786957218E-5</v>
      </c>
      <c r="F1560" s="148">
        <f t="shared" si="85"/>
        <v>5.5858366610751782E-2</v>
      </c>
    </row>
    <row r="1561" spans="2:6" x14ac:dyDescent="0.2">
      <c r="B1561" s="115" t="s">
        <v>1361</v>
      </c>
      <c r="C1561" s="114">
        <v>731</v>
      </c>
      <c r="D1561" s="147">
        <f t="shared" si="84"/>
        <v>0.48882593641799527</v>
      </c>
      <c r="E1561" s="148">
        <f t="shared" si="83"/>
        <v>7.6628738062007844E-5</v>
      </c>
      <c r="F1561" s="148">
        <f t="shared" si="85"/>
        <v>5.5934995348813792E-2</v>
      </c>
    </row>
    <row r="1562" spans="2:6" x14ac:dyDescent="0.2">
      <c r="B1562" s="115" t="s">
        <v>2855</v>
      </c>
      <c r="C1562" s="114">
        <v>732</v>
      </c>
      <c r="D1562" s="147">
        <f t="shared" si="84"/>
        <v>0.48914069877241767</v>
      </c>
      <c r="E1562" s="148">
        <f t="shared" si="83"/>
        <v>7.673356533705847E-5</v>
      </c>
      <c r="F1562" s="148">
        <f t="shared" si="85"/>
        <v>5.6011728914150849E-2</v>
      </c>
    </row>
    <row r="1563" spans="2:6" x14ac:dyDescent="0.2">
      <c r="B1563" s="115" t="s">
        <v>1130</v>
      </c>
      <c r="C1563" s="114">
        <v>732</v>
      </c>
      <c r="D1563" s="147">
        <f t="shared" si="84"/>
        <v>0.48945546112684007</v>
      </c>
      <c r="E1563" s="148">
        <f t="shared" si="83"/>
        <v>7.673356533705847E-5</v>
      </c>
      <c r="F1563" s="148">
        <f t="shared" si="85"/>
        <v>5.6088462479487906E-2</v>
      </c>
    </row>
    <row r="1564" spans="2:6" x14ac:dyDescent="0.2">
      <c r="B1564" s="206" t="s">
        <v>1550</v>
      </c>
      <c r="C1564" s="205">
        <v>733</v>
      </c>
      <c r="D1564" s="147">
        <f t="shared" si="84"/>
        <v>0.48977022348126248</v>
      </c>
      <c r="E1564" s="148">
        <f t="shared" si="83"/>
        <v>7.6838392612109095E-5</v>
      </c>
      <c r="F1564" s="148">
        <f t="shared" si="85"/>
        <v>5.6165300872100019E-2</v>
      </c>
    </row>
    <row r="1565" spans="2:6" x14ac:dyDescent="0.2">
      <c r="B1565" s="115" t="s">
        <v>2526</v>
      </c>
      <c r="C1565" s="114">
        <v>734</v>
      </c>
      <c r="D1565" s="147">
        <f t="shared" si="84"/>
        <v>0.49008498583568488</v>
      </c>
      <c r="E1565" s="148">
        <f t="shared" si="83"/>
        <v>7.6943219887159735E-5</v>
      </c>
      <c r="F1565" s="148">
        <f t="shared" si="85"/>
        <v>5.6242244091987179E-2</v>
      </c>
    </row>
    <row r="1566" spans="2:6" x14ac:dyDescent="0.2">
      <c r="B1566" s="206" t="s">
        <v>1044</v>
      </c>
      <c r="C1566" s="205">
        <v>734</v>
      </c>
      <c r="D1566" s="147">
        <f t="shared" si="84"/>
        <v>0.49039974819010729</v>
      </c>
      <c r="E1566" s="148">
        <f t="shared" si="83"/>
        <v>7.6943219887159735E-5</v>
      </c>
      <c r="F1566" s="148">
        <f t="shared" si="85"/>
        <v>5.6319187311874339E-2</v>
      </c>
    </row>
    <row r="1567" spans="2:6" x14ac:dyDescent="0.2">
      <c r="B1567" s="206" t="s">
        <v>453</v>
      </c>
      <c r="C1567" s="205">
        <v>734</v>
      </c>
      <c r="D1567" s="147">
        <f t="shared" si="84"/>
        <v>0.49071451054452969</v>
      </c>
      <c r="E1567" s="148">
        <f t="shared" si="83"/>
        <v>7.6943219887159735E-5</v>
      </c>
      <c r="F1567" s="148">
        <f t="shared" si="85"/>
        <v>5.6396130531761499E-2</v>
      </c>
    </row>
    <row r="1568" spans="2:6" x14ac:dyDescent="0.2">
      <c r="B1568" s="115" t="s">
        <v>2303</v>
      </c>
      <c r="C1568" s="114">
        <v>735</v>
      </c>
      <c r="D1568" s="147">
        <f t="shared" si="84"/>
        <v>0.4910292728989521</v>
      </c>
      <c r="E1568" s="148">
        <f t="shared" si="83"/>
        <v>7.704804716221036E-5</v>
      </c>
      <c r="F1568" s="148">
        <f t="shared" si="85"/>
        <v>5.6473178578923706E-2</v>
      </c>
    </row>
    <row r="1569" spans="2:6" x14ac:dyDescent="0.2">
      <c r="B1569" s="206" t="s">
        <v>2117</v>
      </c>
      <c r="C1569" s="205">
        <v>735</v>
      </c>
      <c r="D1569" s="147">
        <f t="shared" si="84"/>
        <v>0.4913440352533745</v>
      </c>
      <c r="E1569" s="148">
        <f t="shared" si="83"/>
        <v>7.704804716221036E-5</v>
      </c>
      <c r="F1569" s="148">
        <f t="shared" si="85"/>
        <v>5.6550226626085914E-2</v>
      </c>
    </row>
    <row r="1570" spans="2:6" x14ac:dyDescent="0.2">
      <c r="B1570" s="115" t="s">
        <v>1580</v>
      </c>
      <c r="C1570" s="114">
        <v>735</v>
      </c>
      <c r="D1570" s="147">
        <f t="shared" si="84"/>
        <v>0.4916587976077969</v>
      </c>
      <c r="E1570" s="148">
        <f t="shared" si="83"/>
        <v>7.704804716221036E-5</v>
      </c>
      <c r="F1570" s="148">
        <f t="shared" si="85"/>
        <v>5.6627274673248122E-2</v>
      </c>
    </row>
    <row r="1571" spans="2:6" x14ac:dyDescent="0.2">
      <c r="B1571" s="206" t="s">
        <v>1944</v>
      </c>
      <c r="C1571" s="205">
        <v>736</v>
      </c>
      <c r="D1571" s="147">
        <f t="shared" si="84"/>
        <v>0.49197355996221931</v>
      </c>
      <c r="E1571" s="148">
        <f t="shared" si="83"/>
        <v>7.7152874437260986E-5</v>
      </c>
      <c r="F1571" s="148">
        <f t="shared" si="85"/>
        <v>5.6704427547685385E-2</v>
      </c>
    </row>
    <row r="1572" spans="2:6" x14ac:dyDescent="0.2">
      <c r="B1572" s="206" t="s">
        <v>1542</v>
      </c>
      <c r="C1572" s="205">
        <v>736</v>
      </c>
      <c r="D1572" s="147">
        <f t="shared" si="84"/>
        <v>0.49228832231664171</v>
      </c>
      <c r="E1572" s="148">
        <f t="shared" si="83"/>
        <v>7.7152874437260986E-5</v>
      </c>
      <c r="F1572" s="148">
        <f t="shared" si="85"/>
        <v>5.6781580422122648E-2</v>
      </c>
    </row>
    <row r="1573" spans="2:6" x14ac:dyDescent="0.2">
      <c r="B1573" s="115" t="s">
        <v>701</v>
      </c>
      <c r="C1573" s="114">
        <v>736</v>
      </c>
      <c r="D1573" s="147">
        <f t="shared" si="84"/>
        <v>0.49260308467106412</v>
      </c>
      <c r="E1573" s="148">
        <f t="shared" si="83"/>
        <v>7.7152874437260986E-5</v>
      </c>
      <c r="F1573" s="148">
        <f t="shared" si="85"/>
        <v>5.685873329655991E-2</v>
      </c>
    </row>
    <row r="1574" spans="2:6" x14ac:dyDescent="0.2">
      <c r="B1574" s="206" t="s">
        <v>2666</v>
      </c>
      <c r="C1574" s="205">
        <v>737</v>
      </c>
      <c r="D1574" s="147">
        <f t="shared" si="84"/>
        <v>0.49291784702548652</v>
      </c>
      <c r="E1574" s="148">
        <f t="shared" si="83"/>
        <v>7.7257701712311612E-5</v>
      </c>
      <c r="F1574" s="148">
        <f t="shared" si="85"/>
        <v>5.6935990998272221E-2</v>
      </c>
    </row>
    <row r="1575" spans="2:6" x14ac:dyDescent="0.2">
      <c r="B1575" s="115" t="s">
        <v>2085</v>
      </c>
      <c r="C1575" s="114">
        <v>737</v>
      </c>
      <c r="D1575" s="147">
        <f t="shared" si="84"/>
        <v>0.49323260937990893</v>
      </c>
      <c r="E1575" s="148">
        <f t="shared" si="83"/>
        <v>7.7257701712311612E-5</v>
      </c>
      <c r="F1575" s="148">
        <f t="shared" si="85"/>
        <v>5.7013248699984531E-2</v>
      </c>
    </row>
    <row r="1576" spans="2:6" x14ac:dyDescent="0.2">
      <c r="B1576" s="115" t="s">
        <v>250</v>
      </c>
      <c r="C1576" s="114">
        <v>737</v>
      </c>
      <c r="D1576" s="147">
        <f t="shared" si="84"/>
        <v>0.49354737173433133</v>
      </c>
      <c r="E1576" s="148">
        <f t="shared" si="83"/>
        <v>7.7257701712311612E-5</v>
      </c>
      <c r="F1576" s="148">
        <f t="shared" si="85"/>
        <v>5.7090506401696842E-2</v>
      </c>
    </row>
    <row r="1577" spans="2:6" x14ac:dyDescent="0.2">
      <c r="B1577" s="206" t="s">
        <v>53</v>
      </c>
      <c r="C1577" s="205">
        <v>737</v>
      </c>
      <c r="D1577" s="147">
        <f t="shared" si="84"/>
        <v>0.49386213408875373</v>
      </c>
      <c r="E1577" s="148">
        <f t="shared" si="83"/>
        <v>7.7257701712311612E-5</v>
      </c>
      <c r="F1577" s="148">
        <f t="shared" si="85"/>
        <v>5.7167764103409152E-2</v>
      </c>
    </row>
    <row r="1578" spans="2:6" x14ac:dyDescent="0.2">
      <c r="B1578" s="115" t="s">
        <v>923</v>
      </c>
      <c r="C1578" s="114">
        <v>738</v>
      </c>
      <c r="D1578" s="147">
        <f t="shared" si="84"/>
        <v>0.49417689644317614</v>
      </c>
      <c r="E1578" s="148">
        <f t="shared" si="83"/>
        <v>7.7362528987362237E-5</v>
      </c>
      <c r="F1578" s="148">
        <f t="shared" si="85"/>
        <v>5.7245126632396517E-2</v>
      </c>
    </row>
    <row r="1579" spans="2:6" x14ac:dyDescent="0.2">
      <c r="B1579" s="206" t="s">
        <v>444</v>
      </c>
      <c r="C1579" s="205">
        <v>738</v>
      </c>
      <c r="D1579" s="147">
        <f t="shared" si="84"/>
        <v>0.49449165879759854</v>
      </c>
      <c r="E1579" s="148">
        <f t="shared" si="83"/>
        <v>7.7362528987362237E-5</v>
      </c>
      <c r="F1579" s="148">
        <f t="shared" si="85"/>
        <v>5.7322489161383883E-2</v>
      </c>
    </row>
    <row r="1580" spans="2:6" x14ac:dyDescent="0.2">
      <c r="B1580" s="206" t="s">
        <v>2523</v>
      </c>
      <c r="C1580" s="205">
        <v>739</v>
      </c>
      <c r="D1580" s="147">
        <f t="shared" si="84"/>
        <v>0.49480642115202095</v>
      </c>
      <c r="E1580" s="148">
        <f t="shared" si="83"/>
        <v>7.7467356262412863E-5</v>
      </c>
      <c r="F1580" s="148">
        <f t="shared" si="85"/>
        <v>5.7399956517646296E-2</v>
      </c>
    </row>
    <row r="1581" spans="2:6" x14ac:dyDescent="0.2">
      <c r="B1581" s="115" t="s">
        <v>1566</v>
      </c>
      <c r="C1581" s="114">
        <v>739</v>
      </c>
      <c r="D1581" s="147">
        <f t="shared" si="84"/>
        <v>0.49512118350644335</v>
      </c>
      <c r="E1581" s="148">
        <f t="shared" si="83"/>
        <v>7.7467356262412863E-5</v>
      </c>
      <c r="F1581" s="148">
        <f t="shared" si="85"/>
        <v>5.7477423873908709E-2</v>
      </c>
    </row>
    <row r="1582" spans="2:6" x14ac:dyDescent="0.2">
      <c r="B1582" s="115" t="s">
        <v>1242</v>
      </c>
      <c r="C1582" s="114">
        <v>740</v>
      </c>
      <c r="D1582" s="147">
        <f t="shared" si="84"/>
        <v>0.49543594586086576</v>
      </c>
      <c r="E1582" s="148">
        <f t="shared" si="83"/>
        <v>7.7572183537463489E-5</v>
      </c>
      <c r="F1582" s="148">
        <f t="shared" si="85"/>
        <v>5.755499605744617E-2</v>
      </c>
    </row>
    <row r="1583" spans="2:6" x14ac:dyDescent="0.2">
      <c r="B1583" s="115" t="s">
        <v>2799</v>
      </c>
      <c r="C1583" s="114">
        <v>741</v>
      </c>
      <c r="D1583" s="147">
        <f t="shared" si="84"/>
        <v>0.49575070821528816</v>
      </c>
      <c r="E1583" s="148">
        <f t="shared" si="83"/>
        <v>7.7677010812514114E-5</v>
      </c>
      <c r="F1583" s="148">
        <f t="shared" si="85"/>
        <v>5.7632673068258686E-2</v>
      </c>
    </row>
    <row r="1584" spans="2:6" x14ac:dyDescent="0.2">
      <c r="B1584" s="206" t="s">
        <v>2632</v>
      </c>
      <c r="C1584" s="205">
        <v>742</v>
      </c>
      <c r="D1584" s="147">
        <f t="shared" si="84"/>
        <v>0.49606547056971056</v>
      </c>
      <c r="E1584" s="148">
        <f t="shared" si="83"/>
        <v>7.778183808756474E-5</v>
      </c>
      <c r="F1584" s="148">
        <f t="shared" si="85"/>
        <v>5.7710454906346249E-2</v>
      </c>
    </row>
    <row r="1585" spans="2:6" x14ac:dyDescent="0.2">
      <c r="B1585" s="115" t="s">
        <v>1038</v>
      </c>
      <c r="C1585" s="114">
        <v>743</v>
      </c>
      <c r="D1585" s="147">
        <f t="shared" si="84"/>
        <v>0.49638023292413297</v>
      </c>
      <c r="E1585" s="148">
        <f t="shared" si="83"/>
        <v>7.7886665362615366E-5</v>
      </c>
      <c r="F1585" s="148">
        <f t="shared" si="85"/>
        <v>5.7788341571708868E-2</v>
      </c>
    </row>
    <row r="1586" spans="2:6" x14ac:dyDescent="0.2">
      <c r="B1586" s="115" t="s">
        <v>475</v>
      </c>
      <c r="C1586" s="114">
        <v>745</v>
      </c>
      <c r="D1586" s="147">
        <f t="shared" si="84"/>
        <v>0.49669499527855537</v>
      </c>
      <c r="E1586" s="148">
        <f t="shared" si="83"/>
        <v>7.8096319912716617E-5</v>
      </c>
      <c r="F1586" s="148">
        <f t="shared" si="85"/>
        <v>5.7866437891621582E-2</v>
      </c>
    </row>
    <row r="1587" spans="2:6" x14ac:dyDescent="0.2">
      <c r="B1587" s="115" t="s">
        <v>2400</v>
      </c>
      <c r="C1587" s="114">
        <v>746</v>
      </c>
      <c r="D1587" s="147">
        <f t="shared" si="84"/>
        <v>0.49700975763297778</v>
      </c>
      <c r="E1587" s="148">
        <f t="shared" si="83"/>
        <v>7.8201147187767243E-5</v>
      </c>
      <c r="F1587" s="148">
        <f t="shared" si="85"/>
        <v>5.7944639038809351E-2</v>
      </c>
    </row>
    <row r="1588" spans="2:6" x14ac:dyDescent="0.2">
      <c r="B1588" s="206" t="s">
        <v>1610</v>
      </c>
      <c r="C1588" s="205">
        <v>746</v>
      </c>
      <c r="D1588" s="147">
        <f t="shared" si="84"/>
        <v>0.49732451998740018</v>
      </c>
      <c r="E1588" s="148">
        <f t="shared" si="83"/>
        <v>7.8201147187767243E-5</v>
      </c>
      <c r="F1588" s="148">
        <f t="shared" si="85"/>
        <v>5.802284018599712E-2</v>
      </c>
    </row>
    <row r="1589" spans="2:6" x14ac:dyDescent="0.2">
      <c r="B1589" s="115" t="s">
        <v>1033</v>
      </c>
      <c r="C1589" s="114">
        <v>747</v>
      </c>
      <c r="D1589" s="147">
        <f t="shared" si="84"/>
        <v>0.49763928234182259</v>
      </c>
      <c r="E1589" s="148">
        <f t="shared" si="83"/>
        <v>7.8305974462817868E-5</v>
      </c>
      <c r="F1589" s="148">
        <f t="shared" si="85"/>
        <v>5.8101146160459936E-2</v>
      </c>
    </row>
    <row r="1590" spans="2:6" x14ac:dyDescent="0.2">
      <c r="B1590" s="206" t="s">
        <v>668</v>
      </c>
      <c r="C1590" s="205">
        <v>747</v>
      </c>
      <c r="D1590" s="147">
        <f t="shared" si="84"/>
        <v>0.49795404469624499</v>
      </c>
      <c r="E1590" s="148">
        <f t="shared" si="83"/>
        <v>7.8305974462817868E-5</v>
      </c>
      <c r="F1590" s="148">
        <f t="shared" si="85"/>
        <v>5.8179452134922753E-2</v>
      </c>
    </row>
    <row r="1591" spans="2:6" x14ac:dyDescent="0.2">
      <c r="B1591" s="115" t="s">
        <v>958</v>
      </c>
      <c r="C1591" s="114">
        <v>748</v>
      </c>
      <c r="D1591" s="147">
        <f t="shared" si="84"/>
        <v>0.49826880705066739</v>
      </c>
      <c r="E1591" s="148">
        <f t="shared" si="83"/>
        <v>7.8410801737868494E-5</v>
      </c>
      <c r="F1591" s="148">
        <f t="shared" si="85"/>
        <v>5.8257862936660625E-2</v>
      </c>
    </row>
    <row r="1592" spans="2:6" x14ac:dyDescent="0.2">
      <c r="B1592" s="115" t="s">
        <v>200</v>
      </c>
      <c r="C1592" s="114">
        <v>748</v>
      </c>
      <c r="D1592" s="147">
        <f t="shared" si="84"/>
        <v>0.4985835694050898</v>
      </c>
      <c r="E1592" s="148">
        <f t="shared" si="83"/>
        <v>7.8410801737868494E-5</v>
      </c>
      <c r="F1592" s="148">
        <f t="shared" si="85"/>
        <v>5.8336273738398496E-2</v>
      </c>
    </row>
    <row r="1593" spans="2:6" x14ac:dyDescent="0.2">
      <c r="B1593" s="115" t="s">
        <v>2956</v>
      </c>
      <c r="C1593" s="114">
        <v>749</v>
      </c>
      <c r="D1593" s="147">
        <f t="shared" si="84"/>
        <v>0.4988983317595122</v>
      </c>
      <c r="E1593" s="148">
        <f t="shared" si="83"/>
        <v>7.851562901291912E-5</v>
      </c>
      <c r="F1593" s="148">
        <f t="shared" si="85"/>
        <v>5.8414789367411415E-2</v>
      </c>
    </row>
    <row r="1594" spans="2:6" x14ac:dyDescent="0.2">
      <c r="B1594" s="206" t="s">
        <v>1663</v>
      </c>
      <c r="C1594" s="205">
        <v>750</v>
      </c>
      <c r="D1594" s="147">
        <f t="shared" si="84"/>
        <v>0.49921309411393461</v>
      </c>
      <c r="E1594" s="148">
        <f t="shared" si="83"/>
        <v>7.8620456287969745E-5</v>
      </c>
      <c r="F1594" s="148">
        <f t="shared" si="85"/>
        <v>5.8493409823699383E-2</v>
      </c>
    </row>
    <row r="1595" spans="2:6" x14ac:dyDescent="0.2">
      <c r="B1595" s="115" t="s">
        <v>2945</v>
      </c>
      <c r="C1595" s="114">
        <v>751</v>
      </c>
      <c r="D1595" s="147">
        <f t="shared" si="84"/>
        <v>0.49952785646835701</v>
      </c>
      <c r="E1595" s="148">
        <f t="shared" si="83"/>
        <v>7.8725283563020371E-5</v>
      </c>
      <c r="F1595" s="148">
        <f t="shared" si="85"/>
        <v>5.8572135107262405E-2</v>
      </c>
    </row>
    <row r="1596" spans="2:6" x14ac:dyDescent="0.2">
      <c r="B1596" s="115" t="s">
        <v>1126</v>
      </c>
      <c r="C1596" s="114">
        <v>751</v>
      </c>
      <c r="D1596" s="147">
        <f t="shared" si="84"/>
        <v>0.49984261882277942</v>
      </c>
      <c r="E1596" s="148">
        <f t="shared" si="83"/>
        <v>7.8725283563020371E-5</v>
      </c>
      <c r="F1596" s="148">
        <f t="shared" si="85"/>
        <v>5.8650860390825427E-2</v>
      </c>
    </row>
    <row r="1597" spans="2:6" x14ac:dyDescent="0.2">
      <c r="B1597" s="206" t="s">
        <v>700</v>
      </c>
      <c r="C1597" s="205">
        <v>751</v>
      </c>
      <c r="D1597" s="147">
        <f t="shared" si="84"/>
        <v>0.50015738117720188</v>
      </c>
      <c r="E1597" s="148">
        <f t="shared" si="83"/>
        <v>7.8725283563020371E-5</v>
      </c>
      <c r="F1597" s="148">
        <f t="shared" si="85"/>
        <v>5.8729585674388449E-2</v>
      </c>
    </row>
    <row r="1598" spans="2:6" x14ac:dyDescent="0.2">
      <c r="B1598" s="115" t="s">
        <v>3142</v>
      </c>
      <c r="C1598" s="114">
        <v>752</v>
      </c>
      <c r="D1598" s="147">
        <f t="shared" si="84"/>
        <v>0.50047214353162428</v>
      </c>
      <c r="E1598" s="148">
        <f t="shared" si="83"/>
        <v>7.8830110838070997E-5</v>
      </c>
      <c r="F1598" s="148">
        <f t="shared" si="85"/>
        <v>5.8808415785226519E-2</v>
      </c>
    </row>
    <row r="1599" spans="2:6" x14ac:dyDescent="0.2">
      <c r="B1599" s="115" t="s">
        <v>1079</v>
      </c>
      <c r="C1599" s="114">
        <v>752</v>
      </c>
      <c r="D1599" s="147">
        <f t="shared" si="84"/>
        <v>0.50078690588604668</v>
      </c>
      <c r="E1599" s="148">
        <f t="shared" si="83"/>
        <v>7.8830110838070997E-5</v>
      </c>
      <c r="F1599" s="148">
        <f t="shared" si="85"/>
        <v>5.8887245896064588E-2</v>
      </c>
    </row>
    <row r="1600" spans="2:6" x14ac:dyDescent="0.2">
      <c r="B1600" s="115" t="s">
        <v>587</v>
      </c>
      <c r="C1600" s="114">
        <v>752</v>
      </c>
      <c r="D1600" s="147">
        <f t="shared" si="84"/>
        <v>0.50110166824046909</v>
      </c>
      <c r="E1600" s="148">
        <f t="shared" si="83"/>
        <v>7.8830110838070997E-5</v>
      </c>
      <c r="F1600" s="148">
        <f t="shared" si="85"/>
        <v>5.8966076006902658E-2</v>
      </c>
    </row>
    <row r="1601" spans="2:6" x14ac:dyDescent="0.2">
      <c r="B1601" s="206" t="s">
        <v>525</v>
      </c>
      <c r="C1601" s="205">
        <v>753</v>
      </c>
      <c r="D1601" s="147">
        <f t="shared" si="84"/>
        <v>0.50141643059489149</v>
      </c>
      <c r="E1601" s="148">
        <f t="shared" si="83"/>
        <v>7.8934938113121622E-5</v>
      </c>
      <c r="F1601" s="148">
        <f t="shared" si="85"/>
        <v>5.9045010945015783E-2</v>
      </c>
    </row>
    <row r="1602" spans="2:6" x14ac:dyDescent="0.2">
      <c r="B1602" s="206" t="s">
        <v>2839</v>
      </c>
      <c r="C1602" s="205">
        <v>754</v>
      </c>
      <c r="D1602" s="147">
        <f t="shared" si="84"/>
        <v>0.5017311929493139</v>
      </c>
      <c r="E1602" s="148">
        <f t="shared" si="83"/>
        <v>7.9039765388172261E-5</v>
      </c>
      <c r="F1602" s="148">
        <f t="shared" si="85"/>
        <v>5.9124050710403955E-2</v>
      </c>
    </row>
    <row r="1603" spans="2:6" x14ac:dyDescent="0.2">
      <c r="B1603" s="115" t="s">
        <v>2731</v>
      </c>
      <c r="C1603" s="114">
        <v>761</v>
      </c>
      <c r="D1603" s="147">
        <f t="shared" si="84"/>
        <v>0.5020459553037363</v>
      </c>
      <c r="E1603" s="148">
        <f t="shared" si="83"/>
        <v>7.9773556313526641E-5</v>
      </c>
      <c r="F1603" s="148">
        <f t="shared" si="85"/>
        <v>5.9203824266717484E-2</v>
      </c>
    </row>
    <row r="1604" spans="2:6" x14ac:dyDescent="0.2">
      <c r="B1604" s="115" t="s">
        <v>2883</v>
      </c>
      <c r="C1604" s="114">
        <v>763</v>
      </c>
      <c r="D1604" s="147">
        <f t="shared" si="84"/>
        <v>0.50236071765815871</v>
      </c>
      <c r="E1604" s="148">
        <f t="shared" si="83"/>
        <v>7.9983210863627892E-5</v>
      </c>
      <c r="F1604" s="148">
        <f t="shared" si="85"/>
        <v>5.9283807477581114E-2</v>
      </c>
    </row>
    <row r="1605" spans="2:6" x14ac:dyDescent="0.2">
      <c r="B1605" s="206" t="s">
        <v>2196</v>
      </c>
      <c r="C1605" s="205">
        <v>763</v>
      </c>
      <c r="D1605" s="147">
        <f t="shared" si="84"/>
        <v>0.50267548001258111</v>
      </c>
      <c r="E1605" s="148">
        <f t="shared" si="83"/>
        <v>7.9983210863627892E-5</v>
      </c>
      <c r="F1605" s="148">
        <f t="shared" si="85"/>
        <v>5.9363790688444745E-2</v>
      </c>
    </row>
    <row r="1606" spans="2:6" x14ac:dyDescent="0.2">
      <c r="B1606" s="206" t="s">
        <v>100</v>
      </c>
      <c r="C1606" s="205">
        <v>763</v>
      </c>
      <c r="D1606" s="147">
        <f t="shared" si="84"/>
        <v>0.50299024236700351</v>
      </c>
      <c r="E1606" s="148">
        <f t="shared" si="83"/>
        <v>7.9983210863627892E-5</v>
      </c>
      <c r="F1606" s="148">
        <f t="shared" si="85"/>
        <v>5.9443773899308376E-2</v>
      </c>
    </row>
    <row r="1607" spans="2:6" x14ac:dyDescent="0.2">
      <c r="B1607" s="115" t="s">
        <v>2933</v>
      </c>
      <c r="C1607" s="114">
        <v>765</v>
      </c>
      <c r="D1607" s="147">
        <f t="shared" si="84"/>
        <v>0.50330500472142592</v>
      </c>
      <c r="E1607" s="148">
        <f t="shared" si="83"/>
        <v>8.0192865413729144E-5</v>
      </c>
      <c r="F1607" s="148">
        <f t="shared" si="85"/>
        <v>5.9523966764722103E-2</v>
      </c>
    </row>
    <row r="1608" spans="2:6" x14ac:dyDescent="0.2">
      <c r="B1608" s="206" t="s">
        <v>2807</v>
      </c>
      <c r="C1608" s="205">
        <v>765</v>
      </c>
      <c r="D1608" s="147">
        <f t="shared" si="84"/>
        <v>0.50361976707584832</v>
      </c>
      <c r="E1608" s="148">
        <f t="shared" si="83"/>
        <v>8.0192865413729144E-5</v>
      </c>
      <c r="F1608" s="148">
        <f t="shared" si="85"/>
        <v>5.9604159630135829E-2</v>
      </c>
    </row>
    <row r="1609" spans="2:6" x14ac:dyDescent="0.2">
      <c r="B1609" s="206" t="s">
        <v>2952</v>
      </c>
      <c r="C1609" s="205">
        <v>766</v>
      </c>
      <c r="D1609" s="147">
        <f t="shared" si="84"/>
        <v>0.50393452943027073</v>
      </c>
      <c r="E1609" s="148">
        <f t="shared" ref="E1609:E1672" si="86">C1609/$O$18</f>
        <v>8.0297692688779769E-5</v>
      </c>
      <c r="F1609" s="148">
        <f t="shared" si="85"/>
        <v>5.9684457322824611E-2</v>
      </c>
    </row>
    <row r="1610" spans="2:6" x14ac:dyDescent="0.2">
      <c r="B1610" s="115" t="s">
        <v>2164</v>
      </c>
      <c r="C1610" s="114">
        <v>767</v>
      </c>
      <c r="D1610" s="147">
        <f t="shared" ref="D1610:D1673" si="87">D1609+1/$L$18</f>
        <v>0.50424929178469313</v>
      </c>
      <c r="E1610" s="148">
        <f t="shared" si="86"/>
        <v>8.0402519963830395E-5</v>
      </c>
      <c r="F1610" s="148">
        <f t="shared" ref="F1610:F1673" si="88">F1609+E1610</f>
        <v>5.976485984278844E-2</v>
      </c>
    </row>
    <row r="1611" spans="2:6" x14ac:dyDescent="0.2">
      <c r="B1611" s="115" t="s">
        <v>2579</v>
      </c>
      <c r="C1611" s="114">
        <v>769</v>
      </c>
      <c r="D1611" s="147">
        <f t="shared" si="87"/>
        <v>0.50456405413911554</v>
      </c>
      <c r="E1611" s="148">
        <f t="shared" si="86"/>
        <v>8.0612174513931646E-5</v>
      </c>
      <c r="F1611" s="148">
        <f t="shared" si="88"/>
        <v>5.9845472017302372E-2</v>
      </c>
    </row>
    <row r="1612" spans="2:6" x14ac:dyDescent="0.2">
      <c r="B1612" s="206" t="s">
        <v>1701</v>
      </c>
      <c r="C1612" s="205">
        <v>769</v>
      </c>
      <c r="D1612" s="147">
        <f t="shared" si="87"/>
        <v>0.50487881649353794</v>
      </c>
      <c r="E1612" s="148">
        <f t="shared" si="86"/>
        <v>8.0612174513931646E-5</v>
      </c>
      <c r="F1612" s="148">
        <f t="shared" si="88"/>
        <v>5.9926084191816303E-2</v>
      </c>
    </row>
    <row r="1613" spans="2:6" x14ac:dyDescent="0.2">
      <c r="B1613" s="206" t="s">
        <v>3052</v>
      </c>
      <c r="C1613" s="205">
        <v>770</v>
      </c>
      <c r="D1613" s="147">
        <f t="shared" si="87"/>
        <v>0.50519357884796035</v>
      </c>
      <c r="E1613" s="148">
        <f t="shared" si="86"/>
        <v>8.0717001788982272E-5</v>
      </c>
      <c r="F1613" s="148">
        <f t="shared" si="88"/>
        <v>6.0006801193605283E-2</v>
      </c>
    </row>
    <row r="1614" spans="2:6" x14ac:dyDescent="0.2">
      <c r="B1614" s="115" t="s">
        <v>3013</v>
      </c>
      <c r="C1614" s="114">
        <v>771</v>
      </c>
      <c r="D1614" s="147">
        <f t="shared" si="87"/>
        <v>0.50550834120238275</v>
      </c>
      <c r="E1614" s="148">
        <f t="shared" si="86"/>
        <v>8.0821829064032898E-5</v>
      </c>
      <c r="F1614" s="148">
        <f t="shared" si="88"/>
        <v>6.0087623022669318E-2</v>
      </c>
    </row>
    <row r="1615" spans="2:6" x14ac:dyDescent="0.2">
      <c r="B1615" s="206" t="s">
        <v>2615</v>
      </c>
      <c r="C1615" s="205">
        <v>772</v>
      </c>
      <c r="D1615" s="147">
        <f t="shared" si="87"/>
        <v>0.50582310355680515</v>
      </c>
      <c r="E1615" s="148">
        <f t="shared" si="86"/>
        <v>8.0926656339083523E-5</v>
      </c>
      <c r="F1615" s="148">
        <f t="shared" si="88"/>
        <v>6.01685496790084E-2</v>
      </c>
    </row>
    <row r="1616" spans="2:6" x14ac:dyDescent="0.2">
      <c r="B1616" s="115" t="s">
        <v>2227</v>
      </c>
      <c r="C1616" s="114">
        <v>772</v>
      </c>
      <c r="D1616" s="147">
        <f t="shared" si="87"/>
        <v>0.50613786591122756</v>
      </c>
      <c r="E1616" s="148">
        <f t="shared" si="86"/>
        <v>8.0926656339083523E-5</v>
      </c>
      <c r="F1616" s="148">
        <f t="shared" si="88"/>
        <v>6.0249476335347482E-2</v>
      </c>
    </row>
    <row r="1617" spans="2:6" x14ac:dyDescent="0.2">
      <c r="B1617" s="115" t="s">
        <v>2902</v>
      </c>
      <c r="C1617" s="114">
        <v>773</v>
      </c>
      <c r="D1617" s="147">
        <f t="shared" si="87"/>
        <v>0.50645262826564996</v>
      </c>
      <c r="E1617" s="148">
        <f t="shared" si="86"/>
        <v>8.1031483614134149E-5</v>
      </c>
      <c r="F1617" s="148">
        <f t="shared" si="88"/>
        <v>6.0330507818961619E-2</v>
      </c>
    </row>
    <row r="1618" spans="2:6" x14ac:dyDescent="0.2">
      <c r="B1618" s="206" t="s">
        <v>1892</v>
      </c>
      <c r="C1618" s="205">
        <v>773</v>
      </c>
      <c r="D1618" s="147">
        <f t="shared" si="87"/>
        <v>0.50676739062007237</v>
      </c>
      <c r="E1618" s="148">
        <f t="shared" si="86"/>
        <v>8.1031483614134149E-5</v>
      </c>
      <c r="F1618" s="148">
        <f t="shared" si="88"/>
        <v>6.0411539302575756E-2</v>
      </c>
    </row>
    <row r="1619" spans="2:6" x14ac:dyDescent="0.2">
      <c r="B1619" s="206" t="s">
        <v>1144</v>
      </c>
      <c r="C1619" s="205">
        <v>773</v>
      </c>
      <c r="D1619" s="147">
        <f t="shared" si="87"/>
        <v>0.50708215297449477</v>
      </c>
      <c r="E1619" s="148">
        <f t="shared" si="86"/>
        <v>8.1031483614134149E-5</v>
      </c>
      <c r="F1619" s="148">
        <f t="shared" si="88"/>
        <v>6.0492570786189893E-2</v>
      </c>
    </row>
    <row r="1620" spans="2:6" x14ac:dyDescent="0.2">
      <c r="B1620" s="115" t="s">
        <v>1646</v>
      </c>
      <c r="C1620" s="114">
        <v>774</v>
      </c>
      <c r="D1620" s="147">
        <f t="shared" si="87"/>
        <v>0.50739691532891718</v>
      </c>
      <c r="E1620" s="148">
        <f t="shared" si="86"/>
        <v>8.1136310889184788E-5</v>
      </c>
      <c r="F1620" s="148">
        <f t="shared" si="88"/>
        <v>6.0573707097079078E-2</v>
      </c>
    </row>
    <row r="1621" spans="2:6" x14ac:dyDescent="0.2">
      <c r="B1621" s="115" t="s">
        <v>719</v>
      </c>
      <c r="C1621" s="114">
        <v>774</v>
      </c>
      <c r="D1621" s="147">
        <f t="shared" si="87"/>
        <v>0.50771167768333958</v>
      </c>
      <c r="E1621" s="148">
        <f t="shared" si="86"/>
        <v>8.1136310889184788E-5</v>
      </c>
      <c r="F1621" s="148">
        <f t="shared" si="88"/>
        <v>6.0654843407968263E-2</v>
      </c>
    </row>
    <row r="1622" spans="2:6" x14ac:dyDescent="0.2">
      <c r="B1622" s="206" t="s">
        <v>218</v>
      </c>
      <c r="C1622" s="205">
        <v>774</v>
      </c>
      <c r="D1622" s="147">
        <f t="shared" si="87"/>
        <v>0.50802644003776198</v>
      </c>
      <c r="E1622" s="148">
        <f t="shared" si="86"/>
        <v>8.1136310889184788E-5</v>
      </c>
      <c r="F1622" s="148">
        <f t="shared" si="88"/>
        <v>6.0735979718857448E-2</v>
      </c>
    </row>
    <row r="1623" spans="2:6" x14ac:dyDescent="0.2">
      <c r="B1623" s="206" t="s">
        <v>2672</v>
      </c>
      <c r="C1623" s="205">
        <v>781</v>
      </c>
      <c r="D1623" s="147">
        <f t="shared" si="87"/>
        <v>0.50834120239218439</v>
      </c>
      <c r="E1623" s="148">
        <f t="shared" si="86"/>
        <v>8.1870101814539168E-5</v>
      </c>
      <c r="F1623" s="148">
        <f t="shared" si="88"/>
        <v>6.0817849820671989E-2</v>
      </c>
    </row>
    <row r="1624" spans="2:6" x14ac:dyDescent="0.2">
      <c r="B1624" s="115" t="s">
        <v>2237</v>
      </c>
      <c r="C1624" s="114">
        <v>783</v>
      </c>
      <c r="D1624" s="147">
        <f t="shared" si="87"/>
        <v>0.50865596474660679</v>
      </c>
      <c r="E1624" s="148">
        <f t="shared" si="86"/>
        <v>8.2079756364640419E-5</v>
      </c>
      <c r="F1624" s="148">
        <f t="shared" si="88"/>
        <v>6.0899929577036632E-2</v>
      </c>
    </row>
    <row r="1625" spans="2:6" x14ac:dyDescent="0.2">
      <c r="B1625" s="115" t="s">
        <v>693</v>
      </c>
      <c r="C1625" s="114">
        <v>784</v>
      </c>
      <c r="D1625" s="147">
        <f t="shared" si="87"/>
        <v>0.5089707271010292</v>
      </c>
      <c r="E1625" s="148">
        <f t="shared" si="86"/>
        <v>8.2184583639691045E-5</v>
      </c>
      <c r="F1625" s="148">
        <f t="shared" si="88"/>
        <v>6.0982114160676323E-2</v>
      </c>
    </row>
    <row r="1626" spans="2:6" x14ac:dyDescent="0.2">
      <c r="B1626" s="115" t="s">
        <v>1016</v>
      </c>
      <c r="C1626" s="114">
        <v>786</v>
      </c>
      <c r="D1626" s="147">
        <f t="shared" si="87"/>
        <v>0.5092854894554516</v>
      </c>
      <c r="E1626" s="148">
        <f t="shared" si="86"/>
        <v>8.2394238189792296E-5</v>
      </c>
      <c r="F1626" s="148">
        <f t="shared" si="88"/>
        <v>6.1064508398866117E-2</v>
      </c>
    </row>
    <row r="1627" spans="2:6" x14ac:dyDescent="0.2">
      <c r="B1627" s="206" t="s">
        <v>984</v>
      </c>
      <c r="C1627" s="205">
        <v>786</v>
      </c>
      <c r="D1627" s="147">
        <f t="shared" si="87"/>
        <v>0.50960025180987401</v>
      </c>
      <c r="E1627" s="148">
        <f t="shared" si="86"/>
        <v>8.2394238189792296E-5</v>
      </c>
      <c r="F1627" s="148">
        <f t="shared" si="88"/>
        <v>6.1146902637055911E-2</v>
      </c>
    </row>
    <row r="1628" spans="2:6" x14ac:dyDescent="0.2">
      <c r="B1628" s="115" t="s">
        <v>472</v>
      </c>
      <c r="C1628" s="114">
        <v>787</v>
      </c>
      <c r="D1628" s="147">
        <f t="shared" si="87"/>
        <v>0.50991501416429641</v>
      </c>
      <c r="E1628" s="148">
        <f t="shared" si="86"/>
        <v>8.2499065464842922E-5</v>
      </c>
      <c r="F1628" s="148">
        <f t="shared" si="88"/>
        <v>6.1229401702520753E-2</v>
      </c>
    </row>
    <row r="1629" spans="2:6" x14ac:dyDescent="0.2">
      <c r="B1629" s="206" t="s">
        <v>2260</v>
      </c>
      <c r="C1629" s="205">
        <v>788</v>
      </c>
      <c r="D1629" s="147">
        <f t="shared" si="87"/>
        <v>0.51022977651871881</v>
      </c>
      <c r="E1629" s="148">
        <f t="shared" si="86"/>
        <v>8.2603892739893547E-5</v>
      </c>
      <c r="F1629" s="148">
        <f t="shared" si="88"/>
        <v>6.1312005595260649E-2</v>
      </c>
    </row>
    <row r="1630" spans="2:6" x14ac:dyDescent="0.2">
      <c r="B1630" s="115" t="s">
        <v>1572</v>
      </c>
      <c r="C1630" s="114">
        <v>788</v>
      </c>
      <c r="D1630" s="147">
        <f t="shared" si="87"/>
        <v>0.51054453887314122</v>
      </c>
      <c r="E1630" s="148">
        <f t="shared" si="86"/>
        <v>8.2603892739893547E-5</v>
      </c>
      <c r="F1630" s="148">
        <f t="shared" si="88"/>
        <v>6.1394609488000546E-2</v>
      </c>
    </row>
    <row r="1631" spans="2:6" x14ac:dyDescent="0.2">
      <c r="B1631" s="115" t="s">
        <v>2705</v>
      </c>
      <c r="C1631" s="114">
        <v>789</v>
      </c>
      <c r="D1631" s="147">
        <f t="shared" si="87"/>
        <v>0.51085930122756362</v>
      </c>
      <c r="E1631" s="148">
        <f t="shared" si="86"/>
        <v>8.2708720014944173E-5</v>
      </c>
      <c r="F1631" s="148">
        <f t="shared" si="88"/>
        <v>6.147731820801549E-2</v>
      </c>
    </row>
    <row r="1632" spans="2:6" x14ac:dyDescent="0.2">
      <c r="B1632" s="206" t="s">
        <v>2881</v>
      </c>
      <c r="C1632" s="205">
        <v>791</v>
      </c>
      <c r="D1632" s="147">
        <f t="shared" si="87"/>
        <v>0.51117406358198603</v>
      </c>
      <c r="E1632" s="148">
        <f t="shared" si="86"/>
        <v>8.2918374565045424E-5</v>
      </c>
      <c r="F1632" s="148">
        <f t="shared" si="88"/>
        <v>6.1560236582580537E-2</v>
      </c>
    </row>
    <row r="1633" spans="2:6" x14ac:dyDescent="0.2">
      <c r="B1633" s="206" t="s">
        <v>1061</v>
      </c>
      <c r="C1633" s="205">
        <v>791</v>
      </c>
      <c r="D1633" s="147">
        <f t="shared" si="87"/>
        <v>0.51148882593640843</v>
      </c>
      <c r="E1633" s="148">
        <f t="shared" si="86"/>
        <v>8.2918374565045424E-5</v>
      </c>
      <c r="F1633" s="148">
        <f t="shared" si="88"/>
        <v>6.1643154957145584E-2</v>
      </c>
    </row>
    <row r="1634" spans="2:6" x14ac:dyDescent="0.2">
      <c r="B1634" s="115" t="s">
        <v>3007</v>
      </c>
      <c r="C1634" s="114">
        <v>793</v>
      </c>
      <c r="D1634" s="147">
        <f t="shared" si="87"/>
        <v>0.51180358829083084</v>
      </c>
      <c r="E1634" s="148">
        <f t="shared" si="86"/>
        <v>8.3128029115146676E-5</v>
      </c>
      <c r="F1634" s="148">
        <f t="shared" si="88"/>
        <v>6.1726282986260733E-2</v>
      </c>
    </row>
    <row r="1635" spans="2:6" x14ac:dyDescent="0.2">
      <c r="B1635" s="115" t="s">
        <v>3006</v>
      </c>
      <c r="C1635" s="114">
        <v>793</v>
      </c>
      <c r="D1635" s="147">
        <f t="shared" si="87"/>
        <v>0.51211835064525324</v>
      </c>
      <c r="E1635" s="148">
        <f t="shared" si="86"/>
        <v>8.3128029115146676E-5</v>
      </c>
      <c r="F1635" s="148">
        <f t="shared" si="88"/>
        <v>6.1809411015375883E-2</v>
      </c>
    </row>
    <row r="1636" spans="2:6" x14ac:dyDescent="0.2">
      <c r="B1636" s="115" t="s">
        <v>2884</v>
      </c>
      <c r="C1636" s="114">
        <v>795</v>
      </c>
      <c r="D1636" s="147">
        <f t="shared" si="87"/>
        <v>0.51243311299967564</v>
      </c>
      <c r="E1636" s="148">
        <f t="shared" si="86"/>
        <v>8.333768366524794E-5</v>
      </c>
      <c r="F1636" s="148">
        <f t="shared" si="88"/>
        <v>6.1892748699041128E-2</v>
      </c>
    </row>
    <row r="1637" spans="2:6" x14ac:dyDescent="0.2">
      <c r="B1637" s="206" t="s">
        <v>2882</v>
      </c>
      <c r="C1637" s="205">
        <v>795</v>
      </c>
      <c r="D1637" s="147">
        <f t="shared" si="87"/>
        <v>0.51274787535409805</v>
      </c>
      <c r="E1637" s="148">
        <f t="shared" si="86"/>
        <v>8.333768366524794E-5</v>
      </c>
      <c r="F1637" s="148">
        <f t="shared" si="88"/>
        <v>6.1976086382706373E-2</v>
      </c>
    </row>
    <row r="1638" spans="2:6" x14ac:dyDescent="0.2">
      <c r="B1638" s="115" t="s">
        <v>1677</v>
      </c>
      <c r="C1638" s="114">
        <v>796</v>
      </c>
      <c r="D1638" s="147">
        <f t="shared" si="87"/>
        <v>0.51306263770852045</v>
      </c>
      <c r="E1638" s="148">
        <f t="shared" si="86"/>
        <v>8.3442510940298566E-5</v>
      </c>
      <c r="F1638" s="148">
        <f t="shared" si="88"/>
        <v>6.2059528893646673E-2</v>
      </c>
    </row>
    <row r="1639" spans="2:6" x14ac:dyDescent="0.2">
      <c r="B1639" s="206" t="s">
        <v>1098</v>
      </c>
      <c r="C1639" s="205">
        <v>796</v>
      </c>
      <c r="D1639" s="147">
        <f t="shared" si="87"/>
        <v>0.51337740006294286</v>
      </c>
      <c r="E1639" s="148">
        <f t="shared" si="86"/>
        <v>8.3442510940298566E-5</v>
      </c>
      <c r="F1639" s="148">
        <f t="shared" si="88"/>
        <v>6.2142971404586973E-2</v>
      </c>
    </row>
    <row r="1640" spans="2:6" x14ac:dyDescent="0.2">
      <c r="B1640" s="115" t="s">
        <v>806</v>
      </c>
      <c r="C1640" s="114">
        <v>796</v>
      </c>
      <c r="D1640" s="147">
        <f t="shared" si="87"/>
        <v>0.51369216241736526</v>
      </c>
      <c r="E1640" s="148">
        <f t="shared" si="86"/>
        <v>8.3442510940298566E-5</v>
      </c>
      <c r="F1640" s="148">
        <f t="shared" si="88"/>
        <v>6.2226413915527273E-2</v>
      </c>
    </row>
    <row r="1641" spans="2:6" x14ac:dyDescent="0.2">
      <c r="B1641" s="115" t="s">
        <v>409</v>
      </c>
      <c r="C1641" s="114">
        <v>796</v>
      </c>
      <c r="D1641" s="147">
        <f t="shared" si="87"/>
        <v>0.51400692477178767</v>
      </c>
      <c r="E1641" s="148">
        <f t="shared" si="86"/>
        <v>8.3442510940298566E-5</v>
      </c>
      <c r="F1641" s="148">
        <f t="shared" si="88"/>
        <v>6.2309856426467573E-2</v>
      </c>
    </row>
    <row r="1642" spans="2:6" x14ac:dyDescent="0.2">
      <c r="B1642" s="115" t="s">
        <v>942</v>
      </c>
      <c r="C1642" s="114">
        <v>797</v>
      </c>
      <c r="D1642" s="147">
        <f t="shared" si="87"/>
        <v>0.51432168712621007</v>
      </c>
      <c r="E1642" s="148">
        <f t="shared" si="86"/>
        <v>8.3547338215349192E-5</v>
      </c>
      <c r="F1642" s="148">
        <f t="shared" si="88"/>
        <v>6.2393403764682921E-2</v>
      </c>
    </row>
    <row r="1643" spans="2:6" x14ac:dyDescent="0.2">
      <c r="B1643" s="206" t="s">
        <v>2309</v>
      </c>
      <c r="C1643" s="205">
        <v>799</v>
      </c>
      <c r="D1643" s="147">
        <f t="shared" si="87"/>
        <v>0.51463644948063247</v>
      </c>
      <c r="E1643" s="148">
        <f t="shared" si="86"/>
        <v>8.3756992765450443E-5</v>
      </c>
      <c r="F1643" s="148">
        <f t="shared" si="88"/>
        <v>6.2477160757448372E-2</v>
      </c>
    </row>
    <row r="1644" spans="2:6" x14ac:dyDescent="0.2">
      <c r="B1644" s="206" t="s">
        <v>2103</v>
      </c>
      <c r="C1644" s="205">
        <v>799</v>
      </c>
      <c r="D1644" s="147">
        <f t="shared" si="87"/>
        <v>0.51495121183505488</v>
      </c>
      <c r="E1644" s="148">
        <f t="shared" si="86"/>
        <v>8.3756992765450443E-5</v>
      </c>
      <c r="F1644" s="148">
        <f t="shared" si="88"/>
        <v>6.2560917750213815E-2</v>
      </c>
    </row>
    <row r="1645" spans="2:6" x14ac:dyDescent="0.2">
      <c r="B1645" s="206" t="s">
        <v>2535</v>
      </c>
      <c r="C1645" s="205">
        <v>800</v>
      </c>
      <c r="D1645" s="147">
        <f t="shared" si="87"/>
        <v>0.51526597418947728</v>
      </c>
      <c r="E1645" s="148">
        <f t="shared" si="86"/>
        <v>8.3861820040501069E-5</v>
      </c>
      <c r="F1645" s="148">
        <f t="shared" si="88"/>
        <v>6.2644779570254314E-2</v>
      </c>
    </row>
    <row r="1646" spans="2:6" x14ac:dyDescent="0.2">
      <c r="B1646" s="206" t="s">
        <v>1278</v>
      </c>
      <c r="C1646" s="205">
        <v>800</v>
      </c>
      <c r="D1646" s="147">
        <f t="shared" si="87"/>
        <v>0.51558073654389969</v>
      </c>
      <c r="E1646" s="148">
        <f t="shared" si="86"/>
        <v>8.3861820040501069E-5</v>
      </c>
      <c r="F1646" s="148">
        <f t="shared" si="88"/>
        <v>6.2728641390294812E-2</v>
      </c>
    </row>
    <row r="1647" spans="2:6" x14ac:dyDescent="0.2">
      <c r="B1647" s="206" t="s">
        <v>368</v>
      </c>
      <c r="C1647" s="205">
        <v>801</v>
      </c>
      <c r="D1647" s="147">
        <f t="shared" si="87"/>
        <v>0.51589549889832209</v>
      </c>
      <c r="E1647" s="148">
        <f t="shared" si="86"/>
        <v>8.3966647315551694E-5</v>
      </c>
      <c r="F1647" s="148">
        <f t="shared" si="88"/>
        <v>6.2812608037610365E-2</v>
      </c>
    </row>
    <row r="1648" spans="2:6" x14ac:dyDescent="0.2">
      <c r="B1648" s="206" t="s">
        <v>2838</v>
      </c>
      <c r="C1648" s="205">
        <v>802</v>
      </c>
      <c r="D1648" s="147">
        <f t="shared" si="87"/>
        <v>0.5162102612527445</v>
      </c>
      <c r="E1648" s="148">
        <f t="shared" si="86"/>
        <v>8.407147459060232E-5</v>
      </c>
      <c r="F1648" s="148">
        <f t="shared" si="88"/>
        <v>6.2896679512200973E-2</v>
      </c>
    </row>
    <row r="1649" spans="2:6" x14ac:dyDescent="0.2">
      <c r="B1649" s="206" t="s">
        <v>1401</v>
      </c>
      <c r="C1649" s="205">
        <v>803</v>
      </c>
      <c r="D1649" s="147">
        <f t="shared" si="87"/>
        <v>0.5165250236071669</v>
      </c>
      <c r="E1649" s="148">
        <f t="shared" si="86"/>
        <v>8.4176301865652946E-5</v>
      </c>
      <c r="F1649" s="148">
        <f t="shared" si="88"/>
        <v>6.2980855814066622E-2</v>
      </c>
    </row>
    <row r="1650" spans="2:6" x14ac:dyDescent="0.2">
      <c r="B1650" s="115" t="s">
        <v>679</v>
      </c>
      <c r="C1650" s="114">
        <v>803</v>
      </c>
      <c r="D1650" s="147">
        <f t="shared" si="87"/>
        <v>0.5168397859615893</v>
      </c>
      <c r="E1650" s="148">
        <f t="shared" si="86"/>
        <v>8.4176301865652946E-5</v>
      </c>
      <c r="F1650" s="148">
        <f t="shared" si="88"/>
        <v>6.3065032115932271E-2</v>
      </c>
    </row>
    <row r="1651" spans="2:6" x14ac:dyDescent="0.2">
      <c r="B1651" s="206" t="s">
        <v>1496</v>
      </c>
      <c r="C1651" s="205">
        <v>805</v>
      </c>
      <c r="D1651" s="147">
        <f t="shared" si="87"/>
        <v>0.51715454831601171</v>
      </c>
      <c r="E1651" s="148">
        <f t="shared" si="86"/>
        <v>8.4385956415754197E-5</v>
      </c>
      <c r="F1651" s="148">
        <f t="shared" si="88"/>
        <v>6.3149418072348029E-2</v>
      </c>
    </row>
    <row r="1652" spans="2:6" x14ac:dyDescent="0.2">
      <c r="B1652" s="115" t="s">
        <v>1466</v>
      </c>
      <c r="C1652" s="114">
        <v>807</v>
      </c>
      <c r="D1652" s="147">
        <f t="shared" si="87"/>
        <v>0.51746931067043411</v>
      </c>
      <c r="E1652" s="148">
        <f t="shared" si="86"/>
        <v>8.4595610965855448E-5</v>
      </c>
      <c r="F1652" s="148">
        <f t="shared" si="88"/>
        <v>6.3234013683313883E-2</v>
      </c>
    </row>
    <row r="1653" spans="2:6" x14ac:dyDescent="0.2">
      <c r="B1653" s="206" t="s">
        <v>1183</v>
      </c>
      <c r="C1653" s="205">
        <v>807</v>
      </c>
      <c r="D1653" s="147">
        <f t="shared" si="87"/>
        <v>0.51778407302485652</v>
      </c>
      <c r="E1653" s="148">
        <f t="shared" si="86"/>
        <v>8.4595610965855448E-5</v>
      </c>
      <c r="F1653" s="148">
        <f t="shared" si="88"/>
        <v>6.3318609294279737E-2</v>
      </c>
    </row>
    <row r="1654" spans="2:6" x14ac:dyDescent="0.2">
      <c r="B1654" s="115" t="s">
        <v>311</v>
      </c>
      <c r="C1654" s="114">
        <v>807</v>
      </c>
      <c r="D1654" s="147">
        <f t="shared" si="87"/>
        <v>0.51809883537927892</v>
      </c>
      <c r="E1654" s="148">
        <f t="shared" si="86"/>
        <v>8.4595610965855448E-5</v>
      </c>
      <c r="F1654" s="148">
        <f t="shared" si="88"/>
        <v>6.3403204905245591E-2</v>
      </c>
    </row>
    <row r="1655" spans="2:6" x14ac:dyDescent="0.2">
      <c r="B1655" s="206" t="s">
        <v>482</v>
      </c>
      <c r="C1655" s="205">
        <v>808</v>
      </c>
      <c r="D1655" s="147">
        <f t="shared" si="87"/>
        <v>0.51841359773370133</v>
      </c>
      <c r="E1655" s="148">
        <f t="shared" si="86"/>
        <v>8.4700438240906074E-5</v>
      </c>
      <c r="F1655" s="148">
        <f t="shared" si="88"/>
        <v>6.34879053434865E-2</v>
      </c>
    </row>
    <row r="1656" spans="2:6" x14ac:dyDescent="0.2">
      <c r="B1656" s="115" t="s">
        <v>58</v>
      </c>
      <c r="C1656" s="114">
        <v>808</v>
      </c>
      <c r="D1656" s="147">
        <f t="shared" si="87"/>
        <v>0.51872836008812373</v>
      </c>
      <c r="E1656" s="148">
        <f t="shared" si="86"/>
        <v>8.4700438240906074E-5</v>
      </c>
      <c r="F1656" s="148">
        <f t="shared" si="88"/>
        <v>6.3572605781727409E-2</v>
      </c>
    </row>
    <row r="1657" spans="2:6" x14ac:dyDescent="0.2">
      <c r="B1657" s="115" t="s">
        <v>1853</v>
      </c>
      <c r="C1657" s="114">
        <v>809</v>
      </c>
      <c r="D1657" s="147">
        <f t="shared" si="87"/>
        <v>0.51904312244254613</v>
      </c>
      <c r="E1657" s="148">
        <f t="shared" si="86"/>
        <v>8.48052655159567E-5</v>
      </c>
      <c r="F1657" s="148">
        <f t="shared" si="88"/>
        <v>6.3657411047243359E-2</v>
      </c>
    </row>
    <row r="1658" spans="2:6" x14ac:dyDescent="0.2">
      <c r="B1658" s="115" t="s">
        <v>1193</v>
      </c>
      <c r="C1658" s="114">
        <v>809</v>
      </c>
      <c r="D1658" s="147">
        <f t="shared" si="87"/>
        <v>0.51935788479696854</v>
      </c>
      <c r="E1658" s="148">
        <f t="shared" si="86"/>
        <v>8.48052655159567E-5</v>
      </c>
      <c r="F1658" s="148">
        <f t="shared" si="88"/>
        <v>6.3742216312759309E-2</v>
      </c>
    </row>
    <row r="1659" spans="2:6" x14ac:dyDescent="0.2">
      <c r="B1659" s="206" t="s">
        <v>1383</v>
      </c>
      <c r="C1659" s="205">
        <v>810</v>
      </c>
      <c r="D1659" s="147">
        <f t="shared" si="87"/>
        <v>0.51967264715139094</v>
      </c>
      <c r="E1659" s="148">
        <f t="shared" si="86"/>
        <v>8.4910092791007325E-5</v>
      </c>
      <c r="F1659" s="148">
        <f t="shared" si="88"/>
        <v>6.3827126405550313E-2</v>
      </c>
    </row>
    <row r="1660" spans="2:6" x14ac:dyDescent="0.2">
      <c r="B1660" s="115" t="s">
        <v>351</v>
      </c>
      <c r="C1660" s="114">
        <v>810</v>
      </c>
      <c r="D1660" s="147">
        <f t="shared" si="87"/>
        <v>0.51998740950581335</v>
      </c>
      <c r="E1660" s="148">
        <f t="shared" si="86"/>
        <v>8.4910092791007325E-5</v>
      </c>
      <c r="F1660" s="148">
        <f t="shared" si="88"/>
        <v>6.3912036498341318E-2</v>
      </c>
    </row>
    <row r="1661" spans="2:6" x14ac:dyDescent="0.2">
      <c r="B1661" s="115" t="s">
        <v>1906</v>
      </c>
      <c r="C1661" s="114">
        <v>811</v>
      </c>
      <c r="D1661" s="147">
        <f t="shared" si="87"/>
        <v>0.52030217186023575</v>
      </c>
      <c r="E1661" s="148">
        <f t="shared" si="86"/>
        <v>8.5014920066057951E-5</v>
      </c>
      <c r="F1661" s="148">
        <f t="shared" si="88"/>
        <v>6.3997051418407377E-2</v>
      </c>
    </row>
    <row r="1662" spans="2:6" x14ac:dyDescent="0.2">
      <c r="B1662" s="115" t="s">
        <v>13</v>
      </c>
      <c r="C1662" s="114">
        <v>813</v>
      </c>
      <c r="D1662" s="147">
        <f t="shared" si="87"/>
        <v>0.52061693421465816</v>
      </c>
      <c r="E1662" s="148">
        <f t="shared" si="86"/>
        <v>8.5224574616159202E-5</v>
      </c>
      <c r="F1662" s="148">
        <f t="shared" si="88"/>
        <v>6.4082275993023533E-2</v>
      </c>
    </row>
    <row r="1663" spans="2:6" x14ac:dyDescent="0.2">
      <c r="B1663" s="206" t="s">
        <v>2346</v>
      </c>
      <c r="C1663" s="205">
        <v>814</v>
      </c>
      <c r="D1663" s="147">
        <f t="shared" si="87"/>
        <v>0.52093169656908056</v>
      </c>
      <c r="E1663" s="148">
        <f t="shared" si="86"/>
        <v>8.5329401891209828E-5</v>
      </c>
      <c r="F1663" s="148">
        <f t="shared" si="88"/>
        <v>6.4167605394914742E-2</v>
      </c>
    </row>
    <row r="1664" spans="2:6" x14ac:dyDescent="0.2">
      <c r="B1664" s="115" t="s">
        <v>237</v>
      </c>
      <c r="C1664" s="114">
        <v>816</v>
      </c>
      <c r="D1664" s="147">
        <f t="shared" si="87"/>
        <v>0.52124645892350296</v>
      </c>
      <c r="E1664" s="148">
        <f t="shared" si="86"/>
        <v>8.5539056441311093E-5</v>
      </c>
      <c r="F1664" s="148">
        <f t="shared" si="88"/>
        <v>6.4253144451356048E-2</v>
      </c>
    </row>
    <row r="1665" spans="2:6" x14ac:dyDescent="0.2">
      <c r="B1665" s="206" t="s">
        <v>242</v>
      </c>
      <c r="C1665" s="205">
        <v>822</v>
      </c>
      <c r="D1665" s="147">
        <f t="shared" si="87"/>
        <v>0.52156122127792537</v>
      </c>
      <c r="E1665" s="148">
        <f t="shared" si="86"/>
        <v>8.6168020091614847E-5</v>
      </c>
      <c r="F1665" s="148">
        <f t="shared" si="88"/>
        <v>6.4339312471447668E-2</v>
      </c>
    </row>
    <row r="1666" spans="2:6" x14ac:dyDescent="0.2">
      <c r="B1666" s="115" t="s">
        <v>33</v>
      </c>
      <c r="C1666" s="114">
        <v>822</v>
      </c>
      <c r="D1666" s="147">
        <f t="shared" si="87"/>
        <v>0.52187598363234777</v>
      </c>
      <c r="E1666" s="148">
        <f t="shared" si="86"/>
        <v>8.6168020091614847E-5</v>
      </c>
      <c r="F1666" s="148">
        <f t="shared" si="88"/>
        <v>6.4425480491539289E-2</v>
      </c>
    </row>
    <row r="1667" spans="2:6" x14ac:dyDescent="0.2">
      <c r="B1667" s="206" t="s">
        <v>2893</v>
      </c>
      <c r="C1667" s="205">
        <v>823</v>
      </c>
      <c r="D1667" s="147">
        <f t="shared" si="87"/>
        <v>0.52219074598677018</v>
      </c>
      <c r="E1667" s="148">
        <f t="shared" si="86"/>
        <v>8.6272847366665472E-5</v>
      </c>
      <c r="F1667" s="148">
        <f t="shared" si="88"/>
        <v>6.451175333890595E-2</v>
      </c>
    </row>
    <row r="1668" spans="2:6" x14ac:dyDescent="0.2">
      <c r="B1668" s="115" t="s">
        <v>158</v>
      </c>
      <c r="C1668" s="114">
        <v>823</v>
      </c>
      <c r="D1668" s="147">
        <f t="shared" si="87"/>
        <v>0.52250550834119258</v>
      </c>
      <c r="E1668" s="148">
        <f t="shared" si="86"/>
        <v>8.6272847366665472E-5</v>
      </c>
      <c r="F1668" s="148">
        <f t="shared" si="88"/>
        <v>6.4598026186272611E-2</v>
      </c>
    </row>
    <row r="1669" spans="2:6" x14ac:dyDescent="0.2">
      <c r="B1669" s="115" t="s">
        <v>2840</v>
      </c>
      <c r="C1669" s="114">
        <v>824</v>
      </c>
      <c r="D1669" s="147">
        <f t="shared" si="87"/>
        <v>0.52282027069561499</v>
      </c>
      <c r="E1669" s="148">
        <f t="shared" si="86"/>
        <v>8.6377674641716098E-5</v>
      </c>
      <c r="F1669" s="148">
        <f t="shared" si="88"/>
        <v>6.4684403860914327E-2</v>
      </c>
    </row>
    <row r="1670" spans="2:6" x14ac:dyDescent="0.2">
      <c r="B1670" s="206" t="s">
        <v>1400</v>
      </c>
      <c r="C1670" s="205">
        <v>827</v>
      </c>
      <c r="D1670" s="147">
        <f t="shared" si="87"/>
        <v>0.52313503305003739</v>
      </c>
      <c r="E1670" s="148">
        <f t="shared" si="86"/>
        <v>8.6692156466867975E-5</v>
      </c>
      <c r="F1670" s="148">
        <f t="shared" si="88"/>
        <v>6.4771096017381194E-2</v>
      </c>
    </row>
    <row r="1671" spans="2:6" x14ac:dyDescent="0.2">
      <c r="B1671" s="115" t="s">
        <v>1552</v>
      </c>
      <c r="C1671" s="114">
        <v>828</v>
      </c>
      <c r="D1671" s="147">
        <f t="shared" si="87"/>
        <v>0.52344979540445979</v>
      </c>
      <c r="E1671" s="148">
        <f t="shared" si="86"/>
        <v>8.6796983741918601E-5</v>
      </c>
      <c r="F1671" s="148">
        <f t="shared" si="88"/>
        <v>6.4857893001123115E-2</v>
      </c>
    </row>
    <row r="1672" spans="2:6" x14ac:dyDescent="0.2">
      <c r="B1672" s="115" t="s">
        <v>1967</v>
      </c>
      <c r="C1672" s="114">
        <v>829</v>
      </c>
      <c r="D1672" s="147">
        <f t="shared" si="87"/>
        <v>0.5237645577588822</v>
      </c>
      <c r="E1672" s="148">
        <f t="shared" si="86"/>
        <v>8.6901811016969226E-5</v>
      </c>
      <c r="F1672" s="148">
        <f t="shared" si="88"/>
        <v>6.4944794812140091E-2</v>
      </c>
    </row>
    <row r="1673" spans="2:6" x14ac:dyDescent="0.2">
      <c r="B1673" s="115" t="s">
        <v>143</v>
      </c>
      <c r="C1673" s="114">
        <v>829</v>
      </c>
      <c r="D1673" s="147">
        <f t="shared" si="87"/>
        <v>0.5240793201133046</v>
      </c>
      <c r="E1673" s="148">
        <f t="shared" ref="E1673:E1736" si="89">C1673/$O$18</f>
        <v>8.6901811016969226E-5</v>
      </c>
      <c r="F1673" s="148">
        <f t="shared" si="88"/>
        <v>6.5031696623157068E-2</v>
      </c>
    </row>
    <row r="1674" spans="2:6" x14ac:dyDescent="0.2">
      <c r="B1674" s="206" t="s">
        <v>1462</v>
      </c>
      <c r="C1674" s="205">
        <v>830</v>
      </c>
      <c r="D1674" s="147">
        <f t="shared" ref="D1674:D1737" si="90">D1673+1/$L$18</f>
        <v>0.52439408246772701</v>
      </c>
      <c r="E1674" s="148">
        <f t="shared" si="89"/>
        <v>8.7006638292019852E-5</v>
      </c>
      <c r="F1674" s="148">
        <f t="shared" ref="F1674:F1737" si="91">F1673+E1674</f>
        <v>6.5118703261449085E-2</v>
      </c>
    </row>
    <row r="1675" spans="2:6" x14ac:dyDescent="0.2">
      <c r="B1675" s="115" t="s">
        <v>2198</v>
      </c>
      <c r="C1675" s="114">
        <v>831</v>
      </c>
      <c r="D1675" s="147">
        <f t="shared" si="90"/>
        <v>0.52470884482214941</v>
      </c>
      <c r="E1675" s="148">
        <f t="shared" si="89"/>
        <v>8.7111465567070478E-5</v>
      </c>
      <c r="F1675" s="148">
        <f t="shared" si="91"/>
        <v>6.5205814727016156E-2</v>
      </c>
    </row>
    <row r="1676" spans="2:6" x14ac:dyDescent="0.2">
      <c r="B1676" s="115" t="s">
        <v>2348</v>
      </c>
      <c r="C1676" s="114">
        <v>832</v>
      </c>
      <c r="D1676" s="147">
        <f t="shared" si="90"/>
        <v>0.52502360717657182</v>
      </c>
      <c r="E1676" s="148">
        <f t="shared" si="89"/>
        <v>8.7216292842121103E-5</v>
      </c>
      <c r="F1676" s="148">
        <f t="shared" si="91"/>
        <v>6.5293031019858283E-2</v>
      </c>
    </row>
    <row r="1677" spans="2:6" x14ac:dyDescent="0.2">
      <c r="B1677" s="115" t="s">
        <v>1091</v>
      </c>
      <c r="C1677" s="114">
        <v>832</v>
      </c>
      <c r="D1677" s="147">
        <f t="shared" si="90"/>
        <v>0.52533836953099422</v>
      </c>
      <c r="E1677" s="148">
        <f t="shared" si="89"/>
        <v>8.7216292842121103E-5</v>
      </c>
      <c r="F1677" s="148">
        <f t="shared" si="91"/>
        <v>6.538024731270041E-2</v>
      </c>
    </row>
    <row r="1678" spans="2:6" x14ac:dyDescent="0.2">
      <c r="B1678" s="115" t="s">
        <v>2415</v>
      </c>
      <c r="C1678" s="114">
        <v>833</v>
      </c>
      <c r="D1678" s="147">
        <f t="shared" si="90"/>
        <v>0.52565313188541662</v>
      </c>
      <c r="E1678" s="148">
        <f t="shared" si="89"/>
        <v>8.7321120117171729E-5</v>
      </c>
      <c r="F1678" s="148">
        <f t="shared" si="91"/>
        <v>6.5467568432817577E-2</v>
      </c>
    </row>
    <row r="1679" spans="2:6" x14ac:dyDescent="0.2">
      <c r="B1679" s="206" t="s">
        <v>550</v>
      </c>
      <c r="C1679" s="205">
        <v>834</v>
      </c>
      <c r="D1679" s="147">
        <f t="shared" si="90"/>
        <v>0.52596789423983903</v>
      </c>
      <c r="E1679" s="148">
        <f t="shared" si="89"/>
        <v>8.7425947392222355E-5</v>
      </c>
      <c r="F1679" s="148">
        <f t="shared" si="91"/>
        <v>6.55549943802098E-2</v>
      </c>
    </row>
    <row r="1680" spans="2:6" x14ac:dyDescent="0.2">
      <c r="B1680" s="115" t="s">
        <v>2862</v>
      </c>
      <c r="C1680" s="114">
        <v>836</v>
      </c>
      <c r="D1680" s="147">
        <f t="shared" si="90"/>
        <v>0.52628265659426143</v>
      </c>
      <c r="E1680" s="148">
        <f t="shared" si="89"/>
        <v>8.763560194232362E-5</v>
      </c>
      <c r="F1680" s="148">
        <f t="shared" si="91"/>
        <v>6.5642629982152118E-2</v>
      </c>
    </row>
    <row r="1681" spans="2:6" x14ac:dyDescent="0.2">
      <c r="B1681" s="115" t="s">
        <v>1264</v>
      </c>
      <c r="C1681" s="114">
        <v>836</v>
      </c>
      <c r="D1681" s="147">
        <f t="shared" si="90"/>
        <v>0.52659741894868384</v>
      </c>
      <c r="E1681" s="148">
        <f t="shared" si="89"/>
        <v>8.763560194232362E-5</v>
      </c>
      <c r="F1681" s="148">
        <f t="shared" si="91"/>
        <v>6.5730265584094436E-2</v>
      </c>
    </row>
    <row r="1682" spans="2:6" x14ac:dyDescent="0.2">
      <c r="B1682" s="115" t="s">
        <v>258</v>
      </c>
      <c r="C1682" s="114">
        <v>836</v>
      </c>
      <c r="D1682" s="147">
        <f t="shared" si="90"/>
        <v>0.52691218130310624</v>
      </c>
      <c r="E1682" s="148">
        <f t="shared" si="89"/>
        <v>8.763560194232362E-5</v>
      </c>
      <c r="F1682" s="148">
        <f t="shared" si="91"/>
        <v>6.5817901186036754E-2</v>
      </c>
    </row>
    <row r="1683" spans="2:6" x14ac:dyDescent="0.2">
      <c r="B1683" s="206" t="s">
        <v>1582</v>
      </c>
      <c r="C1683" s="205">
        <v>837</v>
      </c>
      <c r="D1683" s="147">
        <f t="shared" si="90"/>
        <v>0.52722694365752865</v>
      </c>
      <c r="E1683" s="148">
        <f t="shared" si="89"/>
        <v>8.7740429217374245E-5</v>
      </c>
      <c r="F1683" s="148">
        <f t="shared" si="91"/>
        <v>6.5905641615254126E-2</v>
      </c>
    </row>
    <row r="1684" spans="2:6" x14ac:dyDescent="0.2">
      <c r="B1684" s="206" t="s">
        <v>1617</v>
      </c>
      <c r="C1684" s="205">
        <v>840</v>
      </c>
      <c r="D1684" s="147">
        <f t="shared" si="90"/>
        <v>0.52754170601195105</v>
      </c>
      <c r="E1684" s="148">
        <f t="shared" si="89"/>
        <v>8.8054911042526122E-5</v>
      </c>
      <c r="F1684" s="148">
        <f t="shared" si="91"/>
        <v>6.599369652629665E-2</v>
      </c>
    </row>
    <row r="1685" spans="2:6" x14ac:dyDescent="0.2">
      <c r="B1685" s="206" t="s">
        <v>45</v>
      </c>
      <c r="C1685" s="205">
        <v>841</v>
      </c>
      <c r="D1685" s="147">
        <f t="shared" si="90"/>
        <v>0.52785646836637345</v>
      </c>
      <c r="E1685" s="148">
        <f t="shared" si="89"/>
        <v>8.8159738317576748E-5</v>
      </c>
      <c r="F1685" s="148">
        <f t="shared" si="91"/>
        <v>6.6081856264614228E-2</v>
      </c>
    </row>
    <row r="1686" spans="2:6" x14ac:dyDescent="0.2">
      <c r="B1686" s="115" t="s">
        <v>2320</v>
      </c>
      <c r="C1686" s="114">
        <v>844</v>
      </c>
      <c r="D1686" s="147">
        <f t="shared" si="90"/>
        <v>0.52817123072079586</v>
      </c>
      <c r="E1686" s="148">
        <f t="shared" si="89"/>
        <v>8.8474220142728625E-5</v>
      </c>
      <c r="F1686" s="148">
        <f t="shared" si="91"/>
        <v>6.6170330484756956E-2</v>
      </c>
    </row>
    <row r="1687" spans="2:6" x14ac:dyDescent="0.2">
      <c r="B1687" s="206" t="s">
        <v>1809</v>
      </c>
      <c r="C1687" s="205">
        <v>844</v>
      </c>
      <c r="D1687" s="147">
        <f t="shared" si="90"/>
        <v>0.52848599307521826</v>
      </c>
      <c r="E1687" s="148">
        <f t="shared" si="89"/>
        <v>8.8474220142728625E-5</v>
      </c>
      <c r="F1687" s="148">
        <f t="shared" si="91"/>
        <v>6.6258804704899685E-2</v>
      </c>
    </row>
    <row r="1688" spans="2:6" x14ac:dyDescent="0.2">
      <c r="B1688" s="115" t="s">
        <v>898</v>
      </c>
      <c r="C1688" s="114">
        <v>844</v>
      </c>
      <c r="D1688" s="147">
        <f t="shared" si="90"/>
        <v>0.52880075542964067</v>
      </c>
      <c r="E1688" s="148">
        <f t="shared" si="89"/>
        <v>8.8474220142728625E-5</v>
      </c>
      <c r="F1688" s="148">
        <f t="shared" si="91"/>
        <v>6.6347278925042413E-2</v>
      </c>
    </row>
    <row r="1689" spans="2:6" x14ac:dyDescent="0.2">
      <c r="B1689" s="115" t="s">
        <v>1384</v>
      </c>
      <c r="C1689" s="114">
        <v>845</v>
      </c>
      <c r="D1689" s="147">
        <f t="shared" si="90"/>
        <v>0.52911551778406307</v>
      </c>
      <c r="E1689" s="148">
        <f t="shared" si="89"/>
        <v>8.857904741777925E-5</v>
      </c>
      <c r="F1689" s="148">
        <f t="shared" si="91"/>
        <v>6.6435857972460197E-2</v>
      </c>
    </row>
    <row r="1690" spans="2:6" x14ac:dyDescent="0.2">
      <c r="B1690" s="115" t="s">
        <v>400</v>
      </c>
      <c r="C1690" s="114">
        <v>848</v>
      </c>
      <c r="D1690" s="147">
        <f t="shared" si="90"/>
        <v>0.52943028013848548</v>
      </c>
      <c r="E1690" s="148">
        <f t="shared" si="89"/>
        <v>8.8893529242931127E-5</v>
      </c>
      <c r="F1690" s="148">
        <f t="shared" si="91"/>
        <v>6.652475150170313E-2</v>
      </c>
    </row>
    <row r="1691" spans="2:6" x14ac:dyDescent="0.2">
      <c r="B1691" s="115" t="s">
        <v>2980</v>
      </c>
      <c r="C1691" s="114">
        <v>849</v>
      </c>
      <c r="D1691" s="147">
        <f t="shared" si="90"/>
        <v>0.52974504249290788</v>
      </c>
      <c r="E1691" s="148">
        <f t="shared" si="89"/>
        <v>8.8998356517981753E-5</v>
      </c>
      <c r="F1691" s="148">
        <f t="shared" si="91"/>
        <v>6.6613749858221119E-2</v>
      </c>
    </row>
    <row r="1692" spans="2:6" x14ac:dyDescent="0.2">
      <c r="B1692" s="115" t="s">
        <v>2968</v>
      </c>
      <c r="C1692" s="114">
        <v>849</v>
      </c>
      <c r="D1692" s="147">
        <f t="shared" si="90"/>
        <v>0.53005980484733028</v>
      </c>
      <c r="E1692" s="148">
        <f t="shared" si="89"/>
        <v>8.8998356517981753E-5</v>
      </c>
      <c r="F1692" s="148">
        <f t="shared" si="91"/>
        <v>6.6702748214739108E-2</v>
      </c>
    </row>
    <row r="1693" spans="2:6" x14ac:dyDescent="0.2">
      <c r="B1693" s="115" t="s">
        <v>2269</v>
      </c>
      <c r="C1693" s="114">
        <v>849</v>
      </c>
      <c r="D1693" s="147">
        <f t="shared" si="90"/>
        <v>0.53037456720175269</v>
      </c>
      <c r="E1693" s="148">
        <f t="shared" si="89"/>
        <v>8.8998356517981753E-5</v>
      </c>
      <c r="F1693" s="148">
        <f t="shared" si="91"/>
        <v>6.6791746571257096E-2</v>
      </c>
    </row>
    <row r="1694" spans="2:6" x14ac:dyDescent="0.2">
      <c r="B1694" s="206" t="s">
        <v>537</v>
      </c>
      <c r="C1694" s="205">
        <v>849</v>
      </c>
      <c r="D1694" s="147">
        <f t="shared" si="90"/>
        <v>0.53068932955617509</v>
      </c>
      <c r="E1694" s="148">
        <f t="shared" si="89"/>
        <v>8.8998356517981753E-5</v>
      </c>
      <c r="F1694" s="148">
        <f t="shared" si="91"/>
        <v>6.6880744927775085E-2</v>
      </c>
    </row>
    <row r="1695" spans="2:6" x14ac:dyDescent="0.2">
      <c r="B1695" s="206" t="s">
        <v>2801</v>
      </c>
      <c r="C1695" s="205">
        <v>851</v>
      </c>
      <c r="D1695" s="147">
        <f t="shared" si="90"/>
        <v>0.5310040919105975</v>
      </c>
      <c r="E1695" s="148">
        <f t="shared" si="89"/>
        <v>8.9208011068083004E-5</v>
      </c>
      <c r="F1695" s="148">
        <f t="shared" si="91"/>
        <v>6.6969952938843169E-2</v>
      </c>
    </row>
    <row r="1696" spans="2:6" x14ac:dyDescent="0.2">
      <c r="B1696" s="115" t="s">
        <v>2363</v>
      </c>
      <c r="C1696" s="114">
        <v>851</v>
      </c>
      <c r="D1696" s="147">
        <f t="shared" si="90"/>
        <v>0.5313188542650199</v>
      </c>
      <c r="E1696" s="148">
        <f t="shared" si="89"/>
        <v>8.9208011068083004E-5</v>
      </c>
      <c r="F1696" s="148">
        <f t="shared" si="91"/>
        <v>6.7059160949911253E-2</v>
      </c>
    </row>
    <row r="1697" spans="2:6" x14ac:dyDescent="0.2">
      <c r="B1697" s="115" t="s">
        <v>2487</v>
      </c>
      <c r="C1697" s="114">
        <v>853</v>
      </c>
      <c r="D1697" s="147">
        <f t="shared" si="90"/>
        <v>0.53163361661944231</v>
      </c>
      <c r="E1697" s="148">
        <f t="shared" si="89"/>
        <v>8.9417665618184256E-5</v>
      </c>
      <c r="F1697" s="148">
        <f t="shared" si="91"/>
        <v>6.7148578615529433E-2</v>
      </c>
    </row>
    <row r="1698" spans="2:6" x14ac:dyDescent="0.2">
      <c r="B1698" s="206" t="s">
        <v>2360</v>
      </c>
      <c r="C1698" s="205">
        <v>857</v>
      </c>
      <c r="D1698" s="147">
        <f t="shared" si="90"/>
        <v>0.53194837897386471</v>
      </c>
      <c r="E1698" s="148">
        <f t="shared" si="89"/>
        <v>8.9836974718386772E-5</v>
      </c>
      <c r="F1698" s="148">
        <f t="shared" si="91"/>
        <v>6.7238415590247819E-2</v>
      </c>
    </row>
    <row r="1699" spans="2:6" x14ac:dyDescent="0.2">
      <c r="B1699" s="206" t="s">
        <v>924</v>
      </c>
      <c r="C1699" s="205">
        <v>859</v>
      </c>
      <c r="D1699" s="147">
        <f t="shared" si="90"/>
        <v>0.53226314132828711</v>
      </c>
      <c r="E1699" s="148">
        <f t="shared" si="89"/>
        <v>9.0046629268488023E-5</v>
      </c>
      <c r="F1699" s="148">
        <f t="shared" si="91"/>
        <v>6.7328462219516313E-2</v>
      </c>
    </row>
    <row r="1700" spans="2:6" x14ac:dyDescent="0.2">
      <c r="B1700" s="115" t="s">
        <v>1051</v>
      </c>
      <c r="C1700" s="114">
        <v>860</v>
      </c>
      <c r="D1700" s="147">
        <f t="shared" si="90"/>
        <v>0.53257790368270952</v>
      </c>
      <c r="E1700" s="148">
        <f t="shared" si="89"/>
        <v>9.0151456543538649E-5</v>
      </c>
      <c r="F1700" s="148">
        <f t="shared" si="91"/>
        <v>6.7418613676059849E-2</v>
      </c>
    </row>
    <row r="1701" spans="2:6" x14ac:dyDescent="0.2">
      <c r="B1701" s="206" t="s">
        <v>2873</v>
      </c>
      <c r="C1701" s="205">
        <v>861</v>
      </c>
      <c r="D1701" s="147">
        <f t="shared" si="90"/>
        <v>0.53289266603713192</v>
      </c>
      <c r="E1701" s="148">
        <f t="shared" si="89"/>
        <v>9.0256283818589275E-5</v>
      </c>
      <c r="F1701" s="148">
        <f t="shared" si="91"/>
        <v>6.750886995987844E-2</v>
      </c>
    </row>
    <row r="1702" spans="2:6" x14ac:dyDescent="0.2">
      <c r="B1702" s="115" t="s">
        <v>1395</v>
      </c>
      <c r="C1702" s="114">
        <v>862</v>
      </c>
      <c r="D1702" s="147">
        <f t="shared" si="90"/>
        <v>0.53320742839155433</v>
      </c>
      <c r="E1702" s="148">
        <f t="shared" si="89"/>
        <v>9.03611110936399E-5</v>
      </c>
      <c r="F1702" s="148">
        <f t="shared" si="91"/>
        <v>6.7599231070972085E-2</v>
      </c>
    </row>
    <row r="1703" spans="2:6" x14ac:dyDescent="0.2">
      <c r="B1703" s="206" t="s">
        <v>1336</v>
      </c>
      <c r="C1703" s="205">
        <v>863</v>
      </c>
      <c r="D1703" s="147">
        <f t="shared" si="90"/>
        <v>0.53352219074597673</v>
      </c>
      <c r="E1703" s="148">
        <f t="shared" si="89"/>
        <v>9.0465938368690526E-5</v>
      </c>
      <c r="F1703" s="148">
        <f t="shared" si="91"/>
        <v>6.7689697009340771E-2</v>
      </c>
    </row>
    <row r="1704" spans="2:6" x14ac:dyDescent="0.2">
      <c r="B1704" s="206" t="s">
        <v>1131</v>
      </c>
      <c r="C1704" s="205">
        <v>863</v>
      </c>
      <c r="D1704" s="147">
        <f t="shared" si="90"/>
        <v>0.53383695310039914</v>
      </c>
      <c r="E1704" s="148">
        <f t="shared" si="89"/>
        <v>9.0465938368690526E-5</v>
      </c>
      <c r="F1704" s="148">
        <f t="shared" si="91"/>
        <v>6.7780162947709457E-2</v>
      </c>
    </row>
    <row r="1705" spans="2:6" x14ac:dyDescent="0.2">
      <c r="B1705" s="206" t="s">
        <v>2316</v>
      </c>
      <c r="C1705" s="205">
        <v>864</v>
      </c>
      <c r="D1705" s="147">
        <f t="shared" si="90"/>
        <v>0.53415171545482154</v>
      </c>
      <c r="E1705" s="148">
        <f t="shared" si="89"/>
        <v>9.0570765643741152E-5</v>
      </c>
      <c r="F1705" s="148">
        <f t="shared" si="91"/>
        <v>6.7870733713353198E-2</v>
      </c>
    </row>
    <row r="1706" spans="2:6" x14ac:dyDescent="0.2">
      <c r="B1706" s="115" t="s">
        <v>1432</v>
      </c>
      <c r="C1706" s="114">
        <v>865</v>
      </c>
      <c r="D1706" s="147">
        <f t="shared" si="90"/>
        <v>0.53446647780924394</v>
      </c>
      <c r="E1706" s="148">
        <f t="shared" si="89"/>
        <v>9.0675592918791777E-5</v>
      </c>
      <c r="F1706" s="148">
        <f t="shared" si="91"/>
        <v>6.7961409306271994E-2</v>
      </c>
    </row>
    <row r="1707" spans="2:6" x14ac:dyDescent="0.2">
      <c r="B1707" s="115" t="s">
        <v>1422</v>
      </c>
      <c r="C1707" s="114">
        <v>866</v>
      </c>
      <c r="D1707" s="147">
        <f t="shared" si="90"/>
        <v>0.53478124016366635</v>
      </c>
      <c r="E1707" s="148">
        <f t="shared" si="89"/>
        <v>9.0780420193842403E-5</v>
      </c>
      <c r="F1707" s="148">
        <f t="shared" si="91"/>
        <v>6.8052189726465831E-2</v>
      </c>
    </row>
    <row r="1708" spans="2:6" x14ac:dyDescent="0.2">
      <c r="B1708" s="115" t="s">
        <v>3043</v>
      </c>
      <c r="C1708" s="114">
        <v>867</v>
      </c>
      <c r="D1708" s="147">
        <f t="shared" si="90"/>
        <v>0.53509600251808875</v>
      </c>
      <c r="E1708" s="148">
        <f t="shared" si="89"/>
        <v>9.0885247468893029E-5</v>
      </c>
      <c r="F1708" s="148">
        <f t="shared" si="91"/>
        <v>6.8143074973934722E-2</v>
      </c>
    </row>
    <row r="1709" spans="2:6" x14ac:dyDescent="0.2">
      <c r="B1709" s="206" t="s">
        <v>2406</v>
      </c>
      <c r="C1709" s="205">
        <v>869</v>
      </c>
      <c r="D1709" s="147">
        <f t="shared" si="90"/>
        <v>0.53541076487251116</v>
      </c>
      <c r="E1709" s="148">
        <f t="shared" si="89"/>
        <v>9.109490201899428E-5</v>
      </c>
      <c r="F1709" s="148">
        <f t="shared" si="91"/>
        <v>6.8234169875953724E-2</v>
      </c>
    </row>
    <row r="1710" spans="2:6" x14ac:dyDescent="0.2">
      <c r="B1710" s="206" t="s">
        <v>881</v>
      </c>
      <c r="C1710" s="205">
        <v>869</v>
      </c>
      <c r="D1710" s="147">
        <f t="shared" si="90"/>
        <v>0.53572552722693356</v>
      </c>
      <c r="E1710" s="148">
        <f t="shared" si="89"/>
        <v>9.109490201899428E-5</v>
      </c>
      <c r="F1710" s="148">
        <f t="shared" si="91"/>
        <v>6.8325264777972725E-2</v>
      </c>
    </row>
    <row r="1711" spans="2:6" x14ac:dyDescent="0.2">
      <c r="B1711" s="115" t="s">
        <v>2121</v>
      </c>
      <c r="C1711" s="114">
        <v>870</v>
      </c>
      <c r="D1711" s="147">
        <f t="shared" si="90"/>
        <v>0.53604028958135597</v>
      </c>
      <c r="E1711" s="148">
        <f t="shared" si="89"/>
        <v>9.1199729294044905E-5</v>
      </c>
      <c r="F1711" s="148">
        <f t="shared" si="91"/>
        <v>6.8416464507266767E-2</v>
      </c>
    </row>
    <row r="1712" spans="2:6" x14ac:dyDescent="0.2">
      <c r="B1712" s="115" t="s">
        <v>1508</v>
      </c>
      <c r="C1712" s="114">
        <v>871</v>
      </c>
      <c r="D1712" s="147">
        <f t="shared" si="90"/>
        <v>0.53635505193577837</v>
      </c>
      <c r="E1712" s="148">
        <f t="shared" si="89"/>
        <v>9.1304556569095531E-5</v>
      </c>
      <c r="F1712" s="148">
        <f t="shared" si="91"/>
        <v>6.8507769063835863E-2</v>
      </c>
    </row>
    <row r="1713" spans="2:6" x14ac:dyDescent="0.2">
      <c r="B1713" s="115" t="s">
        <v>1292</v>
      </c>
      <c r="C1713" s="114">
        <v>871</v>
      </c>
      <c r="D1713" s="147">
        <f t="shared" si="90"/>
        <v>0.53666981429020078</v>
      </c>
      <c r="E1713" s="148">
        <f t="shared" si="89"/>
        <v>9.1304556569095531E-5</v>
      </c>
      <c r="F1713" s="148">
        <f t="shared" si="91"/>
        <v>6.859907362040496E-2</v>
      </c>
    </row>
    <row r="1714" spans="2:6" x14ac:dyDescent="0.2">
      <c r="B1714" s="115" t="s">
        <v>706</v>
      </c>
      <c r="C1714" s="114">
        <v>877</v>
      </c>
      <c r="D1714" s="147">
        <f t="shared" si="90"/>
        <v>0.53698457664462318</v>
      </c>
      <c r="E1714" s="148">
        <f t="shared" si="89"/>
        <v>9.1933520219399299E-5</v>
      </c>
      <c r="F1714" s="148">
        <f t="shared" si="91"/>
        <v>6.8691007140624358E-2</v>
      </c>
    </row>
    <row r="1715" spans="2:6" x14ac:dyDescent="0.2">
      <c r="B1715" s="115" t="s">
        <v>138</v>
      </c>
      <c r="C1715" s="114">
        <v>877</v>
      </c>
      <c r="D1715" s="147">
        <f t="shared" si="90"/>
        <v>0.53729933899904558</v>
      </c>
      <c r="E1715" s="148">
        <f t="shared" si="89"/>
        <v>9.1933520219399299E-5</v>
      </c>
      <c r="F1715" s="148">
        <f t="shared" si="91"/>
        <v>6.8782940660843755E-2</v>
      </c>
    </row>
    <row r="1716" spans="2:6" x14ac:dyDescent="0.2">
      <c r="B1716" s="115" t="s">
        <v>101</v>
      </c>
      <c r="C1716" s="114">
        <v>878</v>
      </c>
      <c r="D1716" s="147">
        <f t="shared" si="90"/>
        <v>0.53761410135346799</v>
      </c>
      <c r="E1716" s="148">
        <f t="shared" si="89"/>
        <v>9.2038347494449924E-5</v>
      </c>
      <c r="F1716" s="148">
        <f t="shared" si="91"/>
        <v>6.8874979008338208E-2</v>
      </c>
    </row>
    <row r="1717" spans="2:6" x14ac:dyDescent="0.2">
      <c r="B1717" s="206" t="s">
        <v>2740</v>
      </c>
      <c r="C1717" s="205">
        <v>879</v>
      </c>
      <c r="D1717" s="147">
        <f t="shared" si="90"/>
        <v>0.53792886370789039</v>
      </c>
      <c r="E1717" s="148">
        <f t="shared" si="89"/>
        <v>9.214317476950055E-5</v>
      </c>
      <c r="F1717" s="148">
        <f t="shared" si="91"/>
        <v>6.8967122183107715E-2</v>
      </c>
    </row>
    <row r="1718" spans="2:6" x14ac:dyDescent="0.2">
      <c r="B1718" s="115" t="s">
        <v>1910</v>
      </c>
      <c r="C1718" s="114">
        <v>880</v>
      </c>
      <c r="D1718" s="147">
        <f t="shared" si="90"/>
        <v>0.5382436260623128</v>
      </c>
      <c r="E1718" s="148">
        <f t="shared" si="89"/>
        <v>9.2248002044551176E-5</v>
      </c>
      <c r="F1718" s="148">
        <f t="shared" si="91"/>
        <v>6.9059370185152263E-2</v>
      </c>
    </row>
    <row r="1719" spans="2:6" x14ac:dyDescent="0.2">
      <c r="B1719" s="206" t="s">
        <v>1369</v>
      </c>
      <c r="C1719" s="205">
        <v>881</v>
      </c>
      <c r="D1719" s="147">
        <f t="shared" si="90"/>
        <v>0.5385583884167352</v>
      </c>
      <c r="E1719" s="148">
        <f t="shared" si="89"/>
        <v>9.2352829319601801E-5</v>
      </c>
      <c r="F1719" s="148">
        <f t="shared" si="91"/>
        <v>6.9151723014471866E-2</v>
      </c>
    </row>
    <row r="1720" spans="2:6" x14ac:dyDescent="0.2">
      <c r="B1720" s="115" t="s">
        <v>943</v>
      </c>
      <c r="C1720" s="114">
        <v>881</v>
      </c>
      <c r="D1720" s="147">
        <f t="shared" si="90"/>
        <v>0.53887315077115761</v>
      </c>
      <c r="E1720" s="148">
        <f t="shared" si="89"/>
        <v>9.2352829319601801E-5</v>
      </c>
      <c r="F1720" s="148">
        <f t="shared" si="91"/>
        <v>6.9244075843791469E-2</v>
      </c>
    </row>
    <row r="1721" spans="2:6" x14ac:dyDescent="0.2">
      <c r="B1721" s="115" t="s">
        <v>975</v>
      </c>
      <c r="C1721" s="114">
        <v>883</v>
      </c>
      <c r="D1721" s="147">
        <f t="shared" si="90"/>
        <v>0.53918791312558001</v>
      </c>
      <c r="E1721" s="148">
        <f t="shared" si="89"/>
        <v>9.2562483869703053E-5</v>
      </c>
      <c r="F1721" s="148">
        <f t="shared" si="91"/>
        <v>6.9336638327661168E-2</v>
      </c>
    </row>
    <row r="1722" spans="2:6" x14ac:dyDescent="0.2">
      <c r="B1722" s="115" t="s">
        <v>3086</v>
      </c>
      <c r="C1722" s="114">
        <v>884</v>
      </c>
      <c r="D1722" s="147">
        <f t="shared" si="90"/>
        <v>0.53950267548000241</v>
      </c>
      <c r="E1722" s="148">
        <f t="shared" si="89"/>
        <v>9.2667311144753678E-5</v>
      </c>
      <c r="F1722" s="148">
        <f t="shared" si="91"/>
        <v>6.9429305638805922E-2</v>
      </c>
    </row>
    <row r="1723" spans="2:6" x14ac:dyDescent="0.2">
      <c r="B1723" s="206" t="s">
        <v>2835</v>
      </c>
      <c r="C1723" s="205">
        <v>887</v>
      </c>
      <c r="D1723" s="147">
        <f t="shared" si="90"/>
        <v>0.53981743783442482</v>
      </c>
      <c r="E1723" s="148">
        <f t="shared" si="89"/>
        <v>9.2981792969905555E-5</v>
      </c>
      <c r="F1723" s="148">
        <f t="shared" si="91"/>
        <v>6.9522287431775825E-2</v>
      </c>
    </row>
    <row r="1724" spans="2:6" x14ac:dyDescent="0.2">
      <c r="B1724" s="206" t="s">
        <v>2755</v>
      </c>
      <c r="C1724" s="205">
        <v>887</v>
      </c>
      <c r="D1724" s="147">
        <f t="shared" si="90"/>
        <v>0.54013220018884722</v>
      </c>
      <c r="E1724" s="148">
        <f t="shared" si="89"/>
        <v>9.2981792969905555E-5</v>
      </c>
      <c r="F1724" s="148">
        <f t="shared" si="91"/>
        <v>6.9615269224745729E-2</v>
      </c>
    </row>
    <row r="1725" spans="2:6" x14ac:dyDescent="0.2">
      <c r="B1725" s="115" t="s">
        <v>230</v>
      </c>
      <c r="C1725" s="114">
        <v>887</v>
      </c>
      <c r="D1725" s="147">
        <f t="shared" si="90"/>
        <v>0.54044696254326963</v>
      </c>
      <c r="E1725" s="148">
        <f t="shared" si="89"/>
        <v>9.2981792969905555E-5</v>
      </c>
      <c r="F1725" s="148">
        <f t="shared" si="91"/>
        <v>6.9708251017715633E-2</v>
      </c>
    </row>
    <row r="1726" spans="2:6" x14ac:dyDescent="0.2">
      <c r="B1726" s="115" t="s">
        <v>2941</v>
      </c>
      <c r="C1726" s="114">
        <v>888</v>
      </c>
      <c r="D1726" s="147">
        <f t="shared" si="90"/>
        <v>0.54076172489769203</v>
      </c>
      <c r="E1726" s="148">
        <f t="shared" si="89"/>
        <v>9.3086620244956181E-5</v>
      </c>
      <c r="F1726" s="148">
        <f t="shared" si="91"/>
        <v>6.9801337637960592E-2</v>
      </c>
    </row>
    <row r="1727" spans="2:6" x14ac:dyDescent="0.2">
      <c r="B1727" s="115" t="s">
        <v>2093</v>
      </c>
      <c r="C1727" s="114">
        <v>888</v>
      </c>
      <c r="D1727" s="147">
        <f t="shared" si="90"/>
        <v>0.54107648725211444</v>
      </c>
      <c r="E1727" s="148">
        <f t="shared" si="89"/>
        <v>9.3086620244956181E-5</v>
      </c>
      <c r="F1727" s="148">
        <f t="shared" si="91"/>
        <v>6.9894424258205551E-2</v>
      </c>
    </row>
    <row r="1728" spans="2:6" x14ac:dyDescent="0.2">
      <c r="B1728" s="206" t="s">
        <v>623</v>
      </c>
      <c r="C1728" s="205">
        <v>888</v>
      </c>
      <c r="D1728" s="147">
        <f t="shared" si="90"/>
        <v>0.54139124960653684</v>
      </c>
      <c r="E1728" s="148">
        <f t="shared" si="89"/>
        <v>9.3086620244956181E-5</v>
      </c>
      <c r="F1728" s="148">
        <f t="shared" si="91"/>
        <v>6.998751087845051E-2</v>
      </c>
    </row>
    <row r="1729" spans="2:6" x14ac:dyDescent="0.2">
      <c r="B1729" s="115" t="s">
        <v>1418</v>
      </c>
      <c r="C1729" s="114">
        <v>889</v>
      </c>
      <c r="D1729" s="147">
        <f t="shared" si="90"/>
        <v>0.54170601196095924</v>
      </c>
      <c r="E1729" s="148">
        <f t="shared" si="89"/>
        <v>9.3191447520006807E-5</v>
      </c>
      <c r="F1729" s="148">
        <f t="shared" si="91"/>
        <v>7.0080702325970523E-2</v>
      </c>
    </row>
    <row r="1730" spans="2:6" x14ac:dyDescent="0.2">
      <c r="B1730" s="206" t="s">
        <v>1217</v>
      </c>
      <c r="C1730" s="205">
        <v>889</v>
      </c>
      <c r="D1730" s="147">
        <f t="shared" si="90"/>
        <v>0.54202077431538165</v>
      </c>
      <c r="E1730" s="148">
        <f t="shared" si="89"/>
        <v>9.3191447520006807E-5</v>
      </c>
      <c r="F1730" s="148">
        <f t="shared" si="91"/>
        <v>7.0173893773490537E-2</v>
      </c>
    </row>
    <row r="1731" spans="2:6" x14ac:dyDescent="0.2">
      <c r="B1731" s="115" t="s">
        <v>460</v>
      </c>
      <c r="C1731" s="114">
        <v>889</v>
      </c>
      <c r="D1731" s="147">
        <f t="shared" si="90"/>
        <v>0.54233553666980405</v>
      </c>
      <c r="E1731" s="148">
        <f t="shared" si="89"/>
        <v>9.3191447520006807E-5</v>
      </c>
      <c r="F1731" s="148">
        <f t="shared" si="91"/>
        <v>7.026708522101055E-2</v>
      </c>
    </row>
    <row r="1732" spans="2:6" x14ac:dyDescent="0.2">
      <c r="B1732" s="206" t="s">
        <v>2571</v>
      </c>
      <c r="C1732" s="205">
        <v>891</v>
      </c>
      <c r="D1732" s="147">
        <f t="shared" si="90"/>
        <v>0.54265029902422646</v>
      </c>
      <c r="E1732" s="148">
        <f t="shared" si="89"/>
        <v>9.3401102070108058E-5</v>
      </c>
      <c r="F1732" s="148">
        <f t="shared" si="91"/>
        <v>7.0360486323080659E-2</v>
      </c>
    </row>
    <row r="1733" spans="2:6" x14ac:dyDescent="0.2">
      <c r="B1733" s="206" t="s">
        <v>249</v>
      </c>
      <c r="C1733" s="205">
        <v>891</v>
      </c>
      <c r="D1733" s="147">
        <f t="shared" si="90"/>
        <v>0.54296506137864886</v>
      </c>
      <c r="E1733" s="148">
        <f t="shared" si="89"/>
        <v>9.3401102070108058E-5</v>
      </c>
      <c r="F1733" s="148">
        <f t="shared" si="91"/>
        <v>7.0453887425150769E-2</v>
      </c>
    </row>
    <row r="1734" spans="2:6" x14ac:dyDescent="0.2">
      <c r="B1734" s="115" t="s">
        <v>1982</v>
      </c>
      <c r="C1734" s="114">
        <v>892</v>
      </c>
      <c r="D1734" s="147">
        <f t="shared" si="90"/>
        <v>0.54327982373307127</v>
      </c>
      <c r="E1734" s="148">
        <f t="shared" si="89"/>
        <v>9.3505929345158684E-5</v>
      </c>
      <c r="F1734" s="148">
        <f t="shared" si="91"/>
        <v>7.0547393354495933E-2</v>
      </c>
    </row>
    <row r="1735" spans="2:6" x14ac:dyDescent="0.2">
      <c r="B1735" s="115" t="s">
        <v>886</v>
      </c>
      <c r="C1735" s="114">
        <v>892</v>
      </c>
      <c r="D1735" s="147">
        <f t="shared" si="90"/>
        <v>0.54359458608749367</v>
      </c>
      <c r="E1735" s="148">
        <f t="shared" si="89"/>
        <v>9.3505929345158684E-5</v>
      </c>
      <c r="F1735" s="148">
        <f t="shared" si="91"/>
        <v>7.0640899283841097E-2</v>
      </c>
    </row>
    <row r="1736" spans="2:6" x14ac:dyDescent="0.2">
      <c r="B1736" s="115" t="s">
        <v>2292</v>
      </c>
      <c r="C1736" s="114">
        <v>894</v>
      </c>
      <c r="D1736" s="147">
        <f t="shared" si="90"/>
        <v>0.54390934844191607</v>
      </c>
      <c r="E1736" s="148">
        <f t="shared" si="89"/>
        <v>9.3715583895259935E-5</v>
      </c>
      <c r="F1736" s="148">
        <f t="shared" si="91"/>
        <v>7.0734614867736356E-2</v>
      </c>
    </row>
    <row r="1737" spans="2:6" x14ac:dyDescent="0.2">
      <c r="B1737" s="115" t="s">
        <v>1578</v>
      </c>
      <c r="C1737" s="114">
        <v>895</v>
      </c>
      <c r="D1737" s="147">
        <f t="shared" si="90"/>
        <v>0.54422411079633848</v>
      </c>
      <c r="E1737" s="148">
        <f t="shared" ref="E1737:E1800" si="92">C1737/$O$18</f>
        <v>9.3820411170310574E-5</v>
      </c>
      <c r="F1737" s="148">
        <f t="shared" si="91"/>
        <v>7.0828435278906671E-2</v>
      </c>
    </row>
    <row r="1738" spans="2:6" x14ac:dyDescent="0.2">
      <c r="B1738" s="115" t="s">
        <v>1886</v>
      </c>
      <c r="C1738" s="114">
        <v>896</v>
      </c>
      <c r="D1738" s="147">
        <f t="shared" ref="D1738:D1801" si="93">D1737+1/$L$18</f>
        <v>0.54453887315076088</v>
      </c>
      <c r="E1738" s="148">
        <f t="shared" si="92"/>
        <v>9.39252384453612E-5</v>
      </c>
      <c r="F1738" s="148">
        <f t="shared" ref="F1738:F1801" si="94">F1737+E1738</f>
        <v>7.0922360517352026E-2</v>
      </c>
    </row>
    <row r="1739" spans="2:6" x14ac:dyDescent="0.2">
      <c r="B1739" s="206" t="s">
        <v>699</v>
      </c>
      <c r="C1739" s="205">
        <v>896</v>
      </c>
      <c r="D1739" s="147">
        <f t="shared" si="93"/>
        <v>0.54485363550518329</v>
      </c>
      <c r="E1739" s="148">
        <f t="shared" si="92"/>
        <v>9.39252384453612E-5</v>
      </c>
      <c r="F1739" s="148">
        <f t="shared" si="94"/>
        <v>7.1016285755797381E-2</v>
      </c>
    </row>
    <row r="1740" spans="2:6" x14ac:dyDescent="0.2">
      <c r="B1740" s="115" t="s">
        <v>2054</v>
      </c>
      <c r="C1740" s="114">
        <v>897</v>
      </c>
      <c r="D1740" s="147">
        <f t="shared" si="93"/>
        <v>0.54516839785960569</v>
      </c>
      <c r="E1740" s="148">
        <f t="shared" si="92"/>
        <v>9.4030065720411825E-5</v>
      </c>
      <c r="F1740" s="148">
        <f t="shared" si="94"/>
        <v>7.1110315821517792E-2</v>
      </c>
    </row>
    <row r="1741" spans="2:6" x14ac:dyDescent="0.2">
      <c r="B1741" s="115" t="s">
        <v>1291</v>
      </c>
      <c r="C1741" s="114">
        <v>898</v>
      </c>
      <c r="D1741" s="147">
        <f t="shared" si="93"/>
        <v>0.5454831602140281</v>
      </c>
      <c r="E1741" s="148">
        <f t="shared" si="92"/>
        <v>9.4134892995462451E-5</v>
      </c>
      <c r="F1741" s="148">
        <f t="shared" si="94"/>
        <v>7.1204450714513257E-2</v>
      </c>
    </row>
    <row r="1742" spans="2:6" x14ac:dyDescent="0.2">
      <c r="B1742" s="115" t="s">
        <v>3082</v>
      </c>
      <c r="C1742" s="114">
        <v>899</v>
      </c>
      <c r="D1742" s="147">
        <f t="shared" si="93"/>
        <v>0.5457979225684505</v>
      </c>
      <c r="E1742" s="148">
        <f t="shared" si="92"/>
        <v>9.4239720270513077E-5</v>
      </c>
      <c r="F1742" s="148">
        <f t="shared" si="94"/>
        <v>7.1298690434783776E-2</v>
      </c>
    </row>
    <row r="1743" spans="2:6" x14ac:dyDescent="0.2">
      <c r="B1743" s="206" t="s">
        <v>2110</v>
      </c>
      <c r="C1743" s="205">
        <v>899</v>
      </c>
      <c r="D1743" s="147">
        <f t="shared" si="93"/>
        <v>0.5461126849228729</v>
      </c>
      <c r="E1743" s="148">
        <f t="shared" si="92"/>
        <v>9.4239720270513077E-5</v>
      </c>
      <c r="F1743" s="148">
        <f t="shared" si="94"/>
        <v>7.1392930155054296E-2</v>
      </c>
    </row>
    <row r="1744" spans="2:6" x14ac:dyDescent="0.2">
      <c r="B1744" s="115" t="s">
        <v>1458</v>
      </c>
      <c r="C1744" s="114">
        <v>901</v>
      </c>
      <c r="D1744" s="147">
        <f t="shared" si="93"/>
        <v>0.54642744727729531</v>
      </c>
      <c r="E1744" s="148">
        <f t="shared" si="92"/>
        <v>9.4449374820614328E-5</v>
      </c>
      <c r="F1744" s="148">
        <f t="shared" si="94"/>
        <v>7.1487379529874912E-2</v>
      </c>
    </row>
    <row r="1745" spans="2:6" x14ac:dyDescent="0.2">
      <c r="B1745" s="115" t="s">
        <v>1170</v>
      </c>
      <c r="C1745" s="114">
        <v>901</v>
      </c>
      <c r="D1745" s="147">
        <f t="shared" si="93"/>
        <v>0.54674220963171771</v>
      </c>
      <c r="E1745" s="148">
        <f t="shared" si="92"/>
        <v>9.4449374820614328E-5</v>
      </c>
      <c r="F1745" s="148">
        <f t="shared" si="94"/>
        <v>7.1581828904695527E-2</v>
      </c>
    </row>
    <row r="1746" spans="2:6" x14ac:dyDescent="0.2">
      <c r="B1746" s="206" t="s">
        <v>342</v>
      </c>
      <c r="C1746" s="205">
        <v>901</v>
      </c>
      <c r="D1746" s="147">
        <f t="shared" si="93"/>
        <v>0.54705697198614012</v>
      </c>
      <c r="E1746" s="148">
        <f t="shared" si="92"/>
        <v>9.4449374820614328E-5</v>
      </c>
      <c r="F1746" s="148">
        <f t="shared" si="94"/>
        <v>7.1676278279516142E-2</v>
      </c>
    </row>
    <row r="1747" spans="2:6" x14ac:dyDescent="0.2">
      <c r="B1747" s="115" t="s">
        <v>1459</v>
      </c>
      <c r="C1747" s="114">
        <v>902</v>
      </c>
      <c r="D1747" s="147">
        <f t="shared" si="93"/>
        <v>0.54737173434056252</v>
      </c>
      <c r="E1747" s="148">
        <f t="shared" si="92"/>
        <v>9.4554202095664954E-5</v>
      </c>
      <c r="F1747" s="148">
        <f t="shared" si="94"/>
        <v>7.1770832481611813E-2</v>
      </c>
    </row>
    <row r="1748" spans="2:6" x14ac:dyDescent="0.2">
      <c r="B1748" s="206" t="s">
        <v>2643</v>
      </c>
      <c r="C1748" s="205">
        <v>903</v>
      </c>
      <c r="D1748" s="147">
        <f t="shared" si="93"/>
        <v>0.54768649669498493</v>
      </c>
      <c r="E1748" s="148">
        <f t="shared" si="92"/>
        <v>9.4659029370715579E-5</v>
      </c>
      <c r="F1748" s="148">
        <f t="shared" si="94"/>
        <v>7.1865491510982524E-2</v>
      </c>
    </row>
    <row r="1749" spans="2:6" x14ac:dyDescent="0.2">
      <c r="B1749" s="115" t="s">
        <v>2219</v>
      </c>
      <c r="C1749" s="114">
        <v>904</v>
      </c>
      <c r="D1749" s="147">
        <f t="shared" si="93"/>
        <v>0.54800125904940733</v>
      </c>
      <c r="E1749" s="148">
        <f t="shared" si="92"/>
        <v>9.4763856645766205E-5</v>
      </c>
      <c r="F1749" s="148">
        <f t="shared" si="94"/>
        <v>7.196025536762829E-2</v>
      </c>
    </row>
    <row r="1750" spans="2:6" x14ac:dyDescent="0.2">
      <c r="B1750" s="206" t="s">
        <v>214</v>
      </c>
      <c r="C1750" s="205">
        <v>904</v>
      </c>
      <c r="D1750" s="147">
        <f t="shared" si="93"/>
        <v>0.54831602140382973</v>
      </c>
      <c r="E1750" s="148">
        <f t="shared" si="92"/>
        <v>9.4763856645766205E-5</v>
      </c>
      <c r="F1750" s="148">
        <f t="shared" si="94"/>
        <v>7.2055019224274056E-2</v>
      </c>
    </row>
    <row r="1751" spans="2:6" x14ac:dyDescent="0.2">
      <c r="B1751" s="206" t="s">
        <v>136</v>
      </c>
      <c r="C1751" s="205">
        <v>904</v>
      </c>
      <c r="D1751" s="147">
        <f t="shared" si="93"/>
        <v>0.54863078375825214</v>
      </c>
      <c r="E1751" s="148">
        <f t="shared" si="92"/>
        <v>9.4763856645766205E-5</v>
      </c>
      <c r="F1751" s="148">
        <f t="shared" si="94"/>
        <v>7.2149783080919822E-2</v>
      </c>
    </row>
    <row r="1752" spans="2:6" x14ac:dyDescent="0.2">
      <c r="B1752" s="115" t="s">
        <v>1228</v>
      </c>
      <c r="C1752" s="114">
        <v>905</v>
      </c>
      <c r="D1752" s="147">
        <f t="shared" si="93"/>
        <v>0.54894554611267454</v>
      </c>
      <c r="E1752" s="148">
        <f t="shared" si="92"/>
        <v>9.4868683920816831E-5</v>
      </c>
      <c r="F1752" s="148">
        <f t="shared" si="94"/>
        <v>7.2244651764840642E-2</v>
      </c>
    </row>
    <row r="1753" spans="2:6" x14ac:dyDescent="0.2">
      <c r="B1753" s="115" t="s">
        <v>2383</v>
      </c>
      <c r="C1753" s="114">
        <v>906</v>
      </c>
      <c r="D1753" s="147">
        <f t="shared" si="93"/>
        <v>0.54926030846709695</v>
      </c>
      <c r="E1753" s="148">
        <f t="shared" si="92"/>
        <v>9.4973511195867456E-5</v>
      </c>
      <c r="F1753" s="148">
        <f t="shared" si="94"/>
        <v>7.2339625276036504E-2</v>
      </c>
    </row>
    <row r="1754" spans="2:6" x14ac:dyDescent="0.2">
      <c r="B1754" s="115" t="s">
        <v>766</v>
      </c>
      <c r="C1754" s="114">
        <v>906</v>
      </c>
      <c r="D1754" s="147">
        <f t="shared" si="93"/>
        <v>0.54957507082151935</v>
      </c>
      <c r="E1754" s="148">
        <f t="shared" si="92"/>
        <v>9.4973511195867456E-5</v>
      </c>
      <c r="F1754" s="148">
        <f t="shared" si="94"/>
        <v>7.2434598787232365E-2</v>
      </c>
    </row>
    <row r="1755" spans="2:6" x14ac:dyDescent="0.2">
      <c r="B1755" s="115" t="s">
        <v>840</v>
      </c>
      <c r="C1755" s="114">
        <v>908</v>
      </c>
      <c r="D1755" s="147">
        <f t="shared" si="93"/>
        <v>0.54988983317594176</v>
      </c>
      <c r="E1755" s="148">
        <f t="shared" si="92"/>
        <v>9.5183165745968708E-5</v>
      </c>
      <c r="F1755" s="148">
        <f t="shared" si="94"/>
        <v>7.2529781952978337E-2</v>
      </c>
    </row>
    <row r="1756" spans="2:6" x14ac:dyDescent="0.2">
      <c r="B1756" s="206" t="s">
        <v>595</v>
      </c>
      <c r="C1756" s="205">
        <v>909</v>
      </c>
      <c r="D1756" s="147">
        <f t="shared" si="93"/>
        <v>0.55020459553036416</v>
      </c>
      <c r="E1756" s="148">
        <f t="shared" si="92"/>
        <v>9.5287993021019333E-5</v>
      </c>
      <c r="F1756" s="148">
        <f t="shared" si="94"/>
        <v>7.2625069945999363E-2</v>
      </c>
    </row>
    <row r="1757" spans="2:6" x14ac:dyDescent="0.2">
      <c r="B1757" s="206" t="s">
        <v>265</v>
      </c>
      <c r="C1757" s="205">
        <v>910</v>
      </c>
      <c r="D1757" s="147">
        <f t="shared" si="93"/>
        <v>0.55051935788478656</v>
      </c>
      <c r="E1757" s="148">
        <f t="shared" si="92"/>
        <v>9.5392820296069959E-5</v>
      </c>
      <c r="F1757" s="148">
        <f t="shared" si="94"/>
        <v>7.2720462766295429E-2</v>
      </c>
    </row>
    <row r="1758" spans="2:6" x14ac:dyDescent="0.2">
      <c r="B1758" s="115" t="s">
        <v>3020</v>
      </c>
      <c r="C1758" s="114">
        <v>913</v>
      </c>
      <c r="D1758" s="147">
        <f t="shared" si="93"/>
        <v>0.55083412023920897</v>
      </c>
      <c r="E1758" s="148">
        <f t="shared" si="92"/>
        <v>9.5707302121221836E-5</v>
      </c>
      <c r="F1758" s="148">
        <f t="shared" si="94"/>
        <v>7.2816170068416647E-2</v>
      </c>
    </row>
    <row r="1759" spans="2:6" x14ac:dyDescent="0.2">
      <c r="B1759" s="115" t="s">
        <v>1790</v>
      </c>
      <c r="C1759" s="114">
        <v>913</v>
      </c>
      <c r="D1759" s="147">
        <f t="shared" si="93"/>
        <v>0.55114888259363137</v>
      </c>
      <c r="E1759" s="148">
        <f t="shared" si="92"/>
        <v>9.5707302121221836E-5</v>
      </c>
      <c r="F1759" s="148">
        <f t="shared" si="94"/>
        <v>7.2911877370537864E-2</v>
      </c>
    </row>
    <row r="1760" spans="2:6" x14ac:dyDescent="0.2">
      <c r="B1760" s="206" t="s">
        <v>1457</v>
      </c>
      <c r="C1760" s="205">
        <v>913</v>
      </c>
      <c r="D1760" s="147">
        <f t="shared" si="93"/>
        <v>0.55146364494805378</v>
      </c>
      <c r="E1760" s="148">
        <f t="shared" si="92"/>
        <v>9.5707302121221836E-5</v>
      </c>
      <c r="F1760" s="148">
        <f t="shared" si="94"/>
        <v>7.3007584672659082E-2</v>
      </c>
    </row>
    <row r="1761" spans="2:6" x14ac:dyDescent="0.2">
      <c r="B1761" s="206" t="s">
        <v>715</v>
      </c>
      <c r="C1761" s="205">
        <v>914</v>
      </c>
      <c r="D1761" s="147">
        <f t="shared" si="93"/>
        <v>0.55177840730247618</v>
      </c>
      <c r="E1761" s="148">
        <f t="shared" si="92"/>
        <v>9.5812129396272462E-5</v>
      </c>
      <c r="F1761" s="148">
        <f t="shared" si="94"/>
        <v>7.3103396802055354E-2</v>
      </c>
    </row>
    <row r="1762" spans="2:6" x14ac:dyDescent="0.2">
      <c r="B1762" s="115" t="s">
        <v>3000</v>
      </c>
      <c r="C1762" s="114">
        <v>915</v>
      </c>
      <c r="D1762" s="147">
        <f t="shared" si="93"/>
        <v>0.55209316965689859</v>
      </c>
      <c r="E1762" s="148">
        <f t="shared" si="92"/>
        <v>9.5916956671323101E-5</v>
      </c>
      <c r="F1762" s="148">
        <f t="shared" si="94"/>
        <v>7.3199313758726681E-2</v>
      </c>
    </row>
    <row r="1763" spans="2:6" x14ac:dyDescent="0.2">
      <c r="B1763" s="115" t="s">
        <v>2639</v>
      </c>
      <c r="C1763" s="114">
        <v>915</v>
      </c>
      <c r="D1763" s="147">
        <f t="shared" si="93"/>
        <v>0.55240793201132099</v>
      </c>
      <c r="E1763" s="148">
        <f t="shared" si="92"/>
        <v>9.5916956671323101E-5</v>
      </c>
      <c r="F1763" s="148">
        <f t="shared" si="94"/>
        <v>7.3295230715398008E-2</v>
      </c>
    </row>
    <row r="1764" spans="2:6" x14ac:dyDescent="0.2">
      <c r="B1764" s="115" t="s">
        <v>2463</v>
      </c>
      <c r="C1764" s="114">
        <v>915</v>
      </c>
      <c r="D1764" s="147">
        <f t="shared" si="93"/>
        <v>0.55272269436574339</v>
      </c>
      <c r="E1764" s="148">
        <f t="shared" si="92"/>
        <v>9.5916956671323101E-5</v>
      </c>
      <c r="F1764" s="148">
        <f t="shared" si="94"/>
        <v>7.3391147672069335E-2</v>
      </c>
    </row>
    <row r="1765" spans="2:6" x14ac:dyDescent="0.2">
      <c r="B1765" s="206" t="s">
        <v>3089</v>
      </c>
      <c r="C1765" s="205">
        <v>916</v>
      </c>
      <c r="D1765" s="147">
        <f t="shared" si="93"/>
        <v>0.5530374567201658</v>
      </c>
      <c r="E1765" s="148">
        <f t="shared" si="92"/>
        <v>9.6021783946373726E-5</v>
      </c>
      <c r="F1765" s="148">
        <f t="shared" si="94"/>
        <v>7.3487169456015702E-2</v>
      </c>
    </row>
    <row r="1766" spans="2:6" x14ac:dyDescent="0.2">
      <c r="B1766" s="115" t="s">
        <v>1298</v>
      </c>
      <c r="C1766" s="114">
        <v>916</v>
      </c>
      <c r="D1766" s="147">
        <f t="shared" si="93"/>
        <v>0.5533522190745882</v>
      </c>
      <c r="E1766" s="148">
        <f t="shared" si="92"/>
        <v>9.6021783946373726E-5</v>
      </c>
      <c r="F1766" s="148">
        <f t="shared" si="94"/>
        <v>7.358319123996207E-2</v>
      </c>
    </row>
    <row r="1767" spans="2:6" x14ac:dyDescent="0.2">
      <c r="B1767" s="206" t="s">
        <v>376</v>
      </c>
      <c r="C1767" s="205">
        <v>916</v>
      </c>
      <c r="D1767" s="147">
        <f t="shared" si="93"/>
        <v>0.55366698142901061</v>
      </c>
      <c r="E1767" s="148">
        <f t="shared" si="92"/>
        <v>9.6021783946373726E-5</v>
      </c>
      <c r="F1767" s="148">
        <f t="shared" si="94"/>
        <v>7.3679213023908438E-2</v>
      </c>
    </row>
    <row r="1768" spans="2:6" x14ac:dyDescent="0.2">
      <c r="B1768" s="206" t="s">
        <v>1317</v>
      </c>
      <c r="C1768" s="205">
        <v>918</v>
      </c>
      <c r="D1768" s="147">
        <f t="shared" si="93"/>
        <v>0.55398174378343301</v>
      </c>
      <c r="E1768" s="148">
        <f t="shared" si="92"/>
        <v>9.6231438496474978E-5</v>
      </c>
      <c r="F1768" s="148">
        <f t="shared" si="94"/>
        <v>7.3775444462404915E-2</v>
      </c>
    </row>
    <row r="1769" spans="2:6" x14ac:dyDescent="0.2">
      <c r="B1769" s="115" t="s">
        <v>1269</v>
      </c>
      <c r="C1769" s="114">
        <v>918</v>
      </c>
      <c r="D1769" s="147">
        <f t="shared" si="93"/>
        <v>0.55429650613785542</v>
      </c>
      <c r="E1769" s="148">
        <f t="shared" si="92"/>
        <v>9.6231438496474978E-5</v>
      </c>
      <c r="F1769" s="148">
        <f t="shared" si="94"/>
        <v>7.3871675900901393E-2</v>
      </c>
    </row>
    <row r="1770" spans="2:6" x14ac:dyDescent="0.2">
      <c r="B1770" s="115" t="s">
        <v>322</v>
      </c>
      <c r="C1770" s="114">
        <v>918</v>
      </c>
      <c r="D1770" s="147">
        <f t="shared" si="93"/>
        <v>0.55461126849227782</v>
      </c>
      <c r="E1770" s="148">
        <f t="shared" si="92"/>
        <v>9.6231438496474978E-5</v>
      </c>
      <c r="F1770" s="148">
        <f t="shared" si="94"/>
        <v>7.396790733939787E-2</v>
      </c>
    </row>
    <row r="1771" spans="2:6" x14ac:dyDescent="0.2">
      <c r="B1771" s="115" t="s">
        <v>2270</v>
      </c>
      <c r="C1771" s="114">
        <v>919</v>
      </c>
      <c r="D1771" s="147">
        <f t="shared" si="93"/>
        <v>0.55492603084670022</v>
      </c>
      <c r="E1771" s="148">
        <f t="shared" si="92"/>
        <v>9.6336265771525603E-5</v>
      </c>
      <c r="F1771" s="148">
        <f t="shared" si="94"/>
        <v>7.4064243605169403E-2</v>
      </c>
    </row>
    <row r="1772" spans="2:6" x14ac:dyDescent="0.2">
      <c r="B1772" s="115" t="s">
        <v>2124</v>
      </c>
      <c r="C1772" s="114">
        <v>919</v>
      </c>
      <c r="D1772" s="147">
        <f t="shared" si="93"/>
        <v>0.55524079320112263</v>
      </c>
      <c r="E1772" s="148">
        <f t="shared" si="92"/>
        <v>9.6336265771525603E-5</v>
      </c>
      <c r="F1772" s="148">
        <f t="shared" si="94"/>
        <v>7.4160579870940935E-2</v>
      </c>
    </row>
    <row r="1773" spans="2:6" x14ac:dyDescent="0.2">
      <c r="B1773" s="115" t="s">
        <v>182</v>
      </c>
      <c r="C1773" s="114">
        <v>920</v>
      </c>
      <c r="D1773" s="147">
        <f t="shared" si="93"/>
        <v>0.55555555555554503</v>
      </c>
      <c r="E1773" s="148">
        <f t="shared" si="92"/>
        <v>9.6441093046576229E-5</v>
      </c>
      <c r="F1773" s="148">
        <f t="shared" si="94"/>
        <v>7.4257020963987508E-2</v>
      </c>
    </row>
    <row r="1774" spans="2:6" x14ac:dyDescent="0.2">
      <c r="B1774" s="115" t="s">
        <v>60</v>
      </c>
      <c r="C1774" s="114">
        <v>920</v>
      </c>
      <c r="D1774" s="147">
        <f t="shared" si="93"/>
        <v>0.55587031790996744</v>
      </c>
      <c r="E1774" s="148">
        <f t="shared" si="92"/>
        <v>9.6441093046576229E-5</v>
      </c>
      <c r="F1774" s="148">
        <f t="shared" si="94"/>
        <v>7.4353462057034081E-2</v>
      </c>
    </row>
    <row r="1775" spans="2:6" x14ac:dyDescent="0.2">
      <c r="B1775" s="115" t="s">
        <v>2170</v>
      </c>
      <c r="C1775" s="114">
        <v>921</v>
      </c>
      <c r="D1775" s="147">
        <f t="shared" si="93"/>
        <v>0.55618508026438984</v>
      </c>
      <c r="E1775" s="148">
        <f t="shared" si="92"/>
        <v>9.6545920321626855E-5</v>
      </c>
      <c r="F1775" s="148">
        <f t="shared" si="94"/>
        <v>7.4450007977355709E-2</v>
      </c>
    </row>
    <row r="1776" spans="2:6" x14ac:dyDescent="0.2">
      <c r="B1776" s="206" t="s">
        <v>1843</v>
      </c>
      <c r="C1776" s="205">
        <v>921</v>
      </c>
      <c r="D1776" s="147">
        <f t="shared" si="93"/>
        <v>0.55649984261881225</v>
      </c>
      <c r="E1776" s="148">
        <f t="shared" si="92"/>
        <v>9.6545920321626855E-5</v>
      </c>
      <c r="F1776" s="148">
        <f t="shared" si="94"/>
        <v>7.4546553897677337E-2</v>
      </c>
    </row>
    <row r="1777" spans="2:6" x14ac:dyDescent="0.2">
      <c r="B1777" s="115" t="s">
        <v>915</v>
      </c>
      <c r="C1777" s="114">
        <v>922</v>
      </c>
      <c r="D1777" s="147">
        <f t="shared" si="93"/>
        <v>0.55681460497323465</v>
      </c>
      <c r="E1777" s="148">
        <f t="shared" si="92"/>
        <v>9.665074759667748E-5</v>
      </c>
      <c r="F1777" s="148">
        <f t="shared" si="94"/>
        <v>7.4643204645274019E-2</v>
      </c>
    </row>
    <row r="1778" spans="2:6" x14ac:dyDescent="0.2">
      <c r="B1778" s="115" t="s">
        <v>2684</v>
      </c>
      <c r="C1778" s="114">
        <v>924</v>
      </c>
      <c r="D1778" s="147">
        <f t="shared" si="93"/>
        <v>0.55712936732765705</v>
      </c>
      <c r="E1778" s="148">
        <f t="shared" si="92"/>
        <v>9.6860402146778732E-5</v>
      </c>
      <c r="F1778" s="148">
        <f t="shared" si="94"/>
        <v>7.4740065047420798E-2</v>
      </c>
    </row>
    <row r="1779" spans="2:6" x14ac:dyDescent="0.2">
      <c r="B1779" s="206" t="s">
        <v>1107</v>
      </c>
      <c r="C1779" s="205">
        <v>924</v>
      </c>
      <c r="D1779" s="147">
        <f t="shared" si="93"/>
        <v>0.55744412968207946</v>
      </c>
      <c r="E1779" s="148">
        <f t="shared" si="92"/>
        <v>9.6860402146778732E-5</v>
      </c>
      <c r="F1779" s="148">
        <f t="shared" si="94"/>
        <v>7.4836925449567576E-2</v>
      </c>
    </row>
    <row r="1780" spans="2:6" x14ac:dyDescent="0.2">
      <c r="B1780" s="206" t="s">
        <v>1532</v>
      </c>
      <c r="C1780" s="205">
        <v>925</v>
      </c>
      <c r="D1780" s="147">
        <f t="shared" si="93"/>
        <v>0.55775889203650186</v>
      </c>
      <c r="E1780" s="148">
        <f t="shared" si="92"/>
        <v>9.6965229421829357E-5</v>
      </c>
      <c r="F1780" s="148">
        <f t="shared" si="94"/>
        <v>7.4933890678989409E-2</v>
      </c>
    </row>
    <row r="1781" spans="2:6" x14ac:dyDescent="0.2">
      <c r="B1781" s="115" t="s">
        <v>3134</v>
      </c>
      <c r="C1781" s="114">
        <v>926</v>
      </c>
      <c r="D1781" s="147">
        <f t="shared" si="93"/>
        <v>0.55807365439092427</v>
      </c>
      <c r="E1781" s="148">
        <f t="shared" si="92"/>
        <v>9.7070056696879983E-5</v>
      </c>
      <c r="F1781" s="148">
        <f t="shared" si="94"/>
        <v>7.5030960735686283E-2</v>
      </c>
    </row>
    <row r="1782" spans="2:6" x14ac:dyDescent="0.2">
      <c r="B1782" s="115" t="s">
        <v>2623</v>
      </c>
      <c r="C1782" s="114">
        <v>926</v>
      </c>
      <c r="D1782" s="147">
        <f t="shared" si="93"/>
        <v>0.55838841674534667</v>
      </c>
      <c r="E1782" s="148">
        <f t="shared" si="92"/>
        <v>9.7070056696879983E-5</v>
      </c>
      <c r="F1782" s="148">
        <f t="shared" si="94"/>
        <v>7.5128030792383158E-2</v>
      </c>
    </row>
    <row r="1783" spans="2:6" x14ac:dyDescent="0.2">
      <c r="B1783" s="206" t="s">
        <v>1848</v>
      </c>
      <c r="C1783" s="205">
        <v>926</v>
      </c>
      <c r="D1783" s="147">
        <f t="shared" si="93"/>
        <v>0.55870317909976908</v>
      </c>
      <c r="E1783" s="148">
        <f t="shared" si="92"/>
        <v>9.7070056696879983E-5</v>
      </c>
      <c r="F1783" s="148">
        <f t="shared" si="94"/>
        <v>7.5225100849080032E-2</v>
      </c>
    </row>
    <row r="1784" spans="2:6" x14ac:dyDescent="0.2">
      <c r="B1784" s="115" t="s">
        <v>553</v>
      </c>
      <c r="C1784" s="114">
        <v>926</v>
      </c>
      <c r="D1784" s="147">
        <f t="shared" si="93"/>
        <v>0.55901794145419148</v>
      </c>
      <c r="E1784" s="148">
        <f t="shared" si="92"/>
        <v>9.7070056696879983E-5</v>
      </c>
      <c r="F1784" s="148">
        <f t="shared" si="94"/>
        <v>7.5322170905776906E-2</v>
      </c>
    </row>
    <row r="1785" spans="2:6" x14ac:dyDescent="0.2">
      <c r="B1785" s="115" t="s">
        <v>2112</v>
      </c>
      <c r="C1785" s="114">
        <v>927</v>
      </c>
      <c r="D1785" s="147">
        <f t="shared" si="93"/>
        <v>0.55933270380861388</v>
      </c>
      <c r="E1785" s="148">
        <f t="shared" si="92"/>
        <v>9.7174883971930609E-5</v>
      </c>
      <c r="F1785" s="148">
        <f t="shared" si="94"/>
        <v>7.5419345789748835E-2</v>
      </c>
    </row>
    <row r="1786" spans="2:6" x14ac:dyDescent="0.2">
      <c r="B1786" s="115" t="s">
        <v>497</v>
      </c>
      <c r="C1786" s="114">
        <v>927</v>
      </c>
      <c r="D1786" s="147">
        <f t="shared" si="93"/>
        <v>0.55964746616303629</v>
      </c>
      <c r="E1786" s="148">
        <f t="shared" si="92"/>
        <v>9.7174883971930609E-5</v>
      </c>
      <c r="F1786" s="148">
        <f t="shared" si="94"/>
        <v>7.5516520673720763E-2</v>
      </c>
    </row>
    <row r="1787" spans="2:6" x14ac:dyDescent="0.2">
      <c r="B1787" s="206" t="s">
        <v>2336</v>
      </c>
      <c r="C1787" s="205">
        <v>930</v>
      </c>
      <c r="D1787" s="147">
        <f t="shared" si="93"/>
        <v>0.55996222851745869</v>
      </c>
      <c r="E1787" s="148">
        <f t="shared" si="92"/>
        <v>9.7489365797082486E-5</v>
      </c>
      <c r="F1787" s="148">
        <f t="shared" si="94"/>
        <v>7.5614010039517843E-2</v>
      </c>
    </row>
    <row r="1788" spans="2:6" x14ac:dyDescent="0.2">
      <c r="B1788" s="115" t="s">
        <v>1178</v>
      </c>
      <c r="C1788" s="114">
        <v>932</v>
      </c>
      <c r="D1788" s="147">
        <f t="shared" si="93"/>
        <v>0.5602769908718811</v>
      </c>
      <c r="E1788" s="148">
        <f t="shared" si="92"/>
        <v>9.7699020347183737E-5</v>
      </c>
      <c r="F1788" s="148">
        <f t="shared" si="94"/>
        <v>7.5711709059865032E-2</v>
      </c>
    </row>
    <row r="1789" spans="2:6" x14ac:dyDescent="0.2">
      <c r="B1789" s="206" t="s">
        <v>2569</v>
      </c>
      <c r="C1789" s="205">
        <v>934</v>
      </c>
      <c r="D1789" s="147">
        <f t="shared" si="93"/>
        <v>0.5605917532263035</v>
      </c>
      <c r="E1789" s="148">
        <f t="shared" si="92"/>
        <v>9.7908674897284988E-5</v>
      </c>
      <c r="F1789" s="148">
        <f t="shared" si="94"/>
        <v>7.5809617734762316E-2</v>
      </c>
    </row>
    <row r="1790" spans="2:6" x14ac:dyDescent="0.2">
      <c r="B1790" s="115" t="s">
        <v>50</v>
      </c>
      <c r="C1790" s="114">
        <v>936</v>
      </c>
      <c r="D1790" s="147">
        <f t="shared" si="93"/>
        <v>0.56090651558072591</v>
      </c>
      <c r="E1790" s="148">
        <f t="shared" si="92"/>
        <v>9.8118329447386253E-5</v>
      </c>
      <c r="F1790" s="148">
        <f t="shared" si="94"/>
        <v>7.5907736064209697E-2</v>
      </c>
    </row>
    <row r="1791" spans="2:6" x14ac:dyDescent="0.2">
      <c r="B1791" s="115" t="s">
        <v>785</v>
      </c>
      <c r="C1791" s="114">
        <v>938</v>
      </c>
      <c r="D1791" s="147">
        <f t="shared" si="93"/>
        <v>0.56122127793514831</v>
      </c>
      <c r="E1791" s="148">
        <f t="shared" si="92"/>
        <v>9.8327983997487504E-5</v>
      </c>
      <c r="F1791" s="148">
        <f t="shared" si="94"/>
        <v>7.6006064048207186E-2</v>
      </c>
    </row>
    <row r="1792" spans="2:6" x14ac:dyDescent="0.2">
      <c r="B1792" s="115" t="s">
        <v>264</v>
      </c>
      <c r="C1792" s="114">
        <v>938</v>
      </c>
      <c r="D1792" s="147">
        <f t="shared" si="93"/>
        <v>0.56153604028957071</v>
      </c>
      <c r="E1792" s="148">
        <f t="shared" si="92"/>
        <v>9.8327983997487504E-5</v>
      </c>
      <c r="F1792" s="148">
        <f t="shared" si="94"/>
        <v>7.6104392032204676E-2</v>
      </c>
    </row>
    <row r="1793" spans="2:6" x14ac:dyDescent="0.2">
      <c r="B1793" s="206" t="s">
        <v>1181</v>
      </c>
      <c r="C1793" s="205">
        <v>939</v>
      </c>
      <c r="D1793" s="147">
        <f t="shared" si="93"/>
        <v>0.56185080264399312</v>
      </c>
      <c r="E1793" s="148">
        <f t="shared" si="92"/>
        <v>9.843281127253813E-5</v>
      </c>
      <c r="F1793" s="148">
        <f t="shared" si="94"/>
        <v>7.6202824843477221E-2</v>
      </c>
    </row>
    <row r="1794" spans="2:6" x14ac:dyDescent="0.2">
      <c r="B1794" s="115" t="s">
        <v>1085</v>
      </c>
      <c r="C1794" s="114">
        <v>940</v>
      </c>
      <c r="D1794" s="147">
        <f t="shared" si="93"/>
        <v>0.56216556499841552</v>
      </c>
      <c r="E1794" s="148">
        <f t="shared" si="92"/>
        <v>9.8537638547588756E-5</v>
      </c>
      <c r="F1794" s="148">
        <f t="shared" si="94"/>
        <v>7.6301362482024807E-2</v>
      </c>
    </row>
    <row r="1795" spans="2:6" x14ac:dyDescent="0.2">
      <c r="B1795" s="206" t="s">
        <v>2167</v>
      </c>
      <c r="C1795" s="205">
        <v>941</v>
      </c>
      <c r="D1795" s="147">
        <f t="shared" si="93"/>
        <v>0.56248032735283793</v>
      </c>
      <c r="E1795" s="148">
        <f t="shared" si="92"/>
        <v>9.8642465822639381E-5</v>
      </c>
      <c r="F1795" s="148">
        <f t="shared" si="94"/>
        <v>7.6400004947847447E-2</v>
      </c>
    </row>
    <row r="1796" spans="2:6" x14ac:dyDescent="0.2">
      <c r="B1796" s="206" t="s">
        <v>1262</v>
      </c>
      <c r="C1796" s="205">
        <v>941</v>
      </c>
      <c r="D1796" s="147">
        <f t="shared" si="93"/>
        <v>0.56279508970726033</v>
      </c>
      <c r="E1796" s="148">
        <f t="shared" si="92"/>
        <v>9.8642465822639381E-5</v>
      </c>
      <c r="F1796" s="148">
        <f t="shared" si="94"/>
        <v>7.6498647413670087E-2</v>
      </c>
    </row>
    <row r="1797" spans="2:6" x14ac:dyDescent="0.2">
      <c r="B1797" s="115" t="s">
        <v>1092</v>
      </c>
      <c r="C1797" s="114">
        <v>941</v>
      </c>
      <c r="D1797" s="147">
        <f t="shared" si="93"/>
        <v>0.56310985206168274</v>
      </c>
      <c r="E1797" s="148">
        <f t="shared" si="92"/>
        <v>9.8642465822639381E-5</v>
      </c>
      <c r="F1797" s="148">
        <f t="shared" si="94"/>
        <v>7.6597289879492728E-2</v>
      </c>
    </row>
    <row r="1798" spans="2:6" x14ac:dyDescent="0.2">
      <c r="B1798" s="115" t="s">
        <v>2744</v>
      </c>
      <c r="C1798" s="114">
        <v>942</v>
      </c>
      <c r="D1798" s="147">
        <f t="shared" si="93"/>
        <v>0.56342461441610514</v>
      </c>
      <c r="E1798" s="148">
        <f t="shared" si="92"/>
        <v>9.8747293097690007E-5</v>
      </c>
      <c r="F1798" s="148">
        <f t="shared" si="94"/>
        <v>7.6696037172590423E-2</v>
      </c>
    </row>
    <row r="1799" spans="2:6" x14ac:dyDescent="0.2">
      <c r="B1799" s="206" t="s">
        <v>1028</v>
      </c>
      <c r="C1799" s="205">
        <v>942</v>
      </c>
      <c r="D1799" s="147">
        <f t="shared" si="93"/>
        <v>0.56373937677052754</v>
      </c>
      <c r="E1799" s="148">
        <f t="shared" si="92"/>
        <v>9.8747293097690007E-5</v>
      </c>
      <c r="F1799" s="148">
        <f t="shared" si="94"/>
        <v>7.6794784465688118E-2</v>
      </c>
    </row>
    <row r="1800" spans="2:6" x14ac:dyDescent="0.2">
      <c r="B1800" s="115" t="s">
        <v>1939</v>
      </c>
      <c r="C1800" s="114">
        <v>943</v>
      </c>
      <c r="D1800" s="147">
        <f t="shared" si="93"/>
        <v>0.56405413912494995</v>
      </c>
      <c r="E1800" s="148">
        <f t="shared" si="92"/>
        <v>9.8852120372740633E-5</v>
      </c>
      <c r="F1800" s="148">
        <f t="shared" si="94"/>
        <v>7.6893636586060854E-2</v>
      </c>
    </row>
    <row r="1801" spans="2:6" x14ac:dyDescent="0.2">
      <c r="B1801" s="206" t="s">
        <v>1628</v>
      </c>
      <c r="C1801" s="205">
        <v>945</v>
      </c>
      <c r="D1801" s="147">
        <f t="shared" si="93"/>
        <v>0.56436890147937235</v>
      </c>
      <c r="E1801" s="148">
        <f t="shared" ref="E1801:E1864" si="95">C1801/$O$18</f>
        <v>9.9061774922841884E-5</v>
      </c>
      <c r="F1801" s="148">
        <f t="shared" si="94"/>
        <v>7.69926983609837E-2</v>
      </c>
    </row>
    <row r="1802" spans="2:6" x14ac:dyDescent="0.2">
      <c r="B1802" s="115" t="s">
        <v>919</v>
      </c>
      <c r="C1802" s="114">
        <v>945</v>
      </c>
      <c r="D1802" s="147">
        <f t="shared" ref="D1802:D1865" si="96">D1801+1/$L$18</f>
        <v>0.56468366383379476</v>
      </c>
      <c r="E1802" s="148">
        <f t="shared" si="95"/>
        <v>9.9061774922841884E-5</v>
      </c>
      <c r="F1802" s="148">
        <f t="shared" ref="F1802:F1865" si="97">F1801+E1802</f>
        <v>7.7091760135906545E-2</v>
      </c>
    </row>
    <row r="1803" spans="2:6" x14ac:dyDescent="0.2">
      <c r="B1803" s="206" t="s">
        <v>1716</v>
      </c>
      <c r="C1803" s="205">
        <v>946</v>
      </c>
      <c r="D1803" s="147">
        <f t="shared" si="96"/>
        <v>0.56499842618821716</v>
      </c>
      <c r="E1803" s="148">
        <f t="shared" si="95"/>
        <v>9.916660219789251E-5</v>
      </c>
      <c r="F1803" s="148">
        <f t="shared" si="97"/>
        <v>7.7190926738104432E-2</v>
      </c>
    </row>
    <row r="1804" spans="2:6" x14ac:dyDescent="0.2">
      <c r="B1804" s="206" t="s">
        <v>1558</v>
      </c>
      <c r="C1804" s="205">
        <v>946</v>
      </c>
      <c r="D1804" s="147">
        <f t="shared" si="96"/>
        <v>0.56531318854263957</v>
      </c>
      <c r="E1804" s="148">
        <f t="shared" si="95"/>
        <v>9.916660219789251E-5</v>
      </c>
      <c r="F1804" s="148">
        <f t="shared" si="97"/>
        <v>7.7290093340302318E-2</v>
      </c>
    </row>
    <row r="1805" spans="2:6" x14ac:dyDescent="0.2">
      <c r="B1805" s="206" t="s">
        <v>2758</v>
      </c>
      <c r="C1805" s="205">
        <v>947</v>
      </c>
      <c r="D1805" s="147">
        <f t="shared" si="96"/>
        <v>0.56562795089706197</v>
      </c>
      <c r="E1805" s="148">
        <f t="shared" si="95"/>
        <v>9.9271429472943135E-5</v>
      </c>
      <c r="F1805" s="148">
        <f t="shared" si="97"/>
        <v>7.738936476977526E-2</v>
      </c>
    </row>
    <row r="1806" spans="2:6" x14ac:dyDescent="0.2">
      <c r="B1806" s="206" t="s">
        <v>1927</v>
      </c>
      <c r="C1806" s="205">
        <v>947</v>
      </c>
      <c r="D1806" s="147">
        <f t="shared" si="96"/>
        <v>0.56594271325148438</v>
      </c>
      <c r="E1806" s="148">
        <f t="shared" si="95"/>
        <v>9.9271429472943135E-5</v>
      </c>
      <c r="F1806" s="148">
        <f t="shared" si="97"/>
        <v>7.7488636199248201E-2</v>
      </c>
    </row>
    <row r="1807" spans="2:6" x14ac:dyDescent="0.2">
      <c r="B1807" s="115" t="s">
        <v>1224</v>
      </c>
      <c r="C1807" s="114">
        <v>947</v>
      </c>
      <c r="D1807" s="147">
        <f t="shared" si="96"/>
        <v>0.56625747560590678</v>
      </c>
      <c r="E1807" s="148">
        <f t="shared" si="95"/>
        <v>9.9271429472943135E-5</v>
      </c>
      <c r="F1807" s="148">
        <f t="shared" si="97"/>
        <v>7.7587907628721142E-2</v>
      </c>
    </row>
    <row r="1808" spans="2:6" x14ac:dyDescent="0.2">
      <c r="B1808" s="206" t="s">
        <v>783</v>
      </c>
      <c r="C1808" s="205">
        <v>949</v>
      </c>
      <c r="D1808" s="147">
        <f t="shared" si="96"/>
        <v>0.56657223796032918</v>
      </c>
      <c r="E1808" s="148">
        <f t="shared" si="95"/>
        <v>9.9481084023044387E-5</v>
      </c>
      <c r="F1808" s="148">
        <f t="shared" si="97"/>
        <v>7.7687388712744193E-2</v>
      </c>
    </row>
    <row r="1809" spans="2:6" x14ac:dyDescent="0.2">
      <c r="B1809" s="206" t="s">
        <v>556</v>
      </c>
      <c r="C1809" s="205">
        <v>950</v>
      </c>
      <c r="D1809" s="147">
        <f t="shared" si="96"/>
        <v>0.56688700031475159</v>
      </c>
      <c r="E1809" s="148">
        <f t="shared" si="95"/>
        <v>9.9585911298095012E-5</v>
      </c>
      <c r="F1809" s="148">
        <f t="shared" si="97"/>
        <v>7.7786974624042285E-2</v>
      </c>
    </row>
    <row r="1810" spans="2:6" x14ac:dyDescent="0.2">
      <c r="B1810" s="115" t="s">
        <v>2624</v>
      </c>
      <c r="C1810" s="114">
        <v>952</v>
      </c>
      <c r="D1810" s="147">
        <f t="shared" si="96"/>
        <v>0.56720176266917399</v>
      </c>
      <c r="E1810" s="148">
        <f t="shared" si="95"/>
        <v>9.9795565848196264E-5</v>
      </c>
      <c r="F1810" s="148">
        <f t="shared" si="97"/>
        <v>7.7886770189890486E-2</v>
      </c>
    </row>
    <row r="1811" spans="2:6" x14ac:dyDescent="0.2">
      <c r="B1811" s="115" t="s">
        <v>1894</v>
      </c>
      <c r="C1811" s="114">
        <v>952</v>
      </c>
      <c r="D1811" s="147">
        <f t="shared" si="96"/>
        <v>0.5675165250235964</v>
      </c>
      <c r="E1811" s="148">
        <f t="shared" si="95"/>
        <v>9.9795565848196264E-5</v>
      </c>
      <c r="F1811" s="148">
        <f t="shared" si="97"/>
        <v>7.7986565755738688E-2</v>
      </c>
    </row>
    <row r="1812" spans="2:6" x14ac:dyDescent="0.2">
      <c r="B1812" s="115" t="s">
        <v>1330</v>
      </c>
      <c r="C1812" s="114">
        <v>952</v>
      </c>
      <c r="D1812" s="147">
        <f t="shared" si="96"/>
        <v>0.5678312873780188</v>
      </c>
      <c r="E1812" s="148">
        <f t="shared" si="95"/>
        <v>9.9795565848196264E-5</v>
      </c>
      <c r="F1812" s="148">
        <f t="shared" si="97"/>
        <v>7.8086361321586889E-2</v>
      </c>
    </row>
    <row r="1813" spans="2:6" x14ac:dyDescent="0.2">
      <c r="B1813" s="206" t="s">
        <v>1963</v>
      </c>
      <c r="C1813" s="205">
        <v>954</v>
      </c>
      <c r="D1813" s="147">
        <f t="shared" si="96"/>
        <v>0.56814604973244121</v>
      </c>
      <c r="E1813" s="148">
        <f t="shared" si="95"/>
        <v>1.0000522039829752E-4</v>
      </c>
      <c r="F1813" s="148">
        <f t="shared" si="97"/>
        <v>7.8186366541985186E-2</v>
      </c>
    </row>
    <row r="1814" spans="2:6" x14ac:dyDescent="0.2">
      <c r="B1814" s="115" t="s">
        <v>1793</v>
      </c>
      <c r="C1814" s="114">
        <v>957</v>
      </c>
      <c r="D1814" s="147">
        <f t="shared" si="96"/>
        <v>0.56846081208686361</v>
      </c>
      <c r="E1814" s="148">
        <f t="shared" si="95"/>
        <v>1.0031970222344941E-4</v>
      </c>
      <c r="F1814" s="148">
        <f t="shared" si="97"/>
        <v>7.8286686244208634E-2</v>
      </c>
    </row>
    <row r="1815" spans="2:6" x14ac:dyDescent="0.2">
      <c r="B1815" s="115" t="s">
        <v>1455</v>
      </c>
      <c r="C1815" s="114">
        <v>957</v>
      </c>
      <c r="D1815" s="147">
        <f t="shared" si="96"/>
        <v>0.56877557444128601</v>
      </c>
      <c r="E1815" s="148">
        <f t="shared" si="95"/>
        <v>1.0031970222344941E-4</v>
      </c>
      <c r="F1815" s="148">
        <f t="shared" si="97"/>
        <v>7.8387005946432081E-2</v>
      </c>
    </row>
    <row r="1816" spans="2:6" x14ac:dyDescent="0.2">
      <c r="B1816" s="115" t="s">
        <v>2503</v>
      </c>
      <c r="C1816" s="114">
        <v>962</v>
      </c>
      <c r="D1816" s="147">
        <f t="shared" si="96"/>
        <v>0.56909033679570842</v>
      </c>
      <c r="E1816" s="148">
        <f t="shared" si="95"/>
        <v>1.0084383859870253E-4</v>
      </c>
      <c r="F1816" s="148">
        <f t="shared" si="97"/>
        <v>7.8487849785030789E-2</v>
      </c>
    </row>
    <row r="1817" spans="2:6" x14ac:dyDescent="0.2">
      <c r="B1817" s="206" t="s">
        <v>1993</v>
      </c>
      <c r="C1817" s="205">
        <v>963</v>
      </c>
      <c r="D1817" s="147">
        <f t="shared" si="96"/>
        <v>0.56940509915013082</v>
      </c>
      <c r="E1817" s="148">
        <f t="shared" si="95"/>
        <v>1.0094866587375316E-4</v>
      </c>
      <c r="F1817" s="148">
        <f t="shared" si="97"/>
        <v>7.8588798450904537E-2</v>
      </c>
    </row>
    <row r="1818" spans="2:6" x14ac:dyDescent="0.2">
      <c r="B1818" s="206" t="s">
        <v>1670</v>
      </c>
      <c r="C1818" s="205">
        <v>965</v>
      </c>
      <c r="D1818" s="147">
        <f t="shared" si="96"/>
        <v>0.56971986150455323</v>
      </c>
      <c r="E1818" s="148">
        <f t="shared" si="95"/>
        <v>1.0115832042385441E-4</v>
      </c>
      <c r="F1818" s="148">
        <f t="shared" si="97"/>
        <v>7.8689956771328395E-2</v>
      </c>
    </row>
    <row r="1819" spans="2:6" x14ac:dyDescent="0.2">
      <c r="B1819" s="206" t="s">
        <v>646</v>
      </c>
      <c r="C1819" s="205">
        <v>965</v>
      </c>
      <c r="D1819" s="147">
        <f t="shared" si="96"/>
        <v>0.57003462385897563</v>
      </c>
      <c r="E1819" s="148">
        <f t="shared" si="95"/>
        <v>1.0115832042385441E-4</v>
      </c>
      <c r="F1819" s="148">
        <f t="shared" si="97"/>
        <v>7.8791115091752253E-2</v>
      </c>
    </row>
    <row r="1820" spans="2:6" x14ac:dyDescent="0.2">
      <c r="B1820" s="206" t="s">
        <v>3015</v>
      </c>
      <c r="C1820" s="205">
        <v>966</v>
      </c>
      <c r="D1820" s="147">
        <f t="shared" si="96"/>
        <v>0.57034938621339804</v>
      </c>
      <c r="E1820" s="148">
        <f t="shared" si="95"/>
        <v>1.0126314769890504E-4</v>
      </c>
      <c r="F1820" s="148">
        <f t="shared" si="97"/>
        <v>7.8892378239451152E-2</v>
      </c>
    </row>
    <row r="1821" spans="2:6" x14ac:dyDescent="0.2">
      <c r="B1821" s="206" t="s">
        <v>554</v>
      </c>
      <c r="C1821" s="205">
        <v>967</v>
      </c>
      <c r="D1821" s="147">
        <f t="shared" si="96"/>
        <v>0.57066414856782044</v>
      </c>
      <c r="E1821" s="148">
        <f t="shared" si="95"/>
        <v>1.0136797497395566E-4</v>
      </c>
      <c r="F1821" s="148">
        <f t="shared" si="97"/>
        <v>7.8993746214425106E-2</v>
      </c>
    </row>
    <row r="1822" spans="2:6" x14ac:dyDescent="0.2">
      <c r="B1822" s="206" t="s">
        <v>2631</v>
      </c>
      <c r="C1822" s="205">
        <v>969</v>
      </c>
      <c r="D1822" s="147">
        <f t="shared" si="96"/>
        <v>0.57097891092224284</v>
      </c>
      <c r="E1822" s="148">
        <f t="shared" si="95"/>
        <v>1.0157762952405691E-4</v>
      </c>
      <c r="F1822" s="148">
        <f t="shared" si="97"/>
        <v>7.909532384394917E-2</v>
      </c>
    </row>
    <row r="1823" spans="2:6" x14ac:dyDescent="0.2">
      <c r="B1823" s="206" t="s">
        <v>2311</v>
      </c>
      <c r="C1823" s="205">
        <v>970</v>
      </c>
      <c r="D1823" s="147">
        <f t="shared" si="96"/>
        <v>0.57129367327666525</v>
      </c>
      <c r="E1823" s="148">
        <f t="shared" si="95"/>
        <v>1.0168245679910754E-4</v>
      </c>
      <c r="F1823" s="148">
        <f t="shared" si="97"/>
        <v>7.9197006300748274E-2</v>
      </c>
    </row>
    <row r="1824" spans="2:6" x14ac:dyDescent="0.2">
      <c r="B1824" s="115" t="s">
        <v>455</v>
      </c>
      <c r="C1824" s="114">
        <v>971</v>
      </c>
      <c r="D1824" s="147">
        <f t="shared" si="96"/>
        <v>0.57160843563108765</v>
      </c>
      <c r="E1824" s="148">
        <f t="shared" si="95"/>
        <v>1.0178728407415816E-4</v>
      </c>
      <c r="F1824" s="148">
        <f t="shared" si="97"/>
        <v>7.9298793584822433E-2</v>
      </c>
    </row>
    <row r="1825" spans="2:6" x14ac:dyDescent="0.2">
      <c r="B1825" s="115" t="s">
        <v>2418</v>
      </c>
      <c r="C1825" s="114">
        <v>973</v>
      </c>
      <c r="D1825" s="147">
        <f t="shared" si="96"/>
        <v>0.57192319798551006</v>
      </c>
      <c r="E1825" s="148">
        <f t="shared" si="95"/>
        <v>1.0199693862425942E-4</v>
      </c>
      <c r="F1825" s="148">
        <f t="shared" si="97"/>
        <v>7.9400790523446688E-2</v>
      </c>
    </row>
    <row r="1826" spans="2:6" x14ac:dyDescent="0.2">
      <c r="B1826" s="206" t="s">
        <v>2264</v>
      </c>
      <c r="C1826" s="205">
        <v>973</v>
      </c>
      <c r="D1826" s="147">
        <f t="shared" si="96"/>
        <v>0.57223796033993246</v>
      </c>
      <c r="E1826" s="148">
        <f t="shared" si="95"/>
        <v>1.0199693862425942E-4</v>
      </c>
      <c r="F1826" s="148">
        <f t="shared" si="97"/>
        <v>7.9502787462070942E-2</v>
      </c>
    </row>
    <row r="1827" spans="2:6" x14ac:dyDescent="0.2">
      <c r="B1827" s="115" t="s">
        <v>1770</v>
      </c>
      <c r="C1827" s="114">
        <v>973</v>
      </c>
      <c r="D1827" s="147">
        <f t="shared" si="96"/>
        <v>0.57255272269435487</v>
      </c>
      <c r="E1827" s="148">
        <f t="shared" si="95"/>
        <v>1.0199693862425942E-4</v>
      </c>
      <c r="F1827" s="148">
        <f t="shared" si="97"/>
        <v>7.9604784400695197E-2</v>
      </c>
    </row>
    <row r="1828" spans="2:6" x14ac:dyDescent="0.2">
      <c r="B1828" s="115" t="s">
        <v>488</v>
      </c>
      <c r="C1828" s="114">
        <v>973</v>
      </c>
      <c r="D1828" s="147">
        <f t="shared" si="96"/>
        <v>0.57286748504877727</v>
      </c>
      <c r="E1828" s="148">
        <f t="shared" si="95"/>
        <v>1.0199693862425942E-4</v>
      </c>
      <c r="F1828" s="148">
        <f t="shared" si="97"/>
        <v>7.9706781339319452E-2</v>
      </c>
    </row>
    <row r="1829" spans="2:6" x14ac:dyDescent="0.2">
      <c r="B1829" s="206" t="s">
        <v>353</v>
      </c>
      <c r="C1829" s="205">
        <v>973</v>
      </c>
      <c r="D1829" s="147">
        <f t="shared" si="96"/>
        <v>0.57318224740319967</v>
      </c>
      <c r="E1829" s="148">
        <f t="shared" si="95"/>
        <v>1.0199693862425942E-4</v>
      </c>
      <c r="F1829" s="148">
        <f t="shared" si="97"/>
        <v>7.9808778277943707E-2</v>
      </c>
    </row>
    <row r="1830" spans="2:6" x14ac:dyDescent="0.2">
      <c r="B1830" s="206" t="s">
        <v>259</v>
      </c>
      <c r="C1830" s="205">
        <v>973</v>
      </c>
      <c r="D1830" s="147">
        <f t="shared" si="96"/>
        <v>0.57349700975762208</v>
      </c>
      <c r="E1830" s="148">
        <f t="shared" si="95"/>
        <v>1.0199693862425942E-4</v>
      </c>
      <c r="F1830" s="148">
        <f t="shared" si="97"/>
        <v>7.9910775216567961E-2</v>
      </c>
    </row>
    <row r="1831" spans="2:6" x14ac:dyDescent="0.2">
      <c r="B1831" s="206" t="s">
        <v>878</v>
      </c>
      <c r="C1831" s="205">
        <v>975</v>
      </c>
      <c r="D1831" s="147">
        <f t="shared" si="96"/>
        <v>0.57381177211204448</v>
      </c>
      <c r="E1831" s="148">
        <f t="shared" si="95"/>
        <v>1.0220659317436068E-4</v>
      </c>
      <c r="F1831" s="148">
        <f t="shared" si="97"/>
        <v>8.0012981809742326E-2</v>
      </c>
    </row>
    <row r="1832" spans="2:6" x14ac:dyDescent="0.2">
      <c r="B1832" s="115" t="s">
        <v>910</v>
      </c>
      <c r="C1832" s="114">
        <v>976</v>
      </c>
      <c r="D1832" s="147">
        <f t="shared" si="96"/>
        <v>0.57412653446646689</v>
      </c>
      <c r="E1832" s="148">
        <f t="shared" si="95"/>
        <v>1.0231142044941131E-4</v>
      </c>
      <c r="F1832" s="148">
        <f t="shared" si="97"/>
        <v>8.0115293230191731E-2</v>
      </c>
    </row>
    <row r="1833" spans="2:6" x14ac:dyDescent="0.2">
      <c r="B1833" s="206" t="s">
        <v>126</v>
      </c>
      <c r="C1833" s="205">
        <v>976</v>
      </c>
      <c r="D1833" s="147">
        <f t="shared" si="96"/>
        <v>0.57444129682088929</v>
      </c>
      <c r="E1833" s="148">
        <f t="shared" si="95"/>
        <v>1.0231142044941131E-4</v>
      </c>
      <c r="F1833" s="148">
        <f t="shared" si="97"/>
        <v>8.0217604650641136E-2</v>
      </c>
    </row>
    <row r="1834" spans="2:6" x14ac:dyDescent="0.2">
      <c r="B1834" s="115" t="s">
        <v>2128</v>
      </c>
      <c r="C1834" s="114">
        <v>977</v>
      </c>
      <c r="D1834" s="147">
        <f t="shared" si="96"/>
        <v>0.5747560591753117</v>
      </c>
      <c r="E1834" s="148">
        <f t="shared" si="95"/>
        <v>1.0241624772446193E-4</v>
      </c>
      <c r="F1834" s="148">
        <f t="shared" si="97"/>
        <v>8.0320020898365596E-2</v>
      </c>
    </row>
    <row r="1835" spans="2:6" x14ac:dyDescent="0.2">
      <c r="B1835" s="206" t="s">
        <v>1197</v>
      </c>
      <c r="C1835" s="205">
        <v>979</v>
      </c>
      <c r="D1835" s="147">
        <f t="shared" si="96"/>
        <v>0.5750708215297341</v>
      </c>
      <c r="E1835" s="148">
        <f t="shared" si="95"/>
        <v>1.0262590227456318E-4</v>
      </c>
      <c r="F1835" s="148">
        <f t="shared" si="97"/>
        <v>8.0422646800640166E-2</v>
      </c>
    </row>
    <row r="1836" spans="2:6" x14ac:dyDescent="0.2">
      <c r="B1836" s="115" t="s">
        <v>40</v>
      </c>
      <c r="C1836" s="114">
        <v>980</v>
      </c>
      <c r="D1836" s="147">
        <f t="shared" si="96"/>
        <v>0.5753855838841565</v>
      </c>
      <c r="E1836" s="148">
        <f t="shared" si="95"/>
        <v>1.0273072954961381E-4</v>
      </c>
      <c r="F1836" s="148">
        <f t="shared" si="97"/>
        <v>8.0525377530189776E-2</v>
      </c>
    </row>
    <row r="1837" spans="2:6" x14ac:dyDescent="0.2">
      <c r="B1837" s="115" t="s">
        <v>1318</v>
      </c>
      <c r="C1837" s="114">
        <v>984</v>
      </c>
      <c r="D1837" s="147">
        <f t="shared" si="96"/>
        <v>0.57570034623857891</v>
      </c>
      <c r="E1837" s="148">
        <f t="shared" si="95"/>
        <v>1.0315003864981631E-4</v>
      </c>
      <c r="F1837" s="148">
        <f t="shared" si="97"/>
        <v>8.0628527568839592E-2</v>
      </c>
    </row>
    <row r="1838" spans="2:6" x14ac:dyDescent="0.2">
      <c r="B1838" s="115" t="s">
        <v>837</v>
      </c>
      <c r="C1838" s="114">
        <v>984</v>
      </c>
      <c r="D1838" s="147">
        <f t="shared" si="96"/>
        <v>0.57601510859300131</v>
      </c>
      <c r="E1838" s="148">
        <f t="shared" si="95"/>
        <v>1.0315003864981631E-4</v>
      </c>
      <c r="F1838" s="148">
        <f t="shared" si="97"/>
        <v>8.0731677607489408E-2</v>
      </c>
    </row>
    <row r="1839" spans="2:6" x14ac:dyDescent="0.2">
      <c r="B1839" s="115" t="s">
        <v>740</v>
      </c>
      <c r="C1839" s="114">
        <v>984</v>
      </c>
      <c r="D1839" s="147">
        <f t="shared" si="96"/>
        <v>0.57632987094742372</v>
      </c>
      <c r="E1839" s="148">
        <f t="shared" si="95"/>
        <v>1.0315003864981631E-4</v>
      </c>
      <c r="F1839" s="148">
        <f t="shared" si="97"/>
        <v>8.0834827646139223E-2</v>
      </c>
    </row>
    <row r="1840" spans="2:6" x14ac:dyDescent="0.2">
      <c r="B1840" s="206" t="s">
        <v>940</v>
      </c>
      <c r="C1840" s="205">
        <v>985</v>
      </c>
      <c r="D1840" s="147">
        <f t="shared" si="96"/>
        <v>0.57664463330184612</v>
      </c>
      <c r="E1840" s="148">
        <f t="shared" si="95"/>
        <v>1.0325486592486694E-4</v>
      </c>
      <c r="F1840" s="148">
        <f t="shared" si="97"/>
        <v>8.0938082512064094E-2</v>
      </c>
    </row>
    <row r="1841" spans="2:6" x14ac:dyDescent="0.2">
      <c r="B1841" s="206" t="s">
        <v>2867</v>
      </c>
      <c r="C1841" s="205">
        <v>986</v>
      </c>
      <c r="D1841" s="147">
        <f t="shared" si="96"/>
        <v>0.57695939565626853</v>
      </c>
      <c r="E1841" s="148">
        <f t="shared" si="95"/>
        <v>1.0335969319991756E-4</v>
      </c>
      <c r="F1841" s="148">
        <f t="shared" si="97"/>
        <v>8.1041442205264005E-2</v>
      </c>
    </row>
    <row r="1842" spans="2:6" x14ac:dyDescent="0.2">
      <c r="B1842" s="115" t="s">
        <v>496</v>
      </c>
      <c r="C1842" s="114">
        <v>986</v>
      </c>
      <c r="D1842" s="147">
        <f t="shared" si="96"/>
        <v>0.57727415801069093</v>
      </c>
      <c r="E1842" s="148">
        <f t="shared" si="95"/>
        <v>1.0335969319991756E-4</v>
      </c>
      <c r="F1842" s="148">
        <f t="shared" si="97"/>
        <v>8.1144801898463917E-2</v>
      </c>
    </row>
    <row r="1843" spans="2:6" x14ac:dyDescent="0.2">
      <c r="B1843" s="115" t="s">
        <v>2901</v>
      </c>
      <c r="C1843" s="114">
        <v>987</v>
      </c>
      <c r="D1843" s="147">
        <f t="shared" si="96"/>
        <v>0.57758892036511333</v>
      </c>
      <c r="E1843" s="148">
        <f t="shared" si="95"/>
        <v>1.0346452047496819E-4</v>
      </c>
      <c r="F1843" s="148">
        <f t="shared" si="97"/>
        <v>8.1248266418938883E-2</v>
      </c>
    </row>
    <row r="1844" spans="2:6" x14ac:dyDescent="0.2">
      <c r="B1844" s="206" t="s">
        <v>2241</v>
      </c>
      <c r="C1844" s="205">
        <v>989</v>
      </c>
      <c r="D1844" s="147">
        <f t="shared" si="96"/>
        <v>0.57790368271953574</v>
      </c>
      <c r="E1844" s="148">
        <f t="shared" si="95"/>
        <v>1.0367417502506944E-4</v>
      </c>
      <c r="F1844" s="148">
        <f t="shared" si="97"/>
        <v>8.1351940593963959E-2</v>
      </c>
    </row>
    <row r="1845" spans="2:6" x14ac:dyDescent="0.2">
      <c r="B1845" s="206" t="s">
        <v>178</v>
      </c>
      <c r="C1845" s="205">
        <v>989</v>
      </c>
      <c r="D1845" s="147">
        <f t="shared" si="96"/>
        <v>0.57821844507395814</v>
      </c>
      <c r="E1845" s="148">
        <f t="shared" si="95"/>
        <v>1.0367417502506944E-4</v>
      </c>
      <c r="F1845" s="148">
        <f t="shared" si="97"/>
        <v>8.1455614768989035E-2</v>
      </c>
    </row>
    <row r="1846" spans="2:6" x14ac:dyDescent="0.2">
      <c r="B1846" s="206" t="s">
        <v>382</v>
      </c>
      <c r="C1846" s="205">
        <v>991</v>
      </c>
      <c r="D1846" s="147">
        <f t="shared" si="96"/>
        <v>0.57853320742838055</v>
      </c>
      <c r="E1846" s="148">
        <f t="shared" si="95"/>
        <v>1.0388382957517069E-4</v>
      </c>
      <c r="F1846" s="148">
        <f t="shared" si="97"/>
        <v>8.1559498598564206E-2</v>
      </c>
    </row>
    <row r="1847" spans="2:6" x14ac:dyDescent="0.2">
      <c r="B1847" s="206" t="s">
        <v>2165</v>
      </c>
      <c r="C1847" s="205">
        <v>993</v>
      </c>
      <c r="D1847" s="147">
        <f t="shared" si="96"/>
        <v>0.57884796978280295</v>
      </c>
      <c r="E1847" s="148">
        <f t="shared" si="95"/>
        <v>1.0409348412527194E-4</v>
      </c>
      <c r="F1847" s="148">
        <f t="shared" si="97"/>
        <v>8.1663592082689473E-2</v>
      </c>
    </row>
    <row r="1848" spans="2:6" x14ac:dyDescent="0.2">
      <c r="B1848" s="206" t="s">
        <v>204</v>
      </c>
      <c r="C1848" s="205">
        <v>993</v>
      </c>
      <c r="D1848" s="147">
        <f t="shared" si="96"/>
        <v>0.57916273213722536</v>
      </c>
      <c r="E1848" s="148">
        <f t="shared" si="95"/>
        <v>1.0409348412527194E-4</v>
      </c>
      <c r="F1848" s="148">
        <f t="shared" si="97"/>
        <v>8.1767685566814741E-2</v>
      </c>
    </row>
    <row r="1849" spans="2:6" x14ac:dyDescent="0.2">
      <c r="B1849" s="115" t="s">
        <v>1340</v>
      </c>
      <c r="C1849" s="114">
        <v>994</v>
      </c>
      <c r="D1849" s="147">
        <f t="shared" si="96"/>
        <v>0.57947749449164776</v>
      </c>
      <c r="E1849" s="148">
        <f t="shared" si="95"/>
        <v>1.0419831140032257E-4</v>
      </c>
      <c r="F1849" s="148">
        <f t="shared" si="97"/>
        <v>8.1871883878215063E-2</v>
      </c>
    </row>
    <row r="1850" spans="2:6" x14ac:dyDescent="0.2">
      <c r="B1850" s="115" t="s">
        <v>2600</v>
      </c>
      <c r="C1850" s="114">
        <v>997</v>
      </c>
      <c r="D1850" s="147">
        <f t="shared" si="96"/>
        <v>0.57979225684607016</v>
      </c>
      <c r="E1850" s="148">
        <f t="shared" si="95"/>
        <v>1.0451279322547446E-4</v>
      </c>
      <c r="F1850" s="148">
        <f t="shared" si="97"/>
        <v>8.1976396671440535E-2</v>
      </c>
    </row>
    <row r="1851" spans="2:6" x14ac:dyDescent="0.2">
      <c r="B1851" s="115" t="s">
        <v>487</v>
      </c>
      <c r="C1851" s="114">
        <v>997</v>
      </c>
      <c r="D1851" s="147">
        <f t="shared" si="96"/>
        <v>0.58010701920049257</v>
      </c>
      <c r="E1851" s="148">
        <f t="shared" si="95"/>
        <v>1.0451279322547446E-4</v>
      </c>
      <c r="F1851" s="148">
        <f t="shared" si="97"/>
        <v>8.2080909464666008E-2</v>
      </c>
    </row>
    <row r="1852" spans="2:6" x14ac:dyDescent="0.2">
      <c r="B1852" s="115" t="s">
        <v>2803</v>
      </c>
      <c r="C1852" s="114">
        <v>999</v>
      </c>
      <c r="D1852" s="147">
        <f t="shared" si="96"/>
        <v>0.58042178155491497</v>
      </c>
      <c r="E1852" s="148">
        <f t="shared" si="95"/>
        <v>1.0472244777557571E-4</v>
      </c>
      <c r="F1852" s="148">
        <f t="shared" si="97"/>
        <v>8.218563191244159E-2</v>
      </c>
    </row>
    <row r="1853" spans="2:6" x14ac:dyDescent="0.2">
      <c r="B1853" s="115" t="s">
        <v>2760</v>
      </c>
      <c r="C1853" s="114">
        <v>1000</v>
      </c>
      <c r="D1853" s="147">
        <f t="shared" si="96"/>
        <v>0.58073654390933738</v>
      </c>
      <c r="E1853" s="148">
        <f t="shared" si="95"/>
        <v>1.0482727505062634E-4</v>
      </c>
      <c r="F1853" s="148">
        <f t="shared" si="97"/>
        <v>8.2290459187492213E-2</v>
      </c>
    </row>
    <row r="1854" spans="2:6" x14ac:dyDescent="0.2">
      <c r="B1854" s="206" t="s">
        <v>2880</v>
      </c>
      <c r="C1854" s="205">
        <v>1002</v>
      </c>
      <c r="D1854" s="147">
        <f t="shared" si="96"/>
        <v>0.58105130626375978</v>
      </c>
      <c r="E1854" s="148">
        <f t="shared" si="95"/>
        <v>1.0503692960072759E-4</v>
      </c>
      <c r="F1854" s="148">
        <f t="shared" si="97"/>
        <v>8.2395496117092945E-2</v>
      </c>
    </row>
    <row r="1855" spans="2:6" x14ac:dyDescent="0.2">
      <c r="B1855" s="115" t="s">
        <v>415</v>
      </c>
      <c r="C1855" s="114">
        <v>1002</v>
      </c>
      <c r="D1855" s="147">
        <f t="shared" si="96"/>
        <v>0.58136606861818219</v>
      </c>
      <c r="E1855" s="148">
        <f t="shared" si="95"/>
        <v>1.0503692960072759E-4</v>
      </c>
      <c r="F1855" s="148">
        <f t="shared" si="97"/>
        <v>8.2500533046693678E-2</v>
      </c>
    </row>
    <row r="1856" spans="2:6" x14ac:dyDescent="0.2">
      <c r="B1856" s="206" t="s">
        <v>2410</v>
      </c>
      <c r="C1856" s="205">
        <v>1003</v>
      </c>
      <c r="D1856" s="147">
        <f t="shared" si="96"/>
        <v>0.58168083097260459</v>
      </c>
      <c r="E1856" s="148">
        <f t="shared" si="95"/>
        <v>1.0514175687577821E-4</v>
      </c>
      <c r="F1856" s="148">
        <f t="shared" si="97"/>
        <v>8.2605674803569451E-2</v>
      </c>
    </row>
    <row r="1857" spans="2:6" x14ac:dyDescent="0.2">
      <c r="B1857" s="115" t="s">
        <v>2821</v>
      </c>
      <c r="C1857" s="114">
        <v>1004</v>
      </c>
      <c r="D1857" s="147">
        <f t="shared" si="96"/>
        <v>0.58199559332702699</v>
      </c>
      <c r="E1857" s="148">
        <f t="shared" si="95"/>
        <v>1.0524658415082884E-4</v>
      </c>
      <c r="F1857" s="148">
        <f t="shared" si="97"/>
        <v>8.2710921387720279E-2</v>
      </c>
    </row>
    <row r="1858" spans="2:6" x14ac:dyDescent="0.2">
      <c r="B1858" s="115" t="s">
        <v>601</v>
      </c>
      <c r="C1858" s="114">
        <v>1005</v>
      </c>
      <c r="D1858" s="147">
        <f t="shared" si="96"/>
        <v>0.5823103556814494</v>
      </c>
      <c r="E1858" s="148">
        <f t="shared" si="95"/>
        <v>1.0535141142587946E-4</v>
      </c>
      <c r="F1858" s="148">
        <f t="shared" si="97"/>
        <v>8.2816272799146162E-2</v>
      </c>
    </row>
    <row r="1859" spans="2:6" x14ac:dyDescent="0.2">
      <c r="B1859" s="115" t="s">
        <v>261</v>
      </c>
      <c r="C1859" s="114">
        <v>1006</v>
      </c>
      <c r="D1859" s="147">
        <f t="shared" si="96"/>
        <v>0.5826251180358718</v>
      </c>
      <c r="E1859" s="148">
        <f t="shared" si="95"/>
        <v>1.0545623870093009E-4</v>
      </c>
      <c r="F1859" s="148">
        <f t="shared" si="97"/>
        <v>8.2921729037847086E-2</v>
      </c>
    </row>
    <row r="1860" spans="2:6" x14ac:dyDescent="0.2">
      <c r="B1860" s="115" t="s">
        <v>2273</v>
      </c>
      <c r="C1860" s="114">
        <v>1007</v>
      </c>
      <c r="D1860" s="147">
        <f t="shared" si="96"/>
        <v>0.58293988039029421</v>
      </c>
      <c r="E1860" s="148">
        <f t="shared" si="95"/>
        <v>1.0556106597598072E-4</v>
      </c>
      <c r="F1860" s="148">
        <f t="shared" si="97"/>
        <v>8.3027290103823065E-2</v>
      </c>
    </row>
    <row r="1861" spans="2:6" x14ac:dyDescent="0.2">
      <c r="B1861" s="115" t="s">
        <v>1109</v>
      </c>
      <c r="C1861" s="114">
        <v>1007</v>
      </c>
      <c r="D1861" s="147">
        <f t="shared" si="96"/>
        <v>0.58325464274471661</v>
      </c>
      <c r="E1861" s="148">
        <f t="shared" si="95"/>
        <v>1.0556106597598072E-4</v>
      </c>
      <c r="F1861" s="148">
        <f t="shared" si="97"/>
        <v>8.3132851169799044E-2</v>
      </c>
    </row>
    <row r="1862" spans="2:6" x14ac:dyDescent="0.2">
      <c r="B1862" s="206" t="s">
        <v>2510</v>
      </c>
      <c r="C1862" s="205">
        <v>1008</v>
      </c>
      <c r="D1862" s="147">
        <f t="shared" si="96"/>
        <v>0.58356940509913902</v>
      </c>
      <c r="E1862" s="148">
        <f t="shared" si="95"/>
        <v>1.0566589325103134E-4</v>
      </c>
      <c r="F1862" s="148">
        <f t="shared" si="97"/>
        <v>8.3238517063050077E-2</v>
      </c>
    </row>
    <row r="1863" spans="2:6" x14ac:dyDescent="0.2">
      <c r="B1863" s="115" t="s">
        <v>2405</v>
      </c>
      <c r="C1863" s="114">
        <v>1008</v>
      </c>
      <c r="D1863" s="147">
        <f t="shared" si="96"/>
        <v>0.58388416745356142</v>
      </c>
      <c r="E1863" s="148">
        <f t="shared" si="95"/>
        <v>1.0566589325103134E-4</v>
      </c>
      <c r="F1863" s="148">
        <f t="shared" si="97"/>
        <v>8.3344182956301111E-2</v>
      </c>
    </row>
    <row r="1864" spans="2:6" x14ac:dyDescent="0.2">
      <c r="B1864" s="115" t="s">
        <v>456</v>
      </c>
      <c r="C1864" s="114">
        <v>1008</v>
      </c>
      <c r="D1864" s="147">
        <f t="shared" si="96"/>
        <v>0.58419892980798382</v>
      </c>
      <c r="E1864" s="148">
        <f t="shared" si="95"/>
        <v>1.0566589325103134E-4</v>
      </c>
      <c r="F1864" s="148">
        <f t="shared" si="97"/>
        <v>8.3449848849552144E-2</v>
      </c>
    </row>
    <row r="1865" spans="2:6" x14ac:dyDescent="0.2">
      <c r="B1865" s="206" t="s">
        <v>130</v>
      </c>
      <c r="C1865" s="205">
        <v>1008</v>
      </c>
      <c r="D1865" s="147">
        <f t="shared" si="96"/>
        <v>0.58451369216240623</v>
      </c>
      <c r="E1865" s="148">
        <f t="shared" ref="E1865:E1928" si="98">C1865/$O$18</f>
        <v>1.0566589325103134E-4</v>
      </c>
      <c r="F1865" s="148">
        <f t="shared" si="97"/>
        <v>8.3555514742803177E-2</v>
      </c>
    </row>
    <row r="1866" spans="2:6" x14ac:dyDescent="0.2">
      <c r="B1866" s="115" t="s">
        <v>2494</v>
      </c>
      <c r="C1866" s="114">
        <v>1010</v>
      </c>
      <c r="D1866" s="147">
        <f t="shared" ref="D1866:D1929" si="99">D1865+1/$L$18</f>
        <v>0.58482845451682863</v>
      </c>
      <c r="E1866" s="148">
        <f t="shared" si="98"/>
        <v>1.0587554780113259E-4</v>
      </c>
      <c r="F1866" s="148">
        <f t="shared" ref="F1866:F1929" si="100">F1865+E1866</f>
        <v>8.3661390290604307E-2</v>
      </c>
    </row>
    <row r="1867" spans="2:6" x14ac:dyDescent="0.2">
      <c r="B1867" s="115" t="s">
        <v>779</v>
      </c>
      <c r="C1867" s="114">
        <v>1013</v>
      </c>
      <c r="D1867" s="147">
        <f t="shared" si="99"/>
        <v>0.58514321687125104</v>
      </c>
      <c r="E1867" s="148">
        <f t="shared" si="98"/>
        <v>1.0619002962628447E-4</v>
      </c>
      <c r="F1867" s="148">
        <f t="shared" si="100"/>
        <v>8.3767580320230586E-2</v>
      </c>
    </row>
    <row r="1868" spans="2:6" x14ac:dyDescent="0.2">
      <c r="B1868" s="206" t="s">
        <v>196</v>
      </c>
      <c r="C1868" s="205">
        <v>1013</v>
      </c>
      <c r="D1868" s="147">
        <f t="shared" si="99"/>
        <v>0.58545797922567344</v>
      </c>
      <c r="E1868" s="148">
        <f t="shared" si="98"/>
        <v>1.0619002962628447E-4</v>
      </c>
      <c r="F1868" s="148">
        <f t="shared" si="100"/>
        <v>8.3873770349856866E-2</v>
      </c>
    </row>
    <row r="1869" spans="2:6" x14ac:dyDescent="0.2">
      <c r="B1869" s="206" t="s">
        <v>2454</v>
      </c>
      <c r="C1869" s="205">
        <v>1014</v>
      </c>
      <c r="D1869" s="147">
        <f t="shared" si="99"/>
        <v>0.58577274158009585</v>
      </c>
      <c r="E1869" s="148">
        <f t="shared" si="98"/>
        <v>1.062948569013351E-4</v>
      </c>
      <c r="F1869" s="148">
        <f t="shared" si="100"/>
        <v>8.39800652067582E-2</v>
      </c>
    </row>
    <row r="1870" spans="2:6" x14ac:dyDescent="0.2">
      <c r="B1870" s="115" t="s">
        <v>1371</v>
      </c>
      <c r="C1870" s="114">
        <v>1014</v>
      </c>
      <c r="D1870" s="147">
        <f t="shared" si="99"/>
        <v>0.58608750393451825</v>
      </c>
      <c r="E1870" s="148">
        <f t="shared" si="98"/>
        <v>1.062948569013351E-4</v>
      </c>
      <c r="F1870" s="148">
        <f t="shared" si="100"/>
        <v>8.4086360063659535E-2</v>
      </c>
    </row>
    <row r="1871" spans="2:6" x14ac:dyDescent="0.2">
      <c r="B1871" s="115" t="s">
        <v>1999</v>
      </c>
      <c r="C1871" s="114">
        <v>1015</v>
      </c>
      <c r="D1871" s="147">
        <f t="shared" si="99"/>
        <v>0.58640226628894065</v>
      </c>
      <c r="E1871" s="148">
        <f t="shared" si="98"/>
        <v>1.0639968417638572E-4</v>
      </c>
      <c r="F1871" s="148">
        <f t="shared" si="100"/>
        <v>8.4192759747835924E-2</v>
      </c>
    </row>
    <row r="1872" spans="2:6" x14ac:dyDescent="0.2">
      <c r="B1872" s="115" t="s">
        <v>55</v>
      </c>
      <c r="C1872" s="114">
        <v>1015</v>
      </c>
      <c r="D1872" s="147">
        <f t="shared" si="99"/>
        <v>0.58671702864336306</v>
      </c>
      <c r="E1872" s="148">
        <f t="shared" si="98"/>
        <v>1.0639968417638572E-4</v>
      </c>
      <c r="F1872" s="148">
        <f t="shared" si="100"/>
        <v>8.4299159432012313E-2</v>
      </c>
    </row>
    <row r="1873" spans="2:6" x14ac:dyDescent="0.2">
      <c r="B1873" s="115" t="s">
        <v>1157</v>
      </c>
      <c r="C1873" s="114">
        <v>1016</v>
      </c>
      <c r="D1873" s="147">
        <f t="shared" si="99"/>
        <v>0.58703179099778546</v>
      </c>
      <c r="E1873" s="148">
        <f t="shared" si="98"/>
        <v>1.0650451145143636E-4</v>
      </c>
      <c r="F1873" s="148">
        <f t="shared" si="100"/>
        <v>8.4405663943463743E-2</v>
      </c>
    </row>
    <row r="1874" spans="2:6" x14ac:dyDescent="0.2">
      <c r="B1874" s="115" t="s">
        <v>2888</v>
      </c>
      <c r="C1874" s="114">
        <v>1017</v>
      </c>
      <c r="D1874" s="147">
        <f t="shared" si="99"/>
        <v>0.58734655335220787</v>
      </c>
      <c r="E1874" s="148">
        <f t="shared" si="98"/>
        <v>1.0660933872648699E-4</v>
      </c>
      <c r="F1874" s="148">
        <f t="shared" si="100"/>
        <v>8.4512273282190228E-2</v>
      </c>
    </row>
    <row r="1875" spans="2:6" x14ac:dyDescent="0.2">
      <c r="B1875" s="115" t="s">
        <v>2468</v>
      </c>
      <c r="C1875" s="114">
        <v>1017</v>
      </c>
      <c r="D1875" s="147">
        <f t="shared" si="99"/>
        <v>0.58766131570663027</v>
      </c>
      <c r="E1875" s="148">
        <f t="shared" si="98"/>
        <v>1.0660933872648699E-4</v>
      </c>
      <c r="F1875" s="148">
        <f t="shared" si="100"/>
        <v>8.4618882620916713E-2</v>
      </c>
    </row>
    <row r="1876" spans="2:6" x14ac:dyDescent="0.2">
      <c r="B1876" s="206" t="s">
        <v>3047</v>
      </c>
      <c r="C1876" s="205">
        <v>1022</v>
      </c>
      <c r="D1876" s="147">
        <f t="shared" si="99"/>
        <v>0.58797607806105268</v>
      </c>
      <c r="E1876" s="148">
        <f t="shared" si="98"/>
        <v>1.0713347510174011E-4</v>
      </c>
      <c r="F1876" s="148">
        <f t="shared" si="100"/>
        <v>8.4726016096018458E-2</v>
      </c>
    </row>
    <row r="1877" spans="2:6" x14ac:dyDescent="0.2">
      <c r="B1877" s="206" t="s">
        <v>1567</v>
      </c>
      <c r="C1877" s="205">
        <v>1022</v>
      </c>
      <c r="D1877" s="147">
        <f t="shared" si="99"/>
        <v>0.58829084041547508</v>
      </c>
      <c r="E1877" s="148">
        <f t="shared" si="98"/>
        <v>1.0713347510174011E-4</v>
      </c>
      <c r="F1877" s="148">
        <f t="shared" si="100"/>
        <v>8.4833149571120203E-2</v>
      </c>
    </row>
    <row r="1878" spans="2:6" x14ac:dyDescent="0.2">
      <c r="B1878" s="206" t="s">
        <v>2420</v>
      </c>
      <c r="C1878" s="205">
        <v>1023</v>
      </c>
      <c r="D1878" s="147">
        <f t="shared" si="99"/>
        <v>0.58860560276989748</v>
      </c>
      <c r="E1878" s="148">
        <f t="shared" si="98"/>
        <v>1.0723830237679074E-4</v>
      </c>
      <c r="F1878" s="148">
        <f t="shared" si="100"/>
        <v>8.4940387873496989E-2</v>
      </c>
    </row>
    <row r="1879" spans="2:6" x14ac:dyDescent="0.2">
      <c r="B1879" s="206" t="s">
        <v>2305</v>
      </c>
      <c r="C1879" s="205">
        <v>1024</v>
      </c>
      <c r="D1879" s="147">
        <f t="shared" si="99"/>
        <v>0.58892036512431989</v>
      </c>
      <c r="E1879" s="148">
        <f t="shared" si="98"/>
        <v>1.0734312965184137E-4</v>
      </c>
      <c r="F1879" s="148">
        <f t="shared" si="100"/>
        <v>8.504773100314883E-2</v>
      </c>
    </row>
    <row r="1880" spans="2:6" x14ac:dyDescent="0.2">
      <c r="B1880" s="206" t="s">
        <v>2137</v>
      </c>
      <c r="C1880" s="205">
        <v>1024</v>
      </c>
      <c r="D1880" s="147">
        <f t="shared" si="99"/>
        <v>0.58923512747874229</v>
      </c>
      <c r="E1880" s="148">
        <f t="shared" si="98"/>
        <v>1.0734312965184137E-4</v>
      </c>
      <c r="F1880" s="148">
        <f t="shared" si="100"/>
        <v>8.5155074132800671E-2</v>
      </c>
    </row>
    <row r="1881" spans="2:6" x14ac:dyDescent="0.2">
      <c r="B1881" s="115" t="s">
        <v>1200</v>
      </c>
      <c r="C1881" s="114">
        <v>1024</v>
      </c>
      <c r="D1881" s="147">
        <f t="shared" si="99"/>
        <v>0.5895498898331647</v>
      </c>
      <c r="E1881" s="148">
        <f t="shared" si="98"/>
        <v>1.0734312965184137E-4</v>
      </c>
      <c r="F1881" s="148">
        <f t="shared" si="100"/>
        <v>8.5262417262452511E-2</v>
      </c>
    </row>
    <row r="1882" spans="2:6" x14ac:dyDescent="0.2">
      <c r="B1882" s="206" t="s">
        <v>1452</v>
      </c>
      <c r="C1882" s="205">
        <v>1026</v>
      </c>
      <c r="D1882" s="147">
        <f t="shared" si="99"/>
        <v>0.5898646521875871</v>
      </c>
      <c r="E1882" s="148">
        <f t="shared" si="98"/>
        <v>1.0755278420194262E-4</v>
      </c>
      <c r="F1882" s="148">
        <f t="shared" si="100"/>
        <v>8.5369970046654448E-2</v>
      </c>
    </row>
    <row r="1883" spans="2:6" x14ac:dyDescent="0.2">
      <c r="B1883" s="206" t="s">
        <v>835</v>
      </c>
      <c r="C1883" s="205">
        <v>1026</v>
      </c>
      <c r="D1883" s="147">
        <f t="shared" si="99"/>
        <v>0.59017941454200951</v>
      </c>
      <c r="E1883" s="148">
        <f t="shared" si="98"/>
        <v>1.0755278420194262E-4</v>
      </c>
      <c r="F1883" s="148">
        <f t="shared" si="100"/>
        <v>8.5477522830856384E-2</v>
      </c>
    </row>
    <row r="1884" spans="2:6" x14ac:dyDescent="0.2">
      <c r="B1884" s="115" t="s">
        <v>77</v>
      </c>
      <c r="C1884" s="114">
        <v>1026</v>
      </c>
      <c r="D1884" s="147">
        <f t="shared" si="99"/>
        <v>0.59049417689643191</v>
      </c>
      <c r="E1884" s="148">
        <f t="shared" si="98"/>
        <v>1.0755278420194262E-4</v>
      </c>
      <c r="F1884" s="148">
        <f t="shared" si="100"/>
        <v>8.558507561505832E-2</v>
      </c>
    </row>
    <row r="1885" spans="2:6" x14ac:dyDescent="0.2">
      <c r="B1885" s="115" t="s">
        <v>651</v>
      </c>
      <c r="C1885" s="114">
        <v>1027</v>
      </c>
      <c r="D1885" s="147">
        <f t="shared" si="99"/>
        <v>0.59080893925085431</v>
      </c>
      <c r="E1885" s="148">
        <f t="shared" si="98"/>
        <v>1.0765761147699324E-4</v>
      </c>
      <c r="F1885" s="148">
        <f t="shared" si="100"/>
        <v>8.5692733226535311E-2</v>
      </c>
    </row>
    <row r="1886" spans="2:6" x14ac:dyDescent="0.2">
      <c r="B1886" s="206" t="s">
        <v>1111</v>
      </c>
      <c r="C1886" s="205">
        <v>1028</v>
      </c>
      <c r="D1886" s="147">
        <f t="shared" si="99"/>
        <v>0.59112370160527672</v>
      </c>
      <c r="E1886" s="148">
        <f t="shared" si="98"/>
        <v>1.0776243875204387E-4</v>
      </c>
      <c r="F1886" s="148">
        <f t="shared" si="100"/>
        <v>8.5800495665287357E-2</v>
      </c>
    </row>
    <row r="1887" spans="2:6" x14ac:dyDescent="0.2">
      <c r="B1887" s="115" t="s">
        <v>2993</v>
      </c>
      <c r="C1887" s="114">
        <v>1031</v>
      </c>
      <c r="D1887" s="147">
        <f t="shared" si="99"/>
        <v>0.59143846395969912</v>
      </c>
      <c r="E1887" s="148">
        <f t="shared" si="98"/>
        <v>1.0807692057719574E-4</v>
      </c>
      <c r="F1887" s="148">
        <f t="shared" si="100"/>
        <v>8.5908572585864554E-2</v>
      </c>
    </row>
    <row r="1888" spans="2:6" x14ac:dyDescent="0.2">
      <c r="B1888" s="115" t="s">
        <v>3070</v>
      </c>
      <c r="C1888" s="114">
        <v>1032</v>
      </c>
      <c r="D1888" s="147">
        <f t="shared" si="99"/>
        <v>0.59175322631412153</v>
      </c>
      <c r="E1888" s="148">
        <f t="shared" si="98"/>
        <v>1.0818174785224637E-4</v>
      </c>
      <c r="F1888" s="148">
        <f t="shared" si="100"/>
        <v>8.6016754333716805E-2</v>
      </c>
    </row>
    <row r="1889" spans="2:6" x14ac:dyDescent="0.2">
      <c r="B1889" s="115" t="s">
        <v>1627</v>
      </c>
      <c r="C1889" s="114">
        <v>1034</v>
      </c>
      <c r="D1889" s="147">
        <f t="shared" si="99"/>
        <v>0.59206798866854393</v>
      </c>
      <c r="E1889" s="148">
        <f t="shared" si="98"/>
        <v>1.0839140240234762E-4</v>
      </c>
      <c r="F1889" s="148">
        <f t="shared" si="100"/>
        <v>8.6125145736119152E-2</v>
      </c>
    </row>
    <row r="1890" spans="2:6" x14ac:dyDescent="0.2">
      <c r="B1890" s="115" t="s">
        <v>1624</v>
      </c>
      <c r="C1890" s="114">
        <v>1034</v>
      </c>
      <c r="D1890" s="147">
        <f t="shared" si="99"/>
        <v>0.59238275102296634</v>
      </c>
      <c r="E1890" s="148">
        <f t="shared" si="98"/>
        <v>1.0839140240234762E-4</v>
      </c>
      <c r="F1890" s="148">
        <f t="shared" si="100"/>
        <v>8.6233537138521499E-2</v>
      </c>
    </row>
    <row r="1891" spans="2:6" x14ac:dyDescent="0.2">
      <c r="B1891" s="115" t="s">
        <v>629</v>
      </c>
      <c r="C1891" s="114">
        <v>1035</v>
      </c>
      <c r="D1891" s="147">
        <f t="shared" si="99"/>
        <v>0.59269751337738874</v>
      </c>
      <c r="E1891" s="148">
        <f t="shared" si="98"/>
        <v>1.0849622967739825E-4</v>
      </c>
      <c r="F1891" s="148">
        <f t="shared" si="100"/>
        <v>8.6342033368198901E-2</v>
      </c>
    </row>
    <row r="1892" spans="2:6" x14ac:dyDescent="0.2">
      <c r="B1892" s="206" t="s">
        <v>2890</v>
      </c>
      <c r="C1892" s="205">
        <v>1039</v>
      </c>
      <c r="D1892" s="147">
        <f t="shared" si="99"/>
        <v>0.59301227573181114</v>
      </c>
      <c r="E1892" s="148">
        <f t="shared" si="98"/>
        <v>1.0891553877760076E-4</v>
      </c>
      <c r="F1892" s="148">
        <f t="shared" si="100"/>
        <v>8.6450948906976507E-2</v>
      </c>
    </row>
    <row r="1893" spans="2:6" x14ac:dyDescent="0.2">
      <c r="B1893" s="115" t="s">
        <v>1442</v>
      </c>
      <c r="C1893" s="114">
        <v>1041</v>
      </c>
      <c r="D1893" s="147">
        <f t="shared" si="99"/>
        <v>0.59332703808623355</v>
      </c>
      <c r="E1893" s="148">
        <f t="shared" si="98"/>
        <v>1.0912519332770202E-4</v>
      </c>
      <c r="F1893" s="148">
        <f t="shared" si="100"/>
        <v>8.656007410030421E-2</v>
      </c>
    </row>
    <row r="1894" spans="2:6" x14ac:dyDescent="0.2">
      <c r="B1894" s="115" t="s">
        <v>2612</v>
      </c>
      <c r="C1894" s="114">
        <v>1044</v>
      </c>
      <c r="D1894" s="147">
        <f t="shared" si="99"/>
        <v>0.59364180044065595</v>
      </c>
      <c r="E1894" s="148">
        <f t="shared" si="98"/>
        <v>1.0943967515285389E-4</v>
      </c>
      <c r="F1894" s="148">
        <f t="shared" si="100"/>
        <v>8.6669513775457063E-2</v>
      </c>
    </row>
    <row r="1895" spans="2:6" x14ac:dyDescent="0.2">
      <c r="B1895" s="115" t="s">
        <v>299</v>
      </c>
      <c r="C1895" s="114">
        <v>1044</v>
      </c>
      <c r="D1895" s="147">
        <f t="shared" si="99"/>
        <v>0.59395656279507836</v>
      </c>
      <c r="E1895" s="148">
        <f t="shared" si="98"/>
        <v>1.0943967515285389E-4</v>
      </c>
      <c r="F1895" s="148">
        <f t="shared" si="100"/>
        <v>8.6778953450609916E-2</v>
      </c>
    </row>
    <row r="1896" spans="2:6" x14ac:dyDescent="0.2">
      <c r="B1896" s="115" t="s">
        <v>1338</v>
      </c>
      <c r="C1896" s="114">
        <v>1051</v>
      </c>
      <c r="D1896" s="147">
        <f t="shared" si="99"/>
        <v>0.59427132514950076</v>
      </c>
      <c r="E1896" s="148">
        <f t="shared" si="98"/>
        <v>1.1017346607820827E-4</v>
      </c>
      <c r="F1896" s="148">
        <f t="shared" si="100"/>
        <v>8.6889126916688125E-2</v>
      </c>
    </row>
    <row r="1897" spans="2:6" x14ac:dyDescent="0.2">
      <c r="B1897" s="115" t="s">
        <v>193</v>
      </c>
      <c r="C1897" s="114">
        <v>1051</v>
      </c>
      <c r="D1897" s="147">
        <f t="shared" si="99"/>
        <v>0.59458608750392317</v>
      </c>
      <c r="E1897" s="148">
        <f t="shared" si="98"/>
        <v>1.1017346607820827E-4</v>
      </c>
      <c r="F1897" s="148">
        <f t="shared" si="100"/>
        <v>8.6999300382766334E-2</v>
      </c>
    </row>
    <row r="1898" spans="2:6" x14ac:dyDescent="0.2">
      <c r="B1898" s="206" t="s">
        <v>2492</v>
      </c>
      <c r="C1898" s="205">
        <v>1054</v>
      </c>
      <c r="D1898" s="147">
        <f t="shared" si="99"/>
        <v>0.59490084985834557</v>
      </c>
      <c r="E1898" s="148">
        <f t="shared" si="98"/>
        <v>1.1048794790336015E-4</v>
      </c>
      <c r="F1898" s="148">
        <f t="shared" si="100"/>
        <v>8.7109788330669694E-2</v>
      </c>
    </row>
    <row r="1899" spans="2:6" x14ac:dyDescent="0.2">
      <c r="B1899" s="206" t="s">
        <v>432</v>
      </c>
      <c r="C1899" s="205">
        <v>1054</v>
      </c>
      <c r="D1899" s="147">
        <f t="shared" si="99"/>
        <v>0.59521561221276797</v>
      </c>
      <c r="E1899" s="148">
        <f t="shared" si="98"/>
        <v>1.1048794790336015E-4</v>
      </c>
      <c r="F1899" s="148">
        <f t="shared" si="100"/>
        <v>8.7220276278573053E-2</v>
      </c>
    </row>
    <row r="1900" spans="2:6" x14ac:dyDescent="0.2">
      <c r="B1900" s="206" t="s">
        <v>391</v>
      </c>
      <c r="C1900" s="205">
        <v>1055</v>
      </c>
      <c r="D1900" s="147">
        <f t="shared" si="99"/>
        <v>0.59553037456719038</v>
      </c>
      <c r="E1900" s="148">
        <f t="shared" si="98"/>
        <v>1.1059277517841077E-4</v>
      </c>
      <c r="F1900" s="148">
        <f t="shared" si="100"/>
        <v>8.7330869053751467E-2</v>
      </c>
    </row>
    <row r="1901" spans="2:6" x14ac:dyDescent="0.2">
      <c r="B1901" s="115" t="s">
        <v>2833</v>
      </c>
      <c r="C1901" s="114">
        <v>1056</v>
      </c>
      <c r="D1901" s="147">
        <f t="shared" si="99"/>
        <v>0.59584513692161278</v>
      </c>
      <c r="E1901" s="148">
        <f t="shared" si="98"/>
        <v>1.1069760245346141E-4</v>
      </c>
      <c r="F1901" s="148">
        <f t="shared" si="100"/>
        <v>8.7441566656204922E-2</v>
      </c>
    </row>
    <row r="1902" spans="2:6" x14ac:dyDescent="0.2">
      <c r="B1902" s="206" t="s">
        <v>349</v>
      </c>
      <c r="C1902" s="205">
        <v>1059</v>
      </c>
      <c r="D1902" s="147">
        <f t="shared" si="99"/>
        <v>0.59615989927603519</v>
      </c>
      <c r="E1902" s="148">
        <f t="shared" si="98"/>
        <v>1.1101208427861329E-4</v>
      </c>
      <c r="F1902" s="148">
        <f t="shared" si="100"/>
        <v>8.7552578740483541E-2</v>
      </c>
    </row>
    <row r="1903" spans="2:6" x14ac:dyDescent="0.2">
      <c r="B1903" s="115" t="s">
        <v>1409</v>
      </c>
      <c r="C1903" s="114">
        <v>1061</v>
      </c>
      <c r="D1903" s="147">
        <f t="shared" si="99"/>
        <v>0.59647466163045759</v>
      </c>
      <c r="E1903" s="148">
        <f t="shared" si="98"/>
        <v>1.1122173882871454E-4</v>
      </c>
      <c r="F1903" s="148">
        <f t="shared" si="100"/>
        <v>8.7663800479312257E-2</v>
      </c>
    </row>
    <row r="1904" spans="2:6" x14ac:dyDescent="0.2">
      <c r="B1904" s="115" t="s">
        <v>868</v>
      </c>
      <c r="C1904" s="114">
        <v>1062</v>
      </c>
      <c r="D1904" s="147">
        <f t="shared" si="99"/>
        <v>0.59678942398488</v>
      </c>
      <c r="E1904" s="148">
        <f t="shared" si="98"/>
        <v>1.1132656610376517E-4</v>
      </c>
      <c r="F1904" s="148">
        <f t="shared" si="100"/>
        <v>8.7775127045416027E-2</v>
      </c>
    </row>
    <row r="1905" spans="2:6" x14ac:dyDescent="0.2">
      <c r="B1905" s="115" t="s">
        <v>787</v>
      </c>
      <c r="C1905" s="114">
        <v>1062</v>
      </c>
      <c r="D1905" s="147">
        <f t="shared" si="99"/>
        <v>0.5971041863393024</v>
      </c>
      <c r="E1905" s="148">
        <f t="shared" si="98"/>
        <v>1.1132656610376517E-4</v>
      </c>
      <c r="F1905" s="148">
        <f t="shared" si="100"/>
        <v>8.7886453611519796E-2</v>
      </c>
    </row>
    <row r="1906" spans="2:6" x14ac:dyDescent="0.2">
      <c r="B1906" s="115" t="s">
        <v>2141</v>
      </c>
      <c r="C1906" s="114">
        <v>1064</v>
      </c>
      <c r="D1906" s="147">
        <f t="shared" si="99"/>
        <v>0.59741894869372481</v>
      </c>
      <c r="E1906" s="148">
        <f t="shared" si="98"/>
        <v>1.1153622065386642E-4</v>
      </c>
      <c r="F1906" s="148">
        <f t="shared" si="100"/>
        <v>8.7997989832173662E-2</v>
      </c>
    </row>
    <row r="1907" spans="2:6" x14ac:dyDescent="0.2">
      <c r="B1907" s="115" t="s">
        <v>477</v>
      </c>
      <c r="C1907" s="114">
        <v>1064</v>
      </c>
      <c r="D1907" s="147">
        <f t="shared" si="99"/>
        <v>0.59773371104814721</v>
      </c>
      <c r="E1907" s="148">
        <f t="shared" si="98"/>
        <v>1.1153622065386642E-4</v>
      </c>
      <c r="F1907" s="148">
        <f t="shared" si="100"/>
        <v>8.8109526052827528E-2</v>
      </c>
    </row>
    <row r="1908" spans="2:6" x14ac:dyDescent="0.2">
      <c r="B1908" s="206" t="s">
        <v>85</v>
      </c>
      <c r="C1908" s="205">
        <v>1064</v>
      </c>
      <c r="D1908" s="147">
        <f t="shared" si="99"/>
        <v>0.59804847340256961</v>
      </c>
      <c r="E1908" s="148">
        <f t="shared" si="98"/>
        <v>1.1153622065386642E-4</v>
      </c>
      <c r="F1908" s="148">
        <f t="shared" si="100"/>
        <v>8.8221062273481393E-2</v>
      </c>
    </row>
    <row r="1909" spans="2:6" x14ac:dyDescent="0.2">
      <c r="B1909" s="206" t="s">
        <v>1194</v>
      </c>
      <c r="C1909" s="205">
        <v>1066</v>
      </c>
      <c r="D1909" s="147">
        <f t="shared" si="99"/>
        <v>0.59836323575699202</v>
      </c>
      <c r="E1909" s="148">
        <f t="shared" si="98"/>
        <v>1.1174587520396767E-4</v>
      </c>
      <c r="F1909" s="148">
        <f t="shared" si="100"/>
        <v>8.8332808148685354E-2</v>
      </c>
    </row>
    <row r="1910" spans="2:6" x14ac:dyDescent="0.2">
      <c r="B1910" s="115" t="s">
        <v>1592</v>
      </c>
      <c r="C1910" s="114">
        <v>1067</v>
      </c>
      <c r="D1910" s="147">
        <f t="shared" si="99"/>
        <v>0.59867799811141442</v>
      </c>
      <c r="E1910" s="148">
        <f t="shared" si="98"/>
        <v>1.118507024790183E-4</v>
      </c>
      <c r="F1910" s="148">
        <f t="shared" si="100"/>
        <v>8.8444658851164371E-2</v>
      </c>
    </row>
    <row r="1911" spans="2:6" x14ac:dyDescent="0.2">
      <c r="B1911" s="115" t="s">
        <v>876</v>
      </c>
      <c r="C1911" s="114">
        <v>1067</v>
      </c>
      <c r="D1911" s="147">
        <f t="shared" si="99"/>
        <v>0.59899276046583683</v>
      </c>
      <c r="E1911" s="148">
        <f t="shared" si="98"/>
        <v>1.118507024790183E-4</v>
      </c>
      <c r="F1911" s="148">
        <f t="shared" si="100"/>
        <v>8.8556509553643387E-2</v>
      </c>
    </row>
    <row r="1912" spans="2:6" x14ac:dyDescent="0.2">
      <c r="B1912" s="115" t="s">
        <v>3050</v>
      </c>
      <c r="C1912" s="114">
        <v>1068</v>
      </c>
      <c r="D1912" s="147">
        <f t="shared" si="99"/>
        <v>0.59930752282025923</v>
      </c>
      <c r="E1912" s="148">
        <f t="shared" si="98"/>
        <v>1.1195552975406892E-4</v>
      </c>
      <c r="F1912" s="148">
        <f t="shared" si="100"/>
        <v>8.8668465083397457E-2</v>
      </c>
    </row>
    <row r="1913" spans="2:6" x14ac:dyDescent="0.2">
      <c r="B1913" s="115" t="s">
        <v>660</v>
      </c>
      <c r="C1913" s="114">
        <v>1069</v>
      </c>
      <c r="D1913" s="147">
        <f t="shared" si="99"/>
        <v>0.59962228517468164</v>
      </c>
      <c r="E1913" s="148">
        <f t="shared" si="98"/>
        <v>1.1206035702911955E-4</v>
      </c>
      <c r="F1913" s="148">
        <f t="shared" si="100"/>
        <v>8.8780525440426583E-2</v>
      </c>
    </row>
    <row r="1914" spans="2:6" x14ac:dyDescent="0.2">
      <c r="B1914" s="206" t="s">
        <v>2084</v>
      </c>
      <c r="C1914" s="205">
        <v>1071</v>
      </c>
      <c r="D1914" s="147">
        <f t="shared" si="99"/>
        <v>0.59993704752910404</v>
      </c>
      <c r="E1914" s="148">
        <f t="shared" si="98"/>
        <v>1.122700115792208E-4</v>
      </c>
      <c r="F1914" s="148">
        <f t="shared" si="100"/>
        <v>8.8892795452005804E-2</v>
      </c>
    </row>
    <row r="1915" spans="2:6" x14ac:dyDescent="0.2">
      <c r="B1915" s="115" t="s">
        <v>2964</v>
      </c>
      <c r="C1915" s="114">
        <v>1072</v>
      </c>
      <c r="D1915" s="147">
        <f t="shared" si="99"/>
        <v>0.60025180988352644</v>
      </c>
      <c r="E1915" s="148">
        <f t="shared" si="98"/>
        <v>1.1237483885427142E-4</v>
      </c>
      <c r="F1915" s="148">
        <f t="shared" si="100"/>
        <v>8.9005170290860081E-2</v>
      </c>
    </row>
    <row r="1916" spans="2:6" x14ac:dyDescent="0.2">
      <c r="B1916" s="206" t="s">
        <v>3029</v>
      </c>
      <c r="C1916" s="205">
        <v>1073</v>
      </c>
      <c r="D1916" s="147">
        <f t="shared" si="99"/>
        <v>0.60056657223794885</v>
      </c>
      <c r="E1916" s="148">
        <f t="shared" si="98"/>
        <v>1.1247966612932205E-4</v>
      </c>
      <c r="F1916" s="148">
        <f t="shared" si="100"/>
        <v>8.9117649956989398E-2</v>
      </c>
    </row>
    <row r="1917" spans="2:6" x14ac:dyDescent="0.2">
      <c r="B1917" s="115" t="s">
        <v>2307</v>
      </c>
      <c r="C1917" s="114">
        <v>1074</v>
      </c>
      <c r="D1917" s="147">
        <f t="shared" si="99"/>
        <v>0.60088133459237125</v>
      </c>
      <c r="E1917" s="148">
        <f t="shared" si="98"/>
        <v>1.1258449340437268E-4</v>
      </c>
      <c r="F1917" s="148">
        <f t="shared" si="100"/>
        <v>8.9230234450393769E-2</v>
      </c>
    </row>
    <row r="1918" spans="2:6" x14ac:dyDescent="0.2">
      <c r="B1918" s="206" t="s">
        <v>2069</v>
      </c>
      <c r="C1918" s="205">
        <v>1077</v>
      </c>
      <c r="D1918" s="147">
        <f t="shared" si="99"/>
        <v>0.60119609694679366</v>
      </c>
      <c r="E1918" s="148">
        <f t="shared" si="98"/>
        <v>1.1289897522952457E-4</v>
      </c>
      <c r="F1918" s="148">
        <f t="shared" si="100"/>
        <v>8.9343133425623292E-2</v>
      </c>
    </row>
    <row r="1919" spans="2:6" x14ac:dyDescent="0.2">
      <c r="B1919" s="206" t="s">
        <v>1562</v>
      </c>
      <c r="C1919" s="205">
        <v>1077</v>
      </c>
      <c r="D1919" s="147">
        <f t="shared" si="99"/>
        <v>0.60151085930121606</v>
      </c>
      <c r="E1919" s="148">
        <f t="shared" si="98"/>
        <v>1.1289897522952457E-4</v>
      </c>
      <c r="F1919" s="148">
        <f t="shared" si="100"/>
        <v>8.9456032400852814E-2</v>
      </c>
    </row>
    <row r="1920" spans="2:6" x14ac:dyDescent="0.2">
      <c r="B1920" s="206" t="s">
        <v>1385</v>
      </c>
      <c r="C1920" s="205">
        <v>1079</v>
      </c>
      <c r="D1920" s="147">
        <f t="shared" si="99"/>
        <v>0.60182562165563847</v>
      </c>
      <c r="E1920" s="148">
        <f t="shared" si="98"/>
        <v>1.1310862977962582E-4</v>
      </c>
      <c r="F1920" s="148">
        <f t="shared" si="100"/>
        <v>8.9569141030632446E-2</v>
      </c>
    </row>
    <row r="1921" spans="2:6" x14ac:dyDescent="0.2">
      <c r="B1921" s="115" t="s">
        <v>2253</v>
      </c>
      <c r="C1921" s="114">
        <v>1080</v>
      </c>
      <c r="D1921" s="147">
        <f t="shared" si="99"/>
        <v>0.60214038401006087</v>
      </c>
      <c r="E1921" s="148">
        <f t="shared" si="98"/>
        <v>1.1321345705467644E-4</v>
      </c>
      <c r="F1921" s="148">
        <f t="shared" si="100"/>
        <v>8.9682354487687119E-2</v>
      </c>
    </row>
    <row r="1922" spans="2:6" x14ac:dyDescent="0.2">
      <c r="B1922" s="206" t="s">
        <v>417</v>
      </c>
      <c r="C1922" s="205">
        <v>1080</v>
      </c>
      <c r="D1922" s="147">
        <f t="shared" si="99"/>
        <v>0.60245514636448327</v>
      </c>
      <c r="E1922" s="148">
        <f t="shared" si="98"/>
        <v>1.1321345705467644E-4</v>
      </c>
      <c r="F1922" s="148">
        <f t="shared" si="100"/>
        <v>8.9795567944741791E-2</v>
      </c>
    </row>
    <row r="1923" spans="2:6" x14ac:dyDescent="0.2">
      <c r="B1923" s="206" t="s">
        <v>1005</v>
      </c>
      <c r="C1923" s="205">
        <v>1083</v>
      </c>
      <c r="D1923" s="147">
        <f t="shared" si="99"/>
        <v>0.60276990871890568</v>
      </c>
      <c r="E1923" s="148">
        <f t="shared" si="98"/>
        <v>1.1352793887982832E-4</v>
      </c>
      <c r="F1923" s="148">
        <f t="shared" si="100"/>
        <v>8.9909095883621615E-2</v>
      </c>
    </row>
    <row r="1924" spans="2:6" x14ac:dyDescent="0.2">
      <c r="B1924" s="206" t="s">
        <v>2419</v>
      </c>
      <c r="C1924" s="205">
        <v>1085</v>
      </c>
      <c r="D1924" s="147">
        <f t="shared" si="99"/>
        <v>0.60308467107332808</v>
      </c>
      <c r="E1924" s="148">
        <f t="shared" si="98"/>
        <v>1.1373759342992957E-4</v>
      </c>
      <c r="F1924" s="148">
        <f t="shared" si="100"/>
        <v>9.0022833477051548E-2</v>
      </c>
    </row>
    <row r="1925" spans="2:6" x14ac:dyDescent="0.2">
      <c r="B1925" s="206" t="s">
        <v>1333</v>
      </c>
      <c r="C1925" s="205">
        <v>1086</v>
      </c>
      <c r="D1925" s="147">
        <f t="shared" si="99"/>
        <v>0.60339943342775049</v>
      </c>
      <c r="E1925" s="148">
        <f t="shared" si="98"/>
        <v>1.138424207049802E-4</v>
      </c>
      <c r="F1925" s="148">
        <f t="shared" si="100"/>
        <v>9.0136675897756521E-2</v>
      </c>
    </row>
    <row r="1926" spans="2:6" x14ac:dyDescent="0.2">
      <c r="B1926" s="115" t="s">
        <v>1796</v>
      </c>
      <c r="C1926" s="114">
        <v>1088</v>
      </c>
      <c r="D1926" s="147">
        <f t="shared" si="99"/>
        <v>0.60371419578217289</v>
      </c>
      <c r="E1926" s="148">
        <f t="shared" si="98"/>
        <v>1.1405207525508145E-4</v>
      </c>
      <c r="F1926" s="148">
        <f t="shared" si="100"/>
        <v>9.0250727973011605E-2</v>
      </c>
    </row>
    <row r="1927" spans="2:6" x14ac:dyDescent="0.2">
      <c r="B1927" s="115" t="s">
        <v>2809</v>
      </c>
      <c r="C1927" s="114">
        <v>1089</v>
      </c>
      <c r="D1927" s="147">
        <f t="shared" si="99"/>
        <v>0.6040289581365953</v>
      </c>
      <c r="E1927" s="148">
        <f t="shared" si="98"/>
        <v>1.1415690253013207E-4</v>
      </c>
      <c r="F1927" s="148">
        <f t="shared" si="100"/>
        <v>9.0364884875541743E-2</v>
      </c>
    </row>
    <row r="1928" spans="2:6" x14ac:dyDescent="0.2">
      <c r="B1928" s="115" t="s">
        <v>1500</v>
      </c>
      <c r="C1928" s="114">
        <v>1089</v>
      </c>
      <c r="D1928" s="147">
        <f t="shared" si="99"/>
        <v>0.6043437204910177</v>
      </c>
      <c r="E1928" s="148">
        <f t="shared" si="98"/>
        <v>1.1415690253013207E-4</v>
      </c>
      <c r="F1928" s="148">
        <f t="shared" si="100"/>
        <v>9.0479041778071881E-2</v>
      </c>
    </row>
    <row r="1929" spans="2:6" x14ac:dyDescent="0.2">
      <c r="B1929" s="115" t="s">
        <v>3026</v>
      </c>
      <c r="C1929" s="114">
        <v>1090</v>
      </c>
      <c r="D1929" s="147">
        <f t="shared" si="99"/>
        <v>0.6046584828454401</v>
      </c>
      <c r="E1929" s="148">
        <f t="shared" ref="E1929:E1992" si="101">C1929/$O$18</f>
        <v>1.142617298051827E-4</v>
      </c>
      <c r="F1929" s="148">
        <f t="shared" si="100"/>
        <v>9.059330350787706E-2</v>
      </c>
    </row>
    <row r="1930" spans="2:6" x14ac:dyDescent="0.2">
      <c r="B1930" s="206" t="s">
        <v>514</v>
      </c>
      <c r="C1930" s="205">
        <v>1092</v>
      </c>
      <c r="D1930" s="147">
        <f t="shared" ref="D1930:D1993" si="102">D1929+1/$L$18</f>
        <v>0.60497324519986251</v>
      </c>
      <c r="E1930" s="148">
        <f t="shared" si="101"/>
        <v>1.1447138435528395E-4</v>
      </c>
      <c r="F1930" s="148">
        <f t="shared" ref="F1930:F1993" si="103">F1929+E1930</f>
        <v>9.0707774892232348E-2</v>
      </c>
    </row>
    <row r="1931" spans="2:6" x14ac:dyDescent="0.2">
      <c r="B1931" s="115" t="s">
        <v>3083</v>
      </c>
      <c r="C1931" s="114">
        <v>1093</v>
      </c>
      <c r="D1931" s="147">
        <f t="shared" si="102"/>
        <v>0.60528800755428491</v>
      </c>
      <c r="E1931" s="148">
        <f t="shared" si="101"/>
        <v>1.1457621163033458E-4</v>
      </c>
      <c r="F1931" s="148">
        <f t="shared" si="103"/>
        <v>9.0822351103862678E-2</v>
      </c>
    </row>
    <row r="1932" spans="2:6" x14ac:dyDescent="0.2">
      <c r="B1932" s="206" t="s">
        <v>523</v>
      </c>
      <c r="C1932" s="205">
        <v>1093</v>
      </c>
      <c r="D1932" s="147">
        <f t="shared" si="102"/>
        <v>0.60560276990870732</v>
      </c>
      <c r="E1932" s="148">
        <f t="shared" si="101"/>
        <v>1.1457621163033458E-4</v>
      </c>
      <c r="F1932" s="148">
        <f t="shared" si="103"/>
        <v>9.0936927315493007E-2</v>
      </c>
    </row>
    <row r="1933" spans="2:6" x14ac:dyDescent="0.2">
      <c r="B1933" s="115" t="s">
        <v>1601</v>
      </c>
      <c r="C1933" s="114">
        <v>1095</v>
      </c>
      <c r="D1933" s="147">
        <f t="shared" si="102"/>
        <v>0.60591753226312972</v>
      </c>
      <c r="E1933" s="148">
        <f t="shared" si="101"/>
        <v>1.1478586618043583E-4</v>
      </c>
      <c r="F1933" s="148">
        <f t="shared" si="103"/>
        <v>9.1051713181673447E-2</v>
      </c>
    </row>
    <row r="1934" spans="2:6" x14ac:dyDescent="0.2">
      <c r="B1934" s="115" t="s">
        <v>1057</v>
      </c>
      <c r="C1934" s="114">
        <v>1095</v>
      </c>
      <c r="D1934" s="147">
        <f t="shared" si="102"/>
        <v>0.60623229461755213</v>
      </c>
      <c r="E1934" s="148">
        <f t="shared" si="101"/>
        <v>1.1478586618043583E-4</v>
      </c>
      <c r="F1934" s="148">
        <f t="shared" si="103"/>
        <v>9.1166499047853886E-2</v>
      </c>
    </row>
    <row r="1935" spans="2:6" x14ac:dyDescent="0.2">
      <c r="B1935" s="115" t="s">
        <v>105</v>
      </c>
      <c r="C1935" s="114">
        <v>1095</v>
      </c>
      <c r="D1935" s="147">
        <f t="shared" si="102"/>
        <v>0.60654705697197453</v>
      </c>
      <c r="E1935" s="148">
        <f t="shared" si="101"/>
        <v>1.1478586618043583E-4</v>
      </c>
      <c r="F1935" s="148">
        <f t="shared" si="103"/>
        <v>9.1281284914034325E-2</v>
      </c>
    </row>
    <row r="1936" spans="2:6" x14ac:dyDescent="0.2">
      <c r="B1936" s="206" t="s">
        <v>672</v>
      </c>
      <c r="C1936" s="205">
        <v>1096</v>
      </c>
      <c r="D1936" s="147">
        <f t="shared" si="102"/>
        <v>0.60686181932639693</v>
      </c>
      <c r="E1936" s="148">
        <f t="shared" si="101"/>
        <v>1.1489069345548647E-4</v>
      </c>
      <c r="F1936" s="148">
        <f t="shared" si="103"/>
        <v>9.1396175607489805E-2</v>
      </c>
    </row>
    <row r="1937" spans="2:6" x14ac:dyDescent="0.2">
      <c r="B1937" s="206" t="s">
        <v>2007</v>
      </c>
      <c r="C1937" s="205">
        <v>1097</v>
      </c>
      <c r="D1937" s="147">
        <f t="shared" si="102"/>
        <v>0.60717658168081934</v>
      </c>
      <c r="E1937" s="148">
        <f t="shared" si="101"/>
        <v>1.1499552073053709E-4</v>
      </c>
      <c r="F1937" s="148">
        <f t="shared" si="103"/>
        <v>9.1511171128220339E-2</v>
      </c>
    </row>
    <row r="1938" spans="2:6" x14ac:dyDescent="0.2">
      <c r="B1938" s="206" t="s">
        <v>2155</v>
      </c>
      <c r="C1938" s="205">
        <v>1098</v>
      </c>
      <c r="D1938" s="147">
        <f t="shared" si="102"/>
        <v>0.60749134403524174</v>
      </c>
      <c r="E1938" s="148">
        <f t="shared" si="101"/>
        <v>1.1510034800558772E-4</v>
      </c>
      <c r="F1938" s="148">
        <f t="shared" si="103"/>
        <v>9.1626271476225929E-2</v>
      </c>
    </row>
    <row r="1939" spans="2:6" x14ac:dyDescent="0.2">
      <c r="B1939" s="115" t="s">
        <v>1743</v>
      </c>
      <c r="C1939" s="114">
        <v>1102</v>
      </c>
      <c r="D1939" s="147">
        <f t="shared" si="102"/>
        <v>0.60780610638966415</v>
      </c>
      <c r="E1939" s="148">
        <f t="shared" si="101"/>
        <v>1.1551965710579022E-4</v>
      </c>
      <c r="F1939" s="148">
        <f t="shared" si="103"/>
        <v>9.1741791133331724E-2</v>
      </c>
    </row>
    <row r="1940" spans="2:6" x14ac:dyDescent="0.2">
      <c r="B1940" s="115" t="s">
        <v>458</v>
      </c>
      <c r="C1940" s="114">
        <v>1104</v>
      </c>
      <c r="D1940" s="147">
        <f t="shared" si="102"/>
        <v>0.60812086874408655</v>
      </c>
      <c r="E1940" s="148">
        <f t="shared" si="101"/>
        <v>1.1572931165589147E-4</v>
      </c>
      <c r="F1940" s="148">
        <f t="shared" si="103"/>
        <v>9.1857520444987614E-2</v>
      </c>
    </row>
    <row r="1941" spans="2:6" x14ac:dyDescent="0.2">
      <c r="B1941" s="115" t="s">
        <v>1714</v>
      </c>
      <c r="C1941" s="114">
        <v>1105</v>
      </c>
      <c r="D1941" s="147">
        <f t="shared" si="102"/>
        <v>0.60843563109850896</v>
      </c>
      <c r="E1941" s="148">
        <f t="shared" si="101"/>
        <v>1.158341389309421E-4</v>
      </c>
      <c r="F1941" s="148">
        <f t="shared" si="103"/>
        <v>9.197335458391856E-2</v>
      </c>
    </row>
    <row r="1942" spans="2:6" x14ac:dyDescent="0.2">
      <c r="B1942" s="206" t="s">
        <v>1352</v>
      </c>
      <c r="C1942" s="205">
        <v>1105</v>
      </c>
      <c r="D1942" s="147">
        <f t="shared" si="102"/>
        <v>0.60875039345293136</v>
      </c>
      <c r="E1942" s="148">
        <f t="shared" si="101"/>
        <v>1.158341389309421E-4</v>
      </c>
      <c r="F1942" s="148">
        <f t="shared" si="103"/>
        <v>9.2089188722849505E-2</v>
      </c>
    </row>
    <row r="1943" spans="2:6" x14ac:dyDescent="0.2">
      <c r="B1943" s="115" t="s">
        <v>1303</v>
      </c>
      <c r="C1943" s="114">
        <v>1105</v>
      </c>
      <c r="D1943" s="147">
        <f t="shared" si="102"/>
        <v>0.60906515580735376</v>
      </c>
      <c r="E1943" s="148">
        <f t="shared" si="101"/>
        <v>1.158341389309421E-4</v>
      </c>
      <c r="F1943" s="148">
        <f t="shared" si="103"/>
        <v>9.220502286178045E-2</v>
      </c>
    </row>
    <row r="1944" spans="2:6" x14ac:dyDescent="0.2">
      <c r="B1944" s="115" t="s">
        <v>203</v>
      </c>
      <c r="C1944" s="114">
        <v>1105</v>
      </c>
      <c r="D1944" s="147">
        <f t="shared" si="102"/>
        <v>0.60937991816177617</v>
      </c>
      <c r="E1944" s="148">
        <f t="shared" si="101"/>
        <v>1.158341389309421E-4</v>
      </c>
      <c r="F1944" s="148">
        <f t="shared" si="103"/>
        <v>9.2320857000711395E-2</v>
      </c>
    </row>
    <row r="1945" spans="2:6" x14ac:dyDescent="0.2">
      <c r="B1945" s="115" t="s">
        <v>2161</v>
      </c>
      <c r="C1945" s="114">
        <v>1108</v>
      </c>
      <c r="D1945" s="147">
        <f t="shared" si="102"/>
        <v>0.60969468051619857</v>
      </c>
      <c r="E1945" s="148">
        <f t="shared" si="101"/>
        <v>1.1614862075609397E-4</v>
      </c>
      <c r="F1945" s="148">
        <f t="shared" si="103"/>
        <v>9.2437005621467491E-2</v>
      </c>
    </row>
    <row r="1946" spans="2:6" x14ac:dyDescent="0.2">
      <c r="B1946" s="115" t="s">
        <v>2075</v>
      </c>
      <c r="C1946" s="114">
        <v>1109</v>
      </c>
      <c r="D1946" s="147">
        <f t="shared" si="102"/>
        <v>0.61000944287062098</v>
      </c>
      <c r="E1946" s="148">
        <f t="shared" si="101"/>
        <v>1.162534480311446E-4</v>
      </c>
      <c r="F1946" s="148">
        <f t="shared" si="103"/>
        <v>9.2553259069498642E-2</v>
      </c>
    </row>
    <row r="1947" spans="2:6" x14ac:dyDescent="0.2">
      <c r="B1947" s="206" t="s">
        <v>1141</v>
      </c>
      <c r="C1947" s="205">
        <v>1109</v>
      </c>
      <c r="D1947" s="147">
        <f t="shared" si="102"/>
        <v>0.61032420522504338</v>
      </c>
      <c r="E1947" s="148">
        <f t="shared" si="101"/>
        <v>1.162534480311446E-4</v>
      </c>
      <c r="F1947" s="148">
        <f t="shared" si="103"/>
        <v>9.2669512517529792E-2</v>
      </c>
    </row>
    <row r="1948" spans="2:6" x14ac:dyDescent="0.2">
      <c r="B1948" s="115" t="s">
        <v>750</v>
      </c>
      <c r="C1948" s="114">
        <v>1113</v>
      </c>
      <c r="D1948" s="147">
        <f t="shared" si="102"/>
        <v>0.61063896757946579</v>
      </c>
      <c r="E1948" s="148">
        <f t="shared" si="101"/>
        <v>1.166727571313471E-4</v>
      </c>
      <c r="F1948" s="148">
        <f t="shared" si="103"/>
        <v>9.2786185274661134E-2</v>
      </c>
    </row>
    <row r="1949" spans="2:6" x14ac:dyDescent="0.2">
      <c r="B1949" s="115" t="s">
        <v>154</v>
      </c>
      <c r="C1949" s="114">
        <v>1113</v>
      </c>
      <c r="D1949" s="147">
        <f t="shared" si="102"/>
        <v>0.61095372993388819</v>
      </c>
      <c r="E1949" s="148">
        <f t="shared" si="101"/>
        <v>1.166727571313471E-4</v>
      </c>
      <c r="F1949" s="148">
        <f t="shared" si="103"/>
        <v>9.2902858031792476E-2</v>
      </c>
    </row>
    <row r="1950" spans="2:6" x14ac:dyDescent="0.2">
      <c r="B1950" s="115" t="s">
        <v>2593</v>
      </c>
      <c r="C1950" s="114">
        <v>1114</v>
      </c>
      <c r="D1950" s="147">
        <f t="shared" si="102"/>
        <v>0.61126849228831059</v>
      </c>
      <c r="E1950" s="148">
        <f t="shared" si="101"/>
        <v>1.1677758440639773E-4</v>
      </c>
      <c r="F1950" s="148">
        <f t="shared" si="103"/>
        <v>9.3019635616198873E-2</v>
      </c>
    </row>
    <row r="1951" spans="2:6" x14ac:dyDescent="0.2">
      <c r="B1951" s="115" t="s">
        <v>2473</v>
      </c>
      <c r="C1951" s="114">
        <v>1116</v>
      </c>
      <c r="D1951" s="147">
        <f t="shared" si="102"/>
        <v>0.611583254642733</v>
      </c>
      <c r="E1951" s="148">
        <f t="shared" si="101"/>
        <v>1.1698723895649899E-4</v>
      </c>
      <c r="F1951" s="148">
        <f t="shared" si="103"/>
        <v>9.3136622855155365E-2</v>
      </c>
    </row>
    <row r="1952" spans="2:6" x14ac:dyDescent="0.2">
      <c r="B1952" s="115" t="s">
        <v>1600</v>
      </c>
      <c r="C1952" s="114">
        <v>1116</v>
      </c>
      <c r="D1952" s="147">
        <f t="shared" si="102"/>
        <v>0.6118980169971554</v>
      </c>
      <c r="E1952" s="148">
        <f t="shared" si="101"/>
        <v>1.1698723895649899E-4</v>
      </c>
      <c r="F1952" s="148">
        <f t="shared" si="103"/>
        <v>9.3253610094111858E-2</v>
      </c>
    </row>
    <row r="1953" spans="2:6" x14ac:dyDescent="0.2">
      <c r="B1953" s="206" t="s">
        <v>1798</v>
      </c>
      <c r="C1953" s="205">
        <v>1118</v>
      </c>
      <c r="D1953" s="147">
        <f t="shared" si="102"/>
        <v>0.61221277935157781</v>
      </c>
      <c r="E1953" s="148">
        <f t="shared" si="101"/>
        <v>1.1719689350660024E-4</v>
      </c>
      <c r="F1953" s="148">
        <f t="shared" si="103"/>
        <v>9.337080698761846E-2</v>
      </c>
    </row>
    <row r="1954" spans="2:6" x14ac:dyDescent="0.2">
      <c r="B1954" s="206" t="s">
        <v>2943</v>
      </c>
      <c r="C1954" s="205">
        <v>1119</v>
      </c>
      <c r="D1954" s="147">
        <f t="shared" si="102"/>
        <v>0.61252754170600021</v>
      </c>
      <c r="E1954" s="148">
        <f t="shared" si="101"/>
        <v>1.1730172078165087E-4</v>
      </c>
      <c r="F1954" s="148">
        <f t="shared" si="103"/>
        <v>9.3488108708400117E-2</v>
      </c>
    </row>
    <row r="1955" spans="2:6" x14ac:dyDescent="0.2">
      <c r="B1955" s="206" t="s">
        <v>2728</v>
      </c>
      <c r="C1955" s="205">
        <v>1121</v>
      </c>
      <c r="D1955" s="147">
        <f t="shared" si="102"/>
        <v>0.61284230406042262</v>
      </c>
      <c r="E1955" s="148">
        <f t="shared" si="101"/>
        <v>1.1751137533175212E-4</v>
      </c>
      <c r="F1955" s="148">
        <f t="shared" si="103"/>
        <v>9.3605620083731869E-2</v>
      </c>
    </row>
    <row r="1956" spans="2:6" x14ac:dyDescent="0.2">
      <c r="B1956" s="115" t="s">
        <v>1755</v>
      </c>
      <c r="C1956" s="114">
        <v>1131</v>
      </c>
      <c r="D1956" s="147">
        <f t="shared" si="102"/>
        <v>0.61315706641484502</v>
      </c>
      <c r="E1956" s="148">
        <f t="shared" si="101"/>
        <v>1.1855964808225838E-4</v>
      </c>
      <c r="F1956" s="148">
        <f t="shared" si="103"/>
        <v>9.3724179731814128E-2</v>
      </c>
    </row>
    <row r="1957" spans="2:6" x14ac:dyDescent="0.2">
      <c r="B1957" s="206" t="s">
        <v>2854</v>
      </c>
      <c r="C1957" s="205">
        <v>1132</v>
      </c>
      <c r="D1957" s="147">
        <f t="shared" si="102"/>
        <v>0.61347182876926742</v>
      </c>
      <c r="E1957" s="148">
        <f t="shared" si="101"/>
        <v>1.18664475357309E-4</v>
      </c>
      <c r="F1957" s="148">
        <f t="shared" si="103"/>
        <v>9.3842844207171441E-2</v>
      </c>
    </row>
    <row r="1958" spans="2:6" x14ac:dyDescent="0.2">
      <c r="B1958" s="115" t="s">
        <v>2511</v>
      </c>
      <c r="C1958" s="114">
        <v>1140</v>
      </c>
      <c r="D1958" s="147">
        <f t="shared" si="102"/>
        <v>0.61378659112368983</v>
      </c>
      <c r="E1958" s="148">
        <f t="shared" si="101"/>
        <v>1.1950309355771402E-4</v>
      </c>
      <c r="F1958" s="148">
        <f t="shared" si="103"/>
        <v>9.3962347300729152E-2</v>
      </c>
    </row>
    <row r="1959" spans="2:6" x14ac:dyDescent="0.2">
      <c r="B1959" s="115" t="s">
        <v>854</v>
      </c>
      <c r="C1959" s="114">
        <v>1140</v>
      </c>
      <c r="D1959" s="147">
        <f t="shared" si="102"/>
        <v>0.61410135347811223</v>
      </c>
      <c r="E1959" s="148">
        <f t="shared" si="101"/>
        <v>1.1950309355771402E-4</v>
      </c>
      <c r="F1959" s="148">
        <f t="shared" si="103"/>
        <v>9.4081850394286862E-2</v>
      </c>
    </row>
    <row r="1960" spans="2:6" x14ac:dyDescent="0.2">
      <c r="B1960" s="206" t="s">
        <v>1093</v>
      </c>
      <c r="C1960" s="205">
        <v>1141</v>
      </c>
      <c r="D1960" s="147">
        <f t="shared" si="102"/>
        <v>0.61441611583253464</v>
      </c>
      <c r="E1960" s="148">
        <f t="shared" si="101"/>
        <v>1.1960792083276465E-4</v>
      </c>
      <c r="F1960" s="148">
        <f t="shared" si="103"/>
        <v>9.4201458315119627E-2</v>
      </c>
    </row>
    <row r="1961" spans="2:6" x14ac:dyDescent="0.2">
      <c r="B1961" s="206" t="s">
        <v>2841</v>
      </c>
      <c r="C1961" s="205">
        <v>1142</v>
      </c>
      <c r="D1961" s="147">
        <f t="shared" si="102"/>
        <v>0.61473087818695704</v>
      </c>
      <c r="E1961" s="148">
        <f t="shared" si="101"/>
        <v>1.1971274810781527E-4</v>
      </c>
      <c r="F1961" s="148">
        <f t="shared" si="103"/>
        <v>9.4321171063227446E-2</v>
      </c>
    </row>
    <row r="1962" spans="2:6" x14ac:dyDescent="0.2">
      <c r="B1962" s="115" t="s">
        <v>2621</v>
      </c>
      <c r="C1962" s="114">
        <v>1142</v>
      </c>
      <c r="D1962" s="147">
        <f t="shared" si="102"/>
        <v>0.61504564054137945</v>
      </c>
      <c r="E1962" s="148">
        <f t="shared" si="101"/>
        <v>1.1971274810781527E-4</v>
      </c>
      <c r="F1962" s="148">
        <f t="shared" si="103"/>
        <v>9.4440883811335266E-2</v>
      </c>
    </row>
    <row r="1963" spans="2:6" x14ac:dyDescent="0.2">
      <c r="B1963" s="206" t="s">
        <v>2204</v>
      </c>
      <c r="C1963" s="205">
        <v>1143</v>
      </c>
      <c r="D1963" s="147">
        <f t="shared" si="102"/>
        <v>0.61536040289580185</v>
      </c>
      <c r="E1963" s="148">
        <f t="shared" si="101"/>
        <v>1.198175753828659E-4</v>
      </c>
      <c r="F1963" s="148">
        <f t="shared" si="103"/>
        <v>9.4560701386718127E-2</v>
      </c>
    </row>
    <row r="1964" spans="2:6" x14ac:dyDescent="0.2">
      <c r="B1964" s="115" t="s">
        <v>2071</v>
      </c>
      <c r="C1964" s="114">
        <v>1143</v>
      </c>
      <c r="D1964" s="147">
        <f t="shared" si="102"/>
        <v>0.61567516525022425</v>
      </c>
      <c r="E1964" s="148">
        <f t="shared" si="101"/>
        <v>1.198175753828659E-4</v>
      </c>
      <c r="F1964" s="148">
        <f t="shared" si="103"/>
        <v>9.4680518962100987E-2</v>
      </c>
    </row>
    <row r="1965" spans="2:6" x14ac:dyDescent="0.2">
      <c r="B1965" s="206" t="s">
        <v>146</v>
      </c>
      <c r="C1965" s="205">
        <v>1144</v>
      </c>
      <c r="D1965" s="147">
        <f t="shared" si="102"/>
        <v>0.61598992760464666</v>
      </c>
      <c r="E1965" s="148">
        <f t="shared" si="101"/>
        <v>1.1992240265791653E-4</v>
      </c>
      <c r="F1965" s="148">
        <f t="shared" si="103"/>
        <v>9.4800441364758903E-2</v>
      </c>
    </row>
    <row r="1966" spans="2:6" x14ac:dyDescent="0.2">
      <c r="B1966" s="115" t="s">
        <v>2082</v>
      </c>
      <c r="C1966" s="114">
        <v>1147</v>
      </c>
      <c r="D1966" s="147">
        <f t="shared" si="102"/>
        <v>0.61630468995906906</v>
      </c>
      <c r="E1966" s="148">
        <f t="shared" si="101"/>
        <v>1.202368844830684E-4</v>
      </c>
      <c r="F1966" s="148">
        <f t="shared" si="103"/>
        <v>9.4920678249241969E-2</v>
      </c>
    </row>
    <row r="1967" spans="2:6" x14ac:dyDescent="0.2">
      <c r="B1967" s="206" t="s">
        <v>2562</v>
      </c>
      <c r="C1967" s="205">
        <v>1148</v>
      </c>
      <c r="D1967" s="147">
        <f t="shared" si="102"/>
        <v>0.61661945231349147</v>
      </c>
      <c r="E1967" s="148">
        <f t="shared" si="101"/>
        <v>1.2034171175811903E-4</v>
      </c>
      <c r="F1967" s="148">
        <f t="shared" si="103"/>
        <v>9.5041019961000089E-2</v>
      </c>
    </row>
    <row r="1968" spans="2:6" x14ac:dyDescent="0.2">
      <c r="B1968" s="115" t="s">
        <v>1694</v>
      </c>
      <c r="C1968" s="114">
        <v>1149</v>
      </c>
      <c r="D1968" s="147">
        <f t="shared" si="102"/>
        <v>0.61693421466791387</v>
      </c>
      <c r="E1968" s="148">
        <f t="shared" si="101"/>
        <v>1.2044653903316965E-4</v>
      </c>
      <c r="F1968" s="148">
        <f t="shared" si="103"/>
        <v>9.5161466500033265E-2</v>
      </c>
    </row>
    <row r="1969" spans="2:6" x14ac:dyDescent="0.2">
      <c r="B1969" s="206" t="s">
        <v>1469</v>
      </c>
      <c r="C1969" s="205">
        <v>1150</v>
      </c>
      <c r="D1969" s="147">
        <f t="shared" si="102"/>
        <v>0.61724897702233628</v>
      </c>
      <c r="E1969" s="148">
        <f t="shared" si="101"/>
        <v>1.2055136630822028E-4</v>
      </c>
      <c r="F1969" s="148">
        <f t="shared" si="103"/>
        <v>9.5282017866341481E-2</v>
      </c>
    </row>
    <row r="1970" spans="2:6" x14ac:dyDescent="0.2">
      <c r="B1970" s="115" t="s">
        <v>2757</v>
      </c>
      <c r="C1970" s="114">
        <v>1151</v>
      </c>
      <c r="D1970" s="147">
        <f t="shared" si="102"/>
        <v>0.61756373937675868</v>
      </c>
      <c r="E1970" s="148">
        <f t="shared" si="101"/>
        <v>1.2065619358327091E-4</v>
      </c>
      <c r="F1970" s="148">
        <f t="shared" si="103"/>
        <v>9.5402674059924752E-2</v>
      </c>
    </row>
    <row r="1971" spans="2:6" x14ac:dyDescent="0.2">
      <c r="B1971" s="115" t="s">
        <v>2954</v>
      </c>
      <c r="C1971" s="114">
        <v>1155</v>
      </c>
      <c r="D1971" s="147">
        <f t="shared" si="102"/>
        <v>0.61787850173118108</v>
      </c>
      <c r="E1971" s="148">
        <f t="shared" si="101"/>
        <v>1.2107550268347341E-4</v>
      </c>
      <c r="F1971" s="148">
        <f t="shared" si="103"/>
        <v>9.5523749562608229E-2</v>
      </c>
    </row>
    <row r="1972" spans="2:6" x14ac:dyDescent="0.2">
      <c r="B1972" s="115" t="s">
        <v>1040</v>
      </c>
      <c r="C1972" s="114">
        <v>1156</v>
      </c>
      <c r="D1972" s="147">
        <f t="shared" si="102"/>
        <v>0.61819326408560349</v>
      </c>
      <c r="E1972" s="148">
        <f t="shared" si="101"/>
        <v>1.2118032995852405E-4</v>
      </c>
      <c r="F1972" s="148">
        <f t="shared" si="103"/>
        <v>9.5644929892566746E-2</v>
      </c>
    </row>
    <row r="1973" spans="2:6" x14ac:dyDescent="0.2">
      <c r="B1973" s="115" t="s">
        <v>877</v>
      </c>
      <c r="C1973" s="114">
        <v>1156</v>
      </c>
      <c r="D1973" s="147">
        <f t="shared" si="102"/>
        <v>0.61850802644002589</v>
      </c>
      <c r="E1973" s="148">
        <f t="shared" si="101"/>
        <v>1.2118032995852405E-4</v>
      </c>
      <c r="F1973" s="148">
        <f t="shared" si="103"/>
        <v>9.5766110222525264E-2</v>
      </c>
    </row>
    <row r="1974" spans="2:6" x14ac:dyDescent="0.2">
      <c r="B1974" s="115" t="s">
        <v>2302</v>
      </c>
      <c r="C1974" s="114">
        <v>1159</v>
      </c>
      <c r="D1974" s="147">
        <f t="shared" si="102"/>
        <v>0.6188227887944483</v>
      </c>
      <c r="E1974" s="148">
        <f t="shared" si="101"/>
        <v>1.2149481178367592E-4</v>
      </c>
      <c r="F1974" s="148">
        <f t="shared" si="103"/>
        <v>9.5887605034308945E-2</v>
      </c>
    </row>
    <row r="1975" spans="2:6" x14ac:dyDescent="0.2">
      <c r="B1975" s="115" t="s">
        <v>396</v>
      </c>
      <c r="C1975" s="114">
        <v>1160</v>
      </c>
      <c r="D1975" s="147">
        <f t="shared" si="102"/>
        <v>0.6191375511488707</v>
      </c>
      <c r="E1975" s="148">
        <f t="shared" si="101"/>
        <v>1.2159963905872655E-4</v>
      </c>
      <c r="F1975" s="148">
        <f t="shared" si="103"/>
        <v>9.6009204673367668E-2</v>
      </c>
    </row>
    <row r="1976" spans="2:6" x14ac:dyDescent="0.2">
      <c r="B1976" s="115" t="s">
        <v>220</v>
      </c>
      <c r="C1976" s="114">
        <v>1161</v>
      </c>
      <c r="D1976" s="147">
        <f t="shared" si="102"/>
        <v>0.61945231350329311</v>
      </c>
      <c r="E1976" s="148">
        <f t="shared" si="101"/>
        <v>1.2170446633377718E-4</v>
      </c>
      <c r="F1976" s="148">
        <f t="shared" si="103"/>
        <v>9.6130909139701445E-2</v>
      </c>
    </row>
    <row r="1977" spans="2:6" x14ac:dyDescent="0.2">
      <c r="B1977" s="115" t="s">
        <v>102</v>
      </c>
      <c r="C1977" s="114">
        <v>1163</v>
      </c>
      <c r="D1977" s="147">
        <f t="shared" si="102"/>
        <v>0.61976707585771551</v>
      </c>
      <c r="E1977" s="148">
        <f t="shared" si="101"/>
        <v>1.2191412088387843E-4</v>
      </c>
      <c r="F1977" s="148">
        <f t="shared" si="103"/>
        <v>9.6252823260585318E-2</v>
      </c>
    </row>
    <row r="1978" spans="2:6" x14ac:dyDescent="0.2">
      <c r="B1978" s="206" t="s">
        <v>662</v>
      </c>
      <c r="C1978" s="205">
        <v>1164</v>
      </c>
      <c r="D1978" s="147">
        <f t="shared" si="102"/>
        <v>0.62008183821213791</v>
      </c>
      <c r="E1978" s="148">
        <f t="shared" si="101"/>
        <v>1.2201894815892905E-4</v>
      </c>
      <c r="F1978" s="148">
        <f t="shared" si="103"/>
        <v>9.6374842208744246E-2</v>
      </c>
    </row>
    <row r="1979" spans="2:6" x14ac:dyDescent="0.2">
      <c r="B1979" s="206" t="s">
        <v>2031</v>
      </c>
      <c r="C1979" s="205">
        <v>1166</v>
      </c>
      <c r="D1979" s="147">
        <f t="shared" si="102"/>
        <v>0.62039660056656032</v>
      </c>
      <c r="E1979" s="148">
        <f t="shared" si="101"/>
        <v>1.222286027090303E-4</v>
      </c>
      <c r="F1979" s="148">
        <f t="shared" si="103"/>
        <v>9.649707081145327E-2</v>
      </c>
    </row>
    <row r="1980" spans="2:6" x14ac:dyDescent="0.2">
      <c r="B1980" s="206" t="s">
        <v>1950</v>
      </c>
      <c r="C1980" s="205">
        <v>1166</v>
      </c>
      <c r="D1980" s="147">
        <f t="shared" si="102"/>
        <v>0.62071136292098272</v>
      </c>
      <c r="E1980" s="148">
        <f t="shared" si="101"/>
        <v>1.222286027090303E-4</v>
      </c>
      <c r="F1980" s="148">
        <f t="shared" si="103"/>
        <v>9.6619299414162294E-2</v>
      </c>
    </row>
    <row r="1981" spans="2:6" x14ac:dyDescent="0.2">
      <c r="B1981" s="115" t="s">
        <v>1718</v>
      </c>
      <c r="C1981" s="114">
        <v>1167</v>
      </c>
      <c r="D1981" s="147">
        <f t="shared" si="102"/>
        <v>0.62102612527540513</v>
      </c>
      <c r="E1981" s="148">
        <f t="shared" si="101"/>
        <v>1.2233342998408094E-4</v>
      </c>
      <c r="F1981" s="148">
        <f t="shared" si="103"/>
        <v>9.6741632844146372E-2</v>
      </c>
    </row>
    <row r="1982" spans="2:6" x14ac:dyDescent="0.2">
      <c r="B1982" s="206" t="s">
        <v>2996</v>
      </c>
      <c r="C1982" s="205">
        <v>1168</v>
      </c>
      <c r="D1982" s="147">
        <f t="shared" si="102"/>
        <v>0.62134088762982753</v>
      </c>
      <c r="E1982" s="148">
        <f t="shared" si="101"/>
        <v>1.2243825725913155E-4</v>
      </c>
      <c r="F1982" s="148">
        <f t="shared" si="103"/>
        <v>9.6864071101405505E-2</v>
      </c>
    </row>
    <row r="1983" spans="2:6" x14ac:dyDescent="0.2">
      <c r="B1983" s="115" t="s">
        <v>72</v>
      </c>
      <c r="C1983" s="114">
        <v>1168</v>
      </c>
      <c r="D1983" s="147">
        <f t="shared" si="102"/>
        <v>0.62165564998424994</v>
      </c>
      <c r="E1983" s="148">
        <f t="shared" si="101"/>
        <v>1.2243825725913155E-4</v>
      </c>
      <c r="F1983" s="148">
        <f t="shared" si="103"/>
        <v>9.6986509358664638E-2</v>
      </c>
    </row>
    <row r="1984" spans="2:6" x14ac:dyDescent="0.2">
      <c r="B1984" s="206" t="s">
        <v>2052</v>
      </c>
      <c r="C1984" s="205">
        <v>1169</v>
      </c>
      <c r="D1984" s="147">
        <f t="shared" si="102"/>
        <v>0.62197041233867234</v>
      </c>
      <c r="E1984" s="148">
        <f t="shared" si="101"/>
        <v>1.2254308453418219E-4</v>
      </c>
      <c r="F1984" s="148">
        <f t="shared" si="103"/>
        <v>9.7109052443198826E-2</v>
      </c>
    </row>
    <row r="1985" spans="2:6" x14ac:dyDescent="0.2">
      <c r="B1985" s="206" t="s">
        <v>2364</v>
      </c>
      <c r="C1985" s="205">
        <v>1170</v>
      </c>
      <c r="D1985" s="147">
        <f t="shared" si="102"/>
        <v>0.62228517469309474</v>
      </c>
      <c r="E1985" s="148">
        <f t="shared" si="101"/>
        <v>1.2264791180923281E-4</v>
      </c>
      <c r="F1985" s="148">
        <f t="shared" si="103"/>
        <v>9.7231700355008055E-2</v>
      </c>
    </row>
    <row r="1986" spans="2:6" x14ac:dyDescent="0.2">
      <c r="B1986" s="206" t="s">
        <v>1055</v>
      </c>
      <c r="C1986" s="205">
        <v>1171</v>
      </c>
      <c r="D1986" s="147">
        <f t="shared" si="102"/>
        <v>0.62259993704751715</v>
      </c>
      <c r="E1986" s="148">
        <f t="shared" si="101"/>
        <v>1.2275273908428345E-4</v>
      </c>
      <c r="F1986" s="148">
        <f t="shared" si="103"/>
        <v>9.7354453094092339E-2</v>
      </c>
    </row>
    <row r="1987" spans="2:6" x14ac:dyDescent="0.2">
      <c r="B1987" s="115" t="s">
        <v>2359</v>
      </c>
      <c r="C1987" s="114">
        <v>1173</v>
      </c>
      <c r="D1987" s="147">
        <f t="shared" si="102"/>
        <v>0.62291469940193955</v>
      </c>
      <c r="E1987" s="148">
        <f t="shared" si="101"/>
        <v>1.229623936343847E-4</v>
      </c>
      <c r="F1987" s="148">
        <f t="shared" si="103"/>
        <v>9.7477415487726718E-2</v>
      </c>
    </row>
    <row r="1988" spans="2:6" x14ac:dyDescent="0.2">
      <c r="B1988" s="115" t="s">
        <v>982</v>
      </c>
      <c r="C1988" s="114">
        <v>1173</v>
      </c>
      <c r="D1988" s="147">
        <f t="shared" si="102"/>
        <v>0.62322946175636196</v>
      </c>
      <c r="E1988" s="148">
        <f t="shared" si="101"/>
        <v>1.229623936343847E-4</v>
      </c>
      <c r="F1988" s="148">
        <f t="shared" si="103"/>
        <v>9.7600377881361097E-2</v>
      </c>
    </row>
    <row r="1989" spans="2:6" x14ac:dyDescent="0.2">
      <c r="B1989" s="115" t="s">
        <v>2113</v>
      </c>
      <c r="C1989" s="114">
        <v>1174</v>
      </c>
      <c r="D1989" s="147">
        <f t="shared" si="102"/>
        <v>0.62354422411078436</v>
      </c>
      <c r="E1989" s="148">
        <f t="shared" si="101"/>
        <v>1.2306722090943531E-4</v>
      </c>
      <c r="F1989" s="148">
        <f t="shared" si="103"/>
        <v>9.7723445102270531E-2</v>
      </c>
    </row>
    <row r="1990" spans="2:6" x14ac:dyDescent="0.2">
      <c r="B1990" s="115" t="s">
        <v>1219</v>
      </c>
      <c r="C1990" s="114">
        <v>1174</v>
      </c>
      <c r="D1990" s="147">
        <f t="shared" si="102"/>
        <v>0.62385898646520677</v>
      </c>
      <c r="E1990" s="148">
        <f t="shared" si="101"/>
        <v>1.2306722090943531E-4</v>
      </c>
      <c r="F1990" s="148">
        <f t="shared" si="103"/>
        <v>9.7846512323179965E-2</v>
      </c>
    </row>
    <row r="1991" spans="2:6" x14ac:dyDescent="0.2">
      <c r="B1991" s="115" t="s">
        <v>347</v>
      </c>
      <c r="C1991" s="114">
        <v>1174</v>
      </c>
      <c r="D1991" s="147">
        <f t="shared" si="102"/>
        <v>0.62417374881962917</v>
      </c>
      <c r="E1991" s="148">
        <f t="shared" si="101"/>
        <v>1.2306722090943531E-4</v>
      </c>
      <c r="F1991" s="148">
        <f t="shared" si="103"/>
        <v>9.79695795440894E-2</v>
      </c>
    </row>
    <row r="1992" spans="2:6" x14ac:dyDescent="0.2">
      <c r="B1992" s="206" t="s">
        <v>721</v>
      </c>
      <c r="C1992" s="205">
        <v>1175</v>
      </c>
      <c r="D1992" s="147">
        <f t="shared" si="102"/>
        <v>0.62448851117405157</v>
      </c>
      <c r="E1992" s="148">
        <f t="shared" si="101"/>
        <v>1.2317204818448595E-4</v>
      </c>
      <c r="F1992" s="148">
        <f t="shared" si="103"/>
        <v>9.8092751592273889E-2</v>
      </c>
    </row>
    <row r="1993" spans="2:6" x14ac:dyDescent="0.2">
      <c r="B1993" s="206" t="s">
        <v>3099</v>
      </c>
      <c r="C1993" s="205">
        <v>1176</v>
      </c>
      <c r="D1993" s="147">
        <f t="shared" si="102"/>
        <v>0.62480327352847398</v>
      </c>
      <c r="E1993" s="148">
        <f t="shared" ref="E1993:E2056" si="104">C1993/$O$18</f>
        <v>1.2327687545953656E-4</v>
      </c>
      <c r="F1993" s="148">
        <f t="shared" si="103"/>
        <v>9.8216028467733418E-2</v>
      </c>
    </row>
    <row r="1994" spans="2:6" x14ac:dyDescent="0.2">
      <c r="B1994" s="115" t="s">
        <v>1235</v>
      </c>
      <c r="C1994" s="114">
        <v>1177</v>
      </c>
      <c r="D1994" s="147">
        <f t="shared" ref="D1994:D2057" si="105">D1993+1/$L$18</f>
        <v>0.62511803588289638</v>
      </c>
      <c r="E1994" s="148">
        <f t="shared" si="104"/>
        <v>1.233817027345872E-4</v>
      </c>
      <c r="F1994" s="148">
        <f t="shared" ref="F1994:F2057" si="106">F1993+E1994</f>
        <v>9.8339410170468003E-2</v>
      </c>
    </row>
    <row r="1995" spans="2:6" x14ac:dyDescent="0.2">
      <c r="B1995" s="206" t="s">
        <v>882</v>
      </c>
      <c r="C1995" s="205">
        <v>1177</v>
      </c>
      <c r="D1995" s="147">
        <f t="shared" si="105"/>
        <v>0.62543279823731879</v>
      </c>
      <c r="E1995" s="148">
        <f t="shared" si="104"/>
        <v>1.233817027345872E-4</v>
      </c>
      <c r="F1995" s="148">
        <f t="shared" si="106"/>
        <v>9.8462791873202588E-2</v>
      </c>
    </row>
    <row r="1996" spans="2:6" x14ac:dyDescent="0.2">
      <c r="B1996" s="206" t="s">
        <v>2223</v>
      </c>
      <c r="C1996" s="205">
        <v>1178</v>
      </c>
      <c r="D1996" s="147">
        <f t="shared" si="105"/>
        <v>0.62574756059174119</v>
      </c>
      <c r="E1996" s="148">
        <f t="shared" si="104"/>
        <v>1.2348653000963781E-4</v>
      </c>
      <c r="F1996" s="148">
        <f t="shared" si="106"/>
        <v>9.8586278403212227E-2</v>
      </c>
    </row>
    <row r="1997" spans="2:6" x14ac:dyDescent="0.2">
      <c r="B1997" s="206" t="s">
        <v>401</v>
      </c>
      <c r="C1997" s="205">
        <v>1179</v>
      </c>
      <c r="D1997" s="147">
        <f t="shared" si="105"/>
        <v>0.6260623229461636</v>
      </c>
      <c r="E1997" s="148">
        <f t="shared" si="104"/>
        <v>1.2359135728468845E-4</v>
      </c>
      <c r="F1997" s="148">
        <f t="shared" si="106"/>
        <v>9.8709869760496921E-2</v>
      </c>
    </row>
    <row r="1998" spans="2:6" x14ac:dyDescent="0.2">
      <c r="B1998" s="206" t="s">
        <v>110</v>
      </c>
      <c r="C1998" s="205">
        <v>1179</v>
      </c>
      <c r="D1998" s="147">
        <f t="shared" si="105"/>
        <v>0.626377085300586</v>
      </c>
      <c r="E1998" s="148">
        <f t="shared" si="104"/>
        <v>1.2359135728468845E-4</v>
      </c>
      <c r="F1998" s="148">
        <f t="shared" si="106"/>
        <v>9.8833461117781615E-2</v>
      </c>
    </row>
    <row r="1999" spans="2:6" x14ac:dyDescent="0.2">
      <c r="B1999" s="115" t="s">
        <v>3039</v>
      </c>
      <c r="C1999" s="114">
        <v>1186</v>
      </c>
      <c r="D1999" s="147">
        <f t="shared" si="105"/>
        <v>0.6266918476550084</v>
      </c>
      <c r="E1999" s="148">
        <f t="shared" si="104"/>
        <v>1.2432514821004282E-4</v>
      </c>
      <c r="F1999" s="148">
        <f t="shared" si="106"/>
        <v>9.8957786265991651E-2</v>
      </c>
    </row>
    <row r="2000" spans="2:6" x14ac:dyDescent="0.2">
      <c r="B2000" s="115" t="s">
        <v>2802</v>
      </c>
      <c r="C2000" s="114">
        <v>1187</v>
      </c>
      <c r="D2000" s="147">
        <f t="shared" si="105"/>
        <v>0.62700661000943081</v>
      </c>
      <c r="E2000" s="148">
        <f t="shared" si="104"/>
        <v>1.2442997548509346E-4</v>
      </c>
      <c r="F2000" s="148">
        <f t="shared" si="106"/>
        <v>9.9082216241476742E-2</v>
      </c>
    </row>
    <row r="2001" spans="2:6" x14ac:dyDescent="0.2">
      <c r="B2001" s="115" t="s">
        <v>653</v>
      </c>
      <c r="C2001" s="114">
        <v>1190</v>
      </c>
      <c r="D2001" s="147">
        <f t="shared" si="105"/>
        <v>0.62732137236385321</v>
      </c>
      <c r="E2001" s="148">
        <f t="shared" si="104"/>
        <v>1.2474445731024535E-4</v>
      </c>
      <c r="F2001" s="148">
        <f t="shared" si="106"/>
        <v>9.9206960698786983E-2</v>
      </c>
    </row>
    <row r="2002" spans="2:6" x14ac:dyDescent="0.2">
      <c r="B2002" s="115" t="s">
        <v>1064</v>
      </c>
      <c r="C2002" s="114">
        <v>1202</v>
      </c>
      <c r="D2002" s="147">
        <f t="shared" si="105"/>
        <v>0.62763613471827562</v>
      </c>
      <c r="E2002" s="148">
        <f t="shared" si="104"/>
        <v>1.2600238461085285E-4</v>
      </c>
      <c r="F2002" s="148">
        <f t="shared" si="106"/>
        <v>9.9332963083397841E-2</v>
      </c>
    </row>
    <row r="2003" spans="2:6" x14ac:dyDescent="0.2">
      <c r="B2003" s="206" t="s">
        <v>756</v>
      </c>
      <c r="C2003" s="205">
        <v>1202</v>
      </c>
      <c r="D2003" s="147">
        <f t="shared" si="105"/>
        <v>0.62795089707269802</v>
      </c>
      <c r="E2003" s="148">
        <f t="shared" si="104"/>
        <v>1.2600238461085285E-4</v>
      </c>
      <c r="F2003" s="148">
        <f t="shared" si="106"/>
        <v>9.9458965468008698E-2</v>
      </c>
    </row>
    <row r="2004" spans="2:6" x14ac:dyDescent="0.2">
      <c r="B2004" s="115" t="s">
        <v>402</v>
      </c>
      <c r="C2004" s="114">
        <v>1202</v>
      </c>
      <c r="D2004" s="147">
        <f t="shared" si="105"/>
        <v>0.62826565942712043</v>
      </c>
      <c r="E2004" s="148">
        <f t="shared" si="104"/>
        <v>1.2600238461085285E-4</v>
      </c>
      <c r="F2004" s="148">
        <f t="shared" si="106"/>
        <v>9.9584967852619555E-2</v>
      </c>
    </row>
    <row r="2005" spans="2:6" x14ac:dyDescent="0.2">
      <c r="B2005" s="115" t="s">
        <v>2498</v>
      </c>
      <c r="C2005" s="114">
        <v>1204</v>
      </c>
      <c r="D2005" s="147">
        <f t="shared" si="105"/>
        <v>0.62858042178154283</v>
      </c>
      <c r="E2005" s="148">
        <f t="shared" si="104"/>
        <v>1.2621203916095411E-4</v>
      </c>
      <c r="F2005" s="148">
        <f t="shared" si="106"/>
        <v>9.9711179891780508E-2</v>
      </c>
    </row>
    <row r="2006" spans="2:6" x14ac:dyDescent="0.2">
      <c r="B2006" s="115" t="s">
        <v>1862</v>
      </c>
      <c r="C2006" s="114">
        <v>1204</v>
      </c>
      <c r="D2006" s="147">
        <f t="shared" si="105"/>
        <v>0.62889518413596524</v>
      </c>
      <c r="E2006" s="148">
        <f t="shared" si="104"/>
        <v>1.2621203916095411E-4</v>
      </c>
      <c r="F2006" s="148">
        <f t="shared" si="106"/>
        <v>9.983739193094146E-2</v>
      </c>
    </row>
    <row r="2007" spans="2:6" x14ac:dyDescent="0.2">
      <c r="B2007" s="115" t="s">
        <v>842</v>
      </c>
      <c r="C2007" s="114">
        <v>1204</v>
      </c>
      <c r="D2007" s="147">
        <f t="shared" si="105"/>
        <v>0.62920994649038764</v>
      </c>
      <c r="E2007" s="148">
        <f t="shared" si="104"/>
        <v>1.2621203916095411E-4</v>
      </c>
      <c r="F2007" s="148">
        <f t="shared" si="106"/>
        <v>9.9963603970102413E-2</v>
      </c>
    </row>
    <row r="2008" spans="2:6" x14ac:dyDescent="0.2">
      <c r="B2008" s="115" t="s">
        <v>502</v>
      </c>
      <c r="C2008" s="114">
        <v>1205</v>
      </c>
      <c r="D2008" s="147">
        <f t="shared" si="105"/>
        <v>0.62952470884481004</v>
      </c>
      <c r="E2008" s="148">
        <f t="shared" si="104"/>
        <v>1.2631686643600472E-4</v>
      </c>
      <c r="F2008" s="148">
        <f t="shared" si="106"/>
        <v>0.10008992083653842</v>
      </c>
    </row>
    <row r="2009" spans="2:6" x14ac:dyDescent="0.2">
      <c r="B2009" s="206" t="s">
        <v>443</v>
      </c>
      <c r="C2009" s="205">
        <v>1205</v>
      </c>
      <c r="D2009" s="147">
        <f t="shared" si="105"/>
        <v>0.62983947119923245</v>
      </c>
      <c r="E2009" s="148">
        <f t="shared" si="104"/>
        <v>1.2631686643600472E-4</v>
      </c>
      <c r="F2009" s="148">
        <f t="shared" si="106"/>
        <v>0.10021623770297443</v>
      </c>
    </row>
    <row r="2010" spans="2:6" x14ac:dyDescent="0.2">
      <c r="B2010" s="115" t="s">
        <v>1551</v>
      </c>
      <c r="C2010" s="114">
        <v>1206</v>
      </c>
      <c r="D2010" s="147">
        <f t="shared" si="105"/>
        <v>0.63015423355365485</v>
      </c>
      <c r="E2010" s="148">
        <f t="shared" si="104"/>
        <v>1.2642169371105536E-4</v>
      </c>
      <c r="F2010" s="148">
        <f t="shared" si="106"/>
        <v>0.10034265939668548</v>
      </c>
    </row>
    <row r="2011" spans="2:6" x14ac:dyDescent="0.2">
      <c r="B2011" s="115" t="s">
        <v>1667</v>
      </c>
      <c r="C2011" s="114">
        <v>1213</v>
      </c>
      <c r="D2011" s="147">
        <f t="shared" si="105"/>
        <v>0.63046899590807726</v>
      </c>
      <c r="E2011" s="148">
        <f t="shared" si="104"/>
        <v>1.2715548463640975E-4</v>
      </c>
      <c r="F2011" s="148">
        <f t="shared" si="106"/>
        <v>0.10046981488132188</v>
      </c>
    </row>
    <row r="2012" spans="2:6" x14ac:dyDescent="0.2">
      <c r="B2012" s="206" t="s">
        <v>2998</v>
      </c>
      <c r="C2012" s="205">
        <v>1214</v>
      </c>
      <c r="D2012" s="147">
        <f t="shared" si="105"/>
        <v>0.63078375826249966</v>
      </c>
      <c r="E2012" s="148">
        <f t="shared" si="104"/>
        <v>1.2726031191146036E-4</v>
      </c>
      <c r="F2012" s="148">
        <f t="shared" si="106"/>
        <v>0.10059707519323334</v>
      </c>
    </row>
    <row r="2013" spans="2:6" x14ac:dyDescent="0.2">
      <c r="B2013" s="206" t="s">
        <v>2711</v>
      </c>
      <c r="C2013" s="205">
        <v>1216</v>
      </c>
      <c r="D2013" s="147">
        <f t="shared" si="105"/>
        <v>0.63109852061692207</v>
      </c>
      <c r="E2013" s="148">
        <f t="shared" si="104"/>
        <v>1.2746996646156161E-4</v>
      </c>
      <c r="F2013" s="148">
        <f t="shared" si="106"/>
        <v>0.10072454515969489</v>
      </c>
    </row>
    <row r="2014" spans="2:6" x14ac:dyDescent="0.2">
      <c r="B2014" s="115" t="s">
        <v>2853</v>
      </c>
      <c r="C2014" s="114">
        <v>1217</v>
      </c>
      <c r="D2014" s="147">
        <f t="shared" si="105"/>
        <v>0.63141328297134447</v>
      </c>
      <c r="E2014" s="148">
        <f t="shared" si="104"/>
        <v>1.2757479373661225E-4</v>
      </c>
      <c r="F2014" s="148">
        <f t="shared" si="106"/>
        <v>0.1008521199534315</v>
      </c>
    </row>
    <row r="2015" spans="2:6" x14ac:dyDescent="0.2">
      <c r="B2015" s="115" t="s">
        <v>1922</v>
      </c>
      <c r="C2015" s="114">
        <v>1220</v>
      </c>
      <c r="D2015" s="147">
        <f t="shared" si="105"/>
        <v>0.63172804532576687</v>
      </c>
      <c r="E2015" s="148">
        <f t="shared" si="104"/>
        <v>1.2788927556176412E-4</v>
      </c>
      <c r="F2015" s="148">
        <f t="shared" si="106"/>
        <v>0.10098000922899326</v>
      </c>
    </row>
    <row r="2016" spans="2:6" x14ac:dyDescent="0.2">
      <c r="B2016" s="115" t="s">
        <v>186</v>
      </c>
      <c r="C2016" s="114">
        <v>1222</v>
      </c>
      <c r="D2016" s="147">
        <f t="shared" si="105"/>
        <v>0.63204280768018928</v>
      </c>
      <c r="E2016" s="148">
        <f t="shared" si="104"/>
        <v>1.2809893011186537E-4</v>
      </c>
      <c r="F2016" s="148">
        <f t="shared" si="106"/>
        <v>0.10110810815910513</v>
      </c>
    </row>
    <row r="2017" spans="2:6" x14ac:dyDescent="0.2">
      <c r="B2017" s="115" t="s">
        <v>2858</v>
      </c>
      <c r="C2017" s="114">
        <v>1223</v>
      </c>
      <c r="D2017" s="147">
        <f t="shared" si="105"/>
        <v>0.63235757003461168</v>
      </c>
      <c r="E2017" s="148">
        <f t="shared" si="104"/>
        <v>1.2820375738691601E-4</v>
      </c>
      <c r="F2017" s="148">
        <f t="shared" si="106"/>
        <v>0.10123631191649204</v>
      </c>
    </row>
    <row r="2018" spans="2:6" x14ac:dyDescent="0.2">
      <c r="B2018" s="115" t="s">
        <v>2011</v>
      </c>
      <c r="C2018" s="114">
        <v>1224</v>
      </c>
      <c r="D2018" s="147">
        <f t="shared" si="105"/>
        <v>0.63267233238903409</v>
      </c>
      <c r="E2018" s="148">
        <f t="shared" si="104"/>
        <v>1.2830858466196662E-4</v>
      </c>
      <c r="F2018" s="148">
        <f t="shared" si="106"/>
        <v>0.10136462050115401</v>
      </c>
    </row>
    <row r="2019" spans="2:6" x14ac:dyDescent="0.2">
      <c r="B2019" s="115" t="s">
        <v>689</v>
      </c>
      <c r="C2019" s="114">
        <v>1224</v>
      </c>
      <c r="D2019" s="147">
        <f t="shared" si="105"/>
        <v>0.63298709474345649</v>
      </c>
      <c r="E2019" s="148">
        <f t="shared" si="104"/>
        <v>1.2830858466196662E-4</v>
      </c>
      <c r="F2019" s="148">
        <f t="shared" si="106"/>
        <v>0.10149292908581597</v>
      </c>
    </row>
    <row r="2020" spans="2:6" x14ac:dyDescent="0.2">
      <c r="B2020" s="206" t="s">
        <v>866</v>
      </c>
      <c r="C2020" s="205">
        <v>1225</v>
      </c>
      <c r="D2020" s="147">
        <f t="shared" si="105"/>
        <v>0.6333018570978789</v>
      </c>
      <c r="E2020" s="148">
        <f t="shared" si="104"/>
        <v>1.2841341193701726E-4</v>
      </c>
      <c r="F2020" s="148">
        <f t="shared" si="106"/>
        <v>0.10162134249775299</v>
      </c>
    </row>
    <row r="2021" spans="2:6" x14ac:dyDescent="0.2">
      <c r="B2021" s="115" t="s">
        <v>549</v>
      </c>
      <c r="C2021" s="114">
        <v>1225</v>
      </c>
      <c r="D2021" s="147">
        <f t="shared" si="105"/>
        <v>0.6336166194523013</v>
      </c>
      <c r="E2021" s="148">
        <f t="shared" si="104"/>
        <v>1.2841341193701726E-4</v>
      </c>
      <c r="F2021" s="148">
        <f t="shared" si="106"/>
        <v>0.10174975590969002</v>
      </c>
    </row>
    <row r="2022" spans="2:6" x14ac:dyDescent="0.2">
      <c r="B2022" s="115" t="s">
        <v>2338</v>
      </c>
      <c r="C2022" s="114">
        <v>1226</v>
      </c>
      <c r="D2022" s="147">
        <f t="shared" si="105"/>
        <v>0.6339313818067237</v>
      </c>
      <c r="E2022" s="148">
        <f t="shared" si="104"/>
        <v>1.2851823921206787E-4</v>
      </c>
      <c r="F2022" s="148">
        <f t="shared" si="106"/>
        <v>0.10187827414890208</v>
      </c>
    </row>
    <row r="2023" spans="2:6" x14ac:dyDescent="0.2">
      <c r="B2023" s="206" t="s">
        <v>2106</v>
      </c>
      <c r="C2023" s="205">
        <v>1229</v>
      </c>
      <c r="D2023" s="147">
        <f t="shared" si="105"/>
        <v>0.63424614416114611</v>
      </c>
      <c r="E2023" s="148">
        <f t="shared" si="104"/>
        <v>1.2883272103721976E-4</v>
      </c>
      <c r="F2023" s="148">
        <f t="shared" si="106"/>
        <v>0.1020071068699393</v>
      </c>
    </row>
    <row r="2024" spans="2:6" x14ac:dyDescent="0.2">
      <c r="B2024" s="206" t="s">
        <v>1577</v>
      </c>
      <c r="C2024" s="205">
        <v>1229</v>
      </c>
      <c r="D2024" s="147">
        <f t="shared" si="105"/>
        <v>0.63456090651556851</v>
      </c>
      <c r="E2024" s="148">
        <f t="shared" si="104"/>
        <v>1.2883272103721976E-4</v>
      </c>
      <c r="F2024" s="148">
        <f t="shared" si="106"/>
        <v>0.10213593959097653</v>
      </c>
    </row>
    <row r="2025" spans="2:6" x14ac:dyDescent="0.2">
      <c r="B2025" s="115" t="s">
        <v>929</v>
      </c>
      <c r="C2025" s="114">
        <v>1231</v>
      </c>
      <c r="D2025" s="147">
        <f t="shared" si="105"/>
        <v>0.63487566886999092</v>
      </c>
      <c r="E2025" s="148">
        <f t="shared" si="104"/>
        <v>1.2904237558732101E-4</v>
      </c>
      <c r="F2025" s="148">
        <f t="shared" si="106"/>
        <v>0.10226498196656385</v>
      </c>
    </row>
    <row r="2026" spans="2:6" x14ac:dyDescent="0.2">
      <c r="B2026" s="206" t="s">
        <v>403</v>
      </c>
      <c r="C2026" s="205">
        <v>1231</v>
      </c>
      <c r="D2026" s="147">
        <f t="shared" si="105"/>
        <v>0.63519043122441332</v>
      </c>
      <c r="E2026" s="148">
        <f t="shared" si="104"/>
        <v>1.2904237558732101E-4</v>
      </c>
      <c r="F2026" s="148">
        <f t="shared" si="106"/>
        <v>0.10239402434215117</v>
      </c>
    </row>
    <row r="2027" spans="2:6" x14ac:dyDescent="0.2">
      <c r="B2027" s="115" t="s">
        <v>2058</v>
      </c>
      <c r="C2027" s="114">
        <v>1232</v>
      </c>
      <c r="D2027" s="147">
        <f t="shared" si="105"/>
        <v>0.63550519357883573</v>
      </c>
      <c r="E2027" s="148">
        <f t="shared" si="104"/>
        <v>1.2914720286237165E-4</v>
      </c>
      <c r="F2027" s="148">
        <f t="shared" si="106"/>
        <v>0.10252317154501354</v>
      </c>
    </row>
    <row r="2028" spans="2:6" x14ac:dyDescent="0.2">
      <c r="B2028" s="206" t="s">
        <v>1374</v>
      </c>
      <c r="C2028" s="205">
        <v>1232</v>
      </c>
      <c r="D2028" s="147">
        <f t="shared" si="105"/>
        <v>0.63581995593325813</v>
      </c>
      <c r="E2028" s="148">
        <f t="shared" si="104"/>
        <v>1.2914720286237165E-4</v>
      </c>
      <c r="F2028" s="148">
        <f t="shared" si="106"/>
        <v>0.10265231874787592</v>
      </c>
    </row>
    <row r="2029" spans="2:6" x14ac:dyDescent="0.2">
      <c r="B2029" s="206" t="s">
        <v>3038</v>
      </c>
      <c r="C2029" s="205">
        <v>1233</v>
      </c>
      <c r="D2029" s="147">
        <f t="shared" si="105"/>
        <v>0.63613471828768053</v>
      </c>
      <c r="E2029" s="148">
        <f t="shared" si="104"/>
        <v>1.2925203013742226E-4</v>
      </c>
      <c r="F2029" s="148">
        <f t="shared" si="106"/>
        <v>0.10278157077801334</v>
      </c>
    </row>
    <row r="2030" spans="2:6" x14ac:dyDescent="0.2">
      <c r="B2030" s="115" t="s">
        <v>2897</v>
      </c>
      <c r="C2030" s="114">
        <v>1233</v>
      </c>
      <c r="D2030" s="147">
        <f t="shared" si="105"/>
        <v>0.63644948064210294</v>
      </c>
      <c r="E2030" s="148">
        <f t="shared" si="104"/>
        <v>1.2925203013742226E-4</v>
      </c>
      <c r="F2030" s="148">
        <f t="shared" si="106"/>
        <v>0.10291082280815075</v>
      </c>
    </row>
    <row r="2031" spans="2:6" x14ac:dyDescent="0.2">
      <c r="B2031" s="115" t="s">
        <v>2447</v>
      </c>
      <c r="C2031" s="114">
        <v>1234</v>
      </c>
      <c r="D2031" s="147">
        <f t="shared" si="105"/>
        <v>0.63676424299652534</v>
      </c>
      <c r="E2031" s="148">
        <f t="shared" si="104"/>
        <v>1.293568574124729E-4</v>
      </c>
      <c r="F2031" s="148">
        <f t="shared" si="106"/>
        <v>0.10304017966556323</v>
      </c>
    </row>
    <row r="2032" spans="2:6" x14ac:dyDescent="0.2">
      <c r="B2032" s="115" t="s">
        <v>1451</v>
      </c>
      <c r="C2032" s="114">
        <v>1234</v>
      </c>
      <c r="D2032" s="147">
        <f t="shared" si="105"/>
        <v>0.63707900535094775</v>
      </c>
      <c r="E2032" s="148">
        <f t="shared" si="104"/>
        <v>1.293568574124729E-4</v>
      </c>
      <c r="F2032" s="148">
        <f t="shared" si="106"/>
        <v>0.1031695365229757</v>
      </c>
    </row>
    <row r="2033" spans="2:6" x14ac:dyDescent="0.2">
      <c r="B2033" s="206" t="s">
        <v>344</v>
      </c>
      <c r="C2033" s="205">
        <v>1234</v>
      </c>
      <c r="D2033" s="147">
        <f t="shared" si="105"/>
        <v>0.63739376770537015</v>
      </c>
      <c r="E2033" s="148">
        <f t="shared" si="104"/>
        <v>1.293568574124729E-4</v>
      </c>
      <c r="F2033" s="148">
        <f t="shared" si="106"/>
        <v>0.10329889338038817</v>
      </c>
    </row>
    <row r="2034" spans="2:6" x14ac:dyDescent="0.2">
      <c r="B2034" s="115" t="s">
        <v>2605</v>
      </c>
      <c r="C2034" s="114">
        <v>1235</v>
      </c>
      <c r="D2034" s="147">
        <f t="shared" si="105"/>
        <v>0.63770853005979256</v>
      </c>
      <c r="E2034" s="148">
        <f t="shared" si="104"/>
        <v>1.2946168468752351E-4</v>
      </c>
      <c r="F2034" s="148">
        <f t="shared" si="106"/>
        <v>0.10342835506507569</v>
      </c>
    </row>
    <row r="2035" spans="2:6" x14ac:dyDescent="0.2">
      <c r="B2035" s="115" t="s">
        <v>2000</v>
      </c>
      <c r="C2035" s="114">
        <v>1239</v>
      </c>
      <c r="D2035" s="147">
        <f t="shared" si="105"/>
        <v>0.63802329241421496</v>
      </c>
      <c r="E2035" s="148">
        <f t="shared" si="104"/>
        <v>1.2988099378772602E-4</v>
      </c>
      <c r="F2035" s="148">
        <f t="shared" si="106"/>
        <v>0.10355823605886343</v>
      </c>
    </row>
    <row r="2036" spans="2:6" x14ac:dyDescent="0.2">
      <c r="B2036" s="115" t="s">
        <v>1561</v>
      </c>
      <c r="C2036" s="114">
        <v>1240</v>
      </c>
      <c r="D2036" s="147">
        <f t="shared" si="105"/>
        <v>0.63833805476863736</v>
      </c>
      <c r="E2036" s="148">
        <f t="shared" si="104"/>
        <v>1.2998582106277666E-4</v>
      </c>
      <c r="F2036" s="148">
        <f t="shared" si="106"/>
        <v>0.1036882218799262</v>
      </c>
    </row>
    <row r="2037" spans="2:6" x14ac:dyDescent="0.2">
      <c r="B2037" s="115" t="s">
        <v>884</v>
      </c>
      <c r="C2037" s="114">
        <v>1240</v>
      </c>
      <c r="D2037" s="147">
        <f t="shared" si="105"/>
        <v>0.63865281712305977</v>
      </c>
      <c r="E2037" s="148">
        <f t="shared" si="104"/>
        <v>1.2998582106277666E-4</v>
      </c>
      <c r="F2037" s="148">
        <f t="shared" si="106"/>
        <v>0.10381820770098897</v>
      </c>
    </row>
    <row r="2038" spans="2:6" x14ac:dyDescent="0.2">
      <c r="B2038" s="115" t="s">
        <v>358</v>
      </c>
      <c r="C2038" s="114">
        <v>1240</v>
      </c>
      <c r="D2038" s="147">
        <f t="shared" si="105"/>
        <v>0.63896757947748217</v>
      </c>
      <c r="E2038" s="148">
        <f t="shared" si="104"/>
        <v>1.2998582106277666E-4</v>
      </c>
      <c r="F2038" s="148">
        <f t="shared" si="106"/>
        <v>0.10394819352205174</v>
      </c>
    </row>
    <row r="2039" spans="2:6" x14ac:dyDescent="0.2">
      <c r="B2039" s="115" t="s">
        <v>365</v>
      </c>
      <c r="C2039" s="114">
        <v>1241</v>
      </c>
      <c r="D2039" s="147">
        <f t="shared" si="105"/>
        <v>0.63928234183190458</v>
      </c>
      <c r="E2039" s="148">
        <f t="shared" si="104"/>
        <v>1.3009064833782727E-4</v>
      </c>
      <c r="F2039" s="148">
        <f t="shared" si="106"/>
        <v>0.10407828417038957</v>
      </c>
    </row>
    <row r="2040" spans="2:6" x14ac:dyDescent="0.2">
      <c r="B2040" s="115" t="s">
        <v>2257</v>
      </c>
      <c r="C2040" s="114">
        <v>1244</v>
      </c>
      <c r="D2040" s="147">
        <f t="shared" si="105"/>
        <v>0.63959710418632698</v>
      </c>
      <c r="E2040" s="148">
        <f t="shared" si="104"/>
        <v>1.3040513016297916E-4</v>
      </c>
      <c r="F2040" s="148">
        <f t="shared" si="106"/>
        <v>0.10420868930055255</v>
      </c>
    </row>
    <row r="2041" spans="2:6" x14ac:dyDescent="0.2">
      <c r="B2041" s="115" t="s">
        <v>1472</v>
      </c>
      <c r="C2041" s="114">
        <v>1248</v>
      </c>
      <c r="D2041" s="147">
        <f t="shared" si="105"/>
        <v>0.63991186654074939</v>
      </c>
      <c r="E2041" s="148">
        <f t="shared" si="104"/>
        <v>1.3082443926318166E-4</v>
      </c>
      <c r="F2041" s="148">
        <f t="shared" si="106"/>
        <v>0.10433951373981573</v>
      </c>
    </row>
    <row r="2042" spans="2:6" x14ac:dyDescent="0.2">
      <c r="B2042" s="115" t="s">
        <v>139</v>
      </c>
      <c r="C2042" s="114">
        <v>1248</v>
      </c>
      <c r="D2042" s="147">
        <f t="shared" si="105"/>
        <v>0.64022662889517179</v>
      </c>
      <c r="E2042" s="148">
        <f t="shared" si="104"/>
        <v>1.3082443926318166E-4</v>
      </c>
      <c r="F2042" s="148">
        <f t="shared" si="106"/>
        <v>0.10447033817907891</v>
      </c>
    </row>
    <row r="2043" spans="2:6" x14ac:dyDescent="0.2">
      <c r="B2043" s="115" t="s">
        <v>273</v>
      </c>
      <c r="C2043" s="114">
        <v>1250</v>
      </c>
      <c r="D2043" s="147">
        <f t="shared" si="105"/>
        <v>0.64054139124959419</v>
      </c>
      <c r="E2043" s="148">
        <f t="shared" si="104"/>
        <v>1.3103409381328291E-4</v>
      </c>
      <c r="F2043" s="148">
        <f t="shared" si="106"/>
        <v>0.10460137227289219</v>
      </c>
    </row>
    <row r="2044" spans="2:6" x14ac:dyDescent="0.2">
      <c r="B2044" s="115" t="s">
        <v>2957</v>
      </c>
      <c r="C2044" s="114">
        <v>1252</v>
      </c>
      <c r="D2044" s="147">
        <f t="shared" si="105"/>
        <v>0.6408561536040166</v>
      </c>
      <c r="E2044" s="148">
        <f t="shared" si="104"/>
        <v>1.3124374836338416E-4</v>
      </c>
      <c r="F2044" s="148">
        <f t="shared" si="106"/>
        <v>0.10473261602125558</v>
      </c>
    </row>
    <row r="2045" spans="2:6" x14ac:dyDescent="0.2">
      <c r="B2045" s="115" t="s">
        <v>405</v>
      </c>
      <c r="C2045" s="114">
        <v>1254</v>
      </c>
      <c r="D2045" s="147">
        <f t="shared" si="105"/>
        <v>0.641170915958439</v>
      </c>
      <c r="E2045" s="148">
        <f t="shared" si="104"/>
        <v>1.3145340291348542E-4</v>
      </c>
      <c r="F2045" s="148">
        <f t="shared" si="106"/>
        <v>0.10486406942416907</v>
      </c>
    </row>
    <row r="2046" spans="2:6" x14ac:dyDescent="0.2">
      <c r="B2046" s="206" t="s">
        <v>1284</v>
      </c>
      <c r="C2046" s="205">
        <v>1259</v>
      </c>
      <c r="D2046" s="147">
        <f t="shared" si="105"/>
        <v>0.64148567831286141</v>
      </c>
      <c r="E2046" s="148">
        <f t="shared" si="104"/>
        <v>1.3197753928873856E-4</v>
      </c>
      <c r="F2046" s="148">
        <f t="shared" si="106"/>
        <v>0.10499604696345781</v>
      </c>
    </row>
    <row r="2047" spans="2:6" x14ac:dyDescent="0.2">
      <c r="B2047" s="115" t="s">
        <v>3077</v>
      </c>
      <c r="C2047" s="114">
        <v>1262</v>
      </c>
      <c r="D2047" s="147">
        <f t="shared" si="105"/>
        <v>0.64180044066728381</v>
      </c>
      <c r="E2047" s="148">
        <f t="shared" si="104"/>
        <v>1.3229202111389042E-4</v>
      </c>
      <c r="F2047" s="148">
        <f t="shared" si="106"/>
        <v>0.1051283389845717</v>
      </c>
    </row>
    <row r="2048" spans="2:6" x14ac:dyDescent="0.2">
      <c r="B2048" s="206" t="s">
        <v>1367</v>
      </c>
      <c r="C2048" s="205">
        <v>1264</v>
      </c>
      <c r="D2048" s="147">
        <f t="shared" si="105"/>
        <v>0.64211520302170622</v>
      </c>
      <c r="E2048" s="148">
        <f t="shared" si="104"/>
        <v>1.3250167566399167E-4</v>
      </c>
      <c r="F2048" s="148">
        <f t="shared" si="106"/>
        <v>0.10526084066023569</v>
      </c>
    </row>
    <row r="2049" spans="2:6" x14ac:dyDescent="0.2">
      <c r="B2049" s="206" t="s">
        <v>1335</v>
      </c>
      <c r="C2049" s="205">
        <v>1266</v>
      </c>
      <c r="D2049" s="147">
        <f t="shared" si="105"/>
        <v>0.64242996537612862</v>
      </c>
      <c r="E2049" s="148">
        <f t="shared" si="104"/>
        <v>1.3271133021409292E-4</v>
      </c>
      <c r="F2049" s="148">
        <f t="shared" si="106"/>
        <v>0.10539355199044979</v>
      </c>
    </row>
    <row r="2050" spans="2:6" x14ac:dyDescent="0.2">
      <c r="B2050" s="115" t="s">
        <v>932</v>
      </c>
      <c r="C2050" s="114">
        <v>1268</v>
      </c>
      <c r="D2050" s="147">
        <f t="shared" si="105"/>
        <v>0.64274472773055102</v>
      </c>
      <c r="E2050" s="148">
        <f t="shared" si="104"/>
        <v>1.329209847641942E-4</v>
      </c>
      <c r="F2050" s="148">
        <f t="shared" si="106"/>
        <v>0.10552647297521399</v>
      </c>
    </row>
    <row r="2051" spans="2:6" x14ac:dyDescent="0.2">
      <c r="B2051" s="206" t="s">
        <v>989</v>
      </c>
      <c r="C2051" s="205">
        <v>1269</v>
      </c>
      <c r="D2051" s="147">
        <f t="shared" si="105"/>
        <v>0.64305949008497343</v>
      </c>
      <c r="E2051" s="148">
        <f t="shared" si="104"/>
        <v>1.3302581203924481E-4</v>
      </c>
      <c r="F2051" s="148">
        <f t="shared" si="106"/>
        <v>0.10565949878725324</v>
      </c>
    </row>
    <row r="2052" spans="2:6" x14ac:dyDescent="0.2">
      <c r="B2052" s="206" t="s">
        <v>931</v>
      </c>
      <c r="C2052" s="205">
        <v>1277</v>
      </c>
      <c r="D2052" s="147">
        <f t="shared" si="105"/>
        <v>0.64337425243939583</v>
      </c>
      <c r="E2052" s="148">
        <f t="shared" si="104"/>
        <v>1.3386443023964982E-4</v>
      </c>
      <c r="F2052" s="148">
        <f t="shared" si="106"/>
        <v>0.10579336321749289</v>
      </c>
    </row>
    <row r="2053" spans="2:6" x14ac:dyDescent="0.2">
      <c r="B2053" s="206" t="s">
        <v>2603</v>
      </c>
      <c r="C2053" s="205">
        <v>1278</v>
      </c>
      <c r="D2053" s="147">
        <f t="shared" si="105"/>
        <v>0.64368901479381824</v>
      </c>
      <c r="E2053" s="148">
        <f t="shared" si="104"/>
        <v>1.3396925751470046E-4</v>
      </c>
      <c r="F2053" s="148">
        <f t="shared" si="106"/>
        <v>0.10592733247500759</v>
      </c>
    </row>
    <row r="2054" spans="2:6" x14ac:dyDescent="0.2">
      <c r="B2054" s="115" t="s">
        <v>162</v>
      </c>
      <c r="C2054" s="114">
        <v>1278</v>
      </c>
      <c r="D2054" s="147">
        <f t="shared" si="105"/>
        <v>0.64400377714824064</v>
      </c>
      <c r="E2054" s="148">
        <f t="shared" si="104"/>
        <v>1.3396925751470046E-4</v>
      </c>
      <c r="F2054" s="148">
        <f t="shared" si="106"/>
        <v>0.10606130173252229</v>
      </c>
    </row>
    <row r="2055" spans="2:6" x14ac:dyDescent="0.2">
      <c r="B2055" s="115" t="s">
        <v>1030</v>
      </c>
      <c r="C2055" s="114">
        <v>1280</v>
      </c>
      <c r="D2055" s="147">
        <f t="shared" si="105"/>
        <v>0.64431853950266305</v>
      </c>
      <c r="E2055" s="148">
        <f t="shared" si="104"/>
        <v>1.3417891206480171E-4</v>
      </c>
      <c r="F2055" s="148">
        <f t="shared" si="106"/>
        <v>0.10619548064458709</v>
      </c>
    </row>
    <row r="2056" spans="2:6" x14ac:dyDescent="0.2">
      <c r="B2056" s="115" t="s">
        <v>1519</v>
      </c>
      <c r="C2056" s="114">
        <v>1281</v>
      </c>
      <c r="D2056" s="147">
        <f t="shared" si="105"/>
        <v>0.64463330185708545</v>
      </c>
      <c r="E2056" s="148">
        <f t="shared" si="104"/>
        <v>1.3428373933985232E-4</v>
      </c>
      <c r="F2056" s="148">
        <f t="shared" si="106"/>
        <v>0.10632976438392694</v>
      </c>
    </row>
    <row r="2057" spans="2:6" x14ac:dyDescent="0.2">
      <c r="B2057" s="115" t="s">
        <v>2480</v>
      </c>
      <c r="C2057" s="114">
        <v>1282</v>
      </c>
      <c r="D2057" s="147">
        <f t="shared" si="105"/>
        <v>0.64494806421150785</v>
      </c>
      <c r="E2057" s="148">
        <f t="shared" ref="E2057:E2120" si="107">C2057/$O$18</f>
        <v>1.3438856661490296E-4</v>
      </c>
      <c r="F2057" s="148">
        <f t="shared" si="106"/>
        <v>0.10646415295054185</v>
      </c>
    </row>
    <row r="2058" spans="2:6" x14ac:dyDescent="0.2">
      <c r="B2058" s="206" t="s">
        <v>1366</v>
      </c>
      <c r="C2058" s="205">
        <v>1282</v>
      </c>
      <c r="D2058" s="147">
        <f t="shared" ref="D2058:D2121" si="108">D2057+1/$L$18</f>
        <v>0.64526282656593026</v>
      </c>
      <c r="E2058" s="148">
        <f t="shared" si="107"/>
        <v>1.3438856661490296E-4</v>
      </c>
      <c r="F2058" s="148">
        <f t="shared" ref="F2058:F2121" si="109">F2057+E2058</f>
        <v>0.10659854151715675</v>
      </c>
    </row>
    <row r="2059" spans="2:6" x14ac:dyDescent="0.2">
      <c r="B2059" s="206" t="s">
        <v>1221</v>
      </c>
      <c r="C2059" s="205">
        <v>1282</v>
      </c>
      <c r="D2059" s="147">
        <f t="shared" si="108"/>
        <v>0.64557758892035266</v>
      </c>
      <c r="E2059" s="148">
        <f t="shared" si="107"/>
        <v>1.3438856661490296E-4</v>
      </c>
      <c r="F2059" s="148">
        <f t="shared" si="109"/>
        <v>0.10673293008377166</v>
      </c>
    </row>
    <row r="2060" spans="2:6" x14ac:dyDescent="0.2">
      <c r="B2060" s="115" t="s">
        <v>743</v>
      </c>
      <c r="C2060" s="114">
        <v>1289</v>
      </c>
      <c r="D2060" s="147">
        <f t="shared" si="108"/>
        <v>0.64589235127477507</v>
      </c>
      <c r="E2060" s="148">
        <f t="shared" si="107"/>
        <v>1.3512235754025735E-4</v>
      </c>
      <c r="F2060" s="148">
        <f t="shared" si="109"/>
        <v>0.10686805244131192</v>
      </c>
    </row>
    <row r="2061" spans="2:6" x14ac:dyDescent="0.2">
      <c r="B2061" s="115" t="s">
        <v>786</v>
      </c>
      <c r="C2061" s="114">
        <v>1291</v>
      </c>
      <c r="D2061" s="147">
        <f t="shared" si="108"/>
        <v>0.64620711362919747</v>
      </c>
      <c r="E2061" s="148">
        <f t="shared" si="107"/>
        <v>1.3533201209035861E-4</v>
      </c>
      <c r="F2061" s="148">
        <f t="shared" si="109"/>
        <v>0.10700338445340228</v>
      </c>
    </row>
    <row r="2062" spans="2:6" x14ac:dyDescent="0.2">
      <c r="B2062" s="206" t="s">
        <v>2442</v>
      </c>
      <c r="C2062" s="205">
        <v>1294</v>
      </c>
      <c r="D2062" s="147">
        <f t="shared" si="108"/>
        <v>0.64652187598361988</v>
      </c>
      <c r="E2062" s="148">
        <f t="shared" si="107"/>
        <v>1.3564649391551047E-4</v>
      </c>
      <c r="F2062" s="148">
        <f t="shared" si="109"/>
        <v>0.10713903094731779</v>
      </c>
    </row>
    <row r="2063" spans="2:6" x14ac:dyDescent="0.2">
      <c r="B2063" s="206" t="s">
        <v>1644</v>
      </c>
      <c r="C2063" s="205">
        <v>1295</v>
      </c>
      <c r="D2063" s="147">
        <f t="shared" si="108"/>
        <v>0.64683663833804228</v>
      </c>
      <c r="E2063" s="148">
        <f t="shared" si="107"/>
        <v>1.3575132119056111E-4</v>
      </c>
      <c r="F2063" s="148">
        <f t="shared" si="109"/>
        <v>0.10727478226850835</v>
      </c>
    </row>
    <row r="2064" spans="2:6" x14ac:dyDescent="0.2">
      <c r="B2064" s="206" t="s">
        <v>533</v>
      </c>
      <c r="C2064" s="205">
        <v>1295</v>
      </c>
      <c r="D2064" s="147">
        <f t="shared" si="108"/>
        <v>0.64715140069246468</v>
      </c>
      <c r="E2064" s="148">
        <f t="shared" si="107"/>
        <v>1.3575132119056111E-4</v>
      </c>
      <c r="F2064" s="148">
        <f t="shared" si="109"/>
        <v>0.10741053358969892</v>
      </c>
    </row>
    <row r="2065" spans="2:6" x14ac:dyDescent="0.2">
      <c r="B2065" s="206" t="s">
        <v>253</v>
      </c>
      <c r="C2065" s="205">
        <v>1295</v>
      </c>
      <c r="D2065" s="147">
        <f t="shared" si="108"/>
        <v>0.64746616304688709</v>
      </c>
      <c r="E2065" s="148">
        <f t="shared" si="107"/>
        <v>1.3575132119056111E-4</v>
      </c>
      <c r="F2065" s="148">
        <f t="shared" si="109"/>
        <v>0.10754628491088948</v>
      </c>
    </row>
    <row r="2066" spans="2:6" x14ac:dyDescent="0.2">
      <c r="B2066" s="206" t="s">
        <v>2986</v>
      </c>
      <c r="C2066" s="205">
        <v>1297</v>
      </c>
      <c r="D2066" s="147">
        <f t="shared" si="108"/>
        <v>0.64778092540130949</v>
      </c>
      <c r="E2066" s="148">
        <f t="shared" si="107"/>
        <v>1.3596097574066236E-4</v>
      </c>
      <c r="F2066" s="148">
        <f t="shared" si="109"/>
        <v>0.10768224588663014</v>
      </c>
    </row>
    <row r="2067" spans="2:6" x14ac:dyDescent="0.2">
      <c r="B2067" s="206" t="s">
        <v>2202</v>
      </c>
      <c r="C2067" s="205">
        <v>1297</v>
      </c>
      <c r="D2067" s="147">
        <f t="shared" si="108"/>
        <v>0.6480956877557319</v>
      </c>
      <c r="E2067" s="148">
        <f t="shared" si="107"/>
        <v>1.3596097574066236E-4</v>
      </c>
      <c r="F2067" s="148">
        <f t="shared" si="109"/>
        <v>0.1078182068623708</v>
      </c>
    </row>
    <row r="2068" spans="2:6" x14ac:dyDescent="0.2">
      <c r="B2068" s="115" t="s">
        <v>1220</v>
      </c>
      <c r="C2068" s="114">
        <v>1297</v>
      </c>
      <c r="D2068" s="147">
        <f t="shared" si="108"/>
        <v>0.6484104501101543</v>
      </c>
      <c r="E2068" s="148">
        <f t="shared" si="107"/>
        <v>1.3596097574066236E-4</v>
      </c>
      <c r="F2068" s="148">
        <f t="shared" si="109"/>
        <v>0.10795416783811146</v>
      </c>
    </row>
    <row r="2069" spans="2:6" x14ac:dyDescent="0.2">
      <c r="B2069" s="206" t="s">
        <v>748</v>
      </c>
      <c r="C2069" s="205">
        <v>1298</v>
      </c>
      <c r="D2069" s="147">
        <f t="shared" si="108"/>
        <v>0.64872521246457671</v>
      </c>
      <c r="E2069" s="148">
        <f t="shared" si="107"/>
        <v>1.3606580301571297E-4</v>
      </c>
      <c r="F2069" s="148">
        <f t="shared" si="109"/>
        <v>0.10809023364112717</v>
      </c>
    </row>
    <row r="2070" spans="2:6" x14ac:dyDescent="0.2">
      <c r="B2070" s="206" t="s">
        <v>2992</v>
      </c>
      <c r="C2070" s="205">
        <v>1300</v>
      </c>
      <c r="D2070" s="147">
        <f t="shared" si="108"/>
        <v>0.64903997481899911</v>
      </c>
      <c r="E2070" s="148">
        <f t="shared" si="107"/>
        <v>1.3627545756581422E-4</v>
      </c>
      <c r="F2070" s="148">
        <f t="shared" si="109"/>
        <v>0.10822650909869298</v>
      </c>
    </row>
    <row r="2071" spans="2:6" x14ac:dyDescent="0.2">
      <c r="B2071" s="206" t="s">
        <v>890</v>
      </c>
      <c r="C2071" s="205">
        <v>1300</v>
      </c>
      <c r="D2071" s="147">
        <f t="shared" si="108"/>
        <v>0.64935473717342151</v>
      </c>
      <c r="E2071" s="148">
        <f t="shared" si="107"/>
        <v>1.3627545756581422E-4</v>
      </c>
      <c r="F2071" s="148">
        <f t="shared" si="109"/>
        <v>0.10836278455625879</v>
      </c>
    </row>
    <row r="2072" spans="2:6" x14ac:dyDescent="0.2">
      <c r="B2072" s="115" t="s">
        <v>2990</v>
      </c>
      <c r="C2072" s="114">
        <v>1301</v>
      </c>
      <c r="D2072" s="147">
        <f t="shared" si="108"/>
        <v>0.64966949952784392</v>
      </c>
      <c r="E2072" s="148">
        <f t="shared" si="107"/>
        <v>1.3638028484086486E-4</v>
      </c>
      <c r="F2072" s="148">
        <f t="shared" si="109"/>
        <v>0.10849916484109966</v>
      </c>
    </row>
    <row r="2073" spans="2:6" x14ac:dyDescent="0.2">
      <c r="B2073" s="206" t="s">
        <v>3011</v>
      </c>
      <c r="C2073" s="205">
        <v>1306</v>
      </c>
      <c r="D2073" s="147">
        <f t="shared" si="108"/>
        <v>0.64998426188226632</v>
      </c>
      <c r="E2073" s="148">
        <f t="shared" si="107"/>
        <v>1.3690442121611798E-4</v>
      </c>
      <c r="F2073" s="148">
        <f t="shared" si="109"/>
        <v>0.10863606926231578</v>
      </c>
    </row>
    <row r="2074" spans="2:6" x14ac:dyDescent="0.2">
      <c r="B2074" s="206" t="s">
        <v>36</v>
      </c>
      <c r="C2074" s="205">
        <v>1307</v>
      </c>
      <c r="D2074" s="147">
        <f t="shared" si="108"/>
        <v>0.65029902423668873</v>
      </c>
      <c r="E2074" s="148">
        <f t="shared" si="107"/>
        <v>1.3700924849116862E-4</v>
      </c>
      <c r="F2074" s="148">
        <f t="shared" si="109"/>
        <v>0.10877307851080695</v>
      </c>
    </row>
    <row r="2075" spans="2:6" x14ac:dyDescent="0.2">
      <c r="B2075" s="115" t="s">
        <v>1683</v>
      </c>
      <c r="C2075" s="114">
        <v>1308</v>
      </c>
      <c r="D2075" s="147">
        <f t="shared" si="108"/>
        <v>0.65061378659111113</v>
      </c>
      <c r="E2075" s="148">
        <f t="shared" si="107"/>
        <v>1.3711407576621926E-4</v>
      </c>
      <c r="F2075" s="148">
        <f t="shared" si="109"/>
        <v>0.10891019258657317</v>
      </c>
    </row>
    <row r="2076" spans="2:6" x14ac:dyDescent="0.2">
      <c r="B2076" s="115" t="s">
        <v>797</v>
      </c>
      <c r="C2076" s="114">
        <v>1310</v>
      </c>
      <c r="D2076" s="147">
        <f t="shared" si="108"/>
        <v>0.65092854894553354</v>
      </c>
      <c r="E2076" s="148">
        <f t="shared" si="107"/>
        <v>1.3732373031632051E-4</v>
      </c>
      <c r="F2076" s="148">
        <f t="shared" si="109"/>
        <v>0.10904751631688948</v>
      </c>
    </row>
    <row r="2077" spans="2:6" x14ac:dyDescent="0.2">
      <c r="B2077" s="206" t="s">
        <v>1717</v>
      </c>
      <c r="C2077" s="205">
        <v>1311</v>
      </c>
      <c r="D2077" s="147">
        <f t="shared" si="108"/>
        <v>0.65124331129995594</v>
      </c>
      <c r="E2077" s="148">
        <f t="shared" si="107"/>
        <v>1.3742855759137112E-4</v>
      </c>
      <c r="F2077" s="148">
        <f t="shared" si="109"/>
        <v>0.10918494487448085</v>
      </c>
    </row>
    <row r="2078" spans="2:6" x14ac:dyDescent="0.2">
      <c r="B2078" s="115" t="s">
        <v>775</v>
      </c>
      <c r="C2078" s="114">
        <v>1314</v>
      </c>
      <c r="D2078" s="147">
        <f t="shared" si="108"/>
        <v>0.65155807365437834</v>
      </c>
      <c r="E2078" s="148">
        <f t="shared" si="107"/>
        <v>1.3774303941652301E-4</v>
      </c>
      <c r="F2078" s="148">
        <f t="shared" si="109"/>
        <v>0.10932268791389738</v>
      </c>
    </row>
    <row r="2079" spans="2:6" x14ac:dyDescent="0.2">
      <c r="B2079" s="206" t="s">
        <v>1479</v>
      </c>
      <c r="C2079" s="205">
        <v>1315</v>
      </c>
      <c r="D2079" s="147">
        <f t="shared" si="108"/>
        <v>0.65187283600880075</v>
      </c>
      <c r="E2079" s="148">
        <f t="shared" si="107"/>
        <v>1.3784786669157362E-4</v>
      </c>
      <c r="F2079" s="148">
        <f t="shared" si="109"/>
        <v>0.10946053578058895</v>
      </c>
    </row>
    <row r="2080" spans="2:6" x14ac:dyDescent="0.2">
      <c r="B2080" s="115" t="s">
        <v>1382</v>
      </c>
      <c r="C2080" s="114">
        <v>1316</v>
      </c>
      <c r="D2080" s="147">
        <f t="shared" si="108"/>
        <v>0.65218759836322315</v>
      </c>
      <c r="E2080" s="148">
        <f t="shared" si="107"/>
        <v>1.3795269396662426E-4</v>
      </c>
      <c r="F2080" s="148">
        <f t="shared" si="109"/>
        <v>0.10959848847455558</v>
      </c>
    </row>
    <row r="2081" spans="2:6" x14ac:dyDescent="0.2">
      <c r="B2081" s="115" t="s">
        <v>2765</v>
      </c>
      <c r="C2081" s="114">
        <v>1317</v>
      </c>
      <c r="D2081" s="147">
        <f t="shared" si="108"/>
        <v>0.65250236071764556</v>
      </c>
      <c r="E2081" s="148">
        <f t="shared" si="107"/>
        <v>1.3805752124167487E-4</v>
      </c>
      <c r="F2081" s="148">
        <f t="shared" si="109"/>
        <v>0.10973654599579725</v>
      </c>
    </row>
    <row r="2082" spans="2:6" x14ac:dyDescent="0.2">
      <c r="B2082" s="115" t="s">
        <v>3148</v>
      </c>
      <c r="C2082" s="114">
        <v>1320</v>
      </c>
      <c r="D2082" s="147">
        <f t="shared" si="108"/>
        <v>0.65281712307206796</v>
      </c>
      <c r="E2082" s="148">
        <f t="shared" si="107"/>
        <v>1.3837200306682676E-4</v>
      </c>
      <c r="F2082" s="148">
        <f t="shared" si="109"/>
        <v>0.10987491799886408</v>
      </c>
    </row>
    <row r="2083" spans="2:6" x14ac:dyDescent="0.2">
      <c r="B2083" s="115" t="s">
        <v>947</v>
      </c>
      <c r="C2083" s="114">
        <v>1321</v>
      </c>
      <c r="D2083" s="147">
        <f t="shared" si="108"/>
        <v>0.65313188542649037</v>
      </c>
      <c r="E2083" s="148">
        <f t="shared" si="107"/>
        <v>1.3847683034187738E-4</v>
      </c>
      <c r="F2083" s="148">
        <f t="shared" si="109"/>
        <v>0.11001339482920595</v>
      </c>
    </row>
    <row r="2084" spans="2:6" x14ac:dyDescent="0.2">
      <c r="B2084" s="115" t="s">
        <v>2542</v>
      </c>
      <c r="C2084" s="114">
        <v>1322</v>
      </c>
      <c r="D2084" s="147">
        <f t="shared" si="108"/>
        <v>0.65344664778091277</v>
      </c>
      <c r="E2084" s="148">
        <f t="shared" si="107"/>
        <v>1.3858165761692801E-4</v>
      </c>
      <c r="F2084" s="148">
        <f t="shared" si="109"/>
        <v>0.11015197648682289</v>
      </c>
    </row>
    <row r="2085" spans="2:6" x14ac:dyDescent="0.2">
      <c r="B2085" s="115" t="s">
        <v>2871</v>
      </c>
      <c r="C2085" s="114">
        <v>1324</v>
      </c>
      <c r="D2085" s="147">
        <f t="shared" si="108"/>
        <v>0.65376141013533517</v>
      </c>
      <c r="E2085" s="148">
        <f t="shared" si="107"/>
        <v>1.3879131216702927E-4</v>
      </c>
      <c r="F2085" s="148">
        <f t="shared" si="109"/>
        <v>0.11029076779898991</v>
      </c>
    </row>
    <row r="2086" spans="2:6" x14ac:dyDescent="0.2">
      <c r="B2086" s="206" t="s">
        <v>1345</v>
      </c>
      <c r="C2086" s="205">
        <v>1325</v>
      </c>
      <c r="D2086" s="147">
        <f t="shared" si="108"/>
        <v>0.65407617248975758</v>
      </c>
      <c r="E2086" s="148">
        <f t="shared" si="107"/>
        <v>1.3889613944207988E-4</v>
      </c>
      <c r="F2086" s="148">
        <f t="shared" si="109"/>
        <v>0.110429663938432</v>
      </c>
    </row>
    <row r="2087" spans="2:6" x14ac:dyDescent="0.2">
      <c r="B2087" s="115" t="s">
        <v>1709</v>
      </c>
      <c r="C2087" s="114">
        <v>1327</v>
      </c>
      <c r="D2087" s="147">
        <f t="shared" si="108"/>
        <v>0.65439093484417998</v>
      </c>
      <c r="E2087" s="148">
        <f t="shared" si="107"/>
        <v>1.3910579399218116E-4</v>
      </c>
      <c r="F2087" s="148">
        <f t="shared" si="109"/>
        <v>0.11056876973242417</v>
      </c>
    </row>
    <row r="2088" spans="2:6" x14ac:dyDescent="0.2">
      <c r="B2088" s="115" t="s">
        <v>2735</v>
      </c>
      <c r="C2088" s="114">
        <v>1330</v>
      </c>
      <c r="D2088" s="147">
        <f t="shared" si="108"/>
        <v>0.65470569719860239</v>
      </c>
      <c r="E2088" s="148">
        <f t="shared" si="107"/>
        <v>1.3942027581733302E-4</v>
      </c>
      <c r="F2088" s="148">
        <f t="shared" si="109"/>
        <v>0.1107081900082415</v>
      </c>
    </row>
    <row r="2089" spans="2:6" x14ac:dyDescent="0.2">
      <c r="B2089" s="115" t="s">
        <v>399</v>
      </c>
      <c r="C2089" s="114">
        <v>1330</v>
      </c>
      <c r="D2089" s="147">
        <f t="shared" si="108"/>
        <v>0.65502045955302479</v>
      </c>
      <c r="E2089" s="148">
        <f t="shared" si="107"/>
        <v>1.3942027581733302E-4</v>
      </c>
      <c r="F2089" s="148">
        <f t="shared" si="109"/>
        <v>0.11084761028405883</v>
      </c>
    </row>
    <row r="2090" spans="2:6" x14ac:dyDescent="0.2">
      <c r="B2090" s="115" t="s">
        <v>3054</v>
      </c>
      <c r="C2090" s="114">
        <v>1332</v>
      </c>
      <c r="D2090" s="147">
        <f t="shared" si="108"/>
        <v>0.6553352219074472</v>
      </c>
      <c r="E2090" s="148">
        <f t="shared" si="107"/>
        <v>1.3962993036743427E-4</v>
      </c>
      <c r="F2090" s="148">
        <f t="shared" si="109"/>
        <v>0.11098724021442627</v>
      </c>
    </row>
    <row r="2091" spans="2:6" x14ac:dyDescent="0.2">
      <c r="B2091" s="206" t="s">
        <v>352</v>
      </c>
      <c r="C2091" s="205">
        <v>1332</v>
      </c>
      <c r="D2091" s="147">
        <f t="shared" si="108"/>
        <v>0.6556499842618696</v>
      </c>
      <c r="E2091" s="148">
        <f t="shared" si="107"/>
        <v>1.3962993036743427E-4</v>
      </c>
      <c r="F2091" s="148">
        <f t="shared" si="109"/>
        <v>0.11112687014479371</v>
      </c>
    </row>
    <row r="2092" spans="2:6" x14ac:dyDescent="0.2">
      <c r="B2092" s="206" t="s">
        <v>2225</v>
      </c>
      <c r="C2092" s="205">
        <v>1334</v>
      </c>
      <c r="D2092" s="147">
        <f t="shared" si="108"/>
        <v>0.655964746616292</v>
      </c>
      <c r="E2092" s="148">
        <f t="shared" si="107"/>
        <v>1.3983958491753552E-4</v>
      </c>
      <c r="F2092" s="148">
        <f t="shared" si="109"/>
        <v>0.11126670972971124</v>
      </c>
    </row>
    <row r="2093" spans="2:6" x14ac:dyDescent="0.2">
      <c r="B2093" s="115" t="s">
        <v>2001</v>
      </c>
      <c r="C2093" s="114">
        <v>1343</v>
      </c>
      <c r="D2093" s="147">
        <f t="shared" si="108"/>
        <v>0.65627950897071441</v>
      </c>
      <c r="E2093" s="148">
        <f t="shared" si="107"/>
        <v>1.4078303039299117E-4</v>
      </c>
      <c r="F2093" s="148">
        <f t="shared" si="109"/>
        <v>0.11140749276010423</v>
      </c>
    </row>
    <row r="2094" spans="2:6" x14ac:dyDescent="0.2">
      <c r="B2094" s="115" t="s">
        <v>864</v>
      </c>
      <c r="C2094" s="114">
        <v>1345</v>
      </c>
      <c r="D2094" s="147">
        <f t="shared" si="108"/>
        <v>0.65659427132513681</v>
      </c>
      <c r="E2094" s="148">
        <f t="shared" si="107"/>
        <v>1.4099268494309242E-4</v>
      </c>
      <c r="F2094" s="148">
        <f t="shared" si="109"/>
        <v>0.11154848544504732</v>
      </c>
    </row>
    <row r="2095" spans="2:6" x14ac:dyDescent="0.2">
      <c r="B2095" s="115" t="s">
        <v>2086</v>
      </c>
      <c r="C2095" s="114">
        <v>1346</v>
      </c>
      <c r="D2095" s="147">
        <f t="shared" si="108"/>
        <v>0.65690903367955922</v>
      </c>
      <c r="E2095" s="148">
        <f t="shared" si="107"/>
        <v>1.4109751221814303E-4</v>
      </c>
      <c r="F2095" s="148">
        <f t="shared" si="109"/>
        <v>0.11168958295726547</v>
      </c>
    </row>
    <row r="2096" spans="2:6" x14ac:dyDescent="0.2">
      <c r="B2096" s="115" t="s">
        <v>926</v>
      </c>
      <c r="C2096" s="114">
        <v>1349</v>
      </c>
      <c r="D2096" s="147">
        <f t="shared" si="108"/>
        <v>0.65722379603398162</v>
      </c>
      <c r="E2096" s="148">
        <f t="shared" si="107"/>
        <v>1.4141199404329492E-4</v>
      </c>
      <c r="F2096" s="148">
        <f t="shared" si="109"/>
        <v>0.11183099495130877</v>
      </c>
    </row>
    <row r="2097" spans="2:6" x14ac:dyDescent="0.2">
      <c r="B2097" s="115" t="s">
        <v>2596</v>
      </c>
      <c r="C2097" s="114">
        <v>1352</v>
      </c>
      <c r="D2097" s="147">
        <f t="shared" si="108"/>
        <v>0.65753855838840403</v>
      </c>
      <c r="E2097" s="148">
        <f t="shared" si="107"/>
        <v>1.4172647586844681E-4</v>
      </c>
      <c r="F2097" s="148">
        <f t="shared" si="109"/>
        <v>0.11197272142717722</v>
      </c>
    </row>
    <row r="2098" spans="2:6" x14ac:dyDescent="0.2">
      <c r="B2098" s="206" t="s">
        <v>345</v>
      </c>
      <c r="C2098" s="205">
        <v>1353</v>
      </c>
      <c r="D2098" s="147">
        <f t="shared" si="108"/>
        <v>0.65785332074282643</v>
      </c>
      <c r="E2098" s="148">
        <f t="shared" si="107"/>
        <v>1.4183130314349742E-4</v>
      </c>
      <c r="F2098" s="148">
        <f t="shared" si="109"/>
        <v>0.11211455273032071</v>
      </c>
    </row>
    <row r="2099" spans="2:6" x14ac:dyDescent="0.2">
      <c r="B2099" s="115" t="s">
        <v>2376</v>
      </c>
      <c r="C2099" s="114">
        <v>1354</v>
      </c>
      <c r="D2099" s="147">
        <f t="shared" si="108"/>
        <v>0.65816808309724883</v>
      </c>
      <c r="E2099" s="148">
        <f t="shared" si="107"/>
        <v>1.4193613041854806E-4</v>
      </c>
      <c r="F2099" s="148">
        <f t="shared" si="109"/>
        <v>0.11225648886073926</v>
      </c>
    </row>
    <row r="2100" spans="2:6" x14ac:dyDescent="0.2">
      <c r="B2100" s="115" t="s">
        <v>2185</v>
      </c>
      <c r="C2100" s="114">
        <v>1356</v>
      </c>
      <c r="D2100" s="147">
        <f t="shared" si="108"/>
        <v>0.65848284545167124</v>
      </c>
      <c r="E2100" s="148">
        <f t="shared" si="107"/>
        <v>1.4214578496864931E-4</v>
      </c>
      <c r="F2100" s="148">
        <f t="shared" si="109"/>
        <v>0.11239863464570791</v>
      </c>
    </row>
    <row r="2101" spans="2:6" x14ac:dyDescent="0.2">
      <c r="B2101" s="115" t="s">
        <v>2265</v>
      </c>
      <c r="C2101" s="114">
        <v>1358</v>
      </c>
      <c r="D2101" s="147">
        <f t="shared" si="108"/>
        <v>0.65879760780609364</v>
      </c>
      <c r="E2101" s="148">
        <f t="shared" si="107"/>
        <v>1.4235543951875057E-4</v>
      </c>
      <c r="F2101" s="148">
        <f t="shared" si="109"/>
        <v>0.11254099008522667</v>
      </c>
    </row>
    <row r="2102" spans="2:6" x14ac:dyDescent="0.2">
      <c r="B2102" s="115" t="s">
        <v>1691</v>
      </c>
      <c r="C2102" s="114">
        <v>1360</v>
      </c>
      <c r="D2102" s="147">
        <f t="shared" si="108"/>
        <v>0.65911237016051605</v>
      </c>
      <c r="E2102" s="148">
        <f t="shared" si="107"/>
        <v>1.4256509406885182E-4</v>
      </c>
      <c r="F2102" s="148">
        <f t="shared" si="109"/>
        <v>0.11268355517929551</v>
      </c>
    </row>
    <row r="2103" spans="2:6" x14ac:dyDescent="0.2">
      <c r="B2103" s="115" t="s">
        <v>977</v>
      </c>
      <c r="C2103" s="114">
        <v>1362</v>
      </c>
      <c r="D2103" s="147">
        <f t="shared" si="108"/>
        <v>0.65942713251493845</v>
      </c>
      <c r="E2103" s="148">
        <f t="shared" si="107"/>
        <v>1.4277474861895307E-4</v>
      </c>
      <c r="F2103" s="148">
        <f t="shared" si="109"/>
        <v>0.11282632992791447</v>
      </c>
    </row>
    <row r="2104" spans="2:6" x14ac:dyDescent="0.2">
      <c r="B2104" s="115" t="s">
        <v>1597</v>
      </c>
      <c r="C2104" s="114">
        <v>1364</v>
      </c>
      <c r="D2104" s="147">
        <f t="shared" si="108"/>
        <v>0.65974189486936086</v>
      </c>
      <c r="E2104" s="148">
        <f t="shared" si="107"/>
        <v>1.4298440316905432E-4</v>
      </c>
      <c r="F2104" s="148">
        <f t="shared" si="109"/>
        <v>0.11296931433108352</v>
      </c>
    </row>
    <row r="2105" spans="2:6" x14ac:dyDescent="0.2">
      <c r="B2105" s="206" t="s">
        <v>2936</v>
      </c>
      <c r="C2105" s="205">
        <v>1366</v>
      </c>
      <c r="D2105" s="147">
        <f t="shared" si="108"/>
        <v>0.66005665722378326</v>
      </c>
      <c r="E2105" s="148">
        <f t="shared" si="107"/>
        <v>1.4319405771915557E-4</v>
      </c>
      <c r="F2105" s="148">
        <f t="shared" si="109"/>
        <v>0.11311250838880268</v>
      </c>
    </row>
    <row r="2106" spans="2:6" x14ac:dyDescent="0.2">
      <c r="B2106" s="115" t="s">
        <v>1638</v>
      </c>
      <c r="C2106" s="114">
        <v>1366</v>
      </c>
      <c r="D2106" s="147">
        <f t="shared" si="108"/>
        <v>0.66037141957820567</v>
      </c>
      <c r="E2106" s="148">
        <f t="shared" si="107"/>
        <v>1.4319405771915557E-4</v>
      </c>
      <c r="F2106" s="148">
        <f t="shared" si="109"/>
        <v>0.11325570244652185</v>
      </c>
    </row>
    <row r="2107" spans="2:6" x14ac:dyDescent="0.2">
      <c r="B2107" s="206" t="s">
        <v>1685</v>
      </c>
      <c r="C2107" s="205">
        <v>1367</v>
      </c>
      <c r="D2107" s="147">
        <f t="shared" si="108"/>
        <v>0.66068618193262807</v>
      </c>
      <c r="E2107" s="148">
        <f t="shared" si="107"/>
        <v>1.4329888499420621E-4</v>
      </c>
      <c r="F2107" s="148">
        <f t="shared" si="109"/>
        <v>0.11339900133151605</v>
      </c>
    </row>
    <row r="2108" spans="2:6" x14ac:dyDescent="0.2">
      <c r="B2108" s="115" t="s">
        <v>717</v>
      </c>
      <c r="C2108" s="114">
        <v>1372</v>
      </c>
      <c r="D2108" s="147">
        <f t="shared" si="108"/>
        <v>0.66100094428705047</v>
      </c>
      <c r="E2108" s="148">
        <f t="shared" si="107"/>
        <v>1.4382302136945932E-4</v>
      </c>
      <c r="F2108" s="148">
        <f t="shared" si="109"/>
        <v>0.11354282435288551</v>
      </c>
    </row>
    <row r="2109" spans="2:6" x14ac:dyDescent="0.2">
      <c r="B2109" s="115" t="s">
        <v>1975</v>
      </c>
      <c r="C2109" s="114">
        <v>1375</v>
      </c>
      <c r="D2109" s="147">
        <f t="shared" si="108"/>
        <v>0.66131570664147288</v>
      </c>
      <c r="E2109" s="148">
        <f t="shared" si="107"/>
        <v>1.4413750319461122E-4</v>
      </c>
      <c r="F2109" s="148">
        <f t="shared" si="109"/>
        <v>0.11368696185608013</v>
      </c>
    </row>
    <row r="2110" spans="2:6" x14ac:dyDescent="0.2">
      <c r="B2110" s="115" t="s">
        <v>527</v>
      </c>
      <c r="C2110" s="114">
        <v>1379</v>
      </c>
      <c r="D2110" s="147">
        <f t="shared" si="108"/>
        <v>0.66163046899589528</v>
      </c>
      <c r="E2110" s="148">
        <f t="shared" si="107"/>
        <v>1.4455681229481372E-4</v>
      </c>
      <c r="F2110" s="148">
        <f t="shared" si="109"/>
        <v>0.11383151866837495</v>
      </c>
    </row>
    <row r="2111" spans="2:6" x14ac:dyDescent="0.2">
      <c r="B2111" s="115" t="s">
        <v>671</v>
      </c>
      <c r="C2111" s="114">
        <v>1382</v>
      </c>
      <c r="D2111" s="147">
        <f t="shared" si="108"/>
        <v>0.66194523135031769</v>
      </c>
      <c r="E2111" s="148">
        <f t="shared" si="107"/>
        <v>1.4487129411996558E-4</v>
      </c>
      <c r="F2111" s="148">
        <f t="shared" si="109"/>
        <v>0.11397638996249491</v>
      </c>
    </row>
    <row r="2112" spans="2:6" x14ac:dyDescent="0.2">
      <c r="B2112" s="115" t="s">
        <v>1063</v>
      </c>
      <c r="C2112" s="114">
        <v>1384</v>
      </c>
      <c r="D2112" s="147">
        <f t="shared" si="108"/>
        <v>0.66225999370474009</v>
      </c>
      <c r="E2112" s="148">
        <f t="shared" si="107"/>
        <v>1.4508094867006683E-4</v>
      </c>
      <c r="F2112" s="148">
        <f t="shared" si="109"/>
        <v>0.11412147091116498</v>
      </c>
    </row>
    <row r="2113" spans="2:6" x14ac:dyDescent="0.2">
      <c r="B2113" s="206" t="s">
        <v>1867</v>
      </c>
      <c r="C2113" s="205">
        <v>1385</v>
      </c>
      <c r="D2113" s="147">
        <f t="shared" si="108"/>
        <v>0.6625747560591625</v>
      </c>
      <c r="E2113" s="148">
        <f t="shared" si="107"/>
        <v>1.4518577594511747E-4</v>
      </c>
      <c r="F2113" s="148">
        <f t="shared" si="109"/>
        <v>0.1142666566871101</v>
      </c>
    </row>
    <row r="2114" spans="2:6" x14ac:dyDescent="0.2">
      <c r="B2114" s="115" t="s">
        <v>2199</v>
      </c>
      <c r="C2114" s="114">
        <v>1386</v>
      </c>
      <c r="D2114" s="147">
        <f t="shared" si="108"/>
        <v>0.6628895184135849</v>
      </c>
      <c r="E2114" s="148">
        <f t="shared" si="107"/>
        <v>1.4529060322016808E-4</v>
      </c>
      <c r="F2114" s="148">
        <f t="shared" si="109"/>
        <v>0.11441194729033027</v>
      </c>
    </row>
    <row r="2115" spans="2:6" x14ac:dyDescent="0.2">
      <c r="B2115" s="115" t="s">
        <v>1236</v>
      </c>
      <c r="C2115" s="114">
        <v>1386</v>
      </c>
      <c r="D2115" s="147">
        <f t="shared" si="108"/>
        <v>0.6632042807680073</v>
      </c>
      <c r="E2115" s="148">
        <f t="shared" si="107"/>
        <v>1.4529060322016808E-4</v>
      </c>
      <c r="F2115" s="148">
        <f t="shared" si="109"/>
        <v>0.11455723789355045</v>
      </c>
    </row>
    <row r="2116" spans="2:6" x14ac:dyDescent="0.2">
      <c r="B2116" s="115" t="s">
        <v>1920</v>
      </c>
      <c r="C2116" s="114">
        <v>1387</v>
      </c>
      <c r="D2116" s="147">
        <f t="shared" si="108"/>
        <v>0.66351904312242971</v>
      </c>
      <c r="E2116" s="148">
        <f t="shared" si="107"/>
        <v>1.4539543049521872E-4</v>
      </c>
      <c r="F2116" s="148">
        <f t="shared" si="109"/>
        <v>0.11470263332404566</v>
      </c>
    </row>
    <row r="2117" spans="2:6" x14ac:dyDescent="0.2">
      <c r="B2117" s="115" t="s">
        <v>24</v>
      </c>
      <c r="C2117" s="114">
        <v>1388</v>
      </c>
      <c r="D2117" s="147">
        <f t="shared" si="108"/>
        <v>0.66383380547685211</v>
      </c>
      <c r="E2117" s="148">
        <f t="shared" si="107"/>
        <v>1.4550025777026936E-4</v>
      </c>
      <c r="F2117" s="148">
        <f t="shared" si="109"/>
        <v>0.11484813358181593</v>
      </c>
    </row>
    <row r="2118" spans="2:6" x14ac:dyDescent="0.2">
      <c r="B2118" s="206" t="s">
        <v>119</v>
      </c>
      <c r="C2118" s="205">
        <v>1389</v>
      </c>
      <c r="D2118" s="147">
        <f t="shared" si="108"/>
        <v>0.66414856783127452</v>
      </c>
      <c r="E2118" s="148">
        <f t="shared" si="107"/>
        <v>1.4560508504531997E-4</v>
      </c>
      <c r="F2118" s="148">
        <f t="shared" si="109"/>
        <v>0.11499373866686126</v>
      </c>
    </row>
    <row r="2119" spans="2:6" x14ac:dyDescent="0.2">
      <c r="B2119" s="115" t="s">
        <v>491</v>
      </c>
      <c r="C2119" s="114">
        <v>1391</v>
      </c>
      <c r="D2119" s="147">
        <f t="shared" si="108"/>
        <v>0.66446333018569692</v>
      </c>
      <c r="E2119" s="148">
        <f t="shared" si="107"/>
        <v>1.4581473959542123E-4</v>
      </c>
      <c r="F2119" s="148">
        <f t="shared" si="109"/>
        <v>0.11513955340645668</v>
      </c>
    </row>
    <row r="2120" spans="2:6" x14ac:dyDescent="0.2">
      <c r="B2120" s="115" t="s">
        <v>2932</v>
      </c>
      <c r="C2120" s="114">
        <v>1392</v>
      </c>
      <c r="D2120" s="147">
        <f t="shared" si="108"/>
        <v>0.66477809254011933</v>
      </c>
      <c r="E2120" s="148">
        <f t="shared" si="107"/>
        <v>1.4591956687047187E-4</v>
      </c>
      <c r="F2120" s="148">
        <f t="shared" si="109"/>
        <v>0.11528547297332715</v>
      </c>
    </row>
    <row r="2121" spans="2:6" x14ac:dyDescent="0.2">
      <c r="B2121" s="115" t="s">
        <v>1954</v>
      </c>
      <c r="C2121" s="114">
        <v>1392</v>
      </c>
      <c r="D2121" s="147">
        <f t="shared" si="108"/>
        <v>0.66509285489454173</v>
      </c>
      <c r="E2121" s="148">
        <f t="shared" ref="E2121:E2184" si="110">C2121/$O$18</f>
        <v>1.4591956687047187E-4</v>
      </c>
      <c r="F2121" s="148">
        <f t="shared" si="109"/>
        <v>0.11543139254019763</v>
      </c>
    </row>
    <row r="2122" spans="2:6" x14ac:dyDescent="0.2">
      <c r="B2122" s="115" t="s">
        <v>297</v>
      </c>
      <c r="C2122" s="114">
        <v>1392</v>
      </c>
      <c r="D2122" s="147">
        <f t="shared" ref="D2122:D2185" si="111">D2121+1/$L$18</f>
        <v>0.66540761724896413</v>
      </c>
      <c r="E2122" s="148">
        <f t="shared" si="110"/>
        <v>1.4591956687047187E-4</v>
      </c>
      <c r="F2122" s="148">
        <f t="shared" ref="F2122:F2185" si="112">F2121+E2122</f>
        <v>0.11557731210706811</v>
      </c>
    </row>
    <row r="2123" spans="2:6" x14ac:dyDescent="0.2">
      <c r="B2123" s="115" t="s">
        <v>1097</v>
      </c>
      <c r="C2123" s="114">
        <v>1393</v>
      </c>
      <c r="D2123" s="147">
        <f t="shared" si="111"/>
        <v>0.66572237960338654</v>
      </c>
      <c r="E2123" s="148">
        <f t="shared" si="110"/>
        <v>1.4602439414552248E-4</v>
      </c>
      <c r="F2123" s="148">
        <f t="shared" si="112"/>
        <v>0.11572333650121362</v>
      </c>
    </row>
    <row r="2124" spans="2:6" x14ac:dyDescent="0.2">
      <c r="B2124" s="115" t="s">
        <v>2963</v>
      </c>
      <c r="C2124" s="114">
        <v>1394</v>
      </c>
      <c r="D2124" s="147">
        <f t="shared" si="111"/>
        <v>0.66603714195780894</v>
      </c>
      <c r="E2124" s="148">
        <f t="shared" si="110"/>
        <v>1.4612922142057312E-4</v>
      </c>
      <c r="F2124" s="148">
        <f t="shared" si="112"/>
        <v>0.11586946572263419</v>
      </c>
    </row>
    <row r="2125" spans="2:6" x14ac:dyDescent="0.2">
      <c r="B2125" s="115" t="s">
        <v>3063</v>
      </c>
      <c r="C2125" s="114">
        <v>1395</v>
      </c>
      <c r="D2125" s="147">
        <f t="shared" si="111"/>
        <v>0.66635190431223135</v>
      </c>
      <c r="E2125" s="148">
        <f t="shared" si="110"/>
        <v>1.4623404869562373E-4</v>
      </c>
      <c r="F2125" s="148">
        <f t="shared" si="112"/>
        <v>0.11601569977132982</v>
      </c>
    </row>
    <row r="2126" spans="2:6" x14ac:dyDescent="0.2">
      <c r="B2126" s="115" t="s">
        <v>424</v>
      </c>
      <c r="C2126" s="114">
        <v>1395</v>
      </c>
      <c r="D2126" s="147">
        <f t="shared" si="111"/>
        <v>0.66666666666665375</v>
      </c>
      <c r="E2126" s="148">
        <f t="shared" si="110"/>
        <v>1.4623404869562373E-4</v>
      </c>
      <c r="F2126" s="148">
        <f t="shared" si="112"/>
        <v>0.11616193382002545</v>
      </c>
    </row>
    <row r="2127" spans="2:6" x14ac:dyDescent="0.2">
      <c r="B2127" s="206" t="s">
        <v>1483</v>
      </c>
      <c r="C2127" s="205">
        <v>1396</v>
      </c>
      <c r="D2127" s="147">
        <f t="shared" si="111"/>
        <v>0.66698142902107616</v>
      </c>
      <c r="E2127" s="148">
        <f t="shared" si="110"/>
        <v>1.4633887597067437E-4</v>
      </c>
      <c r="F2127" s="148">
        <f t="shared" si="112"/>
        <v>0.11630827269599613</v>
      </c>
    </row>
    <row r="2128" spans="2:6" x14ac:dyDescent="0.2">
      <c r="B2128" s="206" t="s">
        <v>1319</v>
      </c>
      <c r="C2128" s="205">
        <v>1398</v>
      </c>
      <c r="D2128" s="147">
        <f t="shared" si="111"/>
        <v>0.66729619137549856</v>
      </c>
      <c r="E2128" s="148">
        <f t="shared" si="110"/>
        <v>1.4654853052077562E-4</v>
      </c>
      <c r="F2128" s="148">
        <f t="shared" si="112"/>
        <v>0.1164548212265169</v>
      </c>
    </row>
    <row r="2129" spans="2:6" x14ac:dyDescent="0.2">
      <c r="B2129" s="206" t="s">
        <v>1087</v>
      </c>
      <c r="C2129" s="205">
        <v>1398</v>
      </c>
      <c r="D2129" s="147">
        <f t="shared" si="111"/>
        <v>0.66761095372992096</v>
      </c>
      <c r="E2129" s="148">
        <f t="shared" si="110"/>
        <v>1.4654853052077562E-4</v>
      </c>
      <c r="F2129" s="148">
        <f t="shared" si="112"/>
        <v>0.11660136975703768</v>
      </c>
    </row>
    <row r="2130" spans="2:6" x14ac:dyDescent="0.2">
      <c r="B2130" s="115" t="s">
        <v>2782</v>
      </c>
      <c r="C2130" s="114">
        <v>1400</v>
      </c>
      <c r="D2130" s="147">
        <f t="shared" si="111"/>
        <v>0.66792571608434337</v>
      </c>
      <c r="E2130" s="148">
        <f t="shared" si="110"/>
        <v>1.4675818507087687E-4</v>
      </c>
      <c r="F2130" s="148">
        <f t="shared" si="112"/>
        <v>0.11674812794210855</v>
      </c>
    </row>
    <row r="2131" spans="2:6" x14ac:dyDescent="0.2">
      <c r="B2131" s="206" t="s">
        <v>2500</v>
      </c>
      <c r="C2131" s="205">
        <v>1404</v>
      </c>
      <c r="D2131" s="147">
        <f t="shared" si="111"/>
        <v>0.66824047843876577</v>
      </c>
      <c r="E2131" s="148">
        <f t="shared" si="110"/>
        <v>1.4717749417107937E-4</v>
      </c>
      <c r="F2131" s="148">
        <f t="shared" si="112"/>
        <v>0.11689530543627963</v>
      </c>
    </row>
    <row r="2132" spans="2:6" x14ac:dyDescent="0.2">
      <c r="B2132" s="115" t="s">
        <v>1708</v>
      </c>
      <c r="C2132" s="114">
        <v>1404</v>
      </c>
      <c r="D2132" s="147">
        <f t="shared" si="111"/>
        <v>0.66855524079318818</v>
      </c>
      <c r="E2132" s="148">
        <f t="shared" si="110"/>
        <v>1.4717749417107937E-4</v>
      </c>
      <c r="F2132" s="148">
        <f t="shared" si="112"/>
        <v>0.11704248293045071</v>
      </c>
    </row>
    <row r="2133" spans="2:6" x14ac:dyDescent="0.2">
      <c r="B2133" s="206" t="s">
        <v>1599</v>
      </c>
      <c r="C2133" s="205">
        <v>1406</v>
      </c>
      <c r="D2133" s="147">
        <f t="shared" si="111"/>
        <v>0.66887000314761058</v>
      </c>
      <c r="E2133" s="148">
        <f t="shared" si="110"/>
        <v>1.4738714872118062E-4</v>
      </c>
      <c r="F2133" s="148">
        <f t="shared" si="112"/>
        <v>0.11718987007917189</v>
      </c>
    </row>
    <row r="2134" spans="2:6" x14ac:dyDescent="0.2">
      <c r="B2134" s="206" t="s">
        <v>1957</v>
      </c>
      <c r="C2134" s="205">
        <v>1407</v>
      </c>
      <c r="D2134" s="147">
        <f t="shared" si="111"/>
        <v>0.66918476550203299</v>
      </c>
      <c r="E2134" s="148">
        <f t="shared" si="110"/>
        <v>1.4749197599623124E-4</v>
      </c>
      <c r="F2134" s="148">
        <f t="shared" si="112"/>
        <v>0.11733736205516812</v>
      </c>
    </row>
    <row r="2135" spans="2:6" x14ac:dyDescent="0.2">
      <c r="B2135" s="115" t="s">
        <v>1849</v>
      </c>
      <c r="C2135" s="114">
        <v>1407</v>
      </c>
      <c r="D2135" s="147">
        <f t="shared" si="111"/>
        <v>0.66949952785645539</v>
      </c>
      <c r="E2135" s="148">
        <f t="shared" si="110"/>
        <v>1.4749197599623124E-4</v>
      </c>
      <c r="F2135" s="148">
        <f t="shared" si="112"/>
        <v>0.11748485403116435</v>
      </c>
    </row>
    <row r="2136" spans="2:6" x14ac:dyDescent="0.2">
      <c r="B2136" s="115" t="s">
        <v>1115</v>
      </c>
      <c r="C2136" s="114">
        <v>1408</v>
      </c>
      <c r="D2136" s="147">
        <f t="shared" si="111"/>
        <v>0.66981429021087779</v>
      </c>
      <c r="E2136" s="148">
        <f t="shared" si="110"/>
        <v>1.4759680327128188E-4</v>
      </c>
      <c r="F2136" s="148">
        <f t="shared" si="112"/>
        <v>0.11763245083443563</v>
      </c>
    </row>
    <row r="2137" spans="2:6" x14ac:dyDescent="0.2">
      <c r="B2137" s="115" t="s">
        <v>492</v>
      </c>
      <c r="C2137" s="114">
        <v>1409</v>
      </c>
      <c r="D2137" s="147">
        <f t="shared" si="111"/>
        <v>0.6701290525653002</v>
      </c>
      <c r="E2137" s="148">
        <f t="shared" si="110"/>
        <v>1.4770163054633251E-4</v>
      </c>
      <c r="F2137" s="148">
        <f t="shared" si="112"/>
        <v>0.11778015246498197</v>
      </c>
    </row>
    <row r="2138" spans="2:6" x14ac:dyDescent="0.2">
      <c r="B2138" s="115" t="s">
        <v>1594</v>
      </c>
      <c r="C2138" s="114">
        <v>1410</v>
      </c>
      <c r="D2138" s="147">
        <f t="shared" si="111"/>
        <v>0.6704438149197226</v>
      </c>
      <c r="E2138" s="148">
        <f t="shared" si="110"/>
        <v>1.4780645782138313E-4</v>
      </c>
      <c r="F2138" s="148">
        <f t="shared" si="112"/>
        <v>0.11792795892280335</v>
      </c>
    </row>
    <row r="2139" spans="2:6" x14ac:dyDescent="0.2">
      <c r="B2139" s="206" t="s">
        <v>944</v>
      </c>
      <c r="C2139" s="205">
        <v>1412</v>
      </c>
      <c r="D2139" s="147">
        <f t="shared" si="111"/>
        <v>0.67075857727414501</v>
      </c>
      <c r="E2139" s="148">
        <f t="shared" si="110"/>
        <v>1.4801611237148438E-4</v>
      </c>
      <c r="F2139" s="148">
        <f t="shared" si="112"/>
        <v>0.11807597503517483</v>
      </c>
    </row>
    <row r="2140" spans="2:6" x14ac:dyDescent="0.2">
      <c r="B2140" s="115" t="s">
        <v>134</v>
      </c>
      <c r="C2140" s="114">
        <v>1412</v>
      </c>
      <c r="D2140" s="147">
        <f t="shared" si="111"/>
        <v>0.67107333962856741</v>
      </c>
      <c r="E2140" s="148">
        <f t="shared" si="110"/>
        <v>1.4801611237148438E-4</v>
      </c>
      <c r="F2140" s="148">
        <f t="shared" si="112"/>
        <v>0.11822399114754632</v>
      </c>
    </row>
    <row r="2141" spans="2:6" x14ac:dyDescent="0.2">
      <c r="B2141" s="206" t="s">
        <v>357</v>
      </c>
      <c r="C2141" s="205">
        <v>1415</v>
      </c>
      <c r="D2141" s="147">
        <f t="shared" si="111"/>
        <v>0.67138810198298982</v>
      </c>
      <c r="E2141" s="148">
        <f t="shared" si="110"/>
        <v>1.4833059419663627E-4</v>
      </c>
      <c r="F2141" s="148">
        <f t="shared" si="112"/>
        <v>0.11837232174174296</v>
      </c>
    </row>
    <row r="2142" spans="2:6" x14ac:dyDescent="0.2">
      <c r="B2142" s="115" t="s">
        <v>2250</v>
      </c>
      <c r="C2142" s="114">
        <v>1417</v>
      </c>
      <c r="D2142" s="147">
        <f t="shared" si="111"/>
        <v>0.67170286433741222</v>
      </c>
      <c r="E2142" s="148">
        <f t="shared" si="110"/>
        <v>1.4854024874673752E-4</v>
      </c>
      <c r="F2142" s="148">
        <f t="shared" si="112"/>
        <v>0.1185208619904897</v>
      </c>
    </row>
    <row r="2143" spans="2:6" x14ac:dyDescent="0.2">
      <c r="B2143" s="115" t="s">
        <v>450</v>
      </c>
      <c r="C2143" s="114">
        <v>1420</v>
      </c>
      <c r="D2143" s="147">
        <f t="shared" si="111"/>
        <v>0.67201762669183462</v>
      </c>
      <c r="E2143" s="148">
        <f t="shared" si="110"/>
        <v>1.4885473057188938E-4</v>
      </c>
      <c r="F2143" s="148">
        <f t="shared" si="112"/>
        <v>0.11866971672106158</v>
      </c>
    </row>
    <row r="2144" spans="2:6" x14ac:dyDescent="0.2">
      <c r="B2144" s="115" t="s">
        <v>2380</v>
      </c>
      <c r="C2144" s="114">
        <v>1425</v>
      </c>
      <c r="D2144" s="147">
        <f t="shared" si="111"/>
        <v>0.67233238904625703</v>
      </c>
      <c r="E2144" s="148">
        <f t="shared" si="110"/>
        <v>1.4937886694714253E-4</v>
      </c>
      <c r="F2144" s="148">
        <f t="shared" si="112"/>
        <v>0.11881909558800872</v>
      </c>
    </row>
    <row r="2145" spans="2:6" x14ac:dyDescent="0.2">
      <c r="B2145" s="206" t="s">
        <v>1506</v>
      </c>
      <c r="C2145" s="205">
        <v>1425</v>
      </c>
      <c r="D2145" s="147">
        <f t="shared" si="111"/>
        <v>0.67264715140067943</v>
      </c>
      <c r="E2145" s="148">
        <f t="shared" si="110"/>
        <v>1.4937886694714253E-4</v>
      </c>
      <c r="F2145" s="148">
        <f t="shared" si="112"/>
        <v>0.11896847445495587</v>
      </c>
    </row>
    <row r="2146" spans="2:6" x14ac:dyDescent="0.2">
      <c r="B2146" s="115" t="s">
        <v>1299</v>
      </c>
      <c r="C2146" s="114">
        <v>1425</v>
      </c>
      <c r="D2146" s="147">
        <f t="shared" si="111"/>
        <v>0.67296191375510184</v>
      </c>
      <c r="E2146" s="148">
        <f t="shared" si="110"/>
        <v>1.4937886694714253E-4</v>
      </c>
      <c r="F2146" s="148">
        <f t="shared" si="112"/>
        <v>0.11911785332190301</v>
      </c>
    </row>
    <row r="2147" spans="2:6" x14ac:dyDescent="0.2">
      <c r="B2147" s="115" t="s">
        <v>3059</v>
      </c>
      <c r="C2147" s="114">
        <v>1426</v>
      </c>
      <c r="D2147" s="147">
        <f t="shared" si="111"/>
        <v>0.67327667610952424</v>
      </c>
      <c r="E2147" s="148">
        <f t="shared" si="110"/>
        <v>1.4948369422219314E-4</v>
      </c>
      <c r="F2147" s="148">
        <f t="shared" si="112"/>
        <v>0.11926733701612521</v>
      </c>
    </row>
    <row r="2148" spans="2:6" x14ac:dyDescent="0.2">
      <c r="B2148" s="115" t="s">
        <v>694</v>
      </c>
      <c r="C2148" s="114">
        <v>1429</v>
      </c>
      <c r="D2148" s="147">
        <f t="shared" si="111"/>
        <v>0.67359143846394665</v>
      </c>
      <c r="E2148" s="148">
        <f t="shared" si="110"/>
        <v>1.4979817604734503E-4</v>
      </c>
      <c r="F2148" s="148">
        <f t="shared" si="112"/>
        <v>0.11941713519217256</v>
      </c>
    </row>
    <row r="2149" spans="2:6" x14ac:dyDescent="0.2">
      <c r="B2149" s="115" t="s">
        <v>545</v>
      </c>
      <c r="C2149" s="114">
        <v>1429</v>
      </c>
      <c r="D2149" s="147">
        <f t="shared" si="111"/>
        <v>0.67390620081836905</v>
      </c>
      <c r="E2149" s="148">
        <f t="shared" si="110"/>
        <v>1.4979817604734503E-4</v>
      </c>
      <c r="F2149" s="148">
        <f t="shared" si="112"/>
        <v>0.11956693336821991</v>
      </c>
    </row>
    <row r="2150" spans="2:6" x14ac:dyDescent="0.2">
      <c r="B2150" s="115" t="s">
        <v>1413</v>
      </c>
      <c r="C2150" s="114">
        <v>1430</v>
      </c>
      <c r="D2150" s="147">
        <f t="shared" si="111"/>
        <v>0.67422096317279145</v>
      </c>
      <c r="E2150" s="148">
        <f t="shared" si="110"/>
        <v>1.4990300332239567E-4</v>
      </c>
      <c r="F2150" s="148">
        <f t="shared" si="112"/>
        <v>0.1197168363715423</v>
      </c>
    </row>
    <row r="2151" spans="2:6" x14ac:dyDescent="0.2">
      <c r="B2151" s="115" t="s">
        <v>768</v>
      </c>
      <c r="C2151" s="114">
        <v>1430</v>
      </c>
      <c r="D2151" s="147">
        <f t="shared" si="111"/>
        <v>0.67453572552721386</v>
      </c>
      <c r="E2151" s="148">
        <f t="shared" si="110"/>
        <v>1.4990300332239567E-4</v>
      </c>
      <c r="F2151" s="148">
        <f t="shared" si="112"/>
        <v>0.11986673937486469</v>
      </c>
    </row>
    <row r="2152" spans="2:6" x14ac:dyDescent="0.2">
      <c r="B2152" s="115" t="s">
        <v>724</v>
      </c>
      <c r="C2152" s="114">
        <v>1430</v>
      </c>
      <c r="D2152" s="147">
        <f t="shared" si="111"/>
        <v>0.67485048788163626</v>
      </c>
      <c r="E2152" s="148">
        <f t="shared" si="110"/>
        <v>1.4990300332239567E-4</v>
      </c>
      <c r="F2152" s="148">
        <f t="shared" si="112"/>
        <v>0.12001664237818709</v>
      </c>
    </row>
    <row r="2153" spans="2:6" x14ac:dyDescent="0.2">
      <c r="B2153" s="115" t="s">
        <v>2969</v>
      </c>
      <c r="C2153" s="114">
        <v>1432</v>
      </c>
      <c r="D2153" s="147">
        <f t="shared" si="111"/>
        <v>0.67516525023605867</v>
      </c>
      <c r="E2153" s="148">
        <f t="shared" si="110"/>
        <v>1.5011265787249692E-4</v>
      </c>
      <c r="F2153" s="148">
        <f t="shared" si="112"/>
        <v>0.12016675503605959</v>
      </c>
    </row>
    <row r="2154" spans="2:6" x14ac:dyDescent="0.2">
      <c r="B2154" s="115" t="s">
        <v>1665</v>
      </c>
      <c r="C2154" s="114">
        <v>1432</v>
      </c>
      <c r="D2154" s="147">
        <f t="shared" si="111"/>
        <v>0.67548001259048107</v>
      </c>
      <c r="E2154" s="148">
        <f t="shared" si="110"/>
        <v>1.5011265787249692E-4</v>
      </c>
      <c r="F2154" s="148">
        <f t="shared" si="112"/>
        <v>0.12031686769393209</v>
      </c>
    </row>
    <row r="2155" spans="2:6" x14ac:dyDescent="0.2">
      <c r="B2155" s="206" t="s">
        <v>2536</v>
      </c>
      <c r="C2155" s="205">
        <v>1433</v>
      </c>
      <c r="D2155" s="147">
        <f t="shared" si="111"/>
        <v>0.67579477494490348</v>
      </c>
      <c r="E2155" s="148">
        <f t="shared" si="110"/>
        <v>1.5021748514754753E-4</v>
      </c>
      <c r="F2155" s="148">
        <f t="shared" si="112"/>
        <v>0.12046708517907963</v>
      </c>
    </row>
    <row r="2156" spans="2:6" x14ac:dyDescent="0.2">
      <c r="B2156" s="115" t="s">
        <v>1669</v>
      </c>
      <c r="C2156" s="114">
        <v>1433</v>
      </c>
      <c r="D2156" s="147">
        <f t="shared" si="111"/>
        <v>0.67610953729932588</v>
      </c>
      <c r="E2156" s="148">
        <f t="shared" si="110"/>
        <v>1.5021748514754753E-4</v>
      </c>
      <c r="F2156" s="148">
        <f t="shared" si="112"/>
        <v>0.12061730266422717</v>
      </c>
    </row>
    <row r="2157" spans="2:6" x14ac:dyDescent="0.2">
      <c r="B2157" s="206" t="s">
        <v>551</v>
      </c>
      <c r="C2157" s="205">
        <v>1435</v>
      </c>
      <c r="D2157" s="147">
        <f t="shared" si="111"/>
        <v>0.67642429965374828</v>
      </c>
      <c r="E2157" s="148">
        <f t="shared" si="110"/>
        <v>1.5042713969764878E-4</v>
      </c>
      <c r="F2157" s="148">
        <f t="shared" si="112"/>
        <v>0.12076772980392482</v>
      </c>
    </row>
    <row r="2158" spans="2:6" x14ac:dyDescent="0.2">
      <c r="B2158" s="206" t="s">
        <v>547</v>
      </c>
      <c r="C2158" s="205">
        <v>1437</v>
      </c>
      <c r="D2158" s="147">
        <f t="shared" si="111"/>
        <v>0.67673906200817069</v>
      </c>
      <c r="E2158" s="148">
        <f t="shared" si="110"/>
        <v>1.5063679424775003E-4</v>
      </c>
      <c r="F2158" s="148">
        <f t="shared" si="112"/>
        <v>0.12091836659817257</v>
      </c>
    </row>
    <row r="2159" spans="2:6" x14ac:dyDescent="0.2">
      <c r="B2159" s="115" t="s">
        <v>824</v>
      </c>
      <c r="C2159" s="114">
        <v>1439</v>
      </c>
      <c r="D2159" s="147">
        <f t="shared" si="111"/>
        <v>0.67705382436259309</v>
      </c>
      <c r="E2159" s="148">
        <f t="shared" si="110"/>
        <v>1.5084644879785128E-4</v>
      </c>
      <c r="F2159" s="148">
        <f t="shared" si="112"/>
        <v>0.12106921304697042</v>
      </c>
    </row>
    <row r="2160" spans="2:6" x14ac:dyDescent="0.2">
      <c r="B2160" s="115" t="s">
        <v>2654</v>
      </c>
      <c r="C2160" s="114">
        <v>1441</v>
      </c>
      <c r="D2160" s="147">
        <f t="shared" si="111"/>
        <v>0.6773685867170155</v>
      </c>
      <c r="E2160" s="148">
        <f t="shared" si="110"/>
        <v>1.5105610334795254E-4</v>
      </c>
      <c r="F2160" s="148">
        <f t="shared" si="112"/>
        <v>0.12122026915031837</v>
      </c>
    </row>
    <row r="2161" spans="2:6" x14ac:dyDescent="0.2">
      <c r="B2161" s="115" t="s">
        <v>2974</v>
      </c>
      <c r="C2161" s="114">
        <v>1444</v>
      </c>
      <c r="D2161" s="147">
        <f t="shared" si="111"/>
        <v>0.6776833490714379</v>
      </c>
      <c r="E2161" s="148">
        <f t="shared" si="110"/>
        <v>1.5137058517310443E-4</v>
      </c>
      <c r="F2161" s="148">
        <f t="shared" si="112"/>
        <v>0.12137163973549148</v>
      </c>
    </row>
    <row r="2162" spans="2:6" x14ac:dyDescent="0.2">
      <c r="B2162" s="206" t="s">
        <v>1972</v>
      </c>
      <c r="C2162" s="205">
        <v>1448</v>
      </c>
      <c r="D2162" s="147">
        <f t="shared" si="111"/>
        <v>0.67799811142586031</v>
      </c>
      <c r="E2162" s="148">
        <f t="shared" si="110"/>
        <v>1.5178989427330693E-4</v>
      </c>
      <c r="F2162" s="148">
        <f t="shared" si="112"/>
        <v>0.12152342962976478</v>
      </c>
    </row>
    <row r="2163" spans="2:6" x14ac:dyDescent="0.2">
      <c r="B2163" s="115" t="s">
        <v>978</v>
      </c>
      <c r="C2163" s="114">
        <v>1448</v>
      </c>
      <c r="D2163" s="147">
        <f t="shared" si="111"/>
        <v>0.67831287378028271</v>
      </c>
      <c r="E2163" s="148">
        <f t="shared" si="110"/>
        <v>1.5178989427330693E-4</v>
      </c>
      <c r="F2163" s="148">
        <f t="shared" si="112"/>
        <v>0.12167521952403809</v>
      </c>
    </row>
    <row r="2164" spans="2:6" x14ac:dyDescent="0.2">
      <c r="B2164" s="206" t="s">
        <v>1499</v>
      </c>
      <c r="C2164" s="205">
        <v>1449</v>
      </c>
      <c r="D2164" s="147">
        <f t="shared" si="111"/>
        <v>0.67862763613470511</v>
      </c>
      <c r="E2164" s="148">
        <f t="shared" si="110"/>
        <v>1.5189472154835757E-4</v>
      </c>
      <c r="F2164" s="148">
        <f t="shared" si="112"/>
        <v>0.12182711424558645</v>
      </c>
    </row>
    <row r="2165" spans="2:6" x14ac:dyDescent="0.2">
      <c r="B2165" s="115" t="s">
        <v>2657</v>
      </c>
      <c r="C2165" s="114">
        <v>1450</v>
      </c>
      <c r="D2165" s="147">
        <f t="shared" si="111"/>
        <v>0.67894239848912752</v>
      </c>
      <c r="E2165" s="148">
        <f t="shared" si="110"/>
        <v>1.5199954882340818E-4</v>
      </c>
      <c r="F2165" s="148">
        <f t="shared" si="112"/>
        <v>0.12197911379440986</v>
      </c>
    </row>
    <row r="2166" spans="2:6" x14ac:dyDescent="0.2">
      <c r="B2166" s="115" t="s">
        <v>372</v>
      </c>
      <c r="C2166" s="114">
        <v>1450</v>
      </c>
      <c r="D2166" s="147">
        <f t="shared" si="111"/>
        <v>0.67925716084354992</v>
      </c>
      <c r="E2166" s="148">
        <f t="shared" si="110"/>
        <v>1.5199954882340818E-4</v>
      </c>
      <c r="F2166" s="148">
        <f t="shared" si="112"/>
        <v>0.12213111334323326</v>
      </c>
    </row>
    <row r="2167" spans="2:6" x14ac:dyDescent="0.2">
      <c r="B2167" s="206" t="s">
        <v>1855</v>
      </c>
      <c r="C2167" s="205">
        <v>1451</v>
      </c>
      <c r="D2167" s="147">
        <f t="shared" si="111"/>
        <v>0.67957192319797233</v>
      </c>
      <c r="E2167" s="148">
        <f t="shared" si="110"/>
        <v>1.5210437609845882E-4</v>
      </c>
      <c r="F2167" s="148">
        <f t="shared" si="112"/>
        <v>0.12228321771933172</v>
      </c>
    </row>
    <row r="2168" spans="2:6" x14ac:dyDescent="0.2">
      <c r="B2168" s="115" t="s">
        <v>1096</v>
      </c>
      <c r="C2168" s="114">
        <v>1453</v>
      </c>
      <c r="D2168" s="147">
        <f t="shared" si="111"/>
        <v>0.67988668555239473</v>
      </c>
      <c r="E2168" s="148">
        <f t="shared" si="110"/>
        <v>1.5231403064856007E-4</v>
      </c>
      <c r="F2168" s="148">
        <f t="shared" si="112"/>
        <v>0.12243553174998027</v>
      </c>
    </row>
    <row r="2169" spans="2:6" x14ac:dyDescent="0.2">
      <c r="B2169" s="115" t="s">
        <v>655</v>
      </c>
      <c r="C2169" s="114">
        <v>1461</v>
      </c>
      <c r="D2169" s="147">
        <f t="shared" si="111"/>
        <v>0.68020144790681714</v>
      </c>
      <c r="E2169" s="148">
        <f t="shared" si="110"/>
        <v>1.5315264884896508E-4</v>
      </c>
      <c r="F2169" s="148">
        <f t="shared" si="112"/>
        <v>0.12258868439882924</v>
      </c>
    </row>
    <row r="2170" spans="2:6" x14ac:dyDescent="0.2">
      <c r="B2170" s="206" t="s">
        <v>104</v>
      </c>
      <c r="C2170" s="205">
        <v>1461</v>
      </c>
      <c r="D2170" s="147">
        <f t="shared" si="111"/>
        <v>0.68051621026123954</v>
      </c>
      <c r="E2170" s="148">
        <f t="shared" si="110"/>
        <v>1.5315264884896508E-4</v>
      </c>
      <c r="F2170" s="148">
        <f t="shared" si="112"/>
        <v>0.1227418370476782</v>
      </c>
    </row>
    <row r="2171" spans="2:6" x14ac:dyDescent="0.2">
      <c r="B2171" s="206" t="s">
        <v>3105</v>
      </c>
      <c r="C2171" s="205">
        <v>1462</v>
      </c>
      <c r="D2171" s="147">
        <f t="shared" si="111"/>
        <v>0.68083097261566194</v>
      </c>
      <c r="E2171" s="148">
        <f t="shared" si="110"/>
        <v>1.5325747612401569E-4</v>
      </c>
      <c r="F2171" s="148">
        <f t="shared" si="112"/>
        <v>0.12289509452380222</v>
      </c>
    </row>
    <row r="2172" spans="2:6" x14ac:dyDescent="0.2">
      <c r="B2172" s="115" t="s">
        <v>1006</v>
      </c>
      <c r="C2172" s="114">
        <v>1462</v>
      </c>
      <c r="D2172" s="147">
        <f t="shared" si="111"/>
        <v>0.68114573497008435</v>
      </c>
      <c r="E2172" s="148">
        <f t="shared" si="110"/>
        <v>1.5325747612401569E-4</v>
      </c>
      <c r="F2172" s="148">
        <f t="shared" si="112"/>
        <v>0.12304835199992624</v>
      </c>
    </row>
    <row r="2173" spans="2:6" x14ac:dyDescent="0.2">
      <c r="B2173" s="115" t="s">
        <v>1138</v>
      </c>
      <c r="C2173" s="114">
        <v>1463</v>
      </c>
      <c r="D2173" s="147">
        <f t="shared" si="111"/>
        <v>0.68146049732450675</v>
      </c>
      <c r="E2173" s="148">
        <f t="shared" si="110"/>
        <v>1.5336230339906633E-4</v>
      </c>
      <c r="F2173" s="148">
        <f t="shared" si="112"/>
        <v>0.1232017143033253</v>
      </c>
    </row>
    <row r="2174" spans="2:6" x14ac:dyDescent="0.2">
      <c r="B2174" s="115" t="s">
        <v>1008</v>
      </c>
      <c r="C2174" s="114">
        <v>1463</v>
      </c>
      <c r="D2174" s="147">
        <f t="shared" si="111"/>
        <v>0.68177525967892916</v>
      </c>
      <c r="E2174" s="148">
        <f t="shared" si="110"/>
        <v>1.5336230339906633E-4</v>
      </c>
      <c r="F2174" s="148">
        <f t="shared" si="112"/>
        <v>0.12335507660672436</v>
      </c>
    </row>
    <row r="2175" spans="2:6" x14ac:dyDescent="0.2">
      <c r="B2175" s="115" t="s">
        <v>326</v>
      </c>
      <c r="C2175" s="114">
        <v>1463</v>
      </c>
      <c r="D2175" s="147">
        <f t="shared" si="111"/>
        <v>0.68209002203335156</v>
      </c>
      <c r="E2175" s="148">
        <f t="shared" si="110"/>
        <v>1.5336230339906633E-4</v>
      </c>
      <c r="F2175" s="148">
        <f t="shared" si="112"/>
        <v>0.12350843891012342</v>
      </c>
    </row>
    <row r="2176" spans="2:6" x14ac:dyDescent="0.2">
      <c r="B2176" s="206" t="s">
        <v>1018</v>
      </c>
      <c r="C2176" s="205">
        <v>1465</v>
      </c>
      <c r="D2176" s="147">
        <f t="shared" si="111"/>
        <v>0.68240478438777397</v>
      </c>
      <c r="E2176" s="148">
        <f t="shared" si="110"/>
        <v>1.5357195794916758E-4</v>
      </c>
      <c r="F2176" s="148">
        <f t="shared" si="112"/>
        <v>0.12366201086807259</v>
      </c>
    </row>
    <row r="2177" spans="2:6" x14ac:dyDescent="0.2">
      <c r="B2177" s="115" t="s">
        <v>371</v>
      </c>
      <c r="C2177" s="114">
        <v>1467</v>
      </c>
      <c r="D2177" s="147">
        <f t="shared" si="111"/>
        <v>0.68271954674219637</v>
      </c>
      <c r="E2177" s="148">
        <f t="shared" si="110"/>
        <v>1.5378161249926883E-4</v>
      </c>
      <c r="F2177" s="148">
        <f t="shared" si="112"/>
        <v>0.12381579248057185</v>
      </c>
    </row>
    <row r="2178" spans="2:6" x14ac:dyDescent="0.2">
      <c r="B2178" s="115" t="s">
        <v>339</v>
      </c>
      <c r="C2178" s="114">
        <v>1467</v>
      </c>
      <c r="D2178" s="147">
        <f t="shared" si="111"/>
        <v>0.68303430909661877</v>
      </c>
      <c r="E2178" s="148">
        <f t="shared" si="110"/>
        <v>1.5378161249926883E-4</v>
      </c>
      <c r="F2178" s="148">
        <f t="shared" si="112"/>
        <v>0.12396957409307112</v>
      </c>
    </row>
    <row r="2179" spans="2:6" x14ac:dyDescent="0.2">
      <c r="B2179" s="206" t="s">
        <v>705</v>
      </c>
      <c r="C2179" s="205">
        <v>1468</v>
      </c>
      <c r="D2179" s="147">
        <f t="shared" si="111"/>
        <v>0.68334907145104118</v>
      </c>
      <c r="E2179" s="148">
        <f t="shared" si="110"/>
        <v>1.5388643977431947E-4</v>
      </c>
      <c r="F2179" s="148">
        <f t="shared" si="112"/>
        <v>0.12412346053284544</v>
      </c>
    </row>
    <row r="2180" spans="2:6" x14ac:dyDescent="0.2">
      <c r="B2180" s="115" t="s">
        <v>2312</v>
      </c>
      <c r="C2180" s="114">
        <v>1469</v>
      </c>
      <c r="D2180" s="147">
        <f t="shared" si="111"/>
        <v>0.68366383380546358</v>
      </c>
      <c r="E2180" s="148">
        <f t="shared" si="110"/>
        <v>1.5399126704937008E-4</v>
      </c>
      <c r="F2180" s="148">
        <f t="shared" si="112"/>
        <v>0.12427745179989481</v>
      </c>
    </row>
    <row r="2181" spans="2:6" x14ac:dyDescent="0.2">
      <c r="B2181" s="115" t="s">
        <v>515</v>
      </c>
      <c r="C2181" s="114">
        <v>1469</v>
      </c>
      <c r="D2181" s="147">
        <f t="shared" si="111"/>
        <v>0.68397859615988599</v>
      </c>
      <c r="E2181" s="148">
        <f t="shared" si="110"/>
        <v>1.5399126704937008E-4</v>
      </c>
      <c r="F2181" s="148">
        <f t="shared" si="112"/>
        <v>0.12443144306694419</v>
      </c>
    </row>
    <row r="2182" spans="2:6" x14ac:dyDescent="0.2">
      <c r="B2182" s="115" t="s">
        <v>2960</v>
      </c>
      <c r="C2182" s="114">
        <v>1472</v>
      </c>
      <c r="D2182" s="147">
        <f t="shared" si="111"/>
        <v>0.68429335851430839</v>
      </c>
      <c r="E2182" s="148">
        <f t="shared" si="110"/>
        <v>1.5430574887452197E-4</v>
      </c>
      <c r="F2182" s="148">
        <f t="shared" si="112"/>
        <v>0.12458574881581871</v>
      </c>
    </row>
    <row r="2183" spans="2:6" x14ac:dyDescent="0.2">
      <c r="B2183" s="115" t="s">
        <v>620</v>
      </c>
      <c r="C2183" s="114">
        <v>1472</v>
      </c>
      <c r="D2183" s="147">
        <f t="shared" si="111"/>
        <v>0.6846081208687308</v>
      </c>
      <c r="E2183" s="148">
        <f t="shared" si="110"/>
        <v>1.5430574887452197E-4</v>
      </c>
      <c r="F2183" s="148">
        <f t="shared" si="112"/>
        <v>0.12474005456469324</v>
      </c>
    </row>
    <row r="2184" spans="2:6" x14ac:dyDescent="0.2">
      <c r="B2184" s="115" t="s">
        <v>447</v>
      </c>
      <c r="C2184" s="114">
        <v>1475</v>
      </c>
      <c r="D2184" s="147">
        <f t="shared" si="111"/>
        <v>0.6849228832231532</v>
      </c>
      <c r="E2184" s="148">
        <f t="shared" si="110"/>
        <v>1.5462023069967384E-4</v>
      </c>
      <c r="F2184" s="148">
        <f t="shared" si="112"/>
        <v>0.12489467479539292</v>
      </c>
    </row>
    <row r="2185" spans="2:6" x14ac:dyDescent="0.2">
      <c r="B2185" s="206" t="s">
        <v>1932</v>
      </c>
      <c r="C2185" s="205">
        <v>1478</v>
      </c>
      <c r="D2185" s="147">
        <f t="shared" si="111"/>
        <v>0.6852376455775756</v>
      </c>
      <c r="E2185" s="148">
        <f t="shared" ref="E2185:E2248" si="113">C2185/$O$18</f>
        <v>1.5493471252482573E-4</v>
      </c>
      <c r="F2185" s="148">
        <f t="shared" si="112"/>
        <v>0.12504960950791774</v>
      </c>
    </row>
    <row r="2186" spans="2:6" x14ac:dyDescent="0.2">
      <c r="B2186" s="206" t="s">
        <v>1112</v>
      </c>
      <c r="C2186" s="205">
        <v>1479</v>
      </c>
      <c r="D2186" s="147">
        <f t="shared" ref="D2186:D2249" si="114">D2185+1/$L$18</f>
        <v>0.68555240793199801</v>
      </c>
      <c r="E2186" s="148">
        <f t="shared" si="113"/>
        <v>1.5503953979987634E-4</v>
      </c>
      <c r="F2186" s="148">
        <f t="shared" ref="F2186:F2249" si="115">F2185+E2186</f>
        <v>0.12520464904771761</v>
      </c>
    </row>
    <row r="2187" spans="2:6" x14ac:dyDescent="0.2">
      <c r="B2187" s="115" t="s">
        <v>183</v>
      </c>
      <c r="C2187" s="114">
        <v>1480</v>
      </c>
      <c r="D2187" s="147">
        <f t="shared" si="114"/>
        <v>0.68586717028642041</v>
      </c>
      <c r="E2187" s="148">
        <f t="shared" si="113"/>
        <v>1.5514436707492698E-4</v>
      </c>
      <c r="F2187" s="148">
        <f t="shared" si="115"/>
        <v>0.12535979341479253</v>
      </c>
    </row>
    <row r="2188" spans="2:6" x14ac:dyDescent="0.2">
      <c r="B2188" s="115" t="s">
        <v>1673</v>
      </c>
      <c r="C2188" s="114">
        <v>1482</v>
      </c>
      <c r="D2188" s="147">
        <f t="shared" si="114"/>
        <v>0.68618193264084282</v>
      </c>
      <c r="E2188" s="148">
        <f t="shared" si="113"/>
        <v>1.5535402162502823E-4</v>
      </c>
      <c r="F2188" s="148">
        <f t="shared" si="115"/>
        <v>0.12551514743641756</v>
      </c>
    </row>
    <row r="2189" spans="2:6" x14ac:dyDescent="0.2">
      <c r="B2189" s="206" t="s">
        <v>1449</v>
      </c>
      <c r="C2189" s="205">
        <v>1483</v>
      </c>
      <c r="D2189" s="147">
        <f t="shared" si="114"/>
        <v>0.68649669499526522</v>
      </c>
      <c r="E2189" s="148">
        <f t="shared" si="113"/>
        <v>1.5545884890007884E-4</v>
      </c>
      <c r="F2189" s="148">
        <f t="shared" si="115"/>
        <v>0.12567060628531765</v>
      </c>
    </row>
    <row r="2190" spans="2:6" x14ac:dyDescent="0.2">
      <c r="B2190" s="206" t="s">
        <v>25</v>
      </c>
      <c r="C2190" s="205">
        <v>1485</v>
      </c>
      <c r="D2190" s="147">
        <f t="shared" si="114"/>
        <v>0.68681145734968763</v>
      </c>
      <c r="E2190" s="148">
        <f t="shared" si="113"/>
        <v>1.5566850345018009E-4</v>
      </c>
      <c r="F2190" s="148">
        <f t="shared" si="115"/>
        <v>0.12582627478876782</v>
      </c>
    </row>
    <row r="2191" spans="2:6" x14ac:dyDescent="0.2">
      <c r="B2191" s="206" t="s">
        <v>343</v>
      </c>
      <c r="C2191" s="205">
        <v>1488</v>
      </c>
      <c r="D2191" s="147">
        <f t="shared" si="114"/>
        <v>0.68712621970411003</v>
      </c>
      <c r="E2191" s="148">
        <f t="shared" si="113"/>
        <v>1.5598298527533198E-4</v>
      </c>
      <c r="F2191" s="148">
        <f t="shared" si="115"/>
        <v>0.12598225777404315</v>
      </c>
    </row>
    <row r="2192" spans="2:6" x14ac:dyDescent="0.2">
      <c r="B2192" s="206" t="s">
        <v>1998</v>
      </c>
      <c r="C2192" s="205">
        <v>1489</v>
      </c>
      <c r="D2192" s="147">
        <f t="shared" si="114"/>
        <v>0.68744098205853243</v>
      </c>
      <c r="E2192" s="148">
        <f t="shared" si="113"/>
        <v>1.5608781255038262E-4</v>
      </c>
      <c r="F2192" s="148">
        <f t="shared" si="115"/>
        <v>0.12613834558659354</v>
      </c>
    </row>
    <row r="2193" spans="2:6" x14ac:dyDescent="0.2">
      <c r="B2193" s="206" t="s">
        <v>209</v>
      </c>
      <c r="C2193" s="205">
        <v>1493</v>
      </c>
      <c r="D2193" s="147">
        <f t="shared" si="114"/>
        <v>0.68775574441295484</v>
      </c>
      <c r="E2193" s="148">
        <f t="shared" si="113"/>
        <v>1.5650712165058512E-4</v>
      </c>
      <c r="F2193" s="148">
        <f t="shared" si="115"/>
        <v>0.12629485270824412</v>
      </c>
    </row>
    <row r="2194" spans="2:6" x14ac:dyDescent="0.2">
      <c r="B2194" s="206" t="s">
        <v>1156</v>
      </c>
      <c r="C2194" s="205">
        <v>1496</v>
      </c>
      <c r="D2194" s="147">
        <f t="shared" si="114"/>
        <v>0.68807050676737724</v>
      </c>
      <c r="E2194" s="148">
        <f t="shared" si="113"/>
        <v>1.5682160347573699E-4</v>
      </c>
      <c r="F2194" s="148">
        <f t="shared" si="115"/>
        <v>0.12645167431171986</v>
      </c>
    </row>
    <row r="2195" spans="2:6" x14ac:dyDescent="0.2">
      <c r="B2195" s="115" t="s">
        <v>1122</v>
      </c>
      <c r="C2195" s="114">
        <v>1496</v>
      </c>
      <c r="D2195" s="147">
        <f t="shared" si="114"/>
        <v>0.68838526912179965</v>
      </c>
      <c r="E2195" s="148">
        <f t="shared" si="113"/>
        <v>1.5682160347573699E-4</v>
      </c>
      <c r="F2195" s="148">
        <f t="shared" si="115"/>
        <v>0.1266084959151956</v>
      </c>
    </row>
    <row r="2196" spans="2:6" x14ac:dyDescent="0.2">
      <c r="B2196" s="206" t="s">
        <v>812</v>
      </c>
      <c r="C2196" s="205">
        <v>1496</v>
      </c>
      <c r="D2196" s="147">
        <f t="shared" si="114"/>
        <v>0.68870003147622205</v>
      </c>
      <c r="E2196" s="148">
        <f t="shared" si="113"/>
        <v>1.5682160347573699E-4</v>
      </c>
      <c r="F2196" s="148">
        <f t="shared" si="115"/>
        <v>0.12676531751867134</v>
      </c>
    </row>
    <row r="2197" spans="2:6" x14ac:dyDescent="0.2">
      <c r="B2197" s="115" t="s">
        <v>796</v>
      </c>
      <c r="C2197" s="114">
        <v>1497</v>
      </c>
      <c r="D2197" s="147">
        <f t="shared" si="114"/>
        <v>0.68901479383064446</v>
      </c>
      <c r="E2197" s="148">
        <f t="shared" si="113"/>
        <v>1.5692643075078763E-4</v>
      </c>
      <c r="F2197" s="148">
        <f t="shared" si="115"/>
        <v>0.12692224394942214</v>
      </c>
    </row>
    <row r="2198" spans="2:6" x14ac:dyDescent="0.2">
      <c r="B2198" s="206" t="s">
        <v>448</v>
      </c>
      <c r="C2198" s="205">
        <v>1498</v>
      </c>
      <c r="D2198" s="147">
        <f t="shared" si="114"/>
        <v>0.68932955618506686</v>
      </c>
      <c r="E2198" s="148">
        <f t="shared" si="113"/>
        <v>1.5703125802583824E-4</v>
      </c>
      <c r="F2198" s="148">
        <f t="shared" si="115"/>
        <v>0.12707927520744797</v>
      </c>
    </row>
    <row r="2199" spans="2:6" x14ac:dyDescent="0.2">
      <c r="B2199" s="206" t="s">
        <v>1238</v>
      </c>
      <c r="C2199" s="205">
        <v>1499</v>
      </c>
      <c r="D2199" s="147">
        <f t="shared" si="114"/>
        <v>0.68964431853948926</v>
      </c>
      <c r="E2199" s="148">
        <f t="shared" si="113"/>
        <v>1.5713608530088888E-4</v>
      </c>
      <c r="F2199" s="148">
        <f t="shared" si="115"/>
        <v>0.12723641129274885</v>
      </c>
    </row>
    <row r="2200" spans="2:6" x14ac:dyDescent="0.2">
      <c r="B2200" s="206" t="s">
        <v>1456</v>
      </c>
      <c r="C2200" s="205">
        <v>1503</v>
      </c>
      <c r="D2200" s="147">
        <f t="shared" si="114"/>
        <v>0.68995908089391167</v>
      </c>
      <c r="E2200" s="148">
        <f t="shared" si="113"/>
        <v>1.5755539440109138E-4</v>
      </c>
      <c r="F2200" s="148">
        <f t="shared" si="115"/>
        <v>0.12739396668714995</v>
      </c>
    </row>
    <row r="2201" spans="2:6" x14ac:dyDescent="0.2">
      <c r="B2201" s="115" t="s">
        <v>164</v>
      </c>
      <c r="C2201" s="114">
        <v>1504</v>
      </c>
      <c r="D2201" s="147">
        <f t="shared" si="114"/>
        <v>0.69027384324833407</v>
      </c>
      <c r="E2201" s="148">
        <f t="shared" si="113"/>
        <v>1.5766022167614199E-4</v>
      </c>
      <c r="F2201" s="148">
        <f t="shared" si="115"/>
        <v>0.1275516269088261</v>
      </c>
    </row>
    <row r="2202" spans="2:6" x14ac:dyDescent="0.2">
      <c r="B2202" s="115" t="s">
        <v>2762</v>
      </c>
      <c r="C2202" s="114">
        <v>1505</v>
      </c>
      <c r="D2202" s="147">
        <f t="shared" si="114"/>
        <v>0.69058860560275648</v>
      </c>
      <c r="E2202" s="148">
        <f t="shared" si="113"/>
        <v>1.5776504895119263E-4</v>
      </c>
      <c r="F2202" s="148">
        <f t="shared" si="115"/>
        <v>0.12770939195777728</v>
      </c>
    </row>
    <row r="2203" spans="2:6" x14ac:dyDescent="0.2">
      <c r="B2203" s="115" t="s">
        <v>826</v>
      </c>
      <c r="C2203" s="114">
        <v>1506</v>
      </c>
      <c r="D2203" s="147">
        <f t="shared" si="114"/>
        <v>0.69090336795717888</v>
      </c>
      <c r="E2203" s="148">
        <f t="shared" si="113"/>
        <v>1.5786987622624324E-4</v>
      </c>
      <c r="F2203" s="148">
        <f t="shared" si="115"/>
        <v>0.12786726183400351</v>
      </c>
    </row>
    <row r="2204" spans="2:6" x14ac:dyDescent="0.2">
      <c r="B2204" s="115" t="s">
        <v>3125</v>
      </c>
      <c r="C2204" s="114">
        <v>1507</v>
      </c>
      <c r="D2204" s="147">
        <f t="shared" si="114"/>
        <v>0.69121813031160129</v>
      </c>
      <c r="E2204" s="148">
        <f t="shared" si="113"/>
        <v>1.5797470350129388E-4</v>
      </c>
      <c r="F2204" s="148">
        <f t="shared" si="115"/>
        <v>0.12802523653750481</v>
      </c>
    </row>
    <row r="2205" spans="2:6" x14ac:dyDescent="0.2">
      <c r="B2205" s="206" t="s">
        <v>1427</v>
      </c>
      <c r="C2205" s="205">
        <v>1509</v>
      </c>
      <c r="D2205" s="147">
        <f t="shared" si="114"/>
        <v>0.69153289266602369</v>
      </c>
      <c r="E2205" s="148">
        <f t="shared" si="113"/>
        <v>1.5818435805139513E-4</v>
      </c>
      <c r="F2205" s="148">
        <f t="shared" si="115"/>
        <v>0.1281834208955562</v>
      </c>
    </row>
    <row r="2206" spans="2:6" x14ac:dyDescent="0.2">
      <c r="B2206" s="206" t="s">
        <v>1693</v>
      </c>
      <c r="C2206" s="205">
        <v>1510</v>
      </c>
      <c r="D2206" s="147">
        <f t="shared" si="114"/>
        <v>0.6918476550204461</v>
      </c>
      <c r="E2206" s="148">
        <f t="shared" si="113"/>
        <v>1.5828918532644577E-4</v>
      </c>
      <c r="F2206" s="148">
        <f t="shared" si="115"/>
        <v>0.12834171008088266</v>
      </c>
    </row>
    <row r="2207" spans="2:6" x14ac:dyDescent="0.2">
      <c r="B2207" s="115" t="s">
        <v>831</v>
      </c>
      <c r="C2207" s="114">
        <v>1511</v>
      </c>
      <c r="D2207" s="147">
        <f t="shared" si="114"/>
        <v>0.6921624173748685</v>
      </c>
      <c r="E2207" s="148">
        <f t="shared" si="113"/>
        <v>1.5839401260149639E-4</v>
      </c>
      <c r="F2207" s="148">
        <f t="shared" si="115"/>
        <v>0.12850010409348417</v>
      </c>
    </row>
    <row r="2208" spans="2:6" x14ac:dyDescent="0.2">
      <c r="B2208" s="206" t="s">
        <v>1275</v>
      </c>
      <c r="C2208" s="205">
        <v>1513</v>
      </c>
      <c r="D2208" s="147">
        <f t="shared" si="114"/>
        <v>0.6924771797292909</v>
      </c>
      <c r="E2208" s="148">
        <f t="shared" si="113"/>
        <v>1.5860366715159764E-4</v>
      </c>
      <c r="F2208" s="148">
        <f t="shared" si="115"/>
        <v>0.12865870776063576</v>
      </c>
    </row>
    <row r="2209" spans="2:6" x14ac:dyDescent="0.2">
      <c r="B2209" s="115" t="s">
        <v>3032</v>
      </c>
      <c r="C2209" s="114">
        <v>1514</v>
      </c>
      <c r="D2209" s="147">
        <f t="shared" si="114"/>
        <v>0.69279194208371331</v>
      </c>
      <c r="E2209" s="148">
        <f t="shared" si="113"/>
        <v>1.5870849442664828E-4</v>
      </c>
      <c r="F2209" s="148">
        <f t="shared" si="115"/>
        <v>0.12881741625506241</v>
      </c>
    </row>
    <row r="2210" spans="2:6" x14ac:dyDescent="0.2">
      <c r="B2210" s="115" t="s">
        <v>2147</v>
      </c>
      <c r="C2210" s="114">
        <v>1514</v>
      </c>
      <c r="D2210" s="147">
        <f t="shared" si="114"/>
        <v>0.69310670443813571</v>
      </c>
      <c r="E2210" s="148">
        <f t="shared" si="113"/>
        <v>1.5870849442664828E-4</v>
      </c>
      <c r="F2210" s="148">
        <f t="shared" si="115"/>
        <v>0.12897612474948905</v>
      </c>
    </row>
    <row r="2211" spans="2:6" x14ac:dyDescent="0.2">
      <c r="B2211" s="115" t="s">
        <v>1964</v>
      </c>
      <c r="C2211" s="114">
        <v>1514</v>
      </c>
      <c r="D2211" s="147">
        <f t="shared" si="114"/>
        <v>0.69342146679255812</v>
      </c>
      <c r="E2211" s="148">
        <f t="shared" si="113"/>
        <v>1.5870849442664828E-4</v>
      </c>
      <c r="F2211" s="148">
        <f t="shared" si="115"/>
        <v>0.1291348332439157</v>
      </c>
    </row>
    <row r="2212" spans="2:6" x14ac:dyDescent="0.2">
      <c r="B2212" s="115" t="s">
        <v>1359</v>
      </c>
      <c r="C2212" s="114">
        <v>1516</v>
      </c>
      <c r="D2212" s="147">
        <f t="shared" si="114"/>
        <v>0.69373622914698052</v>
      </c>
      <c r="E2212" s="148">
        <f t="shared" si="113"/>
        <v>1.5891814897674953E-4</v>
      </c>
      <c r="F2212" s="148">
        <f t="shared" si="115"/>
        <v>0.12929375139289245</v>
      </c>
    </row>
    <row r="2213" spans="2:6" x14ac:dyDescent="0.2">
      <c r="B2213" s="115" t="s">
        <v>1389</v>
      </c>
      <c r="C2213" s="114">
        <v>1521</v>
      </c>
      <c r="D2213" s="147">
        <f t="shared" si="114"/>
        <v>0.69405099150140293</v>
      </c>
      <c r="E2213" s="148">
        <f t="shared" si="113"/>
        <v>1.5944228535200264E-4</v>
      </c>
      <c r="F2213" s="148">
        <f t="shared" si="115"/>
        <v>0.12945319367824445</v>
      </c>
    </row>
    <row r="2214" spans="2:6" x14ac:dyDescent="0.2">
      <c r="B2214" s="206" t="s">
        <v>354</v>
      </c>
      <c r="C2214" s="205">
        <v>1522</v>
      </c>
      <c r="D2214" s="147">
        <f t="shared" si="114"/>
        <v>0.69436575385582533</v>
      </c>
      <c r="E2214" s="148">
        <f t="shared" si="113"/>
        <v>1.5954711262705328E-4</v>
      </c>
      <c r="F2214" s="148">
        <f t="shared" si="115"/>
        <v>0.12961274079087151</v>
      </c>
    </row>
    <row r="2215" spans="2:6" x14ac:dyDescent="0.2">
      <c r="B2215" s="115" t="s">
        <v>860</v>
      </c>
      <c r="C2215" s="114">
        <v>1523</v>
      </c>
      <c r="D2215" s="147">
        <f t="shared" si="114"/>
        <v>0.69468051621024773</v>
      </c>
      <c r="E2215" s="148">
        <f t="shared" si="113"/>
        <v>1.5965193990210389E-4</v>
      </c>
      <c r="F2215" s="148">
        <f t="shared" si="115"/>
        <v>0.12977239273077362</v>
      </c>
    </row>
    <row r="2216" spans="2:6" x14ac:dyDescent="0.2">
      <c r="B2216" s="115" t="s">
        <v>1323</v>
      </c>
      <c r="C2216" s="114">
        <v>1524</v>
      </c>
      <c r="D2216" s="147">
        <f t="shared" si="114"/>
        <v>0.69499527856467014</v>
      </c>
      <c r="E2216" s="148">
        <f t="shared" si="113"/>
        <v>1.5975676717715453E-4</v>
      </c>
      <c r="F2216" s="148">
        <f t="shared" si="115"/>
        <v>0.12993214949795079</v>
      </c>
    </row>
    <row r="2217" spans="2:6" x14ac:dyDescent="0.2">
      <c r="B2217" s="115" t="s">
        <v>1078</v>
      </c>
      <c r="C2217" s="114">
        <v>1524</v>
      </c>
      <c r="D2217" s="147">
        <f t="shared" si="114"/>
        <v>0.69531004091909254</v>
      </c>
      <c r="E2217" s="148">
        <f t="shared" si="113"/>
        <v>1.5975676717715453E-4</v>
      </c>
      <c r="F2217" s="148">
        <f t="shared" si="115"/>
        <v>0.13009190626512795</v>
      </c>
    </row>
    <row r="2218" spans="2:6" x14ac:dyDescent="0.2">
      <c r="B2218" s="115" t="s">
        <v>3093</v>
      </c>
      <c r="C2218" s="114">
        <v>1525</v>
      </c>
      <c r="D2218" s="147">
        <f t="shared" si="114"/>
        <v>0.69562480327351495</v>
      </c>
      <c r="E2218" s="148">
        <f t="shared" si="113"/>
        <v>1.5986159445220515E-4</v>
      </c>
      <c r="F2218" s="148">
        <f t="shared" si="115"/>
        <v>0.13025176785958015</v>
      </c>
    </row>
    <row r="2219" spans="2:6" x14ac:dyDescent="0.2">
      <c r="B2219" s="206" t="s">
        <v>1509</v>
      </c>
      <c r="C2219" s="205">
        <v>1527</v>
      </c>
      <c r="D2219" s="147">
        <f t="shared" si="114"/>
        <v>0.69593956562793735</v>
      </c>
      <c r="E2219" s="148">
        <f t="shared" si="113"/>
        <v>1.600712490023064E-4</v>
      </c>
      <c r="F2219" s="148">
        <f t="shared" si="115"/>
        <v>0.13041183910858245</v>
      </c>
    </row>
    <row r="2220" spans="2:6" x14ac:dyDescent="0.2">
      <c r="B2220" s="206" t="s">
        <v>474</v>
      </c>
      <c r="C2220" s="205">
        <v>1540</v>
      </c>
      <c r="D2220" s="147">
        <f t="shared" si="114"/>
        <v>0.69625432798235976</v>
      </c>
      <c r="E2220" s="148">
        <f t="shared" si="113"/>
        <v>1.6143400357796454E-4</v>
      </c>
      <c r="F2220" s="148">
        <f t="shared" si="115"/>
        <v>0.13057327311216041</v>
      </c>
    </row>
    <row r="2221" spans="2:6" x14ac:dyDescent="0.2">
      <c r="B2221" s="206" t="s">
        <v>278</v>
      </c>
      <c r="C2221" s="205">
        <v>1541</v>
      </c>
      <c r="D2221" s="147">
        <f t="shared" si="114"/>
        <v>0.69656909033678216</v>
      </c>
      <c r="E2221" s="148">
        <f t="shared" si="113"/>
        <v>1.6153883085301518E-4</v>
      </c>
      <c r="F2221" s="148">
        <f t="shared" si="115"/>
        <v>0.13073481194301342</v>
      </c>
    </row>
    <row r="2222" spans="2:6" x14ac:dyDescent="0.2">
      <c r="B2222" s="115" t="s">
        <v>2261</v>
      </c>
      <c r="C2222" s="114">
        <v>1545</v>
      </c>
      <c r="D2222" s="147">
        <f t="shared" si="114"/>
        <v>0.69688385269120456</v>
      </c>
      <c r="E2222" s="148">
        <f t="shared" si="113"/>
        <v>1.6195813995321769E-4</v>
      </c>
      <c r="F2222" s="148">
        <f t="shared" si="115"/>
        <v>0.13089677008296663</v>
      </c>
    </row>
    <row r="2223" spans="2:6" x14ac:dyDescent="0.2">
      <c r="B2223" s="206" t="s">
        <v>2577</v>
      </c>
      <c r="C2223" s="205">
        <v>1546</v>
      </c>
      <c r="D2223" s="147">
        <f t="shared" si="114"/>
        <v>0.69719861504562697</v>
      </c>
      <c r="E2223" s="148">
        <f t="shared" si="113"/>
        <v>1.620629672282683E-4</v>
      </c>
      <c r="F2223" s="148">
        <f t="shared" si="115"/>
        <v>0.13105883305019489</v>
      </c>
    </row>
    <row r="2224" spans="2:6" x14ac:dyDescent="0.2">
      <c r="B2224" s="115" t="s">
        <v>1700</v>
      </c>
      <c r="C2224" s="114">
        <v>1547</v>
      </c>
      <c r="D2224" s="147">
        <f t="shared" si="114"/>
        <v>0.69751337740004937</v>
      </c>
      <c r="E2224" s="148">
        <f t="shared" si="113"/>
        <v>1.6216779450331894E-4</v>
      </c>
      <c r="F2224" s="148">
        <f t="shared" si="115"/>
        <v>0.1312210008446982</v>
      </c>
    </row>
    <row r="2225" spans="2:6" x14ac:dyDescent="0.2">
      <c r="B2225" s="115" t="s">
        <v>2435</v>
      </c>
      <c r="C2225" s="114">
        <v>1549</v>
      </c>
      <c r="D2225" s="147">
        <f t="shared" si="114"/>
        <v>0.69782813975447178</v>
      </c>
      <c r="E2225" s="148">
        <f t="shared" si="113"/>
        <v>1.6237744905342019E-4</v>
      </c>
      <c r="F2225" s="148">
        <f t="shared" si="115"/>
        <v>0.13138337829375163</v>
      </c>
    </row>
    <row r="2226" spans="2:6" x14ac:dyDescent="0.2">
      <c r="B2226" s="206" t="s">
        <v>1229</v>
      </c>
      <c r="C2226" s="205">
        <v>1549</v>
      </c>
      <c r="D2226" s="147">
        <f t="shared" si="114"/>
        <v>0.69814290210889418</v>
      </c>
      <c r="E2226" s="148">
        <f t="shared" si="113"/>
        <v>1.6237744905342019E-4</v>
      </c>
      <c r="F2226" s="148">
        <f t="shared" si="115"/>
        <v>0.13154575574280505</v>
      </c>
    </row>
    <row r="2227" spans="2:6" x14ac:dyDescent="0.2">
      <c r="B2227" s="115" t="s">
        <v>2013</v>
      </c>
      <c r="C2227" s="114">
        <v>1554</v>
      </c>
      <c r="D2227" s="147">
        <f t="shared" si="114"/>
        <v>0.69845766446331659</v>
      </c>
      <c r="E2227" s="148">
        <f t="shared" si="113"/>
        <v>1.6290158542867333E-4</v>
      </c>
      <c r="F2227" s="148">
        <f t="shared" si="115"/>
        <v>0.13170865732823372</v>
      </c>
    </row>
    <row r="2228" spans="2:6" x14ac:dyDescent="0.2">
      <c r="B2228" s="206" t="s">
        <v>1947</v>
      </c>
      <c r="C2228" s="205">
        <v>1560</v>
      </c>
      <c r="D2228" s="147">
        <f t="shared" si="114"/>
        <v>0.69877242681773899</v>
      </c>
      <c r="E2228" s="148">
        <f t="shared" si="113"/>
        <v>1.6353054907897708E-4</v>
      </c>
      <c r="F2228" s="148">
        <f t="shared" si="115"/>
        <v>0.1318721878773127</v>
      </c>
    </row>
    <row r="2229" spans="2:6" x14ac:dyDescent="0.2">
      <c r="B2229" s="115" t="s">
        <v>2689</v>
      </c>
      <c r="C2229" s="114">
        <v>1567</v>
      </c>
      <c r="D2229" s="147">
        <f t="shared" si="114"/>
        <v>0.69908718917216139</v>
      </c>
      <c r="E2229" s="148">
        <f t="shared" si="113"/>
        <v>1.6426434000433145E-4</v>
      </c>
      <c r="F2229" s="148">
        <f t="shared" si="115"/>
        <v>0.13203645221731702</v>
      </c>
    </row>
    <row r="2230" spans="2:6" x14ac:dyDescent="0.2">
      <c r="B2230" s="115" t="s">
        <v>1029</v>
      </c>
      <c r="C2230" s="114">
        <v>1568</v>
      </c>
      <c r="D2230" s="147">
        <f t="shared" si="114"/>
        <v>0.6994019515265838</v>
      </c>
      <c r="E2230" s="148">
        <f t="shared" si="113"/>
        <v>1.6436916727938209E-4</v>
      </c>
      <c r="F2230" s="148">
        <f t="shared" si="115"/>
        <v>0.13220082138459641</v>
      </c>
    </row>
    <row r="2231" spans="2:6" x14ac:dyDescent="0.2">
      <c r="B2231" s="115" t="s">
        <v>219</v>
      </c>
      <c r="C2231" s="114">
        <v>1568</v>
      </c>
      <c r="D2231" s="147">
        <f t="shared" si="114"/>
        <v>0.6997167138810062</v>
      </c>
      <c r="E2231" s="148">
        <f t="shared" si="113"/>
        <v>1.6436916727938209E-4</v>
      </c>
      <c r="F2231" s="148">
        <f t="shared" si="115"/>
        <v>0.13236519055187579</v>
      </c>
    </row>
    <row r="2232" spans="2:6" x14ac:dyDescent="0.2">
      <c r="B2232" s="206" t="s">
        <v>2707</v>
      </c>
      <c r="C2232" s="205">
        <v>1570</v>
      </c>
      <c r="D2232" s="147">
        <f t="shared" si="114"/>
        <v>0.70003147623542861</v>
      </c>
      <c r="E2232" s="148">
        <f t="shared" si="113"/>
        <v>1.6457882182948334E-4</v>
      </c>
      <c r="F2232" s="148">
        <f t="shared" si="115"/>
        <v>0.13252976937370528</v>
      </c>
    </row>
    <row r="2233" spans="2:6" x14ac:dyDescent="0.2">
      <c r="B2233" s="206" t="s">
        <v>1820</v>
      </c>
      <c r="C2233" s="205">
        <v>1570</v>
      </c>
      <c r="D2233" s="147">
        <f t="shared" si="114"/>
        <v>0.70034623858985101</v>
      </c>
      <c r="E2233" s="148">
        <f t="shared" si="113"/>
        <v>1.6457882182948334E-4</v>
      </c>
      <c r="F2233" s="148">
        <f t="shared" si="115"/>
        <v>0.13269434819553477</v>
      </c>
    </row>
    <row r="2234" spans="2:6" x14ac:dyDescent="0.2">
      <c r="B2234" s="115" t="s">
        <v>1800</v>
      </c>
      <c r="C2234" s="114">
        <v>1570</v>
      </c>
      <c r="D2234" s="147">
        <f t="shared" si="114"/>
        <v>0.70066100094427342</v>
      </c>
      <c r="E2234" s="148">
        <f t="shared" si="113"/>
        <v>1.6457882182948334E-4</v>
      </c>
      <c r="F2234" s="148">
        <f t="shared" si="115"/>
        <v>0.13285892701736426</v>
      </c>
    </row>
    <row r="2235" spans="2:6" x14ac:dyDescent="0.2">
      <c r="B2235" s="115" t="s">
        <v>1858</v>
      </c>
      <c r="C2235" s="114">
        <v>1571</v>
      </c>
      <c r="D2235" s="147">
        <f t="shared" si="114"/>
        <v>0.70097576329869582</v>
      </c>
      <c r="E2235" s="148">
        <f t="shared" si="113"/>
        <v>1.6468364910453398E-4</v>
      </c>
      <c r="F2235" s="148">
        <f t="shared" si="115"/>
        <v>0.13302361066646881</v>
      </c>
    </row>
    <row r="2236" spans="2:6" x14ac:dyDescent="0.2">
      <c r="B2236" s="115" t="s">
        <v>3012</v>
      </c>
      <c r="C2236" s="114">
        <v>1573</v>
      </c>
      <c r="D2236" s="147">
        <f t="shared" si="114"/>
        <v>0.70129052565311822</v>
      </c>
      <c r="E2236" s="148">
        <f t="shared" si="113"/>
        <v>1.6489330365463523E-4</v>
      </c>
      <c r="F2236" s="148">
        <f t="shared" si="115"/>
        <v>0.13318850397012344</v>
      </c>
    </row>
    <row r="2237" spans="2:6" x14ac:dyDescent="0.2">
      <c r="B2237" s="115" t="s">
        <v>2361</v>
      </c>
      <c r="C2237" s="114">
        <v>1573</v>
      </c>
      <c r="D2237" s="147">
        <f t="shared" si="114"/>
        <v>0.70160528800754063</v>
      </c>
      <c r="E2237" s="148">
        <f t="shared" si="113"/>
        <v>1.6489330365463523E-4</v>
      </c>
      <c r="F2237" s="148">
        <f t="shared" si="115"/>
        <v>0.13335339727377807</v>
      </c>
    </row>
    <row r="2238" spans="2:6" x14ac:dyDescent="0.2">
      <c r="B2238" s="115" t="s">
        <v>454</v>
      </c>
      <c r="C2238" s="114">
        <v>1574</v>
      </c>
      <c r="D2238" s="147">
        <f t="shared" si="114"/>
        <v>0.70192005036196303</v>
      </c>
      <c r="E2238" s="148">
        <f t="shared" si="113"/>
        <v>1.6499813092968584E-4</v>
      </c>
      <c r="F2238" s="148">
        <f t="shared" si="115"/>
        <v>0.13351839540470775</v>
      </c>
    </row>
    <row r="2239" spans="2:6" x14ac:dyDescent="0.2">
      <c r="B2239" s="115" t="s">
        <v>2658</v>
      </c>
      <c r="C2239" s="114">
        <v>1576</v>
      </c>
      <c r="D2239" s="147">
        <f t="shared" si="114"/>
        <v>0.70223481271638544</v>
      </c>
      <c r="E2239" s="148">
        <f t="shared" si="113"/>
        <v>1.6520778547978709E-4</v>
      </c>
      <c r="F2239" s="148">
        <f t="shared" si="115"/>
        <v>0.13368360319018754</v>
      </c>
    </row>
    <row r="2240" spans="2:6" x14ac:dyDescent="0.2">
      <c r="B2240" s="115" t="s">
        <v>1929</v>
      </c>
      <c r="C2240" s="114">
        <v>1576</v>
      </c>
      <c r="D2240" s="147">
        <f t="shared" si="114"/>
        <v>0.70254957507080784</v>
      </c>
      <c r="E2240" s="148">
        <f t="shared" si="113"/>
        <v>1.6520778547978709E-4</v>
      </c>
      <c r="F2240" s="148">
        <f t="shared" si="115"/>
        <v>0.13384881097566734</v>
      </c>
    </row>
    <row r="2241" spans="2:6" x14ac:dyDescent="0.2">
      <c r="B2241" s="206" t="s">
        <v>938</v>
      </c>
      <c r="C2241" s="205">
        <v>1576</v>
      </c>
      <c r="D2241" s="147">
        <f t="shared" si="114"/>
        <v>0.70286433742523025</v>
      </c>
      <c r="E2241" s="148">
        <f t="shared" si="113"/>
        <v>1.6520778547978709E-4</v>
      </c>
      <c r="F2241" s="148">
        <f t="shared" si="115"/>
        <v>0.13401401876114713</v>
      </c>
    </row>
    <row r="2242" spans="2:6" x14ac:dyDescent="0.2">
      <c r="B2242" s="115" t="s">
        <v>2763</v>
      </c>
      <c r="C2242" s="114">
        <v>1577</v>
      </c>
      <c r="D2242" s="147">
        <f t="shared" si="114"/>
        <v>0.70317909977965265</v>
      </c>
      <c r="E2242" s="148">
        <f t="shared" si="113"/>
        <v>1.6531261275483773E-4</v>
      </c>
      <c r="F2242" s="148">
        <f t="shared" si="115"/>
        <v>0.13417933137390198</v>
      </c>
    </row>
    <row r="2243" spans="2:6" x14ac:dyDescent="0.2">
      <c r="B2243" s="206" t="s">
        <v>2298</v>
      </c>
      <c r="C2243" s="205">
        <v>1578</v>
      </c>
      <c r="D2243" s="147">
        <f t="shared" si="114"/>
        <v>0.70349386213407505</v>
      </c>
      <c r="E2243" s="148">
        <f t="shared" si="113"/>
        <v>1.6541744002988835E-4</v>
      </c>
      <c r="F2243" s="148">
        <f t="shared" si="115"/>
        <v>0.13434474881393185</v>
      </c>
    </row>
    <row r="2244" spans="2:6" x14ac:dyDescent="0.2">
      <c r="B2244" s="115" t="s">
        <v>2235</v>
      </c>
      <c r="C2244" s="114">
        <v>1584</v>
      </c>
      <c r="D2244" s="147">
        <f t="shared" si="114"/>
        <v>0.70380862448849746</v>
      </c>
      <c r="E2244" s="148">
        <f t="shared" si="113"/>
        <v>1.660464036801921E-4</v>
      </c>
      <c r="F2244" s="148">
        <f t="shared" si="115"/>
        <v>0.13451079521761206</v>
      </c>
    </row>
    <row r="2245" spans="2:6" x14ac:dyDescent="0.2">
      <c r="B2245" s="206" t="s">
        <v>2275</v>
      </c>
      <c r="C2245" s="205">
        <v>1588</v>
      </c>
      <c r="D2245" s="147">
        <f t="shared" si="114"/>
        <v>0.70412338684291986</v>
      </c>
      <c r="E2245" s="148">
        <f t="shared" si="113"/>
        <v>1.664657127803946E-4</v>
      </c>
      <c r="F2245" s="148">
        <f t="shared" si="115"/>
        <v>0.13467726093039245</v>
      </c>
    </row>
    <row r="2246" spans="2:6" x14ac:dyDescent="0.2">
      <c r="B2246" s="115" t="s">
        <v>1505</v>
      </c>
      <c r="C2246" s="114">
        <v>1591</v>
      </c>
      <c r="D2246" s="147">
        <f t="shared" si="114"/>
        <v>0.70443814919734227</v>
      </c>
      <c r="E2246" s="148">
        <f t="shared" si="113"/>
        <v>1.6678019460554649E-4</v>
      </c>
      <c r="F2246" s="148">
        <f t="shared" si="115"/>
        <v>0.13484404112499801</v>
      </c>
    </row>
    <row r="2247" spans="2:6" x14ac:dyDescent="0.2">
      <c r="B2247" s="206" t="s">
        <v>296</v>
      </c>
      <c r="C2247" s="205">
        <v>1591</v>
      </c>
      <c r="D2247" s="147">
        <f t="shared" si="114"/>
        <v>0.70475291155176467</v>
      </c>
      <c r="E2247" s="148">
        <f t="shared" si="113"/>
        <v>1.6678019460554649E-4</v>
      </c>
      <c r="F2247" s="148">
        <f t="shared" si="115"/>
        <v>0.13501082131960357</v>
      </c>
    </row>
    <row r="2248" spans="2:6" x14ac:dyDescent="0.2">
      <c r="B2248" s="206" t="s">
        <v>2737</v>
      </c>
      <c r="C2248" s="205">
        <v>1595</v>
      </c>
      <c r="D2248" s="147">
        <f t="shared" si="114"/>
        <v>0.70506767390618708</v>
      </c>
      <c r="E2248" s="148">
        <f t="shared" si="113"/>
        <v>1.67199503705749E-4</v>
      </c>
      <c r="F2248" s="148">
        <f t="shared" si="115"/>
        <v>0.13517802082330932</v>
      </c>
    </row>
    <row r="2249" spans="2:6" x14ac:dyDescent="0.2">
      <c r="B2249" s="115" t="s">
        <v>292</v>
      </c>
      <c r="C2249" s="114">
        <v>1595</v>
      </c>
      <c r="D2249" s="147">
        <f t="shared" si="114"/>
        <v>0.70538243626060948</v>
      </c>
      <c r="E2249" s="148">
        <f t="shared" ref="E2249:E2312" si="116">C2249/$O$18</f>
        <v>1.67199503705749E-4</v>
      </c>
      <c r="F2249" s="148">
        <f t="shared" si="115"/>
        <v>0.13534522032701507</v>
      </c>
    </row>
    <row r="2250" spans="2:6" x14ac:dyDescent="0.2">
      <c r="B2250" s="115" t="s">
        <v>3033</v>
      </c>
      <c r="C2250" s="114">
        <v>1597</v>
      </c>
      <c r="D2250" s="147">
        <f t="shared" ref="D2250:D2313" si="117">D2249+1/$L$18</f>
        <v>0.70569719861503188</v>
      </c>
      <c r="E2250" s="148">
        <f t="shared" si="116"/>
        <v>1.6740915825585025E-4</v>
      </c>
      <c r="F2250" s="148">
        <f t="shared" ref="F2250:F2313" si="118">F2249+E2250</f>
        <v>0.13551262948527093</v>
      </c>
    </row>
    <row r="2251" spans="2:6" x14ac:dyDescent="0.2">
      <c r="B2251" s="115" t="s">
        <v>1937</v>
      </c>
      <c r="C2251" s="114">
        <v>1598</v>
      </c>
      <c r="D2251" s="147">
        <f t="shared" si="117"/>
        <v>0.70601196096945429</v>
      </c>
      <c r="E2251" s="148">
        <f t="shared" si="116"/>
        <v>1.6751398553090089E-4</v>
      </c>
      <c r="F2251" s="148">
        <f t="shared" si="118"/>
        <v>0.13568014347080182</v>
      </c>
    </row>
    <row r="2252" spans="2:6" x14ac:dyDescent="0.2">
      <c r="B2252" s="206" t="s">
        <v>2024</v>
      </c>
      <c r="C2252" s="205">
        <v>1601</v>
      </c>
      <c r="D2252" s="147">
        <f t="shared" si="117"/>
        <v>0.70632672332387669</v>
      </c>
      <c r="E2252" s="148">
        <f t="shared" si="116"/>
        <v>1.6782846735605275E-4</v>
      </c>
      <c r="F2252" s="148">
        <f t="shared" si="118"/>
        <v>0.13584797193815787</v>
      </c>
    </row>
    <row r="2253" spans="2:6" x14ac:dyDescent="0.2">
      <c r="B2253" s="115" t="s">
        <v>2246</v>
      </c>
      <c r="C2253" s="114">
        <v>1602</v>
      </c>
      <c r="D2253" s="147">
        <f t="shared" si="117"/>
        <v>0.7066414856782991</v>
      </c>
      <c r="E2253" s="148">
        <f t="shared" si="116"/>
        <v>1.6793329463110339E-4</v>
      </c>
      <c r="F2253" s="148">
        <f t="shared" si="118"/>
        <v>0.13601590523278898</v>
      </c>
    </row>
    <row r="2254" spans="2:6" x14ac:dyDescent="0.2">
      <c r="B2254" s="206" t="s">
        <v>863</v>
      </c>
      <c r="C2254" s="205">
        <v>1604</v>
      </c>
      <c r="D2254" s="147">
        <f t="shared" si="117"/>
        <v>0.7069562480327215</v>
      </c>
      <c r="E2254" s="148">
        <f t="shared" si="116"/>
        <v>1.6814294918120464E-4</v>
      </c>
      <c r="F2254" s="148">
        <f t="shared" si="118"/>
        <v>0.13618404818197019</v>
      </c>
    </row>
    <row r="2255" spans="2:6" x14ac:dyDescent="0.2">
      <c r="B2255" s="115" t="s">
        <v>1081</v>
      </c>
      <c r="C2255" s="114">
        <v>1611</v>
      </c>
      <c r="D2255" s="147">
        <f t="shared" si="117"/>
        <v>0.70727101038714391</v>
      </c>
      <c r="E2255" s="148">
        <f t="shared" si="116"/>
        <v>1.6887674010655903E-4</v>
      </c>
      <c r="F2255" s="148">
        <f t="shared" si="118"/>
        <v>0.13635292492207676</v>
      </c>
    </row>
    <row r="2256" spans="2:6" x14ac:dyDescent="0.2">
      <c r="B2256" s="115" t="s">
        <v>2613</v>
      </c>
      <c r="C2256" s="114">
        <v>1615</v>
      </c>
      <c r="D2256" s="147">
        <f t="shared" si="117"/>
        <v>0.70758577274156631</v>
      </c>
      <c r="E2256" s="148">
        <f t="shared" si="116"/>
        <v>1.6929604920676154E-4</v>
      </c>
      <c r="F2256" s="148">
        <f t="shared" si="118"/>
        <v>0.13652222097128353</v>
      </c>
    </row>
    <row r="2257" spans="2:6" x14ac:dyDescent="0.2">
      <c r="B2257" s="115" t="s">
        <v>2453</v>
      </c>
      <c r="C2257" s="114">
        <v>1616</v>
      </c>
      <c r="D2257" s="147">
        <f t="shared" si="117"/>
        <v>0.70790053509598871</v>
      </c>
      <c r="E2257" s="148">
        <f t="shared" si="116"/>
        <v>1.6940087648181215E-4</v>
      </c>
      <c r="F2257" s="148">
        <f t="shared" si="118"/>
        <v>0.13669162184776534</v>
      </c>
    </row>
    <row r="2258" spans="2:6" x14ac:dyDescent="0.2">
      <c r="B2258" s="115" t="s">
        <v>1952</v>
      </c>
      <c r="C2258" s="114">
        <v>1620</v>
      </c>
      <c r="D2258" s="147">
        <f t="shared" si="117"/>
        <v>0.70821529745041112</v>
      </c>
      <c r="E2258" s="148">
        <f t="shared" si="116"/>
        <v>1.6982018558201465E-4</v>
      </c>
      <c r="F2258" s="148">
        <f t="shared" si="118"/>
        <v>0.13686144203334735</v>
      </c>
    </row>
    <row r="2259" spans="2:6" x14ac:dyDescent="0.2">
      <c r="B2259" s="206" t="s">
        <v>2081</v>
      </c>
      <c r="C2259" s="205">
        <v>1621</v>
      </c>
      <c r="D2259" s="147">
        <f t="shared" si="117"/>
        <v>0.70853005980483352</v>
      </c>
      <c r="E2259" s="148">
        <f t="shared" si="116"/>
        <v>1.6992501285706529E-4</v>
      </c>
      <c r="F2259" s="148">
        <f t="shared" si="118"/>
        <v>0.13703136704620442</v>
      </c>
    </row>
    <row r="2260" spans="2:6" x14ac:dyDescent="0.2">
      <c r="B2260" s="115" t="s">
        <v>590</v>
      </c>
      <c r="C2260" s="114">
        <v>1621</v>
      </c>
      <c r="D2260" s="147">
        <f t="shared" si="117"/>
        <v>0.70884482215925593</v>
      </c>
      <c r="E2260" s="148">
        <f t="shared" si="116"/>
        <v>1.6992501285706529E-4</v>
      </c>
      <c r="F2260" s="148">
        <f t="shared" si="118"/>
        <v>0.13720129205906148</v>
      </c>
    </row>
    <row r="2261" spans="2:6" x14ac:dyDescent="0.2">
      <c r="B2261" s="115" t="s">
        <v>1511</v>
      </c>
      <c r="C2261" s="114">
        <v>1624</v>
      </c>
      <c r="D2261" s="147">
        <f t="shared" si="117"/>
        <v>0.70915958451367833</v>
      </c>
      <c r="E2261" s="148">
        <f t="shared" si="116"/>
        <v>1.7023949468221715E-4</v>
      </c>
      <c r="F2261" s="148">
        <f t="shared" si="118"/>
        <v>0.13737153155374371</v>
      </c>
    </row>
    <row r="2262" spans="2:6" x14ac:dyDescent="0.2">
      <c r="B2262" s="115" t="s">
        <v>1504</v>
      </c>
      <c r="C2262" s="114">
        <v>1626</v>
      </c>
      <c r="D2262" s="147">
        <f t="shared" si="117"/>
        <v>0.70947434686810074</v>
      </c>
      <c r="E2262" s="148">
        <f t="shared" si="116"/>
        <v>1.704491492323184E-4</v>
      </c>
      <c r="F2262" s="148">
        <f t="shared" si="118"/>
        <v>0.13754198070297602</v>
      </c>
    </row>
    <row r="2263" spans="2:6" x14ac:dyDescent="0.2">
      <c r="B2263" s="115" t="s">
        <v>2157</v>
      </c>
      <c r="C2263" s="114">
        <v>1628</v>
      </c>
      <c r="D2263" s="147">
        <f t="shared" si="117"/>
        <v>0.70978910922252314</v>
      </c>
      <c r="E2263" s="148">
        <f t="shared" si="116"/>
        <v>1.7065880378241966E-4</v>
      </c>
      <c r="F2263" s="148">
        <f t="shared" si="118"/>
        <v>0.13771263950675844</v>
      </c>
    </row>
    <row r="2264" spans="2:6" x14ac:dyDescent="0.2">
      <c r="B2264" s="115" t="s">
        <v>753</v>
      </c>
      <c r="C2264" s="114">
        <v>1632</v>
      </c>
      <c r="D2264" s="147">
        <f t="shared" si="117"/>
        <v>0.71010387157694554</v>
      </c>
      <c r="E2264" s="148">
        <f t="shared" si="116"/>
        <v>1.7107811288262219E-4</v>
      </c>
      <c r="F2264" s="148">
        <f t="shared" si="118"/>
        <v>0.13788371761964105</v>
      </c>
    </row>
    <row r="2265" spans="2:6" x14ac:dyDescent="0.2">
      <c r="B2265" s="115" t="s">
        <v>1992</v>
      </c>
      <c r="C2265" s="114">
        <v>1636</v>
      </c>
      <c r="D2265" s="147">
        <f t="shared" si="117"/>
        <v>0.71041863393136795</v>
      </c>
      <c r="E2265" s="148">
        <f t="shared" si="116"/>
        <v>1.7149742198282469E-4</v>
      </c>
      <c r="F2265" s="148">
        <f t="shared" si="118"/>
        <v>0.13805521504162388</v>
      </c>
    </row>
    <row r="2266" spans="2:6" x14ac:dyDescent="0.2">
      <c r="B2266" s="206" t="s">
        <v>3116</v>
      </c>
      <c r="C2266" s="205">
        <v>1638</v>
      </c>
      <c r="D2266" s="147">
        <f t="shared" si="117"/>
        <v>0.71073339628579035</v>
      </c>
      <c r="E2266" s="148">
        <f t="shared" si="116"/>
        <v>1.7170707653292594E-4</v>
      </c>
      <c r="F2266" s="148">
        <f t="shared" si="118"/>
        <v>0.13822692211815679</v>
      </c>
    </row>
    <row r="2267" spans="2:6" x14ac:dyDescent="0.2">
      <c r="B2267" s="206" t="s">
        <v>2975</v>
      </c>
      <c r="C2267" s="205">
        <v>1644</v>
      </c>
      <c r="D2267" s="147">
        <f t="shared" si="117"/>
        <v>0.71104815864021276</v>
      </c>
      <c r="E2267" s="148">
        <f t="shared" si="116"/>
        <v>1.7233604018322969E-4</v>
      </c>
      <c r="F2267" s="148">
        <f t="shared" si="118"/>
        <v>0.13839925815834003</v>
      </c>
    </row>
    <row r="2268" spans="2:6" x14ac:dyDescent="0.2">
      <c r="B2268" s="115" t="s">
        <v>2440</v>
      </c>
      <c r="C2268" s="114">
        <v>1644</v>
      </c>
      <c r="D2268" s="147">
        <f t="shared" si="117"/>
        <v>0.71136292099463516</v>
      </c>
      <c r="E2268" s="148">
        <f t="shared" si="116"/>
        <v>1.7233604018322969E-4</v>
      </c>
      <c r="F2268" s="148">
        <f t="shared" si="118"/>
        <v>0.13857159419852327</v>
      </c>
    </row>
    <row r="2269" spans="2:6" x14ac:dyDescent="0.2">
      <c r="B2269" s="115" t="s">
        <v>2540</v>
      </c>
      <c r="C2269" s="114">
        <v>1646</v>
      </c>
      <c r="D2269" s="147">
        <f t="shared" si="117"/>
        <v>0.71167768334905757</v>
      </c>
      <c r="E2269" s="148">
        <f t="shared" si="116"/>
        <v>1.7254569473333094E-4</v>
      </c>
      <c r="F2269" s="148">
        <f t="shared" si="118"/>
        <v>0.1387441398932566</v>
      </c>
    </row>
    <row r="2270" spans="2:6" x14ac:dyDescent="0.2">
      <c r="B2270" s="115" t="s">
        <v>1381</v>
      </c>
      <c r="C2270" s="114">
        <v>1646</v>
      </c>
      <c r="D2270" s="147">
        <f t="shared" si="117"/>
        <v>0.71199244570347997</v>
      </c>
      <c r="E2270" s="148">
        <f t="shared" si="116"/>
        <v>1.7254569473333094E-4</v>
      </c>
      <c r="F2270" s="148">
        <f t="shared" si="118"/>
        <v>0.13891668558798992</v>
      </c>
    </row>
    <row r="2271" spans="2:6" x14ac:dyDescent="0.2">
      <c r="B2271" s="115" t="s">
        <v>1251</v>
      </c>
      <c r="C2271" s="114">
        <v>1646</v>
      </c>
      <c r="D2271" s="147">
        <f t="shared" si="117"/>
        <v>0.71230720805790237</v>
      </c>
      <c r="E2271" s="148">
        <f t="shared" si="116"/>
        <v>1.7254569473333094E-4</v>
      </c>
      <c r="F2271" s="148">
        <f t="shared" si="118"/>
        <v>0.13908923128272324</v>
      </c>
    </row>
    <row r="2272" spans="2:6" x14ac:dyDescent="0.2">
      <c r="B2272" s="115" t="s">
        <v>2037</v>
      </c>
      <c r="C2272" s="114">
        <v>1647</v>
      </c>
      <c r="D2272" s="147">
        <f t="shared" si="117"/>
        <v>0.71262197041232478</v>
      </c>
      <c r="E2272" s="148">
        <f t="shared" si="116"/>
        <v>1.7265052200838156E-4</v>
      </c>
      <c r="F2272" s="148">
        <f t="shared" si="118"/>
        <v>0.13926188180473162</v>
      </c>
    </row>
    <row r="2273" spans="2:6" x14ac:dyDescent="0.2">
      <c r="B2273" s="115" t="s">
        <v>81</v>
      </c>
      <c r="C2273" s="114">
        <v>1649</v>
      </c>
      <c r="D2273" s="147">
        <f t="shared" si="117"/>
        <v>0.71293673276674718</v>
      </c>
      <c r="E2273" s="148">
        <f t="shared" si="116"/>
        <v>1.7286017655848284E-4</v>
      </c>
      <c r="F2273" s="148">
        <f t="shared" si="118"/>
        <v>0.13943474198129011</v>
      </c>
    </row>
    <row r="2274" spans="2:6" x14ac:dyDescent="0.2">
      <c r="B2274" s="115" t="s">
        <v>609</v>
      </c>
      <c r="C2274" s="114">
        <v>1650</v>
      </c>
      <c r="D2274" s="147">
        <f t="shared" si="117"/>
        <v>0.71325149512116959</v>
      </c>
      <c r="E2274" s="148">
        <f t="shared" si="116"/>
        <v>1.7296500383353345E-4</v>
      </c>
      <c r="F2274" s="148">
        <f t="shared" si="118"/>
        <v>0.13960770698512365</v>
      </c>
    </row>
    <row r="2275" spans="2:6" x14ac:dyDescent="0.2">
      <c r="B2275" s="115" t="s">
        <v>713</v>
      </c>
      <c r="C2275" s="114">
        <v>1653</v>
      </c>
      <c r="D2275" s="147">
        <f t="shared" si="117"/>
        <v>0.71356625747559199</v>
      </c>
      <c r="E2275" s="148">
        <f t="shared" si="116"/>
        <v>1.7327948565868534E-4</v>
      </c>
      <c r="F2275" s="148">
        <f t="shared" si="118"/>
        <v>0.13978098647078233</v>
      </c>
    </row>
    <row r="2276" spans="2:6" x14ac:dyDescent="0.2">
      <c r="B2276" s="206" t="s">
        <v>639</v>
      </c>
      <c r="C2276" s="205">
        <v>1653</v>
      </c>
      <c r="D2276" s="147">
        <f t="shared" si="117"/>
        <v>0.7138810198300144</v>
      </c>
      <c r="E2276" s="148">
        <f t="shared" si="116"/>
        <v>1.7327948565868534E-4</v>
      </c>
      <c r="F2276" s="148">
        <f t="shared" si="118"/>
        <v>0.139954265956441</v>
      </c>
    </row>
    <row r="2277" spans="2:6" x14ac:dyDescent="0.2">
      <c r="B2277" s="206" t="s">
        <v>430</v>
      </c>
      <c r="C2277" s="205">
        <v>1655</v>
      </c>
      <c r="D2277" s="147">
        <f t="shared" si="117"/>
        <v>0.7141957821844368</v>
      </c>
      <c r="E2277" s="148">
        <f t="shared" si="116"/>
        <v>1.7348914020878659E-4</v>
      </c>
      <c r="F2277" s="148">
        <f t="shared" si="118"/>
        <v>0.14012775509664979</v>
      </c>
    </row>
    <row r="2278" spans="2:6" x14ac:dyDescent="0.2">
      <c r="B2278" s="115" t="s">
        <v>1069</v>
      </c>
      <c r="C2278" s="114">
        <v>1659</v>
      </c>
      <c r="D2278" s="147">
        <f t="shared" si="117"/>
        <v>0.7145105445388592</v>
      </c>
      <c r="E2278" s="148">
        <f t="shared" si="116"/>
        <v>1.7390844930898909E-4</v>
      </c>
      <c r="F2278" s="148">
        <f t="shared" si="118"/>
        <v>0.14030166354595877</v>
      </c>
    </row>
    <row r="2279" spans="2:6" x14ac:dyDescent="0.2">
      <c r="B2279" s="115" t="s">
        <v>2032</v>
      </c>
      <c r="C2279" s="114">
        <v>1660</v>
      </c>
      <c r="D2279" s="147">
        <f t="shared" si="117"/>
        <v>0.71482530689328161</v>
      </c>
      <c r="E2279" s="148">
        <f t="shared" si="116"/>
        <v>1.740132765840397E-4</v>
      </c>
      <c r="F2279" s="148">
        <f t="shared" si="118"/>
        <v>0.14047567682254281</v>
      </c>
    </row>
    <row r="2280" spans="2:6" x14ac:dyDescent="0.2">
      <c r="B2280" s="115" t="s">
        <v>1232</v>
      </c>
      <c r="C2280" s="114">
        <v>1661</v>
      </c>
      <c r="D2280" s="147">
        <f t="shared" si="117"/>
        <v>0.71514006924770401</v>
      </c>
      <c r="E2280" s="148">
        <f t="shared" si="116"/>
        <v>1.7411810385909034E-4</v>
      </c>
      <c r="F2280" s="148">
        <f t="shared" si="118"/>
        <v>0.14064979492640189</v>
      </c>
    </row>
    <row r="2281" spans="2:6" x14ac:dyDescent="0.2">
      <c r="B2281" s="206" t="s">
        <v>2983</v>
      </c>
      <c r="C2281" s="205">
        <v>1664</v>
      </c>
      <c r="D2281" s="147">
        <f t="shared" si="117"/>
        <v>0.71545483160212642</v>
      </c>
      <c r="E2281" s="148">
        <f t="shared" si="116"/>
        <v>1.7443258568424221E-4</v>
      </c>
      <c r="F2281" s="148">
        <f t="shared" si="118"/>
        <v>0.14082422751208615</v>
      </c>
    </row>
    <row r="2282" spans="2:6" x14ac:dyDescent="0.2">
      <c r="B2282" s="115" t="s">
        <v>1581</v>
      </c>
      <c r="C2282" s="114">
        <v>1666</v>
      </c>
      <c r="D2282" s="147">
        <f t="shared" si="117"/>
        <v>0.71576959395654882</v>
      </c>
      <c r="E2282" s="148">
        <f t="shared" si="116"/>
        <v>1.7464224023434346E-4</v>
      </c>
      <c r="F2282" s="148">
        <f t="shared" si="118"/>
        <v>0.14099886975232048</v>
      </c>
    </row>
    <row r="2283" spans="2:6" x14ac:dyDescent="0.2">
      <c r="B2283" s="206" t="s">
        <v>168</v>
      </c>
      <c r="C2283" s="205">
        <v>1669</v>
      </c>
      <c r="D2283" s="147">
        <f t="shared" si="117"/>
        <v>0.71608435631097123</v>
      </c>
      <c r="E2283" s="148">
        <f t="shared" si="116"/>
        <v>1.7495672205949535E-4</v>
      </c>
      <c r="F2283" s="148">
        <f t="shared" si="118"/>
        <v>0.14117382647437998</v>
      </c>
    </row>
    <row r="2284" spans="2:6" x14ac:dyDescent="0.2">
      <c r="B2284" s="115" t="s">
        <v>389</v>
      </c>
      <c r="C2284" s="114">
        <v>1672</v>
      </c>
      <c r="D2284" s="147">
        <f t="shared" si="117"/>
        <v>0.71639911866539363</v>
      </c>
      <c r="E2284" s="148">
        <f t="shared" si="116"/>
        <v>1.7527120388464724E-4</v>
      </c>
      <c r="F2284" s="148">
        <f t="shared" si="118"/>
        <v>0.14134909767826462</v>
      </c>
    </row>
    <row r="2285" spans="2:6" x14ac:dyDescent="0.2">
      <c r="B2285" s="115" t="s">
        <v>2729</v>
      </c>
      <c r="C2285" s="114">
        <v>1674</v>
      </c>
      <c r="D2285" s="147">
        <f t="shared" si="117"/>
        <v>0.71671388101981603</v>
      </c>
      <c r="E2285" s="148">
        <f t="shared" si="116"/>
        <v>1.7548085843474849E-4</v>
      </c>
      <c r="F2285" s="148">
        <f t="shared" si="118"/>
        <v>0.14152457853669936</v>
      </c>
    </row>
    <row r="2286" spans="2:6" x14ac:dyDescent="0.2">
      <c r="B2286" s="115" t="s">
        <v>2640</v>
      </c>
      <c r="C2286" s="114">
        <v>1674</v>
      </c>
      <c r="D2286" s="147">
        <f t="shared" si="117"/>
        <v>0.71702864337423844</v>
      </c>
      <c r="E2286" s="148">
        <f t="shared" si="116"/>
        <v>1.7548085843474849E-4</v>
      </c>
      <c r="F2286" s="148">
        <f t="shared" si="118"/>
        <v>0.14170005939513411</v>
      </c>
    </row>
    <row r="2287" spans="2:6" x14ac:dyDescent="0.2">
      <c r="B2287" s="206" t="s">
        <v>348</v>
      </c>
      <c r="C2287" s="205">
        <v>1675</v>
      </c>
      <c r="D2287" s="147">
        <f t="shared" si="117"/>
        <v>0.71734340572866084</v>
      </c>
      <c r="E2287" s="148">
        <f t="shared" si="116"/>
        <v>1.755856857097991E-4</v>
      </c>
      <c r="F2287" s="148">
        <f t="shared" si="118"/>
        <v>0.14187564508084391</v>
      </c>
    </row>
    <row r="2288" spans="2:6" x14ac:dyDescent="0.2">
      <c r="B2288" s="115" t="s">
        <v>2891</v>
      </c>
      <c r="C2288" s="114">
        <v>1677</v>
      </c>
      <c r="D2288" s="147">
        <f t="shared" si="117"/>
        <v>0.71765816808308325</v>
      </c>
      <c r="E2288" s="148">
        <f t="shared" si="116"/>
        <v>1.7579534025990035E-4</v>
      </c>
      <c r="F2288" s="148">
        <f t="shared" si="118"/>
        <v>0.14205144042110382</v>
      </c>
    </row>
    <row r="2289" spans="2:6" x14ac:dyDescent="0.2">
      <c r="B2289" s="115" t="s">
        <v>2397</v>
      </c>
      <c r="C2289" s="114">
        <v>1681</v>
      </c>
      <c r="D2289" s="147">
        <f t="shared" si="117"/>
        <v>0.71797293043750565</v>
      </c>
      <c r="E2289" s="148">
        <f t="shared" si="116"/>
        <v>1.7621464936010286E-4</v>
      </c>
      <c r="F2289" s="148">
        <f t="shared" si="118"/>
        <v>0.14222765507046392</v>
      </c>
    </row>
    <row r="2290" spans="2:6" x14ac:dyDescent="0.2">
      <c r="B2290" s="206" t="s">
        <v>2045</v>
      </c>
      <c r="C2290" s="205">
        <v>1682</v>
      </c>
      <c r="D2290" s="147">
        <f t="shared" si="117"/>
        <v>0.71828769279192806</v>
      </c>
      <c r="E2290" s="148">
        <f t="shared" si="116"/>
        <v>1.763194766351535E-4</v>
      </c>
      <c r="F2290" s="148">
        <f t="shared" si="118"/>
        <v>0.14240397454709908</v>
      </c>
    </row>
    <row r="2291" spans="2:6" x14ac:dyDescent="0.2">
      <c r="B2291" s="115" t="s">
        <v>360</v>
      </c>
      <c r="C2291" s="114">
        <v>1685</v>
      </c>
      <c r="D2291" s="147">
        <f t="shared" si="117"/>
        <v>0.71860245514635046</v>
      </c>
      <c r="E2291" s="148">
        <f t="shared" si="116"/>
        <v>1.7663395846030536E-4</v>
      </c>
      <c r="F2291" s="148">
        <f t="shared" si="118"/>
        <v>0.14258060850555937</v>
      </c>
    </row>
    <row r="2292" spans="2:6" x14ac:dyDescent="0.2">
      <c r="B2292" s="115" t="s">
        <v>2174</v>
      </c>
      <c r="C2292" s="114">
        <v>1686</v>
      </c>
      <c r="D2292" s="147">
        <f t="shared" si="117"/>
        <v>0.71891721750077286</v>
      </c>
      <c r="E2292" s="148">
        <f t="shared" si="116"/>
        <v>1.76738785735356E-4</v>
      </c>
      <c r="F2292" s="148">
        <f t="shared" si="118"/>
        <v>0.14275734729129472</v>
      </c>
    </row>
    <row r="2293" spans="2:6" x14ac:dyDescent="0.2">
      <c r="B2293" s="206" t="s">
        <v>485</v>
      </c>
      <c r="C2293" s="205">
        <v>1690</v>
      </c>
      <c r="D2293" s="147">
        <f t="shared" si="117"/>
        <v>0.71923197985519527</v>
      </c>
      <c r="E2293" s="148">
        <f t="shared" si="116"/>
        <v>1.771580948355585E-4</v>
      </c>
      <c r="F2293" s="148">
        <f t="shared" si="118"/>
        <v>0.14293450538613028</v>
      </c>
    </row>
    <row r="2294" spans="2:6" x14ac:dyDescent="0.2">
      <c r="B2294" s="206" t="s">
        <v>1282</v>
      </c>
      <c r="C2294" s="205">
        <v>1691</v>
      </c>
      <c r="D2294" s="147">
        <f t="shared" si="117"/>
        <v>0.71954674220961767</v>
      </c>
      <c r="E2294" s="148">
        <f t="shared" si="116"/>
        <v>1.7726292211060914E-4</v>
      </c>
      <c r="F2294" s="148">
        <f t="shared" si="118"/>
        <v>0.14311176830824091</v>
      </c>
    </row>
    <row r="2295" spans="2:6" x14ac:dyDescent="0.2">
      <c r="B2295" s="115" t="s">
        <v>1553</v>
      </c>
      <c r="C2295" s="114">
        <v>1697</v>
      </c>
      <c r="D2295" s="147">
        <f t="shared" si="117"/>
        <v>0.71986150456404008</v>
      </c>
      <c r="E2295" s="148">
        <f t="shared" si="116"/>
        <v>1.7789188576091289E-4</v>
      </c>
      <c r="F2295" s="148">
        <f t="shared" si="118"/>
        <v>0.14328966019400183</v>
      </c>
    </row>
    <row r="2296" spans="2:6" x14ac:dyDescent="0.2">
      <c r="B2296" s="115" t="s">
        <v>1118</v>
      </c>
      <c r="C2296" s="114">
        <v>1698</v>
      </c>
      <c r="D2296" s="147">
        <f t="shared" si="117"/>
        <v>0.72017626691846248</v>
      </c>
      <c r="E2296" s="148">
        <f t="shared" si="116"/>
        <v>1.7799671303596351E-4</v>
      </c>
      <c r="F2296" s="148">
        <f t="shared" si="118"/>
        <v>0.1434676569070378</v>
      </c>
    </row>
    <row r="2297" spans="2:6" x14ac:dyDescent="0.2">
      <c r="B2297" s="115" t="s">
        <v>1660</v>
      </c>
      <c r="C2297" s="114">
        <v>1706</v>
      </c>
      <c r="D2297" s="147">
        <f t="shared" si="117"/>
        <v>0.72049102927288489</v>
      </c>
      <c r="E2297" s="148">
        <f t="shared" si="116"/>
        <v>1.7883533123636851E-4</v>
      </c>
      <c r="F2297" s="148">
        <f t="shared" si="118"/>
        <v>0.14364649223827416</v>
      </c>
    </row>
    <row r="2298" spans="2:6" x14ac:dyDescent="0.2">
      <c r="B2298" s="206" t="s">
        <v>2228</v>
      </c>
      <c r="C2298" s="205">
        <v>1708</v>
      </c>
      <c r="D2298" s="147">
        <f t="shared" si="117"/>
        <v>0.72080579162730729</v>
      </c>
      <c r="E2298" s="148">
        <f t="shared" si="116"/>
        <v>1.7904498578646976E-4</v>
      </c>
      <c r="F2298" s="148">
        <f t="shared" si="118"/>
        <v>0.14382553722406063</v>
      </c>
    </row>
    <row r="2299" spans="2:6" x14ac:dyDescent="0.2">
      <c r="B2299" s="115" t="s">
        <v>2203</v>
      </c>
      <c r="C2299" s="114">
        <v>1712</v>
      </c>
      <c r="D2299" s="147">
        <f t="shared" si="117"/>
        <v>0.7211205539817297</v>
      </c>
      <c r="E2299" s="148">
        <f t="shared" si="116"/>
        <v>1.7946429488667229E-4</v>
      </c>
      <c r="F2299" s="148">
        <f t="shared" si="118"/>
        <v>0.1440050015189473</v>
      </c>
    </row>
    <row r="2300" spans="2:6" x14ac:dyDescent="0.2">
      <c r="B2300" s="206" t="s">
        <v>1657</v>
      </c>
      <c r="C2300" s="205">
        <v>1712</v>
      </c>
      <c r="D2300" s="147">
        <f t="shared" si="117"/>
        <v>0.7214353163361521</v>
      </c>
      <c r="E2300" s="148">
        <f t="shared" si="116"/>
        <v>1.7946429488667229E-4</v>
      </c>
      <c r="F2300" s="148">
        <f t="shared" si="118"/>
        <v>0.14418446581383396</v>
      </c>
    </row>
    <row r="2301" spans="2:6" x14ac:dyDescent="0.2">
      <c r="B2301" s="115" t="s">
        <v>632</v>
      </c>
      <c r="C2301" s="114">
        <v>1718</v>
      </c>
      <c r="D2301" s="147">
        <f t="shared" si="117"/>
        <v>0.7217500786905745</v>
      </c>
      <c r="E2301" s="148">
        <f t="shared" si="116"/>
        <v>1.8009325853697605E-4</v>
      </c>
      <c r="F2301" s="148">
        <f t="shared" si="118"/>
        <v>0.14436455907237095</v>
      </c>
    </row>
    <row r="2302" spans="2:6" x14ac:dyDescent="0.2">
      <c r="B2302" s="115" t="s">
        <v>436</v>
      </c>
      <c r="C2302" s="114">
        <v>1718</v>
      </c>
      <c r="D2302" s="147">
        <f t="shared" si="117"/>
        <v>0.72206484104499691</v>
      </c>
      <c r="E2302" s="148">
        <f t="shared" si="116"/>
        <v>1.8009325853697605E-4</v>
      </c>
      <c r="F2302" s="148">
        <f t="shared" si="118"/>
        <v>0.14454465233090794</v>
      </c>
    </row>
    <row r="2303" spans="2:6" x14ac:dyDescent="0.2">
      <c r="B2303" s="115" t="s">
        <v>2527</v>
      </c>
      <c r="C2303" s="114">
        <v>1723</v>
      </c>
      <c r="D2303" s="147">
        <f t="shared" si="117"/>
        <v>0.72237960339941931</v>
      </c>
      <c r="E2303" s="148">
        <f t="shared" si="116"/>
        <v>1.8061739491222916E-4</v>
      </c>
      <c r="F2303" s="148">
        <f t="shared" si="118"/>
        <v>0.14472526972582017</v>
      </c>
    </row>
    <row r="2304" spans="2:6" x14ac:dyDescent="0.2">
      <c r="B2304" s="206" t="s">
        <v>2238</v>
      </c>
      <c r="C2304" s="205">
        <v>1725</v>
      </c>
      <c r="D2304" s="147">
        <f t="shared" si="117"/>
        <v>0.72269436575384172</v>
      </c>
      <c r="E2304" s="148">
        <f t="shared" si="116"/>
        <v>1.8082704946233041E-4</v>
      </c>
      <c r="F2304" s="148">
        <f t="shared" si="118"/>
        <v>0.14490609677528249</v>
      </c>
    </row>
    <row r="2305" spans="2:6" x14ac:dyDescent="0.2">
      <c r="B2305" s="206" t="s">
        <v>459</v>
      </c>
      <c r="C2305" s="205">
        <v>1727</v>
      </c>
      <c r="D2305" s="147">
        <f t="shared" si="117"/>
        <v>0.72300912810826412</v>
      </c>
      <c r="E2305" s="148">
        <f t="shared" si="116"/>
        <v>1.8103670401243166E-4</v>
      </c>
      <c r="F2305" s="148">
        <f t="shared" si="118"/>
        <v>0.14508713347929492</v>
      </c>
    </row>
    <row r="2306" spans="2:6" x14ac:dyDescent="0.2">
      <c r="B2306" s="206" t="s">
        <v>2894</v>
      </c>
      <c r="C2306" s="205">
        <v>1728</v>
      </c>
      <c r="D2306" s="147">
        <f t="shared" si="117"/>
        <v>0.72332389046268653</v>
      </c>
      <c r="E2306" s="148">
        <f t="shared" si="116"/>
        <v>1.811415312874823E-4</v>
      </c>
      <c r="F2306" s="148">
        <f t="shared" si="118"/>
        <v>0.1452682750105824</v>
      </c>
    </row>
    <row r="2307" spans="2:6" x14ac:dyDescent="0.2">
      <c r="B2307" s="206" t="s">
        <v>916</v>
      </c>
      <c r="C2307" s="205">
        <v>1730</v>
      </c>
      <c r="D2307" s="147">
        <f t="shared" si="117"/>
        <v>0.72363865281710893</v>
      </c>
      <c r="E2307" s="148">
        <f t="shared" si="116"/>
        <v>1.8135118583758355E-4</v>
      </c>
      <c r="F2307" s="148">
        <f t="shared" si="118"/>
        <v>0.14544962619641999</v>
      </c>
    </row>
    <row r="2308" spans="2:6" x14ac:dyDescent="0.2">
      <c r="B2308" s="206" t="s">
        <v>390</v>
      </c>
      <c r="C2308" s="205">
        <v>1731</v>
      </c>
      <c r="D2308" s="147">
        <f t="shared" si="117"/>
        <v>0.72395341517153133</v>
      </c>
      <c r="E2308" s="148">
        <f t="shared" si="116"/>
        <v>1.8145601311263419E-4</v>
      </c>
      <c r="F2308" s="148">
        <f t="shared" si="118"/>
        <v>0.14563108220953264</v>
      </c>
    </row>
    <row r="2309" spans="2:6" x14ac:dyDescent="0.2">
      <c r="B2309" s="115" t="s">
        <v>1676</v>
      </c>
      <c r="C2309" s="114">
        <v>1732</v>
      </c>
      <c r="D2309" s="147">
        <f t="shared" si="117"/>
        <v>0.72426817752595374</v>
      </c>
      <c r="E2309" s="148">
        <f t="shared" si="116"/>
        <v>1.8156084038768481E-4</v>
      </c>
      <c r="F2309" s="148">
        <f t="shared" si="118"/>
        <v>0.14581264304992031</v>
      </c>
    </row>
    <row r="2310" spans="2:6" x14ac:dyDescent="0.2">
      <c r="B2310" s="115" t="s">
        <v>1207</v>
      </c>
      <c r="C2310" s="114">
        <v>1732</v>
      </c>
      <c r="D2310" s="147">
        <f t="shared" si="117"/>
        <v>0.72458293988037614</v>
      </c>
      <c r="E2310" s="148">
        <f t="shared" si="116"/>
        <v>1.8156084038768481E-4</v>
      </c>
      <c r="F2310" s="148">
        <f t="shared" si="118"/>
        <v>0.14599420389030798</v>
      </c>
    </row>
    <row r="2311" spans="2:6" x14ac:dyDescent="0.2">
      <c r="B2311" s="115" t="s">
        <v>1988</v>
      </c>
      <c r="C2311" s="114">
        <v>1735</v>
      </c>
      <c r="D2311" s="147">
        <f t="shared" si="117"/>
        <v>0.72489770223479855</v>
      </c>
      <c r="E2311" s="148">
        <f t="shared" si="116"/>
        <v>1.818753222128367E-4</v>
      </c>
      <c r="F2311" s="148">
        <f t="shared" si="118"/>
        <v>0.14617607921252082</v>
      </c>
    </row>
    <row r="2312" spans="2:6" x14ac:dyDescent="0.2">
      <c r="B2312" s="206" t="s">
        <v>1530</v>
      </c>
      <c r="C2312" s="205">
        <v>1736</v>
      </c>
      <c r="D2312" s="147">
        <f t="shared" si="117"/>
        <v>0.72521246458922095</v>
      </c>
      <c r="E2312" s="148">
        <f t="shared" si="116"/>
        <v>1.8198014948788731E-4</v>
      </c>
      <c r="F2312" s="148">
        <f t="shared" si="118"/>
        <v>0.14635805936200871</v>
      </c>
    </row>
    <row r="2313" spans="2:6" x14ac:dyDescent="0.2">
      <c r="B2313" s="206" t="s">
        <v>2697</v>
      </c>
      <c r="C2313" s="205">
        <v>1737</v>
      </c>
      <c r="D2313" s="147">
        <f t="shared" si="117"/>
        <v>0.72552722694364336</v>
      </c>
      <c r="E2313" s="148">
        <f t="shared" ref="E2313:E2376" si="119">C2313/$O$18</f>
        <v>1.8208497676293795E-4</v>
      </c>
      <c r="F2313" s="148">
        <f t="shared" si="118"/>
        <v>0.14654014433877166</v>
      </c>
    </row>
    <row r="2314" spans="2:6" x14ac:dyDescent="0.2">
      <c r="B2314" s="115" t="s">
        <v>2610</v>
      </c>
      <c r="C2314" s="114">
        <v>1738</v>
      </c>
      <c r="D2314" s="147">
        <f t="shared" ref="D2314:D2377" si="120">D2313+1/$L$18</f>
        <v>0.72584198929806576</v>
      </c>
      <c r="E2314" s="148">
        <f t="shared" si="119"/>
        <v>1.8218980403798856E-4</v>
      </c>
      <c r="F2314" s="148">
        <f t="shared" ref="F2314:F2377" si="121">F2313+E2314</f>
        <v>0.14672233414280966</v>
      </c>
    </row>
    <row r="2315" spans="2:6" x14ac:dyDescent="0.2">
      <c r="B2315" s="115" t="s">
        <v>476</v>
      </c>
      <c r="C2315" s="114">
        <v>1739</v>
      </c>
      <c r="D2315" s="147">
        <f t="shared" si="120"/>
        <v>0.72615675165248816</v>
      </c>
      <c r="E2315" s="148">
        <f t="shared" si="119"/>
        <v>1.822946313130392E-4</v>
      </c>
      <c r="F2315" s="148">
        <f t="shared" si="121"/>
        <v>0.14690462877412269</v>
      </c>
    </row>
    <row r="2316" spans="2:6" x14ac:dyDescent="0.2">
      <c r="B2316" s="115" t="s">
        <v>2156</v>
      </c>
      <c r="C2316" s="114">
        <v>1745</v>
      </c>
      <c r="D2316" s="147">
        <f t="shared" si="120"/>
        <v>0.72647151400691057</v>
      </c>
      <c r="E2316" s="148">
        <f t="shared" si="119"/>
        <v>1.8292359496334295E-4</v>
      </c>
      <c r="F2316" s="148">
        <f t="shared" si="121"/>
        <v>0.14708755236908602</v>
      </c>
    </row>
    <row r="2317" spans="2:6" x14ac:dyDescent="0.2">
      <c r="B2317" s="115" t="s">
        <v>229</v>
      </c>
      <c r="C2317" s="114">
        <v>1747</v>
      </c>
      <c r="D2317" s="147">
        <f t="shared" si="120"/>
        <v>0.72678627636133297</v>
      </c>
      <c r="E2317" s="148">
        <f t="shared" si="119"/>
        <v>1.831332495134442E-4</v>
      </c>
      <c r="F2317" s="148">
        <f t="shared" si="121"/>
        <v>0.14727068561859946</v>
      </c>
    </row>
    <row r="2318" spans="2:6" x14ac:dyDescent="0.2">
      <c r="B2318" s="206" t="s">
        <v>2315</v>
      </c>
      <c r="C2318" s="205">
        <v>1748</v>
      </c>
      <c r="D2318" s="147">
        <f t="shared" si="120"/>
        <v>0.72710103871575538</v>
      </c>
      <c r="E2318" s="148">
        <f t="shared" si="119"/>
        <v>1.8323807678849482E-4</v>
      </c>
      <c r="F2318" s="148">
        <f t="shared" si="121"/>
        <v>0.14745392369538796</v>
      </c>
    </row>
    <row r="2319" spans="2:6" x14ac:dyDescent="0.2">
      <c r="B2319" s="206" t="s">
        <v>3058</v>
      </c>
      <c r="C2319" s="205">
        <v>1750</v>
      </c>
      <c r="D2319" s="147">
        <f t="shared" si="120"/>
        <v>0.72741580107017778</v>
      </c>
      <c r="E2319" s="148">
        <f t="shared" si="119"/>
        <v>1.8344773133859609E-4</v>
      </c>
      <c r="F2319" s="148">
        <f t="shared" si="121"/>
        <v>0.14763737142672656</v>
      </c>
    </row>
    <row r="2320" spans="2:6" x14ac:dyDescent="0.2">
      <c r="B2320" s="206" t="s">
        <v>1579</v>
      </c>
      <c r="C2320" s="205">
        <v>1757</v>
      </c>
      <c r="D2320" s="147">
        <f t="shared" si="120"/>
        <v>0.72773056342460019</v>
      </c>
      <c r="E2320" s="148">
        <f t="shared" si="119"/>
        <v>1.8418152226395046E-4</v>
      </c>
      <c r="F2320" s="148">
        <f t="shared" si="121"/>
        <v>0.14782155294899052</v>
      </c>
    </row>
    <row r="2321" spans="2:6" x14ac:dyDescent="0.2">
      <c r="B2321" s="115" t="s">
        <v>793</v>
      </c>
      <c r="C2321" s="114">
        <v>1757</v>
      </c>
      <c r="D2321" s="147">
        <f t="shared" si="120"/>
        <v>0.72804532577902259</v>
      </c>
      <c r="E2321" s="148">
        <f t="shared" si="119"/>
        <v>1.8418152226395046E-4</v>
      </c>
      <c r="F2321" s="148">
        <f t="shared" si="121"/>
        <v>0.14800573447125448</v>
      </c>
    </row>
    <row r="2322" spans="2:6" x14ac:dyDescent="0.2">
      <c r="B2322" s="115" t="s">
        <v>1059</v>
      </c>
      <c r="C2322" s="114">
        <v>1758</v>
      </c>
      <c r="D2322" s="147">
        <f t="shared" si="120"/>
        <v>0.72836008813344499</v>
      </c>
      <c r="E2322" s="148">
        <f t="shared" si="119"/>
        <v>1.842863495390011E-4</v>
      </c>
      <c r="F2322" s="148">
        <f t="shared" si="121"/>
        <v>0.14819002082079349</v>
      </c>
    </row>
    <row r="2323" spans="2:6" x14ac:dyDescent="0.2">
      <c r="B2323" s="115" t="s">
        <v>1641</v>
      </c>
      <c r="C2323" s="114">
        <v>1761</v>
      </c>
      <c r="D2323" s="147">
        <f t="shared" si="120"/>
        <v>0.7286748504878674</v>
      </c>
      <c r="E2323" s="148">
        <f t="shared" si="119"/>
        <v>1.8460083136415296E-4</v>
      </c>
      <c r="F2323" s="148">
        <f t="shared" si="121"/>
        <v>0.14837462165215765</v>
      </c>
    </row>
    <row r="2324" spans="2:6" x14ac:dyDescent="0.2">
      <c r="B2324" s="206" t="s">
        <v>1587</v>
      </c>
      <c r="C2324" s="205">
        <v>1762</v>
      </c>
      <c r="D2324" s="147">
        <f t="shared" si="120"/>
        <v>0.7289896128422898</v>
      </c>
      <c r="E2324" s="148">
        <f t="shared" si="119"/>
        <v>1.847056586392036E-4</v>
      </c>
      <c r="F2324" s="148">
        <f t="shared" si="121"/>
        <v>0.14855932731079685</v>
      </c>
    </row>
    <row r="2325" spans="2:6" x14ac:dyDescent="0.2">
      <c r="B2325" s="206" t="s">
        <v>2670</v>
      </c>
      <c r="C2325" s="205">
        <v>1767</v>
      </c>
      <c r="D2325" s="147">
        <f t="shared" si="120"/>
        <v>0.72930437519671221</v>
      </c>
      <c r="E2325" s="148">
        <f t="shared" si="119"/>
        <v>1.8522979501445672E-4</v>
      </c>
      <c r="F2325" s="148">
        <f t="shared" si="121"/>
        <v>0.1487445571058113</v>
      </c>
    </row>
    <row r="2326" spans="2:6" x14ac:dyDescent="0.2">
      <c r="B2326" s="115" t="s">
        <v>2474</v>
      </c>
      <c r="C2326" s="114">
        <v>1768</v>
      </c>
      <c r="D2326" s="147">
        <f t="shared" si="120"/>
        <v>0.72961913755113461</v>
      </c>
      <c r="E2326" s="148">
        <f t="shared" si="119"/>
        <v>1.8533462228950736E-4</v>
      </c>
      <c r="F2326" s="148">
        <f t="shared" si="121"/>
        <v>0.14892989172810081</v>
      </c>
    </row>
    <row r="2327" spans="2:6" x14ac:dyDescent="0.2">
      <c r="B2327" s="115" t="s">
        <v>2874</v>
      </c>
      <c r="C2327" s="114">
        <v>1773</v>
      </c>
      <c r="D2327" s="147">
        <f t="shared" si="120"/>
        <v>0.72993389990555702</v>
      </c>
      <c r="E2327" s="148">
        <f t="shared" si="119"/>
        <v>1.858587586647605E-4</v>
      </c>
      <c r="F2327" s="148">
        <f t="shared" si="121"/>
        <v>0.14911575048676556</v>
      </c>
    </row>
    <row r="2328" spans="2:6" x14ac:dyDescent="0.2">
      <c r="B2328" s="115" t="s">
        <v>137</v>
      </c>
      <c r="C2328" s="114">
        <v>1773</v>
      </c>
      <c r="D2328" s="147">
        <f t="shared" si="120"/>
        <v>0.73024866225997942</v>
      </c>
      <c r="E2328" s="148">
        <f t="shared" si="119"/>
        <v>1.858587586647605E-4</v>
      </c>
      <c r="F2328" s="148">
        <f t="shared" si="121"/>
        <v>0.14930160924543032</v>
      </c>
    </row>
    <row r="2329" spans="2:6" x14ac:dyDescent="0.2">
      <c r="B2329" s="115" t="s">
        <v>1589</v>
      </c>
      <c r="C2329" s="114">
        <v>1774</v>
      </c>
      <c r="D2329" s="147">
        <f t="shared" si="120"/>
        <v>0.73056342461440182</v>
      </c>
      <c r="E2329" s="148">
        <f t="shared" si="119"/>
        <v>1.8596358593981111E-4</v>
      </c>
      <c r="F2329" s="148">
        <f t="shared" si="121"/>
        <v>0.14948757283137012</v>
      </c>
    </row>
    <row r="2330" spans="2:6" x14ac:dyDescent="0.2">
      <c r="B2330" s="115" t="s">
        <v>112</v>
      </c>
      <c r="C2330" s="114">
        <v>1775</v>
      </c>
      <c r="D2330" s="147">
        <f t="shared" si="120"/>
        <v>0.73087818696882423</v>
      </c>
      <c r="E2330" s="148">
        <f t="shared" si="119"/>
        <v>1.8606841321486175E-4</v>
      </c>
      <c r="F2330" s="148">
        <f t="shared" si="121"/>
        <v>0.14967364124458499</v>
      </c>
    </row>
    <row r="2331" spans="2:6" x14ac:dyDescent="0.2">
      <c r="B2331" s="115" t="s">
        <v>2129</v>
      </c>
      <c r="C2331" s="114">
        <v>1777</v>
      </c>
      <c r="D2331" s="147">
        <f t="shared" si="120"/>
        <v>0.73119294932324663</v>
      </c>
      <c r="E2331" s="148">
        <f t="shared" si="119"/>
        <v>1.86278067764963E-4</v>
      </c>
      <c r="F2331" s="148">
        <f t="shared" si="121"/>
        <v>0.14985991931234996</v>
      </c>
    </row>
    <row r="2332" spans="2:6" x14ac:dyDescent="0.2">
      <c r="B2332" s="115" t="s">
        <v>1180</v>
      </c>
      <c r="C2332" s="114">
        <v>1777</v>
      </c>
      <c r="D2332" s="147">
        <f t="shared" si="120"/>
        <v>0.73150771167766904</v>
      </c>
      <c r="E2332" s="148">
        <f t="shared" si="119"/>
        <v>1.86278067764963E-4</v>
      </c>
      <c r="F2332" s="148">
        <f t="shared" si="121"/>
        <v>0.15004619738011493</v>
      </c>
    </row>
    <row r="2333" spans="2:6" x14ac:dyDescent="0.2">
      <c r="B2333" s="115" t="s">
        <v>2572</v>
      </c>
      <c r="C2333" s="114">
        <v>1779</v>
      </c>
      <c r="D2333" s="147">
        <f t="shared" si="120"/>
        <v>0.73182247403209144</v>
      </c>
      <c r="E2333" s="148">
        <f t="shared" si="119"/>
        <v>1.8648772231506425E-4</v>
      </c>
      <c r="F2333" s="148">
        <f t="shared" si="121"/>
        <v>0.15023268510242999</v>
      </c>
    </row>
    <row r="2334" spans="2:6" x14ac:dyDescent="0.2">
      <c r="B2334" s="206" t="s">
        <v>1351</v>
      </c>
      <c r="C2334" s="205">
        <v>1779</v>
      </c>
      <c r="D2334" s="147">
        <f t="shared" si="120"/>
        <v>0.73213723638651385</v>
      </c>
      <c r="E2334" s="148">
        <f t="shared" si="119"/>
        <v>1.8648772231506425E-4</v>
      </c>
      <c r="F2334" s="148">
        <f t="shared" si="121"/>
        <v>0.15041917282474504</v>
      </c>
    </row>
    <row r="2335" spans="2:6" x14ac:dyDescent="0.2">
      <c r="B2335" s="115" t="s">
        <v>893</v>
      </c>
      <c r="C2335" s="114">
        <v>1779</v>
      </c>
      <c r="D2335" s="147">
        <f t="shared" si="120"/>
        <v>0.73245199874093625</v>
      </c>
      <c r="E2335" s="148">
        <f t="shared" si="119"/>
        <v>1.8648772231506425E-4</v>
      </c>
      <c r="F2335" s="148">
        <f t="shared" si="121"/>
        <v>0.15060566054706009</v>
      </c>
    </row>
    <row r="2336" spans="2:6" x14ac:dyDescent="0.2">
      <c r="B2336" s="115" t="s">
        <v>708</v>
      </c>
      <c r="C2336" s="114">
        <v>1780</v>
      </c>
      <c r="D2336" s="147">
        <f t="shared" si="120"/>
        <v>0.73276676109535865</v>
      </c>
      <c r="E2336" s="148">
        <f t="shared" si="119"/>
        <v>1.8659254959011486E-4</v>
      </c>
      <c r="F2336" s="148">
        <f t="shared" si="121"/>
        <v>0.1507922530966502</v>
      </c>
    </row>
    <row r="2337" spans="2:6" x14ac:dyDescent="0.2">
      <c r="B2337" s="115" t="s">
        <v>416</v>
      </c>
      <c r="C2337" s="114">
        <v>1781</v>
      </c>
      <c r="D2337" s="147">
        <f t="shared" si="120"/>
        <v>0.73308152344978106</v>
      </c>
      <c r="E2337" s="148">
        <f t="shared" si="119"/>
        <v>1.866973768651655E-4</v>
      </c>
      <c r="F2337" s="148">
        <f t="shared" si="121"/>
        <v>0.15097895047351537</v>
      </c>
    </row>
    <row r="2338" spans="2:6" x14ac:dyDescent="0.2">
      <c r="B2338" s="115" t="s">
        <v>2927</v>
      </c>
      <c r="C2338" s="114">
        <v>1787</v>
      </c>
      <c r="D2338" s="147">
        <f t="shared" si="120"/>
        <v>0.73339628580420346</v>
      </c>
      <c r="E2338" s="148">
        <f t="shared" si="119"/>
        <v>1.8732634051546926E-4</v>
      </c>
      <c r="F2338" s="148">
        <f t="shared" si="121"/>
        <v>0.15116627681403083</v>
      </c>
    </row>
    <row r="2339" spans="2:6" x14ac:dyDescent="0.2">
      <c r="B2339" s="115" t="s">
        <v>1528</v>
      </c>
      <c r="C2339" s="114">
        <v>1790</v>
      </c>
      <c r="D2339" s="147">
        <f t="shared" si="120"/>
        <v>0.73371104815862587</v>
      </c>
      <c r="E2339" s="148">
        <f t="shared" si="119"/>
        <v>1.8764082234062115E-4</v>
      </c>
      <c r="F2339" s="148">
        <f t="shared" si="121"/>
        <v>0.15135391763637146</v>
      </c>
    </row>
    <row r="2340" spans="2:6" x14ac:dyDescent="0.2">
      <c r="B2340" s="115" t="s">
        <v>27</v>
      </c>
      <c r="C2340" s="114">
        <v>1790</v>
      </c>
      <c r="D2340" s="147">
        <f t="shared" si="120"/>
        <v>0.73402581051304827</v>
      </c>
      <c r="E2340" s="148">
        <f t="shared" si="119"/>
        <v>1.8764082234062115E-4</v>
      </c>
      <c r="F2340" s="148">
        <f t="shared" si="121"/>
        <v>0.15154155845871209</v>
      </c>
    </row>
    <row r="2341" spans="2:6" x14ac:dyDescent="0.2">
      <c r="B2341" s="115" t="s">
        <v>493</v>
      </c>
      <c r="C2341" s="114">
        <v>1792</v>
      </c>
      <c r="D2341" s="147">
        <f t="shared" si="120"/>
        <v>0.73434057286747068</v>
      </c>
      <c r="E2341" s="148">
        <f t="shared" si="119"/>
        <v>1.878504768907224E-4</v>
      </c>
      <c r="F2341" s="148">
        <f t="shared" si="121"/>
        <v>0.1517294089356028</v>
      </c>
    </row>
    <row r="2342" spans="2:6" x14ac:dyDescent="0.2">
      <c r="B2342" s="206" t="s">
        <v>2852</v>
      </c>
      <c r="C2342" s="205">
        <v>1798</v>
      </c>
      <c r="D2342" s="147">
        <f t="shared" si="120"/>
        <v>0.73465533522189308</v>
      </c>
      <c r="E2342" s="148">
        <f t="shared" si="119"/>
        <v>1.8847944054102615E-4</v>
      </c>
      <c r="F2342" s="148">
        <f t="shared" si="121"/>
        <v>0.15191788837614384</v>
      </c>
    </row>
    <row r="2343" spans="2:6" x14ac:dyDescent="0.2">
      <c r="B2343" s="206" t="s">
        <v>2714</v>
      </c>
      <c r="C2343" s="205">
        <v>1799</v>
      </c>
      <c r="D2343" s="147">
        <f t="shared" si="120"/>
        <v>0.73497009757631548</v>
      </c>
      <c r="E2343" s="148">
        <f t="shared" si="119"/>
        <v>1.8858426781607677E-4</v>
      </c>
      <c r="F2343" s="148">
        <f t="shared" si="121"/>
        <v>0.15210647264395991</v>
      </c>
    </row>
    <row r="2344" spans="2:6" x14ac:dyDescent="0.2">
      <c r="B2344" s="115" t="s">
        <v>276</v>
      </c>
      <c r="C2344" s="114">
        <v>1799</v>
      </c>
      <c r="D2344" s="147">
        <f t="shared" si="120"/>
        <v>0.73528485993073789</v>
      </c>
      <c r="E2344" s="148">
        <f t="shared" si="119"/>
        <v>1.8858426781607677E-4</v>
      </c>
      <c r="F2344" s="148">
        <f t="shared" si="121"/>
        <v>0.15229505691177597</v>
      </c>
    </row>
    <row r="2345" spans="2:6" x14ac:dyDescent="0.2">
      <c r="B2345" s="206" t="s">
        <v>1177</v>
      </c>
      <c r="C2345" s="205">
        <v>1803</v>
      </c>
      <c r="D2345" s="147">
        <f t="shared" si="120"/>
        <v>0.73559962228516029</v>
      </c>
      <c r="E2345" s="148">
        <f t="shared" si="119"/>
        <v>1.8900357691627927E-4</v>
      </c>
      <c r="F2345" s="148">
        <f t="shared" si="121"/>
        <v>0.15248406048869226</v>
      </c>
    </row>
    <row r="2346" spans="2:6" x14ac:dyDescent="0.2">
      <c r="B2346" s="206" t="s">
        <v>1742</v>
      </c>
      <c r="C2346" s="205">
        <v>1813</v>
      </c>
      <c r="D2346" s="147">
        <f t="shared" si="120"/>
        <v>0.7359143846395827</v>
      </c>
      <c r="E2346" s="148">
        <f t="shared" si="119"/>
        <v>1.9005184966678555E-4</v>
      </c>
      <c r="F2346" s="148">
        <f t="shared" si="121"/>
        <v>0.15267411233835904</v>
      </c>
    </row>
    <row r="2347" spans="2:6" x14ac:dyDescent="0.2">
      <c r="B2347" s="206" t="s">
        <v>3034</v>
      </c>
      <c r="C2347" s="205">
        <v>1819</v>
      </c>
      <c r="D2347" s="147">
        <f t="shared" si="120"/>
        <v>0.7362291469940051</v>
      </c>
      <c r="E2347" s="148">
        <f t="shared" si="119"/>
        <v>1.9068081331708931E-4</v>
      </c>
      <c r="F2347" s="148">
        <f t="shared" si="121"/>
        <v>0.15286479315167611</v>
      </c>
    </row>
    <row r="2348" spans="2:6" x14ac:dyDescent="0.2">
      <c r="B2348" s="206" t="s">
        <v>2009</v>
      </c>
      <c r="C2348" s="205">
        <v>1819</v>
      </c>
      <c r="D2348" s="147">
        <f t="shared" si="120"/>
        <v>0.73654390934842751</v>
      </c>
      <c r="E2348" s="148">
        <f t="shared" si="119"/>
        <v>1.9068081331708931E-4</v>
      </c>
      <c r="F2348" s="148">
        <f t="shared" si="121"/>
        <v>0.15305547396499319</v>
      </c>
    </row>
    <row r="2349" spans="2:6" x14ac:dyDescent="0.2">
      <c r="B2349" s="115" t="s">
        <v>2565</v>
      </c>
      <c r="C2349" s="114">
        <v>1820</v>
      </c>
      <c r="D2349" s="147">
        <f t="shared" si="120"/>
        <v>0.73685867170284991</v>
      </c>
      <c r="E2349" s="148">
        <f t="shared" si="119"/>
        <v>1.9078564059213992E-4</v>
      </c>
      <c r="F2349" s="148">
        <f t="shared" si="121"/>
        <v>0.15324625960558533</v>
      </c>
    </row>
    <row r="2350" spans="2:6" x14ac:dyDescent="0.2">
      <c r="B2350" s="115" t="s">
        <v>1196</v>
      </c>
      <c r="C2350" s="114">
        <v>1820</v>
      </c>
      <c r="D2350" s="147">
        <f t="shared" si="120"/>
        <v>0.73717343405727231</v>
      </c>
      <c r="E2350" s="148">
        <f t="shared" si="119"/>
        <v>1.9078564059213992E-4</v>
      </c>
      <c r="F2350" s="148">
        <f t="shared" si="121"/>
        <v>0.15343704524617746</v>
      </c>
    </row>
    <row r="2351" spans="2:6" x14ac:dyDescent="0.2">
      <c r="B2351" s="115" t="s">
        <v>262</v>
      </c>
      <c r="C2351" s="114">
        <v>1821</v>
      </c>
      <c r="D2351" s="147">
        <f t="shared" si="120"/>
        <v>0.73748819641169472</v>
      </c>
      <c r="E2351" s="148">
        <f t="shared" si="119"/>
        <v>1.9089046786719056E-4</v>
      </c>
      <c r="F2351" s="148">
        <f t="shared" si="121"/>
        <v>0.15362793571404465</v>
      </c>
    </row>
    <row r="2352" spans="2:6" x14ac:dyDescent="0.2">
      <c r="B2352" s="115" t="s">
        <v>1756</v>
      </c>
      <c r="C2352" s="114">
        <v>1822</v>
      </c>
      <c r="D2352" s="147">
        <f t="shared" si="120"/>
        <v>0.73780295876611712</v>
      </c>
      <c r="E2352" s="148">
        <f t="shared" si="119"/>
        <v>1.9099529514224117E-4</v>
      </c>
      <c r="F2352" s="148">
        <f t="shared" si="121"/>
        <v>0.15381893100918689</v>
      </c>
    </row>
    <row r="2353" spans="2:6" x14ac:dyDescent="0.2">
      <c r="B2353" s="115" t="s">
        <v>1531</v>
      </c>
      <c r="C2353" s="114">
        <v>1826</v>
      </c>
      <c r="D2353" s="147">
        <f t="shared" si="120"/>
        <v>0.73811772112053953</v>
      </c>
      <c r="E2353" s="148">
        <f t="shared" si="119"/>
        <v>1.9141460424244367E-4</v>
      </c>
      <c r="F2353" s="148">
        <f t="shared" si="121"/>
        <v>0.15401034561342933</v>
      </c>
    </row>
    <row r="2354" spans="2:6" x14ac:dyDescent="0.2">
      <c r="B2354" s="115" t="s">
        <v>848</v>
      </c>
      <c r="C2354" s="114">
        <v>1826</v>
      </c>
      <c r="D2354" s="147">
        <f t="shared" si="120"/>
        <v>0.73843248347496193</v>
      </c>
      <c r="E2354" s="148">
        <f t="shared" si="119"/>
        <v>1.9141460424244367E-4</v>
      </c>
      <c r="F2354" s="148">
        <f t="shared" si="121"/>
        <v>0.15420176021767176</v>
      </c>
    </row>
    <row r="2355" spans="2:6" x14ac:dyDescent="0.2">
      <c r="B2355" s="115" t="s">
        <v>446</v>
      </c>
      <c r="C2355" s="114">
        <v>1828</v>
      </c>
      <c r="D2355" s="147">
        <f t="shared" si="120"/>
        <v>0.73874724582938434</v>
      </c>
      <c r="E2355" s="148">
        <f t="shared" si="119"/>
        <v>1.9162425879254492E-4</v>
      </c>
      <c r="F2355" s="148">
        <f t="shared" si="121"/>
        <v>0.15439338447646431</v>
      </c>
    </row>
    <row r="2356" spans="2:6" x14ac:dyDescent="0.2">
      <c r="B2356" s="115" t="s">
        <v>231</v>
      </c>
      <c r="C2356" s="114">
        <v>1831</v>
      </c>
      <c r="D2356" s="147">
        <f t="shared" si="120"/>
        <v>0.73906200818380674</v>
      </c>
      <c r="E2356" s="148">
        <f t="shared" si="119"/>
        <v>1.9193874061769681E-4</v>
      </c>
      <c r="F2356" s="148">
        <f t="shared" si="121"/>
        <v>0.15458532321708202</v>
      </c>
    </row>
    <row r="2357" spans="2:6" x14ac:dyDescent="0.2">
      <c r="B2357" s="115" t="s">
        <v>89</v>
      </c>
      <c r="C2357" s="114">
        <v>1831</v>
      </c>
      <c r="D2357" s="147">
        <f t="shared" si="120"/>
        <v>0.73937677053822914</v>
      </c>
      <c r="E2357" s="148">
        <f t="shared" si="119"/>
        <v>1.9193874061769681E-4</v>
      </c>
      <c r="F2357" s="148">
        <f t="shared" si="121"/>
        <v>0.15477726195769972</v>
      </c>
    </row>
    <row r="2358" spans="2:6" x14ac:dyDescent="0.2">
      <c r="B2358" s="115" t="s">
        <v>3064</v>
      </c>
      <c r="C2358" s="114">
        <v>1834</v>
      </c>
      <c r="D2358" s="147">
        <f t="shared" si="120"/>
        <v>0.73969153289265155</v>
      </c>
      <c r="E2358" s="148">
        <f t="shared" si="119"/>
        <v>1.922532224428487E-4</v>
      </c>
      <c r="F2358" s="148">
        <f t="shared" si="121"/>
        <v>0.15496951518014257</v>
      </c>
    </row>
    <row r="2359" spans="2:6" x14ac:dyDescent="0.2">
      <c r="B2359" s="115" t="s">
        <v>2538</v>
      </c>
      <c r="C2359" s="114">
        <v>1836</v>
      </c>
      <c r="D2359" s="147">
        <f t="shared" si="120"/>
        <v>0.74000629524707395</v>
      </c>
      <c r="E2359" s="148">
        <f t="shared" si="119"/>
        <v>1.9246287699294996E-4</v>
      </c>
      <c r="F2359" s="148">
        <f t="shared" si="121"/>
        <v>0.15516197805713552</v>
      </c>
    </row>
    <row r="2360" spans="2:6" x14ac:dyDescent="0.2">
      <c r="B2360" s="206" t="s">
        <v>2522</v>
      </c>
      <c r="C2360" s="205">
        <v>1836</v>
      </c>
      <c r="D2360" s="147">
        <f t="shared" si="120"/>
        <v>0.74032105760149636</v>
      </c>
      <c r="E2360" s="148">
        <f t="shared" si="119"/>
        <v>1.9246287699294996E-4</v>
      </c>
      <c r="F2360" s="148">
        <f t="shared" si="121"/>
        <v>0.15535444093412848</v>
      </c>
    </row>
    <row r="2361" spans="2:6" x14ac:dyDescent="0.2">
      <c r="B2361" s="115" t="s">
        <v>2077</v>
      </c>
      <c r="C2361" s="114">
        <v>1839</v>
      </c>
      <c r="D2361" s="147">
        <f t="shared" si="120"/>
        <v>0.74063581995591876</v>
      </c>
      <c r="E2361" s="148">
        <f t="shared" si="119"/>
        <v>1.9277735881810182E-4</v>
      </c>
      <c r="F2361" s="148">
        <f t="shared" si="121"/>
        <v>0.15554721829294657</v>
      </c>
    </row>
    <row r="2362" spans="2:6" x14ac:dyDescent="0.2">
      <c r="B2362" s="115" t="s">
        <v>3128</v>
      </c>
      <c r="C2362" s="114">
        <v>1840</v>
      </c>
      <c r="D2362" s="147">
        <f t="shared" si="120"/>
        <v>0.74095058231034117</v>
      </c>
      <c r="E2362" s="148">
        <f t="shared" si="119"/>
        <v>1.9288218609315246E-4</v>
      </c>
      <c r="F2362" s="148">
        <f t="shared" si="121"/>
        <v>0.15574010047903972</v>
      </c>
    </row>
    <row r="2363" spans="2:6" x14ac:dyDescent="0.2">
      <c r="B2363" s="115" t="s">
        <v>3090</v>
      </c>
      <c r="C2363" s="114">
        <v>1841</v>
      </c>
      <c r="D2363" s="147">
        <f t="shared" si="120"/>
        <v>0.74126534466476357</v>
      </c>
      <c r="E2363" s="148">
        <f t="shared" si="119"/>
        <v>1.9298701336820307E-4</v>
      </c>
      <c r="F2363" s="148">
        <f t="shared" si="121"/>
        <v>0.15593308749240792</v>
      </c>
    </row>
    <row r="2364" spans="2:6" x14ac:dyDescent="0.2">
      <c r="B2364" s="115" t="s">
        <v>1186</v>
      </c>
      <c r="C2364" s="114">
        <v>1842</v>
      </c>
      <c r="D2364" s="147">
        <f t="shared" si="120"/>
        <v>0.74158010701918597</v>
      </c>
      <c r="E2364" s="148">
        <f t="shared" si="119"/>
        <v>1.9309184064325371E-4</v>
      </c>
      <c r="F2364" s="148">
        <f t="shared" si="121"/>
        <v>0.15612617933305117</v>
      </c>
    </row>
    <row r="2365" spans="2:6" x14ac:dyDescent="0.2">
      <c r="B2365" s="115" t="s">
        <v>1223</v>
      </c>
      <c r="C2365" s="114">
        <v>1845</v>
      </c>
      <c r="D2365" s="147">
        <f t="shared" si="120"/>
        <v>0.74189486937360838</v>
      </c>
      <c r="E2365" s="148">
        <f t="shared" si="119"/>
        <v>1.9340632246840557E-4</v>
      </c>
      <c r="F2365" s="148">
        <f t="shared" si="121"/>
        <v>0.15631958565551957</v>
      </c>
    </row>
    <row r="2366" spans="2:6" x14ac:dyDescent="0.2">
      <c r="B2366" s="115" t="s">
        <v>2439</v>
      </c>
      <c r="C2366" s="114">
        <v>1847</v>
      </c>
      <c r="D2366" s="147">
        <f t="shared" si="120"/>
        <v>0.74220963172803078</v>
      </c>
      <c r="E2366" s="148">
        <f t="shared" si="119"/>
        <v>1.9361597701850682E-4</v>
      </c>
      <c r="F2366" s="148">
        <f t="shared" si="121"/>
        <v>0.15651320163253807</v>
      </c>
    </row>
    <row r="2367" spans="2:6" x14ac:dyDescent="0.2">
      <c r="B2367" s="115" t="s">
        <v>350</v>
      </c>
      <c r="C2367" s="114">
        <v>1847</v>
      </c>
      <c r="D2367" s="147">
        <f t="shared" si="120"/>
        <v>0.74252439408245319</v>
      </c>
      <c r="E2367" s="148">
        <f t="shared" si="119"/>
        <v>1.9361597701850682E-4</v>
      </c>
      <c r="F2367" s="148">
        <f t="shared" si="121"/>
        <v>0.15670681760955657</v>
      </c>
    </row>
    <row r="2368" spans="2:6" x14ac:dyDescent="0.2">
      <c r="B2368" s="115" t="s">
        <v>2652</v>
      </c>
      <c r="C2368" s="114">
        <v>1851</v>
      </c>
      <c r="D2368" s="147">
        <f t="shared" si="120"/>
        <v>0.74283915643687559</v>
      </c>
      <c r="E2368" s="148">
        <f t="shared" si="119"/>
        <v>1.9403528611870935E-4</v>
      </c>
      <c r="F2368" s="148">
        <f t="shared" si="121"/>
        <v>0.15690085289567529</v>
      </c>
    </row>
    <row r="2369" spans="2:6" x14ac:dyDescent="0.2">
      <c r="B2369" s="115" t="s">
        <v>1074</v>
      </c>
      <c r="C2369" s="114">
        <v>1853</v>
      </c>
      <c r="D2369" s="147">
        <f t="shared" si="120"/>
        <v>0.743153918791298</v>
      </c>
      <c r="E2369" s="148">
        <f t="shared" si="119"/>
        <v>1.9424494066881061E-4</v>
      </c>
      <c r="F2369" s="148">
        <f t="shared" si="121"/>
        <v>0.15709509783634409</v>
      </c>
    </row>
    <row r="2370" spans="2:6" x14ac:dyDescent="0.2">
      <c r="B2370" s="115" t="s">
        <v>239</v>
      </c>
      <c r="C2370" s="114">
        <v>1854</v>
      </c>
      <c r="D2370" s="147">
        <f t="shared" si="120"/>
        <v>0.7434686811457204</v>
      </c>
      <c r="E2370" s="148">
        <f t="shared" si="119"/>
        <v>1.9434976794386122E-4</v>
      </c>
      <c r="F2370" s="148">
        <f t="shared" si="121"/>
        <v>0.15728944760428795</v>
      </c>
    </row>
    <row r="2371" spans="2:6" x14ac:dyDescent="0.2">
      <c r="B2371" s="115" t="s">
        <v>1871</v>
      </c>
      <c r="C2371" s="114">
        <v>1855</v>
      </c>
      <c r="D2371" s="147">
        <f t="shared" si="120"/>
        <v>0.7437834435001428</v>
      </c>
      <c r="E2371" s="148">
        <f t="shared" si="119"/>
        <v>1.9445459521891186E-4</v>
      </c>
      <c r="F2371" s="148">
        <f t="shared" si="121"/>
        <v>0.15748390219950686</v>
      </c>
    </row>
    <row r="2372" spans="2:6" x14ac:dyDescent="0.2">
      <c r="B2372" s="115" t="s">
        <v>1047</v>
      </c>
      <c r="C2372" s="114">
        <v>1855</v>
      </c>
      <c r="D2372" s="147">
        <f t="shared" si="120"/>
        <v>0.74409820585456521</v>
      </c>
      <c r="E2372" s="148">
        <f t="shared" si="119"/>
        <v>1.9445459521891186E-4</v>
      </c>
      <c r="F2372" s="148">
        <f t="shared" si="121"/>
        <v>0.15767835679472578</v>
      </c>
    </row>
    <row r="2373" spans="2:6" x14ac:dyDescent="0.2">
      <c r="B2373" s="206" t="s">
        <v>431</v>
      </c>
      <c r="C2373" s="205">
        <v>1855</v>
      </c>
      <c r="D2373" s="147">
        <f t="shared" si="120"/>
        <v>0.74441296820898761</v>
      </c>
      <c r="E2373" s="148">
        <f t="shared" si="119"/>
        <v>1.9445459521891186E-4</v>
      </c>
      <c r="F2373" s="148">
        <f t="shared" si="121"/>
        <v>0.15787281138994469</v>
      </c>
    </row>
    <row r="2374" spans="2:6" x14ac:dyDescent="0.2">
      <c r="B2374" s="115" t="s">
        <v>1311</v>
      </c>
      <c r="C2374" s="114">
        <v>1856</v>
      </c>
      <c r="D2374" s="147">
        <f t="shared" si="120"/>
        <v>0.74472773056341002</v>
      </c>
      <c r="E2374" s="148">
        <f t="shared" si="119"/>
        <v>1.9455942249396247E-4</v>
      </c>
      <c r="F2374" s="148">
        <f t="shared" si="121"/>
        <v>0.15806737081243866</v>
      </c>
    </row>
    <row r="2375" spans="2:6" x14ac:dyDescent="0.2">
      <c r="B2375" s="115" t="s">
        <v>2334</v>
      </c>
      <c r="C2375" s="114">
        <v>1857</v>
      </c>
      <c r="D2375" s="147">
        <f t="shared" si="120"/>
        <v>0.74504249291783242</v>
      </c>
      <c r="E2375" s="148">
        <f t="shared" si="119"/>
        <v>1.9466424976901311E-4</v>
      </c>
      <c r="F2375" s="148">
        <f t="shared" si="121"/>
        <v>0.15826203506220768</v>
      </c>
    </row>
    <row r="2376" spans="2:6" x14ac:dyDescent="0.2">
      <c r="B2376" s="115" t="s">
        <v>1306</v>
      </c>
      <c r="C2376" s="114">
        <v>1857</v>
      </c>
      <c r="D2376" s="147">
        <f t="shared" si="120"/>
        <v>0.74535725527225483</v>
      </c>
      <c r="E2376" s="148">
        <f t="shared" si="119"/>
        <v>1.9466424976901311E-4</v>
      </c>
      <c r="F2376" s="148">
        <f t="shared" si="121"/>
        <v>0.1584566993119767</v>
      </c>
    </row>
    <row r="2377" spans="2:6" x14ac:dyDescent="0.2">
      <c r="B2377" s="206" t="s">
        <v>210</v>
      </c>
      <c r="C2377" s="205">
        <v>1857</v>
      </c>
      <c r="D2377" s="147">
        <f t="shared" si="120"/>
        <v>0.74567201762667723</v>
      </c>
      <c r="E2377" s="148">
        <f t="shared" ref="E2377:E2440" si="122">C2377/$O$18</f>
        <v>1.9466424976901311E-4</v>
      </c>
      <c r="F2377" s="148">
        <f t="shared" si="121"/>
        <v>0.15865136356174572</v>
      </c>
    </row>
    <row r="2378" spans="2:6" x14ac:dyDescent="0.2">
      <c r="B2378" s="206" t="s">
        <v>1921</v>
      </c>
      <c r="C2378" s="205">
        <v>1858</v>
      </c>
      <c r="D2378" s="147">
        <f t="shared" ref="D2378:D2441" si="123">D2377+1/$L$18</f>
        <v>0.74598677998109963</v>
      </c>
      <c r="E2378" s="148">
        <f t="shared" si="122"/>
        <v>1.9476907704406372E-4</v>
      </c>
      <c r="F2378" s="148">
        <f t="shared" ref="F2378:F2441" si="124">F2377+E2378</f>
        <v>0.1588461326387898</v>
      </c>
    </row>
    <row r="2379" spans="2:6" x14ac:dyDescent="0.2">
      <c r="B2379" s="206" t="s">
        <v>3137</v>
      </c>
      <c r="C2379" s="205">
        <v>1861</v>
      </c>
      <c r="D2379" s="147">
        <f t="shared" si="123"/>
        <v>0.74630154233552204</v>
      </c>
      <c r="E2379" s="148">
        <f t="shared" si="122"/>
        <v>1.9508355886921561E-4</v>
      </c>
      <c r="F2379" s="148">
        <f t="shared" si="124"/>
        <v>0.15904121619765901</v>
      </c>
    </row>
    <row r="2380" spans="2:6" x14ac:dyDescent="0.2">
      <c r="B2380" s="206" t="s">
        <v>1397</v>
      </c>
      <c r="C2380" s="205">
        <v>1866</v>
      </c>
      <c r="D2380" s="147">
        <f t="shared" si="123"/>
        <v>0.74661630468994444</v>
      </c>
      <c r="E2380" s="148">
        <f t="shared" si="122"/>
        <v>1.9560769524446873E-4</v>
      </c>
      <c r="F2380" s="148">
        <f t="shared" si="124"/>
        <v>0.15923682389290347</v>
      </c>
    </row>
    <row r="2381" spans="2:6" x14ac:dyDescent="0.2">
      <c r="B2381" s="206" t="s">
        <v>2922</v>
      </c>
      <c r="C2381" s="205">
        <v>1868</v>
      </c>
      <c r="D2381" s="147">
        <f t="shared" si="123"/>
        <v>0.74693106704436685</v>
      </c>
      <c r="E2381" s="148">
        <f t="shared" si="122"/>
        <v>1.9581734979456998E-4</v>
      </c>
      <c r="F2381" s="148">
        <f t="shared" si="124"/>
        <v>0.15943264124269804</v>
      </c>
    </row>
    <row r="2382" spans="2:6" x14ac:dyDescent="0.2">
      <c r="B2382" s="115" t="s">
        <v>1191</v>
      </c>
      <c r="C2382" s="114">
        <v>1868</v>
      </c>
      <c r="D2382" s="147">
        <f t="shared" si="123"/>
        <v>0.74724582939878925</v>
      </c>
      <c r="E2382" s="148">
        <f t="shared" si="122"/>
        <v>1.9581734979456998E-4</v>
      </c>
      <c r="F2382" s="148">
        <f t="shared" si="124"/>
        <v>0.15962845859249261</v>
      </c>
    </row>
    <row r="2383" spans="2:6" x14ac:dyDescent="0.2">
      <c r="B2383" s="115" t="s">
        <v>598</v>
      </c>
      <c r="C2383" s="114">
        <v>1868</v>
      </c>
      <c r="D2383" s="147">
        <f t="shared" si="123"/>
        <v>0.74756059175321166</v>
      </c>
      <c r="E2383" s="148">
        <f t="shared" si="122"/>
        <v>1.9581734979456998E-4</v>
      </c>
      <c r="F2383" s="148">
        <f t="shared" si="124"/>
        <v>0.15982427594228718</v>
      </c>
    </row>
    <row r="2384" spans="2:6" x14ac:dyDescent="0.2">
      <c r="B2384" s="115" t="s">
        <v>1489</v>
      </c>
      <c r="C2384" s="114">
        <v>1870</v>
      </c>
      <c r="D2384" s="147">
        <f t="shared" si="123"/>
        <v>0.74787535410763406</v>
      </c>
      <c r="E2384" s="148">
        <f t="shared" si="122"/>
        <v>1.9602700434467125E-4</v>
      </c>
      <c r="F2384" s="148">
        <f t="shared" si="124"/>
        <v>0.16002030294663186</v>
      </c>
    </row>
    <row r="2385" spans="2:6" x14ac:dyDescent="0.2">
      <c r="B2385" s="115" t="s">
        <v>2471</v>
      </c>
      <c r="C2385" s="114">
        <v>1873</v>
      </c>
      <c r="D2385" s="147">
        <f t="shared" si="123"/>
        <v>0.74819011646205646</v>
      </c>
      <c r="E2385" s="148">
        <f t="shared" si="122"/>
        <v>1.9634148616982312E-4</v>
      </c>
      <c r="F2385" s="148">
        <f t="shared" si="124"/>
        <v>0.16021664443280167</v>
      </c>
    </row>
    <row r="2386" spans="2:6" x14ac:dyDescent="0.2">
      <c r="B2386" s="206" t="s">
        <v>559</v>
      </c>
      <c r="C2386" s="205">
        <v>1875</v>
      </c>
      <c r="D2386" s="147">
        <f t="shared" si="123"/>
        <v>0.74850487881647887</v>
      </c>
      <c r="E2386" s="148">
        <f t="shared" si="122"/>
        <v>1.9655114071992437E-4</v>
      </c>
      <c r="F2386" s="148">
        <f t="shared" si="124"/>
        <v>0.1604131955735216</v>
      </c>
    </row>
    <row r="2387" spans="2:6" x14ac:dyDescent="0.2">
      <c r="B2387" s="115" t="s">
        <v>2190</v>
      </c>
      <c r="C2387" s="114">
        <v>1877</v>
      </c>
      <c r="D2387" s="147">
        <f t="shared" si="123"/>
        <v>0.74881964117090127</v>
      </c>
      <c r="E2387" s="148">
        <f t="shared" si="122"/>
        <v>1.9676079527002562E-4</v>
      </c>
      <c r="F2387" s="148">
        <f t="shared" si="124"/>
        <v>0.16060995636879163</v>
      </c>
    </row>
    <row r="2388" spans="2:6" x14ac:dyDescent="0.2">
      <c r="B2388" s="115" t="s">
        <v>1176</v>
      </c>
      <c r="C2388" s="114">
        <v>1877</v>
      </c>
      <c r="D2388" s="147">
        <f t="shared" si="123"/>
        <v>0.74913440352532368</v>
      </c>
      <c r="E2388" s="148">
        <f t="shared" si="122"/>
        <v>1.9676079527002562E-4</v>
      </c>
      <c r="F2388" s="148">
        <f t="shared" si="124"/>
        <v>0.16080671716406167</v>
      </c>
    </row>
    <row r="2389" spans="2:6" x14ac:dyDescent="0.2">
      <c r="B2389" s="206" t="s">
        <v>565</v>
      </c>
      <c r="C2389" s="205">
        <v>1877</v>
      </c>
      <c r="D2389" s="147">
        <f t="shared" si="123"/>
        <v>0.74944916587974608</v>
      </c>
      <c r="E2389" s="148">
        <f t="shared" si="122"/>
        <v>1.9676079527002562E-4</v>
      </c>
      <c r="F2389" s="148">
        <f t="shared" si="124"/>
        <v>0.1610034779593317</v>
      </c>
    </row>
    <row r="2390" spans="2:6" x14ac:dyDescent="0.2">
      <c r="B2390" s="115" t="s">
        <v>1655</v>
      </c>
      <c r="C2390" s="114">
        <v>1879</v>
      </c>
      <c r="D2390" s="147">
        <f t="shared" si="123"/>
        <v>0.74976392823416849</v>
      </c>
      <c r="E2390" s="148">
        <f t="shared" si="122"/>
        <v>1.9697044982012687E-4</v>
      </c>
      <c r="F2390" s="148">
        <f t="shared" si="124"/>
        <v>0.16120044840915182</v>
      </c>
    </row>
    <row r="2391" spans="2:6" x14ac:dyDescent="0.2">
      <c r="B2391" s="115" t="s">
        <v>1980</v>
      </c>
      <c r="C2391" s="114">
        <v>1885</v>
      </c>
      <c r="D2391" s="147">
        <f t="shared" si="123"/>
        <v>0.75007869058859089</v>
      </c>
      <c r="E2391" s="148">
        <f t="shared" si="122"/>
        <v>1.9759941347043063E-4</v>
      </c>
      <c r="F2391" s="148">
        <f t="shared" si="124"/>
        <v>0.16139804782262224</v>
      </c>
    </row>
    <row r="2392" spans="2:6" x14ac:dyDescent="0.2">
      <c r="B2392" s="206" t="s">
        <v>2433</v>
      </c>
      <c r="C2392" s="205">
        <v>1890</v>
      </c>
      <c r="D2392" s="147">
        <f t="shared" si="123"/>
        <v>0.75039345294301329</v>
      </c>
      <c r="E2392" s="148">
        <f t="shared" si="122"/>
        <v>1.9812354984568377E-4</v>
      </c>
      <c r="F2392" s="148">
        <f t="shared" si="124"/>
        <v>0.16159617137246793</v>
      </c>
    </row>
    <row r="2393" spans="2:6" x14ac:dyDescent="0.2">
      <c r="B2393" s="115" t="s">
        <v>2431</v>
      </c>
      <c r="C2393" s="114">
        <v>1890</v>
      </c>
      <c r="D2393" s="147">
        <f t="shared" si="123"/>
        <v>0.7507082152974357</v>
      </c>
      <c r="E2393" s="148">
        <f t="shared" si="122"/>
        <v>1.9812354984568377E-4</v>
      </c>
      <c r="F2393" s="148">
        <f t="shared" si="124"/>
        <v>0.16179429492231362</v>
      </c>
    </row>
    <row r="2394" spans="2:6" x14ac:dyDescent="0.2">
      <c r="B2394" s="206" t="s">
        <v>1715</v>
      </c>
      <c r="C2394" s="205">
        <v>1891</v>
      </c>
      <c r="D2394" s="147">
        <f t="shared" si="123"/>
        <v>0.7510229776518581</v>
      </c>
      <c r="E2394" s="148">
        <f t="shared" si="122"/>
        <v>1.9822837712073441E-4</v>
      </c>
      <c r="F2394" s="148">
        <f t="shared" si="124"/>
        <v>0.16199252329943437</v>
      </c>
    </row>
    <row r="2395" spans="2:6" x14ac:dyDescent="0.2">
      <c r="B2395" s="115" t="s">
        <v>2766</v>
      </c>
      <c r="C2395" s="114">
        <v>1892</v>
      </c>
      <c r="D2395" s="147">
        <f t="shared" si="123"/>
        <v>0.75133774000628051</v>
      </c>
      <c r="E2395" s="148">
        <f t="shared" si="122"/>
        <v>1.9833320439578502E-4</v>
      </c>
      <c r="F2395" s="148">
        <f t="shared" si="124"/>
        <v>0.16219085650383014</v>
      </c>
    </row>
    <row r="2396" spans="2:6" x14ac:dyDescent="0.2">
      <c r="B2396" s="115" t="s">
        <v>2022</v>
      </c>
      <c r="C2396" s="114">
        <v>1894</v>
      </c>
      <c r="D2396" s="147">
        <f t="shared" si="123"/>
        <v>0.75165250236070291</v>
      </c>
      <c r="E2396" s="148">
        <f t="shared" si="122"/>
        <v>1.9854285894588627E-4</v>
      </c>
      <c r="F2396" s="148">
        <f t="shared" si="124"/>
        <v>0.16238939936277602</v>
      </c>
    </row>
    <row r="2397" spans="2:6" x14ac:dyDescent="0.2">
      <c r="B2397" s="115" t="s">
        <v>2168</v>
      </c>
      <c r="C2397" s="114">
        <v>1899</v>
      </c>
      <c r="D2397" s="147">
        <f t="shared" si="123"/>
        <v>0.75196726471512532</v>
      </c>
      <c r="E2397" s="148">
        <f t="shared" si="122"/>
        <v>1.9906699532113941E-4</v>
      </c>
      <c r="F2397" s="148">
        <f t="shared" si="124"/>
        <v>0.16258846635809715</v>
      </c>
    </row>
    <row r="2398" spans="2:6" x14ac:dyDescent="0.2">
      <c r="B2398" s="206" t="s">
        <v>3008</v>
      </c>
      <c r="C2398" s="205">
        <v>1903</v>
      </c>
      <c r="D2398" s="147">
        <f t="shared" si="123"/>
        <v>0.75228202706954772</v>
      </c>
      <c r="E2398" s="148">
        <f t="shared" si="122"/>
        <v>1.9948630442134192E-4</v>
      </c>
      <c r="F2398" s="148">
        <f t="shared" si="124"/>
        <v>0.1627879526625185</v>
      </c>
    </row>
    <row r="2399" spans="2:6" x14ac:dyDescent="0.2">
      <c r="B2399" s="115" t="s">
        <v>2834</v>
      </c>
      <c r="C2399" s="114">
        <v>1909</v>
      </c>
      <c r="D2399" s="147">
        <f t="shared" si="123"/>
        <v>0.75259678942397013</v>
      </c>
      <c r="E2399" s="148">
        <f t="shared" si="122"/>
        <v>2.0011526807164567E-4</v>
      </c>
      <c r="F2399" s="148">
        <f t="shared" si="124"/>
        <v>0.16298806793059015</v>
      </c>
    </row>
    <row r="2400" spans="2:6" x14ac:dyDescent="0.2">
      <c r="B2400" s="115" t="s">
        <v>1480</v>
      </c>
      <c r="C2400" s="114">
        <v>1911</v>
      </c>
      <c r="D2400" s="147">
        <f t="shared" si="123"/>
        <v>0.75291155177839253</v>
      </c>
      <c r="E2400" s="148">
        <f t="shared" si="122"/>
        <v>2.0032492262174692E-4</v>
      </c>
      <c r="F2400" s="148">
        <f t="shared" si="124"/>
        <v>0.16318839285321191</v>
      </c>
    </row>
    <row r="2401" spans="2:6" x14ac:dyDescent="0.2">
      <c r="B2401" s="115" t="s">
        <v>2646</v>
      </c>
      <c r="C2401" s="114">
        <v>1914</v>
      </c>
      <c r="D2401" s="147">
        <f t="shared" si="123"/>
        <v>0.75322631413281493</v>
      </c>
      <c r="E2401" s="148">
        <f t="shared" si="122"/>
        <v>2.0063940444689881E-4</v>
      </c>
      <c r="F2401" s="148">
        <f t="shared" si="124"/>
        <v>0.1633890322576588</v>
      </c>
    </row>
    <row r="2402" spans="2:6" x14ac:dyDescent="0.2">
      <c r="B2402" s="115" t="s">
        <v>3106</v>
      </c>
      <c r="C2402" s="114">
        <v>1919</v>
      </c>
      <c r="D2402" s="147">
        <f t="shared" si="123"/>
        <v>0.75354107648723734</v>
      </c>
      <c r="E2402" s="148">
        <f t="shared" si="122"/>
        <v>2.0116354082215193E-4</v>
      </c>
      <c r="F2402" s="148">
        <f t="shared" si="124"/>
        <v>0.16359019579848094</v>
      </c>
    </row>
    <row r="2403" spans="2:6" x14ac:dyDescent="0.2">
      <c r="B2403" s="115" t="s">
        <v>520</v>
      </c>
      <c r="C2403" s="114">
        <v>1919</v>
      </c>
      <c r="D2403" s="147">
        <f t="shared" si="123"/>
        <v>0.75385583884165974</v>
      </c>
      <c r="E2403" s="148">
        <f t="shared" si="122"/>
        <v>2.0116354082215193E-4</v>
      </c>
      <c r="F2403" s="148">
        <f t="shared" si="124"/>
        <v>0.16379135933930308</v>
      </c>
    </row>
    <row r="2404" spans="2:6" x14ac:dyDescent="0.2">
      <c r="B2404" s="115" t="s">
        <v>305</v>
      </c>
      <c r="C2404" s="114">
        <v>1924</v>
      </c>
      <c r="D2404" s="147">
        <f t="shared" si="123"/>
        <v>0.75417060119608215</v>
      </c>
      <c r="E2404" s="148">
        <f t="shared" si="122"/>
        <v>2.0168767719740507E-4</v>
      </c>
      <c r="F2404" s="148">
        <f t="shared" si="124"/>
        <v>0.1639930470165005</v>
      </c>
    </row>
    <row r="2405" spans="2:6" x14ac:dyDescent="0.2">
      <c r="B2405" s="115" t="s">
        <v>2279</v>
      </c>
      <c r="C2405" s="114">
        <v>1928</v>
      </c>
      <c r="D2405" s="147">
        <f t="shared" si="123"/>
        <v>0.75448536355050455</v>
      </c>
      <c r="E2405" s="148">
        <f t="shared" si="122"/>
        <v>2.0210698629760757E-4</v>
      </c>
      <c r="F2405" s="148">
        <f t="shared" si="124"/>
        <v>0.1641951540027981</v>
      </c>
    </row>
    <row r="2406" spans="2:6" x14ac:dyDescent="0.2">
      <c r="B2406" s="115" t="s">
        <v>985</v>
      </c>
      <c r="C2406" s="114">
        <v>1931</v>
      </c>
      <c r="D2406" s="147">
        <f t="shared" si="123"/>
        <v>0.75480012590492696</v>
      </c>
      <c r="E2406" s="148">
        <f t="shared" si="122"/>
        <v>2.0242146812275946E-4</v>
      </c>
      <c r="F2406" s="148">
        <f t="shared" si="124"/>
        <v>0.16439757547092088</v>
      </c>
    </row>
    <row r="2407" spans="2:6" x14ac:dyDescent="0.2">
      <c r="B2407" s="206" t="s">
        <v>608</v>
      </c>
      <c r="C2407" s="205">
        <v>1934</v>
      </c>
      <c r="D2407" s="147">
        <f t="shared" si="123"/>
        <v>0.75511488825934936</v>
      </c>
      <c r="E2407" s="148">
        <f t="shared" si="122"/>
        <v>2.0273594994791132E-4</v>
      </c>
      <c r="F2407" s="148">
        <f t="shared" si="124"/>
        <v>0.16460031142086878</v>
      </c>
    </row>
    <row r="2408" spans="2:6" x14ac:dyDescent="0.2">
      <c r="B2408" s="206" t="s">
        <v>2240</v>
      </c>
      <c r="C2408" s="205">
        <v>1937</v>
      </c>
      <c r="D2408" s="147">
        <f t="shared" si="123"/>
        <v>0.75542965061377176</v>
      </c>
      <c r="E2408" s="148">
        <f t="shared" si="122"/>
        <v>2.0305043177306321E-4</v>
      </c>
      <c r="F2408" s="148">
        <f t="shared" si="124"/>
        <v>0.16480336185264186</v>
      </c>
    </row>
    <row r="2409" spans="2:6" x14ac:dyDescent="0.2">
      <c r="B2409" s="115" t="s">
        <v>2218</v>
      </c>
      <c r="C2409" s="114">
        <v>1944</v>
      </c>
      <c r="D2409" s="147">
        <f t="shared" si="123"/>
        <v>0.75574441296819417</v>
      </c>
      <c r="E2409" s="148">
        <f t="shared" si="122"/>
        <v>2.0378422269841758E-4</v>
      </c>
      <c r="F2409" s="148">
        <f t="shared" si="124"/>
        <v>0.16500714607534028</v>
      </c>
    </row>
    <row r="2410" spans="2:6" x14ac:dyDescent="0.2">
      <c r="B2410" s="206" t="s">
        <v>1147</v>
      </c>
      <c r="C2410" s="205">
        <v>1946</v>
      </c>
      <c r="D2410" s="147">
        <f t="shared" si="123"/>
        <v>0.75605917532261657</v>
      </c>
      <c r="E2410" s="148">
        <f t="shared" si="122"/>
        <v>2.0399387724851883E-4</v>
      </c>
      <c r="F2410" s="148">
        <f t="shared" si="124"/>
        <v>0.16521113995258879</v>
      </c>
    </row>
    <row r="2411" spans="2:6" x14ac:dyDescent="0.2">
      <c r="B2411" s="206" t="s">
        <v>2495</v>
      </c>
      <c r="C2411" s="205">
        <v>1948</v>
      </c>
      <c r="D2411" s="147">
        <f t="shared" si="123"/>
        <v>0.75637393767703898</v>
      </c>
      <c r="E2411" s="148">
        <f t="shared" si="122"/>
        <v>2.0420353179862008E-4</v>
      </c>
      <c r="F2411" s="148">
        <f t="shared" si="124"/>
        <v>0.16541534348438741</v>
      </c>
    </row>
    <row r="2412" spans="2:6" x14ac:dyDescent="0.2">
      <c r="B2412" s="206" t="s">
        <v>395</v>
      </c>
      <c r="C2412" s="205">
        <v>1950</v>
      </c>
      <c r="D2412" s="147">
        <f t="shared" si="123"/>
        <v>0.75668870003146138</v>
      </c>
      <c r="E2412" s="148">
        <f t="shared" si="122"/>
        <v>2.0441318634872136E-4</v>
      </c>
      <c r="F2412" s="148">
        <f t="shared" si="124"/>
        <v>0.16561975667073614</v>
      </c>
    </row>
    <row r="2413" spans="2:6" x14ac:dyDescent="0.2">
      <c r="B2413" s="115" t="s">
        <v>1370</v>
      </c>
      <c r="C2413" s="114">
        <v>1954</v>
      </c>
      <c r="D2413" s="147">
        <f t="shared" si="123"/>
        <v>0.75700346238588379</v>
      </c>
      <c r="E2413" s="148">
        <f t="shared" si="122"/>
        <v>2.0483249544892386E-4</v>
      </c>
      <c r="F2413" s="148">
        <f t="shared" si="124"/>
        <v>0.16582458916618506</v>
      </c>
    </row>
    <row r="2414" spans="2:6" x14ac:dyDescent="0.2">
      <c r="B2414" s="115" t="s">
        <v>2693</v>
      </c>
      <c r="C2414" s="114">
        <v>1955</v>
      </c>
      <c r="D2414" s="147">
        <f t="shared" si="123"/>
        <v>0.75731822474030619</v>
      </c>
      <c r="E2414" s="148">
        <f t="shared" si="122"/>
        <v>2.0493732272397448E-4</v>
      </c>
      <c r="F2414" s="148">
        <f t="shared" si="124"/>
        <v>0.16602952648890903</v>
      </c>
    </row>
    <row r="2415" spans="2:6" x14ac:dyDescent="0.2">
      <c r="B2415" s="115" t="s">
        <v>2604</v>
      </c>
      <c r="C2415" s="114">
        <v>1963</v>
      </c>
      <c r="D2415" s="147">
        <f t="shared" si="123"/>
        <v>0.75763298709472859</v>
      </c>
      <c r="E2415" s="148">
        <f t="shared" si="122"/>
        <v>2.0577594092437948E-4</v>
      </c>
      <c r="F2415" s="148">
        <f t="shared" si="124"/>
        <v>0.16623530242983342</v>
      </c>
    </row>
    <row r="2416" spans="2:6" x14ac:dyDescent="0.2">
      <c r="B2416" s="115" t="s">
        <v>839</v>
      </c>
      <c r="C2416" s="114">
        <v>1966</v>
      </c>
      <c r="D2416" s="147">
        <f t="shared" si="123"/>
        <v>0.757947749449151</v>
      </c>
      <c r="E2416" s="148">
        <f t="shared" si="122"/>
        <v>2.0609042274953137E-4</v>
      </c>
      <c r="F2416" s="148">
        <f t="shared" si="124"/>
        <v>0.16644139285258294</v>
      </c>
    </row>
    <row r="2417" spans="2:6" x14ac:dyDescent="0.2">
      <c r="B2417" s="115" t="s">
        <v>254</v>
      </c>
      <c r="C2417" s="114">
        <v>1969</v>
      </c>
      <c r="D2417" s="147">
        <f t="shared" si="123"/>
        <v>0.7582625118035734</v>
      </c>
      <c r="E2417" s="148">
        <f t="shared" si="122"/>
        <v>2.0640490457468324E-4</v>
      </c>
      <c r="F2417" s="148">
        <f t="shared" si="124"/>
        <v>0.16664779775715763</v>
      </c>
    </row>
    <row r="2418" spans="2:6" x14ac:dyDescent="0.2">
      <c r="B2418" s="115" t="s">
        <v>2830</v>
      </c>
      <c r="C2418" s="114">
        <v>1970</v>
      </c>
      <c r="D2418" s="147">
        <f t="shared" si="123"/>
        <v>0.75857727415799581</v>
      </c>
      <c r="E2418" s="148">
        <f t="shared" si="122"/>
        <v>2.0650973184973388E-4</v>
      </c>
      <c r="F2418" s="148">
        <f t="shared" si="124"/>
        <v>0.16685430748900737</v>
      </c>
    </row>
    <row r="2419" spans="2:6" x14ac:dyDescent="0.2">
      <c r="B2419" s="206" t="s">
        <v>988</v>
      </c>
      <c r="C2419" s="205">
        <v>1973</v>
      </c>
      <c r="D2419" s="147">
        <f t="shared" si="123"/>
        <v>0.75889203651241821</v>
      </c>
      <c r="E2419" s="148">
        <f t="shared" si="122"/>
        <v>2.0682421367488577E-4</v>
      </c>
      <c r="F2419" s="148">
        <f t="shared" si="124"/>
        <v>0.16706113170268225</v>
      </c>
    </row>
    <row r="2420" spans="2:6" x14ac:dyDescent="0.2">
      <c r="B2420" s="115" t="s">
        <v>680</v>
      </c>
      <c r="C2420" s="114">
        <v>1975</v>
      </c>
      <c r="D2420" s="147">
        <f t="shared" si="123"/>
        <v>0.75920679886684062</v>
      </c>
      <c r="E2420" s="148">
        <f t="shared" si="122"/>
        <v>2.0703386822498702E-4</v>
      </c>
      <c r="F2420" s="148">
        <f t="shared" si="124"/>
        <v>0.16726816557090723</v>
      </c>
    </row>
    <row r="2421" spans="2:6" x14ac:dyDescent="0.2">
      <c r="B2421" s="206" t="s">
        <v>181</v>
      </c>
      <c r="C2421" s="205">
        <v>1975</v>
      </c>
      <c r="D2421" s="147">
        <f t="shared" si="123"/>
        <v>0.75952156122126302</v>
      </c>
      <c r="E2421" s="148">
        <f t="shared" si="122"/>
        <v>2.0703386822498702E-4</v>
      </c>
      <c r="F2421" s="148">
        <f t="shared" si="124"/>
        <v>0.16747519943913222</v>
      </c>
    </row>
    <row r="2422" spans="2:6" x14ac:dyDescent="0.2">
      <c r="B2422" s="115" t="s">
        <v>2080</v>
      </c>
      <c r="C2422" s="114">
        <v>1978</v>
      </c>
      <c r="D2422" s="147">
        <f t="shared" si="123"/>
        <v>0.75983632357568542</v>
      </c>
      <c r="E2422" s="148">
        <f t="shared" si="122"/>
        <v>2.0734835005013888E-4</v>
      </c>
      <c r="F2422" s="148">
        <f t="shared" si="124"/>
        <v>0.16768254778918237</v>
      </c>
    </row>
    <row r="2423" spans="2:6" x14ac:dyDescent="0.2">
      <c r="B2423" s="115" t="s">
        <v>2778</v>
      </c>
      <c r="C2423" s="114">
        <v>1984</v>
      </c>
      <c r="D2423" s="147">
        <f t="shared" si="123"/>
        <v>0.76015108593010783</v>
      </c>
      <c r="E2423" s="148">
        <f t="shared" si="122"/>
        <v>2.0797731370044263E-4</v>
      </c>
      <c r="F2423" s="148">
        <f t="shared" si="124"/>
        <v>0.16789052510288283</v>
      </c>
    </row>
    <row r="2424" spans="2:6" x14ac:dyDescent="0.2">
      <c r="B2424" s="115" t="s">
        <v>356</v>
      </c>
      <c r="C2424" s="114">
        <v>1988</v>
      </c>
      <c r="D2424" s="147">
        <f t="shared" si="123"/>
        <v>0.76046584828453023</v>
      </c>
      <c r="E2424" s="148">
        <f t="shared" si="122"/>
        <v>2.0839662280064514E-4</v>
      </c>
      <c r="F2424" s="148">
        <f t="shared" si="124"/>
        <v>0.16809892172568347</v>
      </c>
    </row>
    <row r="2425" spans="2:6" x14ac:dyDescent="0.2">
      <c r="B2425" s="206" t="s">
        <v>121</v>
      </c>
      <c r="C2425" s="205">
        <v>1989</v>
      </c>
      <c r="D2425" s="147">
        <f t="shared" si="123"/>
        <v>0.76078061063895264</v>
      </c>
      <c r="E2425" s="148">
        <f t="shared" si="122"/>
        <v>2.0850145007569578E-4</v>
      </c>
      <c r="F2425" s="148">
        <f t="shared" si="124"/>
        <v>0.16830742317575917</v>
      </c>
    </row>
    <row r="2426" spans="2:6" x14ac:dyDescent="0.2">
      <c r="B2426" s="115" t="s">
        <v>1102</v>
      </c>
      <c r="C2426" s="114">
        <v>1994</v>
      </c>
      <c r="D2426" s="147">
        <f t="shared" si="123"/>
        <v>0.76109537299337504</v>
      </c>
      <c r="E2426" s="148">
        <f t="shared" si="122"/>
        <v>2.0902558645094892E-4</v>
      </c>
      <c r="F2426" s="148">
        <f t="shared" si="124"/>
        <v>0.16851644876221011</v>
      </c>
    </row>
    <row r="2427" spans="2:6" x14ac:dyDescent="0.2">
      <c r="B2427" s="115" t="s">
        <v>819</v>
      </c>
      <c r="C2427" s="114">
        <v>1996</v>
      </c>
      <c r="D2427" s="147">
        <f t="shared" si="123"/>
        <v>0.76141013534779745</v>
      </c>
      <c r="E2427" s="148">
        <f t="shared" si="122"/>
        <v>2.0923524100105017E-4</v>
      </c>
      <c r="F2427" s="148">
        <f t="shared" si="124"/>
        <v>0.16872568400321117</v>
      </c>
    </row>
    <row r="2428" spans="2:6" x14ac:dyDescent="0.2">
      <c r="B2428" s="206" t="s">
        <v>1450</v>
      </c>
      <c r="C2428" s="205">
        <v>2004</v>
      </c>
      <c r="D2428" s="147">
        <f t="shared" si="123"/>
        <v>0.76172489770221985</v>
      </c>
      <c r="E2428" s="148">
        <f t="shared" si="122"/>
        <v>2.1007385920145517E-4</v>
      </c>
      <c r="F2428" s="148">
        <f t="shared" si="124"/>
        <v>0.16893575786241263</v>
      </c>
    </row>
    <row r="2429" spans="2:6" x14ac:dyDescent="0.2">
      <c r="B2429" s="115" t="s">
        <v>2976</v>
      </c>
      <c r="C2429" s="114">
        <v>2005</v>
      </c>
      <c r="D2429" s="147">
        <f t="shared" si="123"/>
        <v>0.76203966005664225</v>
      </c>
      <c r="E2429" s="148">
        <f t="shared" si="122"/>
        <v>2.1017868647650579E-4</v>
      </c>
      <c r="F2429" s="148">
        <f t="shared" si="124"/>
        <v>0.16914593654888913</v>
      </c>
    </row>
    <row r="2430" spans="2:6" x14ac:dyDescent="0.2">
      <c r="B2430" s="115" t="s">
        <v>682</v>
      </c>
      <c r="C2430" s="114">
        <v>2005</v>
      </c>
      <c r="D2430" s="147">
        <f t="shared" si="123"/>
        <v>0.76235442241106466</v>
      </c>
      <c r="E2430" s="148">
        <f t="shared" si="122"/>
        <v>2.1017868647650579E-4</v>
      </c>
      <c r="F2430" s="148">
        <f t="shared" si="124"/>
        <v>0.16935611523536562</v>
      </c>
    </row>
    <row r="2431" spans="2:6" x14ac:dyDescent="0.2">
      <c r="B2431" s="115" t="s">
        <v>420</v>
      </c>
      <c r="C2431" s="114">
        <v>2007</v>
      </c>
      <c r="D2431" s="147">
        <f t="shared" si="123"/>
        <v>0.76266918476548706</v>
      </c>
      <c r="E2431" s="148">
        <f t="shared" si="122"/>
        <v>2.1038834102660704E-4</v>
      </c>
      <c r="F2431" s="148">
        <f t="shared" si="124"/>
        <v>0.16956650357639222</v>
      </c>
    </row>
    <row r="2432" spans="2:6" x14ac:dyDescent="0.2">
      <c r="B2432" s="206" t="s">
        <v>904</v>
      </c>
      <c r="C2432" s="205">
        <v>2008</v>
      </c>
      <c r="D2432" s="147">
        <f t="shared" si="123"/>
        <v>0.76298394711990947</v>
      </c>
      <c r="E2432" s="148">
        <f t="shared" si="122"/>
        <v>2.1049316830165768E-4</v>
      </c>
      <c r="F2432" s="148">
        <f t="shared" si="124"/>
        <v>0.16977699674469388</v>
      </c>
    </row>
    <row r="2433" spans="2:6" x14ac:dyDescent="0.2">
      <c r="B2433" s="206" t="s">
        <v>2371</v>
      </c>
      <c r="C2433" s="205">
        <v>2009</v>
      </c>
      <c r="D2433" s="147">
        <f t="shared" si="123"/>
        <v>0.76329870947433187</v>
      </c>
      <c r="E2433" s="148">
        <f t="shared" si="122"/>
        <v>2.1059799557670829E-4</v>
      </c>
      <c r="F2433" s="148">
        <f t="shared" si="124"/>
        <v>0.16998759474027059</v>
      </c>
    </row>
    <row r="2434" spans="2:6" x14ac:dyDescent="0.2">
      <c r="B2434" s="115" t="s">
        <v>635</v>
      </c>
      <c r="C2434" s="114">
        <v>2010</v>
      </c>
      <c r="D2434" s="147">
        <f t="shared" si="123"/>
        <v>0.76361347182875428</v>
      </c>
      <c r="E2434" s="148">
        <f t="shared" si="122"/>
        <v>2.1070282285175893E-4</v>
      </c>
      <c r="F2434" s="148">
        <f t="shared" si="124"/>
        <v>0.17019829756312235</v>
      </c>
    </row>
    <row r="2435" spans="2:6" x14ac:dyDescent="0.2">
      <c r="B2435" s="115" t="s">
        <v>1327</v>
      </c>
      <c r="C2435" s="114">
        <v>2011</v>
      </c>
      <c r="D2435" s="147">
        <f t="shared" si="123"/>
        <v>0.76392823418317668</v>
      </c>
      <c r="E2435" s="148">
        <f t="shared" si="122"/>
        <v>2.1080765012680957E-4</v>
      </c>
      <c r="F2435" s="148">
        <f t="shared" si="124"/>
        <v>0.17040910521324917</v>
      </c>
    </row>
    <row r="2436" spans="2:6" x14ac:dyDescent="0.2">
      <c r="B2436" s="115" t="s">
        <v>2421</v>
      </c>
      <c r="C2436" s="114">
        <v>2014</v>
      </c>
      <c r="D2436" s="147">
        <f t="shared" si="123"/>
        <v>0.76424299653759908</v>
      </c>
      <c r="E2436" s="148">
        <f t="shared" si="122"/>
        <v>2.1112213195196143E-4</v>
      </c>
      <c r="F2436" s="148">
        <f t="shared" si="124"/>
        <v>0.17062022734520113</v>
      </c>
    </row>
    <row r="2437" spans="2:6" x14ac:dyDescent="0.2">
      <c r="B2437" s="115" t="s">
        <v>3120</v>
      </c>
      <c r="C2437" s="114">
        <v>2016</v>
      </c>
      <c r="D2437" s="147">
        <f t="shared" si="123"/>
        <v>0.76455775889202149</v>
      </c>
      <c r="E2437" s="148">
        <f t="shared" si="122"/>
        <v>2.1133178650206268E-4</v>
      </c>
      <c r="F2437" s="148">
        <f t="shared" si="124"/>
        <v>0.1708315591317032</v>
      </c>
    </row>
    <row r="2438" spans="2:6" x14ac:dyDescent="0.2">
      <c r="B2438" s="206" t="s">
        <v>2563</v>
      </c>
      <c r="C2438" s="205">
        <v>2016</v>
      </c>
      <c r="D2438" s="147">
        <f t="shared" si="123"/>
        <v>0.76487252124644389</v>
      </c>
      <c r="E2438" s="148">
        <f t="shared" si="122"/>
        <v>2.1133178650206268E-4</v>
      </c>
      <c r="F2438" s="148">
        <f t="shared" si="124"/>
        <v>0.17104289091820526</v>
      </c>
    </row>
    <row r="2439" spans="2:6" x14ac:dyDescent="0.2">
      <c r="B2439" s="115" t="s">
        <v>536</v>
      </c>
      <c r="C2439" s="114">
        <v>2016</v>
      </c>
      <c r="D2439" s="147">
        <f t="shared" si="123"/>
        <v>0.7651872836008663</v>
      </c>
      <c r="E2439" s="148">
        <f t="shared" si="122"/>
        <v>2.1133178650206268E-4</v>
      </c>
      <c r="F2439" s="148">
        <f t="shared" si="124"/>
        <v>0.17125422270470733</v>
      </c>
    </row>
    <row r="2440" spans="2:6" x14ac:dyDescent="0.2">
      <c r="B2440" s="115" t="s">
        <v>2633</v>
      </c>
      <c r="C2440" s="114">
        <v>2017</v>
      </c>
      <c r="D2440" s="147">
        <f t="shared" si="123"/>
        <v>0.7655020459552887</v>
      </c>
      <c r="E2440" s="148">
        <f t="shared" si="122"/>
        <v>2.1143661377711332E-4</v>
      </c>
      <c r="F2440" s="148">
        <f t="shared" si="124"/>
        <v>0.17146565931848445</v>
      </c>
    </row>
    <row r="2441" spans="2:6" x14ac:dyDescent="0.2">
      <c r="B2441" s="115" t="s">
        <v>2023</v>
      </c>
      <c r="C2441" s="114">
        <v>2020</v>
      </c>
      <c r="D2441" s="147">
        <f t="shared" si="123"/>
        <v>0.76581680830971111</v>
      </c>
      <c r="E2441" s="148">
        <f t="shared" ref="E2441:E2504" si="125">C2441/$O$18</f>
        <v>2.1175109560226519E-4</v>
      </c>
      <c r="F2441" s="148">
        <f t="shared" si="124"/>
        <v>0.17167741041408671</v>
      </c>
    </row>
    <row r="2442" spans="2:6" x14ac:dyDescent="0.2">
      <c r="B2442" s="115" t="s">
        <v>2991</v>
      </c>
      <c r="C2442" s="114">
        <v>2022</v>
      </c>
      <c r="D2442" s="147">
        <f t="shared" ref="D2442:D2505" si="126">D2441+1/$L$18</f>
        <v>0.76613157066413351</v>
      </c>
      <c r="E2442" s="148">
        <f t="shared" si="125"/>
        <v>2.1196075015236644E-4</v>
      </c>
      <c r="F2442" s="148">
        <f t="shared" ref="F2442:F2505" si="127">F2441+E2442</f>
        <v>0.17188937116423908</v>
      </c>
    </row>
    <row r="2443" spans="2:6" x14ac:dyDescent="0.2">
      <c r="B2443" s="115" t="s">
        <v>1736</v>
      </c>
      <c r="C2443" s="114">
        <v>2022</v>
      </c>
      <c r="D2443" s="147">
        <f t="shared" si="126"/>
        <v>0.76644633301855591</v>
      </c>
      <c r="E2443" s="148">
        <f t="shared" si="125"/>
        <v>2.1196075015236644E-4</v>
      </c>
      <c r="F2443" s="148">
        <f t="shared" si="127"/>
        <v>0.17210133191439145</v>
      </c>
    </row>
    <row r="2444" spans="2:6" x14ac:dyDescent="0.2">
      <c r="B2444" s="206" t="s">
        <v>564</v>
      </c>
      <c r="C2444" s="205">
        <v>2022</v>
      </c>
      <c r="D2444" s="147">
        <f t="shared" si="126"/>
        <v>0.76676109537297832</v>
      </c>
      <c r="E2444" s="148">
        <f t="shared" si="125"/>
        <v>2.1196075015236644E-4</v>
      </c>
      <c r="F2444" s="148">
        <f t="shared" si="127"/>
        <v>0.17231329266454382</v>
      </c>
    </row>
    <row r="2445" spans="2:6" x14ac:dyDescent="0.2">
      <c r="B2445" s="115" t="s">
        <v>383</v>
      </c>
      <c r="C2445" s="114">
        <v>2024</v>
      </c>
      <c r="D2445" s="147">
        <f t="shared" si="126"/>
        <v>0.76707585772740072</v>
      </c>
      <c r="E2445" s="148">
        <f t="shared" si="125"/>
        <v>2.1217040470246769E-4</v>
      </c>
      <c r="F2445" s="148">
        <f t="shared" si="127"/>
        <v>0.17252546306924629</v>
      </c>
    </row>
    <row r="2446" spans="2:6" x14ac:dyDescent="0.2">
      <c r="B2446" s="115" t="s">
        <v>3076</v>
      </c>
      <c r="C2446" s="114">
        <v>2031</v>
      </c>
      <c r="D2446" s="147">
        <f t="shared" si="126"/>
        <v>0.76739062008182313</v>
      </c>
      <c r="E2446" s="148">
        <f t="shared" si="125"/>
        <v>2.1290419562782208E-4</v>
      </c>
      <c r="F2446" s="148">
        <f t="shared" si="127"/>
        <v>0.17273836726487413</v>
      </c>
    </row>
    <row r="2447" spans="2:6" x14ac:dyDescent="0.2">
      <c r="B2447" s="115" t="s">
        <v>3075</v>
      </c>
      <c r="C2447" s="114">
        <v>2032</v>
      </c>
      <c r="D2447" s="147">
        <f t="shared" si="126"/>
        <v>0.76770538243624553</v>
      </c>
      <c r="E2447" s="148">
        <f t="shared" si="125"/>
        <v>2.1300902290287272E-4</v>
      </c>
      <c r="F2447" s="148">
        <f t="shared" si="127"/>
        <v>0.17295137628777699</v>
      </c>
    </row>
    <row r="2448" spans="2:6" x14ac:dyDescent="0.2">
      <c r="B2448" s="115" t="s">
        <v>1680</v>
      </c>
      <c r="C2448" s="114">
        <v>2035</v>
      </c>
      <c r="D2448" s="147">
        <f t="shared" si="126"/>
        <v>0.76802014479066794</v>
      </c>
      <c r="E2448" s="148">
        <f t="shared" si="125"/>
        <v>2.1332350472802458E-4</v>
      </c>
      <c r="F2448" s="148">
        <f t="shared" si="127"/>
        <v>0.17316469979250501</v>
      </c>
    </row>
    <row r="2449" spans="2:6" x14ac:dyDescent="0.2">
      <c r="B2449" s="115" t="s">
        <v>2713</v>
      </c>
      <c r="C2449" s="114">
        <v>2038</v>
      </c>
      <c r="D2449" s="147">
        <f t="shared" si="126"/>
        <v>0.76833490714509034</v>
      </c>
      <c r="E2449" s="148">
        <f t="shared" si="125"/>
        <v>2.1363798655317647E-4</v>
      </c>
      <c r="F2449" s="148">
        <f t="shared" si="127"/>
        <v>0.1733783377790582</v>
      </c>
    </row>
    <row r="2450" spans="2:6" x14ac:dyDescent="0.2">
      <c r="B2450" s="115" t="s">
        <v>710</v>
      </c>
      <c r="C2450" s="114">
        <v>2040</v>
      </c>
      <c r="D2450" s="147">
        <f t="shared" si="126"/>
        <v>0.76864966949951274</v>
      </c>
      <c r="E2450" s="148">
        <f t="shared" si="125"/>
        <v>2.1384764110327773E-4</v>
      </c>
      <c r="F2450" s="148">
        <f t="shared" si="127"/>
        <v>0.17359218542016147</v>
      </c>
    </row>
    <row r="2451" spans="2:6" x14ac:dyDescent="0.2">
      <c r="B2451" s="115" t="s">
        <v>1293</v>
      </c>
      <c r="C2451" s="114">
        <v>2042</v>
      </c>
      <c r="D2451" s="147">
        <f t="shared" si="126"/>
        <v>0.76896443185393515</v>
      </c>
      <c r="E2451" s="148">
        <f t="shared" si="125"/>
        <v>2.1405729565337898E-4</v>
      </c>
      <c r="F2451" s="148">
        <f t="shared" si="127"/>
        <v>0.17380624271581485</v>
      </c>
    </row>
    <row r="2452" spans="2:6" x14ac:dyDescent="0.2">
      <c r="B2452" s="206" t="s">
        <v>3143</v>
      </c>
      <c r="C2452" s="205">
        <v>2049</v>
      </c>
      <c r="D2452" s="147">
        <f t="shared" si="126"/>
        <v>0.76927919420835755</v>
      </c>
      <c r="E2452" s="148">
        <f t="shared" si="125"/>
        <v>2.1479108657873334E-4</v>
      </c>
      <c r="F2452" s="148">
        <f t="shared" si="127"/>
        <v>0.17402103380239359</v>
      </c>
    </row>
    <row r="2453" spans="2:6" x14ac:dyDescent="0.2">
      <c r="B2453" s="206" t="s">
        <v>1214</v>
      </c>
      <c r="C2453" s="205">
        <v>2051</v>
      </c>
      <c r="D2453" s="147">
        <f t="shared" si="126"/>
        <v>0.76959395656277996</v>
      </c>
      <c r="E2453" s="148">
        <f t="shared" si="125"/>
        <v>2.1500074112883462E-4</v>
      </c>
      <c r="F2453" s="148">
        <f t="shared" si="127"/>
        <v>0.17423603454352243</v>
      </c>
    </row>
    <row r="2454" spans="2:6" x14ac:dyDescent="0.2">
      <c r="B2454" s="206" t="s">
        <v>3127</v>
      </c>
      <c r="C2454" s="205">
        <v>2060</v>
      </c>
      <c r="D2454" s="147">
        <f t="shared" si="126"/>
        <v>0.76990871891720236</v>
      </c>
      <c r="E2454" s="148">
        <f t="shared" si="125"/>
        <v>2.1594418660429024E-4</v>
      </c>
      <c r="F2454" s="148">
        <f t="shared" si="127"/>
        <v>0.17445197873012672</v>
      </c>
    </row>
    <row r="2455" spans="2:6" x14ac:dyDescent="0.2">
      <c r="B2455" s="206" t="s">
        <v>1737</v>
      </c>
      <c r="C2455" s="205">
        <v>2064</v>
      </c>
      <c r="D2455" s="147">
        <f t="shared" si="126"/>
        <v>0.77022348127162477</v>
      </c>
      <c r="E2455" s="148">
        <f t="shared" si="125"/>
        <v>2.1636349570449274E-4</v>
      </c>
      <c r="F2455" s="148">
        <f t="shared" si="127"/>
        <v>0.17466834222583122</v>
      </c>
    </row>
    <row r="2456" spans="2:6" x14ac:dyDescent="0.2">
      <c r="B2456" s="115" t="s">
        <v>1011</v>
      </c>
      <c r="C2456" s="114">
        <v>2064</v>
      </c>
      <c r="D2456" s="147">
        <f t="shared" si="126"/>
        <v>0.77053824362604717</v>
      </c>
      <c r="E2456" s="148">
        <f t="shared" si="125"/>
        <v>2.1636349570449274E-4</v>
      </c>
      <c r="F2456" s="148">
        <f t="shared" si="127"/>
        <v>0.17488470572153572</v>
      </c>
    </row>
    <row r="2457" spans="2:6" x14ac:dyDescent="0.2">
      <c r="B2457" s="115" t="s">
        <v>2722</v>
      </c>
      <c r="C2457" s="114">
        <v>2068</v>
      </c>
      <c r="D2457" s="147">
        <f t="shared" si="126"/>
        <v>0.77085300598046957</v>
      </c>
      <c r="E2457" s="148">
        <f t="shared" si="125"/>
        <v>2.1678280480469524E-4</v>
      </c>
      <c r="F2457" s="148">
        <f t="shared" si="127"/>
        <v>0.17510148852634042</v>
      </c>
    </row>
    <row r="2458" spans="2:6" x14ac:dyDescent="0.2">
      <c r="B2458" s="115" t="s">
        <v>1924</v>
      </c>
      <c r="C2458" s="114">
        <v>2072</v>
      </c>
      <c r="D2458" s="147">
        <f t="shared" si="126"/>
        <v>0.77116776833489198</v>
      </c>
      <c r="E2458" s="148">
        <f t="shared" si="125"/>
        <v>2.1720211390489777E-4</v>
      </c>
      <c r="F2458" s="148">
        <f t="shared" si="127"/>
        <v>0.1753186906402453</v>
      </c>
    </row>
    <row r="2459" spans="2:6" x14ac:dyDescent="0.2">
      <c r="B2459" s="206" t="s">
        <v>1357</v>
      </c>
      <c r="C2459" s="205">
        <v>2072</v>
      </c>
      <c r="D2459" s="147">
        <f t="shared" si="126"/>
        <v>0.77148253068931438</v>
      </c>
      <c r="E2459" s="148">
        <f t="shared" si="125"/>
        <v>2.1720211390489777E-4</v>
      </c>
      <c r="F2459" s="148">
        <f t="shared" si="127"/>
        <v>0.17553589275415019</v>
      </c>
    </row>
    <row r="2460" spans="2:6" x14ac:dyDescent="0.2">
      <c r="B2460" s="115" t="s">
        <v>2786</v>
      </c>
      <c r="C2460" s="114">
        <v>2073</v>
      </c>
      <c r="D2460" s="147">
        <f t="shared" si="126"/>
        <v>0.77179729304373679</v>
      </c>
      <c r="E2460" s="148">
        <f t="shared" si="125"/>
        <v>2.1730694117994839E-4</v>
      </c>
      <c r="F2460" s="148">
        <f t="shared" si="127"/>
        <v>0.17575319969533013</v>
      </c>
    </row>
    <row r="2461" spans="2:6" x14ac:dyDescent="0.2">
      <c r="B2461" s="206" t="s">
        <v>1534</v>
      </c>
      <c r="C2461" s="205">
        <v>2074</v>
      </c>
      <c r="D2461" s="147">
        <f t="shared" si="126"/>
        <v>0.77211205539815919</v>
      </c>
      <c r="E2461" s="148">
        <f t="shared" si="125"/>
        <v>2.1741176845499902E-4</v>
      </c>
      <c r="F2461" s="148">
        <f t="shared" si="127"/>
        <v>0.17597061146378512</v>
      </c>
    </row>
    <row r="2462" spans="2:6" x14ac:dyDescent="0.2">
      <c r="B2462" s="206" t="s">
        <v>2889</v>
      </c>
      <c r="C2462" s="205">
        <v>2076</v>
      </c>
      <c r="D2462" s="147">
        <f t="shared" si="126"/>
        <v>0.7724268177525816</v>
      </c>
      <c r="E2462" s="148">
        <f t="shared" si="125"/>
        <v>2.1762142300510028E-4</v>
      </c>
      <c r="F2462" s="148">
        <f t="shared" si="127"/>
        <v>0.17618823288679022</v>
      </c>
    </row>
    <row r="2463" spans="2:6" x14ac:dyDescent="0.2">
      <c r="B2463" s="115" t="s">
        <v>1201</v>
      </c>
      <c r="C2463" s="114">
        <v>2078</v>
      </c>
      <c r="D2463" s="147">
        <f t="shared" si="126"/>
        <v>0.772741580107004</v>
      </c>
      <c r="E2463" s="148">
        <f t="shared" si="125"/>
        <v>2.1783107755520153E-4</v>
      </c>
      <c r="F2463" s="148">
        <f t="shared" si="127"/>
        <v>0.17640606396434544</v>
      </c>
    </row>
    <row r="2464" spans="2:6" x14ac:dyDescent="0.2">
      <c r="B2464" s="115" t="s">
        <v>2531</v>
      </c>
      <c r="C2464" s="114">
        <v>2079</v>
      </c>
      <c r="D2464" s="147">
        <f t="shared" si="126"/>
        <v>0.7730563424614264</v>
      </c>
      <c r="E2464" s="148">
        <f t="shared" si="125"/>
        <v>2.1793590483025214E-4</v>
      </c>
      <c r="F2464" s="148">
        <f t="shared" si="127"/>
        <v>0.17662399986917568</v>
      </c>
    </row>
    <row r="2465" spans="2:6" x14ac:dyDescent="0.2">
      <c r="B2465" s="115" t="s">
        <v>1520</v>
      </c>
      <c r="C2465" s="114">
        <v>2079</v>
      </c>
      <c r="D2465" s="147">
        <f t="shared" si="126"/>
        <v>0.77337110481584881</v>
      </c>
      <c r="E2465" s="148">
        <f t="shared" si="125"/>
        <v>2.1793590483025214E-4</v>
      </c>
      <c r="F2465" s="148">
        <f t="shared" si="127"/>
        <v>0.17684193577400592</v>
      </c>
    </row>
    <row r="2466" spans="2:6" x14ac:dyDescent="0.2">
      <c r="B2466" s="206" t="s">
        <v>2328</v>
      </c>
      <c r="C2466" s="205">
        <v>2086</v>
      </c>
      <c r="D2466" s="147">
        <f t="shared" si="126"/>
        <v>0.77368586717027121</v>
      </c>
      <c r="E2466" s="148">
        <f t="shared" si="125"/>
        <v>2.1866969575560653E-4</v>
      </c>
      <c r="F2466" s="148">
        <f t="shared" si="127"/>
        <v>0.17706060546976152</v>
      </c>
    </row>
    <row r="2467" spans="2:6" x14ac:dyDescent="0.2">
      <c r="B2467" s="115" t="s">
        <v>2404</v>
      </c>
      <c r="C2467" s="114">
        <v>2093</v>
      </c>
      <c r="D2467" s="147">
        <f t="shared" si="126"/>
        <v>0.77400062952469362</v>
      </c>
      <c r="E2467" s="148">
        <f t="shared" si="125"/>
        <v>2.1940348668096093E-4</v>
      </c>
      <c r="F2467" s="148">
        <f t="shared" si="127"/>
        <v>0.17728000895644247</v>
      </c>
    </row>
    <row r="2468" spans="2:6" x14ac:dyDescent="0.2">
      <c r="B2468" s="206" t="s">
        <v>2679</v>
      </c>
      <c r="C2468" s="205">
        <v>2098</v>
      </c>
      <c r="D2468" s="147">
        <f t="shared" si="126"/>
        <v>0.77431539187911602</v>
      </c>
      <c r="E2468" s="148">
        <f t="shared" si="125"/>
        <v>2.1992762305621404E-4</v>
      </c>
      <c r="F2468" s="148">
        <f t="shared" si="127"/>
        <v>0.1774999365794987</v>
      </c>
    </row>
    <row r="2469" spans="2:6" x14ac:dyDescent="0.2">
      <c r="B2469" s="115" t="s">
        <v>2424</v>
      </c>
      <c r="C2469" s="114">
        <v>2098</v>
      </c>
      <c r="D2469" s="147">
        <f t="shared" si="126"/>
        <v>0.77463015423353843</v>
      </c>
      <c r="E2469" s="148">
        <f t="shared" si="125"/>
        <v>2.1992762305621404E-4</v>
      </c>
      <c r="F2469" s="148">
        <f t="shared" si="127"/>
        <v>0.17771986420255492</v>
      </c>
    </row>
    <row r="2470" spans="2:6" x14ac:dyDescent="0.2">
      <c r="B2470" s="206" t="s">
        <v>3044</v>
      </c>
      <c r="C2470" s="205">
        <v>2101</v>
      </c>
      <c r="D2470" s="147">
        <f t="shared" si="126"/>
        <v>0.77494491658796083</v>
      </c>
      <c r="E2470" s="148">
        <f t="shared" si="125"/>
        <v>2.2024210488136593E-4</v>
      </c>
      <c r="F2470" s="148">
        <f t="shared" si="127"/>
        <v>0.17794010630743629</v>
      </c>
    </row>
    <row r="2471" spans="2:6" x14ac:dyDescent="0.2">
      <c r="B2471" s="115" t="s">
        <v>1424</v>
      </c>
      <c r="C2471" s="114">
        <v>2106</v>
      </c>
      <c r="D2471" s="147">
        <f t="shared" si="126"/>
        <v>0.77525967894238323</v>
      </c>
      <c r="E2471" s="148">
        <f t="shared" si="125"/>
        <v>2.2076624125661905E-4</v>
      </c>
      <c r="F2471" s="148">
        <f t="shared" si="127"/>
        <v>0.17816087254869289</v>
      </c>
    </row>
    <row r="2472" spans="2:6" x14ac:dyDescent="0.2">
      <c r="B2472" s="206" t="s">
        <v>1162</v>
      </c>
      <c r="C2472" s="205">
        <v>2106</v>
      </c>
      <c r="D2472" s="147">
        <f t="shared" si="126"/>
        <v>0.77557444129680564</v>
      </c>
      <c r="E2472" s="148">
        <f t="shared" si="125"/>
        <v>2.2076624125661905E-4</v>
      </c>
      <c r="F2472" s="148">
        <f t="shared" si="127"/>
        <v>0.1783816387899495</v>
      </c>
    </row>
    <row r="2473" spans="2:6" x14ac:dyDescent="0.2">
      <c r="B2473" s="115" t="s">
        <v>2647</v>
      </c>
      <c r="C2473" s="114">
        <v>2112</v>
      </c>
      <c r="D2473" s="147">
        <f t="shared" si="126"/>
        <v>0.77588920365122804</v>
      </c>
      <c r="E2473" s="148">
        <f t="shared" si="125"/>
        <v>2.2139520490692283E-4</v>
      </c>
      <c r="F2473" s="148">
        <f t="shared" si="127"/>
        <v>0.17860303399485641</v>
      </c>
    </row>
    <row r="2474" spans="2:6" x14ac:dyDescent="0.2">
      <c r="B2474" s="206" t="s">
        <v>1315</v>
      </c>
      <c r="C2474" s="205">
        <v>2117</v>
      </c>
      <c r="D2474" s="147">
        <f t="shared" si="126"/>
        <v>0.77620396600565045</v>
      </c>
      <c r="E2474" s="148">
        <f t="shared" si="125"/>
        <v>2.2191934128217594E-4</v>
      </c>
      <c r="F2474" s="148">
        <f t="shared" si="127"/>
        <v>0.1788249533361386</v>
      </c>
    </row>
    <row r="2475" spans="2:6" x14ac:dyDescent="0.2">
      <c r="B2475" s="115" t="s">
        <v>852</v>
      </c>
      <c r="C2475" s="114">
        <v>2119</v>
      </c>
      <c r="D2475" s="147">
        <f t="shared" si="126"/>
        <v>0.77651872836007285</v>
      </c>
      <c r="E2475" s="148">
        <f t="shared" si="125"/>
        <v>2.2212899583227719E-4</v>
      </c>
      <c r="F2475" s="148">
        <f t="shared" si="127"/>
        <v>0.17904708233197086</v>
      </c>
    </row>
    <row r="2476" spans="2:6" x14ac:dyDescent="0.2">
      <c r="B2476" s="115" t="s">
        <v>2911</v>
      </c>
      <c r="C2476" s="114">
        <v>2124</v>
      </c>
      <c r="D2476" s="147">
        <f t="shared" si="126"/>
        <v>0.77683349071449526</v>
      </c>
      <c r="E2476" s="148">
        <f t="shared" si="125"/>
        <v>2.2265313220753033E-4</v>
      </c>
      <c r="F2476" s="148">
        <f t="shared" si="127"/>
        <v>0.1792697354641784</v>
      </c>
    </row>
    <row r="2477" spans="2:6" x14ac:dyDescent="0.2">
      <c r="B2477" s="115" t="s">
        <v>1192</v>
      </c>
      <c r="C2477" s="114">
        <v>2124</v>
      </c>
      <c r="D2477" s="147">
        <f t="shared" si="126"/>
        <v>0.77714825306891766</v>
      </c>
      <c r="E2477" s="148">
        <f t="shared" si="125"/>
        <v>2.2265313220753033E-4</v>
      </c>
      <c r="F2477" s="148">
        <f t="shared" si="127"/>
        <v>0.17949238859638594</v>
      </c>
    </row>
    <row r="2478" spans="2:6" x14ac:dyDescent="0.2">
      <c r="B2478" s="115" t="s">
        <v>805</v>
      </c>
      <c r="C2478" s="114">
        <v>2125</v>
      </c>
      <c r="D2478" s="147">
        <f t="shared" si="126"/>
        <v>0.77746301542334006</v>
      </c>
      <c r="E2478" s="148">
        <f t="shared" si="125"/>
        <v>2.2275795948258095E-4</v>
      </c>
      <c r="F2478" s="148">
        <f t="shared" si="127"/>
        <v>0.17971514655586854</v>
      </c>
    </row>
    <row r="2479" spans="2:6" x14ac:dyDescent="0.2">
      <c r="B2479" s="115" t="s">
        <v>2826</v>
      </c>
      <c r="C2479" s="114">
        <v>2128</v>
      </c>
      <c r="D2479" s="147">
        <f t="shared" si="126"/>
        <v>0.77777777777776247</v>
      </c>
      <c r="E2479" s="148">
        <f t="shared" si="125"/>
        <v>2.2307244130773284E-4</v>
      </c>
      <c r="F2479" s="148">
        <f t="shared" si="127"/>
        <v>0.17993821899717627</v>
      </c>
    </row>
    <row r="2480" spans="2:6" x14ac:dyDescent="0.2">
      <c r="B2480" s="115" t="s">
        <v>370</v>
      </c>
      <c r="C2480" s="114">
        <v>2128</v>
      </c>
      <c r="D2480" s="147">
        <f t="shared" si="126"/>
        <v>0.77809254013218487</v>
      </c>
      <c r="E2480" s="148">
        <f t="shared" si="125"/>
        <v>2.2307244130773284E-4</v>
      </c>
      <c r="F2480" s="148">
        <f t="shared" si="127"/>
        <v>0.180161291438484</v>
      </c>
    </row>
    <row r="2481" spans="2:6" x14ac:dyDescent="0.2">
      <c r="B2481" s="206" t="s">
        <v>1408</v>
      </c>
      <c r="C2481" s="205">
        <v>2130</v>
      </c>
      <c r="D2481" s="147">
        <f t="shared" si="126"/>
        <v>0.77840730248660728</v>
      </c>
      <c r="E2481" s="148">
        <f t="shared" si="125"/>
        <v>2.2328209585783409E-4</v>
      </c>
      <c r="F2481" s="148">
        <f t="shared" si="127"/>
        <v>0.18038457353434184</v>
      </c>
    </row>
    <row r="2482" spans="2:6" x14ac:dyDescent="0.2">
      <c r="B2482" s="115" t="s">
        <v>1584</v>
      </c>
      <c r="C2482" s="114">
        <v>2135</v>
      </c>
      <c r="D2482" s="147">
        <f t="shared" si="126"/>
        <v>0.77872206484102968</v>
      </c>
      <c r="E2482" s="148">
        <f t="shared" si="125"/>
        <v>2.2380623223308723E-4</v>
      </c>
      <c r="F2482" s="148">
        <f t="shared" si="127"/>
        <v>0.18060837976657493</v>
      </c>
    </row>
    <row r="2483" spans="2:6" x14ac:dyDescent="0.2">
      <c r="B2483" s="115" t="s">
        <v>187</v>
      </c>
      <c r="C2483" s="114">
        <v>2136</v>
      </c>
      <c r="D2483" s="147">
        <f t="shared" si="126"/>
        <v>0.77903682719545209</v>
      </c>
      <c r="E2483" s="148">
        <f t="shared" si="125"/>
        <v>2.2391105950813784E-4</v>
      </c>
      <c r="F2483" s="148">
        <f t="shared" si="127"/>
        <v>0.18083229082608307</v>
      </c>
    </row>
    <row r="2484" spans="2:6" x14ac:dyDescent="0.2">
      <c r="B2484" s="206" t="s">
        <v>539</v>
      </c>
      <c r="C2484" s="205">
        <v>2139</v>
      </c>
      <c r="D2484" s="147">
        <f t="shared" si="126"/>
        <v>0.77935158954987449</v>
      </c>
      <c r="E2484" s="148">
        <f t="shared" si="125"/>
        <v>2.2422554133328973E-4</v>
      </c>
      <c r="F2484" s="148">
        <f t="shared" si="127"/>
        <v>0.18105651636741635</v>
      </c>
    </row>
    <row r="2485" spans="2:6" x14ac:dyDescent="0.2">
      <c r="B2485" s="115" t="s">
        <v>1764</v>
      </c>
      <c r="C2485" s="114">
        <v>2141</v>
      </c>
      <c r="D2485" s="147">
        <f t="shared" si="126"/>
        <v>0.77966635190429689</v>
      </c>
      <c r="E2485" s="148">
        <f t="shared" si="125"/>
        <v>2.2443519588339098E-4</v>
      </c>
      <c r="F2485" s="148">
        <f t="shared" si="127"/>
        <v>0.18128095156329974</v>
      </c>
    </row>
    <row r="2486" spans="2:6" x14ac:dyDescent="0.2">
      <c r="B2486" s="206" t="s">
        <v>1101</v>
      </c>
      <c r="C2486" s="205">
        <v>2143</v>
      </c>
      <c r="D2486" s="147">
        <f t="shared" si="126"/>
        <v>0.7799811142587193</v>
      </c>
      <c r="E2486" s="148">
        <f t="shared" si="125"/>
        <v>2.2464485043349224E-4</v>
      </c>
      <c r="F2486" s="148">
        <f t="shared" si="127"/>
        <v>0.18150559641373323</v>
      </c>
    </row>
    <row r="2487" spans="2:6" x14ac:dyDescent="0.2">
      <c r="B2487" s="115" t="s">
        <v>1705</v>
      </c>
      <c r="C2487" s="114">
        <v>2144</v>
      </c>
      <c r="D2487" s="147">
        <f t="shared" si="126"/>
        <v>0.7802958766131417</v>
      </c>
      <c r="E2487" s="148">
        <f t="shared" si="125"/>
        <v>2.2474967770854285E-4</v>
      </c>
      <c r="F2487" s="148">
        <f t="shared" si="127"/>
        <v>0.18173034609144179</v>
      </c>
    </row>
    <row r="2488" spans="2:6" x14ac:dyDescent="0.2">
      <c r="B2488" s="115" t="s">
        <v>621</v>
      </c>
      <c r="C2488" s="114">
        <v>2145</v>
      </c>
      <c r="D2488" s="147">
        <f t="shared" si="126"/>
        <v>0.78061063896756411</v>
      </c>
      <c r="E2488" s="148">
        <f t="shared" si="125"/>
        <v>2.2485450498359349E-4</v>
      </c>
      <c r="F2488" s="148">
        <f t="shared" si="127"/>
        <v>0.18195520059642539</v>
      </c>
    </row>
    <row r="2489" spans="2:6" x14ac:dyDescent="0.2">
      <c r="B2489" s="115" t="s">
        <v>1024</v>
      </c>
      <c r="C2489" s="114">
        <v>2146</v>
      </c>
      <c r="D2489" s="147">
        <f t="shared" si="126"/>
        <v>0.78092540132198651</v>
      </c>
      <c r="E2489" s="148">
        <f t="shared" si="125"/>
        <v>2.249593322586441E-4</v>
      </c>
      <c r="F2489" s="148">
        <f t="shared" si="127"/>
        <v>0.18218015992868403</v>
      </c>
    </row>
    <row r="2490" spans="2:6" x14ac:dyDescent="0.2">
      <c r="B2490" s="115" t="s">
        <v>2914</v>
      </c>
      <c r="C2490" s="114">
        <v>2149</v>
      </c>
      <c r="D2490" s="147">
        <f t="shared" si="126"/>
        <v>0.78124016367640892</v>
      </c>
      <c r="E2490" s="148">
        <f t="shared" si="125"/>
        <v>2.2527381408379599E-4</v>
      </c>
      <c r="F2490" s="148">
        <f t="shared" si="127"/>
        <v>0.18240543374276783</v>
      </c>
    </row>
    <row r="2491" spans="2:6" x14ac:dyDescent="0.2">
      <c r="B2491" s="206" t="s">
        <v>1120</v>
      </c>
      <c r="C2491" s="205">
        <v>2149</v>
      </c>
      <c r="D2491" s="147">
        <f t="shared" si="126"/>
        <v>0.78155492603083132</v>
      </c>
      <c r="E2491" s="148">
        <f t="shared" si="125"/>
        <v>2.2527381408379599E-4</v>
      </c>
      <c r="F2491" s="148">
        <f t="shared" si="127"/>
        <v>0.18263070755685162</v>
      </c>
    </row>
    <row r="2492" spans="2:6" x14ac:dyDescent="0.2">
      <c r="B2492" s="115" t="s">
        <v>2247</v>
      </c>
      <c r="C2492" s="114">
        <v>2160</v>
      </c>
      <c r="D2492" s="147">
        <f t="shared" si="126"/>
        <v>0.78186968838525372</v>
      </c>
      <c r="E2492" s="148">
        <f t="shared" si="125"/>
        <v>2.2642691410935289E-4</v>
      </c>
      <c r="F2492" s="148">
        <f t="shared" si="127"/>
        <v>0.18285713447096097</v>
      </c>
    </row>
    <row r="2493" spans="2:6" x14ac:dyDescent="0.2">
      <c r="B2493" s="206" t="s">
        <v>637</v>
      </c>
      <c r="C2493" s="205">
        <v>2160</v>
      </c>
      <c r="D2493" s="147">
        <f t="shared" si="126"/>
        <v>0.78218445073967613</v>
      </c>
      <c r="E2493" s="148">
        <f t="shared" si="125"/>
        <v>2.2642691410935289E-4</v>
      </c>
      <c r="F2493" s="148">
        <f t="shared" si="127"/>
        <v>0.18308356138507031</v>
      </c>
    </row>
    <row r="2494" spans="2:6" x14ac:dyDescent="0.2">
      <c r="B2494" s="115" t="s">
        <v>2669</v>
      </c>
      <c r="C2494" s="114">
        <v>2165</v>
      </c>
      <c r="D2494" s="147">
        <f t="shared" si="126"/>
        <v>0.78249921309409853</v>
      </c>
      <c r="E2494" s="148">
        <f t="shared" si="125"/>
        <v>2.26951050484606E-4</v>
      </c>
      <c r="F2494" s="148">
        <f t="shared" si="127"/>
        <v>0.18331051243555493</v>
      </c>
    </row>
    <row r="2495" spans="2:6" x14ac:dyDescent="0.2">
      <c r="B2495" s="206" t="s">
        <v>994</v>
      </c>
      <c r="C2495" s="205">
        <v>2166</v>
      </c>
      <c r="D2495" s="147">
        <f t="shared" si="126"/>
        <v>0.78281397544852094</v>
      </c>
      <c r="E2495" s="148">
        <f t="shared" si="125"/>
        <v>2.2705587775965664E-4</v>
      </c>
      <c r="F2495" s="148">
        <f t="shared" si="127"/>
        <v>0.18353756831331458</v>
      </c>
    </row>
    <row r="2496" spans="2:6" x14ac:dyDescent="0.2">
      <c r="B2496" s="206" t="s">
        <v>3084</v>
      </c>
      <c r="C2496" s="205">
        <v>2167</v>
      </c>
      <c r="D2496" s="147">
        <f t="shared" si="126"/>
        <v>0.78312873780294334</v>
      </c>
      <c r="E2496" s="148">
        <f t="shared" si="125"/>
        <v>2.2716070503470725E-4</v>
      </c>
      <c r="F2496" s="148">
        <f t="shared" si="127"/>
        <v>0.18376472901834928</v>
      </c>
    </row>
    <row r="2497" spans="2:6" x14ac:dyDescent="0.2">
      <c r="B2497" s="115" t="s">
        <v>990</v>
      </c>
      <c r="C2497" s="114">
        <v>2167</v>
      </c>
      <c r="D2497" s="147">
        <f t="shared" si="126"/>
        <v>0.78344350015736575</v>
      </c>
      <c r="E2497" s="148">
        <f t="shared" si="125"/>
        <v>2.2716070503470725E-4</v>
      </c>
      <c r="F2497" s="148">
        <f t="shared" si="127"/>
        <v>0.18399188972338398</v>
      </c>
    </row>
    <row r="2498" spans="2:6" x14ac:dyDescent="0.2">
      <c r="B2498" s="115" t="s">
        <v>3065</v>
      </c>
      <c r="C2498" s="114">
        <v>2170</v>
      </c>
      <c r="D2498" s="147">
        <f t="shared" si="126"/>
        <v>0.78375826251178815</v>
      </c>
      <c r="E2498" s="148">
        <f t="shared" si="125"/>
        <v>2.2747518685985914E-4</v>
      </c>
      <c r="F2498" s="148">
        <f t="shared" si="127"/>
        <v>0.18421936491024385</v>
      </c>
    </row>
    <row r="2499" spans="2:6" x14ac:dyDescent="0.2">
      <c r="B2499" s="115" t="s">
        <v>691</v>
      </c>
      <c r="C2499" s="114">
        <v>2170</v>
      </c>
      <c r="D2499" s="147">
        <f t="shared" si="126"/>
        <v>0.78407302486621056</v>
      </c>
      <c r="E2499" s="148">
        <f t="shared" si="125"/>
        <v>2.2747518685985914E-4</v>
      </c>
      <c r="F2499" s="148">
        <f t="shared" si="127"/>
        <v>0.18444684009710371</v>
      </c>
    </row>
    <row r="2500" spans="2:6" x14ac:dyDescent="0.2">
      <c r="B2500" s="115" t="s">
        <v>1864</v>
      </c>
      <c r="C2500" s="114">
        <v>2180</v>
      </c>
      <c r="D2500" s="147">
        <f t="shared" si="126"/>
        <v>0.78438778722063296</v>
      </c>
      <c r="E2500" s="148">
        <f t="shared" si="125"/>
        <v>2.285234596103654E-4</v>
      </c>
      <c r="F2500" s="148">
        <f t="shared" si="127"/>
        <v>0.18467536355671407</v>
      </c>
    </row>
    <row r="2501" spans="2:6" x14ac:dyDescent="0.2">
      <c r="B2501" s="115" t="s">
        <v>1649</v>
      </c>
      <c r="C2501" s="114">
        <v>2181</v>
      </c>
      <c r="D2501" s="147">
        <f t="shared" si="126"/>
        <v>0.78470254957505536</v>
      </c>
      <c r="E2501" s="148">
        <f t="shared" si="125"/>
        <v>2.2862828688541604E-4</v>
      </c>
      <c r="F2501" s="148">
        <f t="shared" si="127"/>
        <v>0.18490399184359949</v>
      </c>
    </row>
    <row r="2502" spans="2:6" x14ac:dyDescent="0.2">
      <c r="B2502" s="115" t="s">
        <v>774</v>
      </c>
      <c r="C2502" s="114">
        <v>2181</v>
      </c>
      <c r="D2502" s="147">
        <f t="shared" si="126"/>
        <v>0.78501731192947777</v>
      </c>
      <c r="E2502" s="148">
        <f t="shared" si="125"/>
        <v>2.2862828688541604E-4</v>
      </c>
      <c r="F2502" s="148">
        <f t="shared" si="127"/>
        <v>0.1851326201304849</v>
      </c>
    </row>
    <row r="2503" spans="2:6" x14ac:dyDescent="0.2">
      <c r="B2503" s="115" t="s">
        <v>995</v>
      </c>
      <c r="C2503" s="114">
        <v>2183</v>
      </c>
      <c r="D2503" s="147">
        <f t="shared" si="126"/>
        <v>0.78533207428390017</v>
      </c>
      <c r="E2503" s="148">
        <f t="shared" si="125"/>
        <v>2.2883794143551729E-4</v>
      </c>
      <c r="F2503" s="148">
        <f t="shared" si="127"/>
        <v>0.18536145807192042</v>
      </c>
    </row>
    <row r="2504" spans="2:6" x14ac:dyDescent="0.2">
      <c r="B2504" s="206" t="s">
        <v>440</v>
      </c>
      <c r="C2504" s="205">
        <v>2184</v>
      </c>
      <c r="D2504" s="147">
        <f t="shared" si="126"/>
        <v>0.78564683663832258</v>
      </c>
      <c r="E2504" s="148">
        <f t="shared" si="125"/>
        <v>2.289427687105679E-4</v>
      </c>
      <c r="F2504" s="148">
        <f t="shared" si="127"/>
        <v>0.185590400840631</v>
      </c>
    </row>
    <row r="2505" spans="2:6" x14ac:dyDescent="0.2">
      <c r="B2505" s="206" t="s">
        <v>2035</v>
      </c>
      <c r="C2505" s="205">
        <v>2187</v>
      </c>
      <c r="D2505" s="147">
        <f t="shared" si="126"/>
        <v>0.78596159899274498</v>
      </c>
      <c r="E2505" s="148">
        <f t="shared" ref="E2505:E2568" si="128">C2505/$O$18</f>
        <v>2.2925725053571979E-4</v>
      </c>
      <c r="F2505" s="148">
        <f t="shared" si="127"/>
        <v>0.18581965809116671</v>
      </c>
    </row>
    <row r="2506" spans="2:6" x14ac:dyDescent="0.2">
      <c r="B2506" s="115" t="s">
        <v>1184</v>
      </c>
      <c r="C2506" s="114">
        <v>2188</v>
      </c>
      <c r="D2506" s="147">
        <f t="shared" ref="D2506:D2569" si="129">D2505+1/$L$18</f>
        <v>0.78627636134716739</v>
      </c>
      <c r="E2506" s="148">
        <f t="shared" si="128"/>
        <v>2.293620778107704E-4</v>
      </c>
      <c r="F2506" s="148">
        <f t="shared" ref="F2506:F2569" si="130">F2505+E2506</f>
        <v>0.18604902016897748</v>
      </c>
    </row>
    <row r="2507" spans="2:6" x14ac:dyDescent="0.2">
      <c r="B2507" s="115" t="s">
        <v>226</v>
      </c>
      <c r="C2507" s="114">
        <v>2190</v>
      </c>
      <c r="D2507" s="147">
        <f t="shared" si="129"/>
        <v>0.78659112370158979</v>
      </c>
      <c r="E2507" s="148">
        <f t="shared" si="128"/>
        <v>2.2957173236087166E-4</v>
      </c>
      <c r="F2507" s="148">
        <f t="shared" si="130"/>
        <v>0.18627859190133836</v>
      </c>
    </row>
    <row r="2508" spans="2:6" x14ac:dyDescent="0.2">
      <c r="B2508" s="115" t="s">
        <v>1612</v>
      </c>
      <c r="C2508" s="114">
        <v>2192</v>
      </c>
      <c r="D2508" s="147">
        <f t="shared" si="129"/>
        <v>0.78690588605601219</v>
      </c>
      <c r="E2508" s="148">
        <f t="shared" si="128"/>
        <v>2.2978138691097293E-4</v>
      </c>
      <c r="F2508" s="148">
        <f t="shared" si="130"/>
        <v>0.18650837328824932</v>
      </c>
    </row>
    <row r="2509" spans="2:6" x14ac:dyDescent="0.2">
      <c r="B2509" s="115" t="s">
        <v>1889</v>
      </c>
      <c r="C2509" s="114">
        <v>2198</v>
      </c>
      <c r="D2509" s="147">
        <f t="shared" si="129"/>
        <v>0.7872206484104346</v>
      </c>
      <c r="E2509" s="148">
        <f t="shared" si="128"/>
        <v>2.3041035056127669E-4</v>
      </c>
      <c r="F2509" s="148">
        <f t="shared" si="130"/>
        <v>0.18673878363881061</v>
      </c>
    </row>
    <row r="2510" spans="2:6" x14ac:dyDescent="0.2">
      <c r="B2510" s="115" t="s">
        <v>1447</v>
      </c>
      <c r="C2510" s="114">
        <v>2202</v>
      </c>
      <c r="D2510" s="147">
        <f t="shared" si="129"/>
        <v>0.787535410764857</v>
      </c>
      <c r="E2510" s="148">
        <f t="shared" si="128"/>
        <v>2.3082965966147919E-4</v>
      </c>
      <c r="F2510" s="148">
        <f t="shared" si="130"/>
        <v>0.18696961329847209</v>
      </c>
    </row>
    <row r="2511" spans="2:6" x14ac:dyDescent="0.2">
      <c r="B2511" s="115" t="s">
        <v>2249</v>
      </c>
      <c r="C2511" s="114">
        <v>2204</v>
      </c>
      <c r="D2511" s="147">
        <f t="shared" si="129"/>
        <v>0.78785017311927941</v>
      </c>
      <c r="E2511" s="148">
        <f t="shared" si="128"/>
        <v>2.3103931421158044E-4</v>
      </c>
      <c r="F2511" s="148">
        <f t="shared" si="130"/>
        <v>0.18720065261268368</v>
      </c>
    </row>
    <row r="2512" spans="2:6" x14ac:dyDescent="0.2">
      <c r="B2512" s="115" t="s">
        <v>2573</v>
      </c>
      <c r="C2512" s="114">
        <v>2209</v>
      </c>
      <c r="D2512" s="147">
        <f t="shared" si="129"/>
        <v>0.78816493547370181</v>
      </c>
      <c r="E2512" s="148">
        <f t="shared" si="128"/>
        <v>2.3156345058683356E-4</v>
      </c>
      <c r="F2512" s="148">
        <f t="shared" si="130"/>
        <v>0.18743221606327051</v>
      </c>
    </row>
    <row r="2513" spans="2:6" x14ac:dyDescent="0.2">
      <c r="B2513" s="206" t="s">
        <v>306</v>
      </c>
      <c r="C2513" s="205">
        <v>2221</v>
      </c>
      <c r="D2513" s="147">
        <f t="shared" si="129"/>
        <v>0.78847969782812422</v>
      </c>
      <c r="E2513" s="148">
        <f t="shared" si="128"/>
        <v>2.3282137788744109E-4</v>
      </c>
      <c r="F2513" s="148">
        <f t="shared" si="130"/>
        <v>0.18766503744115795</v>
      </c>
    </row>
    <row r="2514" spans="2:6" x14ac:dyDescent="0.2">
      <c r="B2514" s="115" t="s">
        <v>1149</v>
      </c>
      <c r="C2514" s="114">
        <v>2222</v>
      </c>
      <c r="D2514" s="147">
        <f t="shared" si="129"/>
        <v>0.78879446018254662</v>
      </c>
      <c r="E2514" s="148">
        <f t="shared" si="128"/>
        <v>2.329262051624917E-4</v>
      </c>
      <c r="F2514" s="148">
        <f t="shared" si="130"/>
        <v>0.18789796364632044</v>
      </c>
    </row>
    <row r="2515" spans="2:6" x14ac:dyDescent="0.2">
      <c r="B2515" s="115" t="s">
        <v>2780</v>
      </c>
      <c r="C2515" s="114">
        <v>2229</v>
      </c>
      <c r="D2515" s="147">
        <f t="shared" si="129"/>
        <v>0.78910922253696902</v>
      </c>
      <c r="E2515" s="148">
        <f t="shared" si="128"/>
        <v>2.336599960878461E-4</v>
      </c>
      <c r="F2515" s="148">
        <f t="shared" si="130"/>
        <v>0.18813162364240829</v>
      </c>
    </row>
    <row r="2516" spans="2:6" x14ac:dyDescent="0.2">
      <c r="B2516" s="115" t="s">
        <v>2767</v>
      </c>
      <c r="C2516" s="114">
        <v>2230</v>
      </c>
      <c r="D2516" s="147">
        <f t="shared" si="129"/>
        <v>0.78942398489139143</v>
      </c>
      <c r="E2516" s="148">
        <f t="shared" si="128"/>
        <v>2.3376482336289671E-4</v>
      </c>
      <c r="F2516" s="148">
        <f t="shared" si="130"/>
        <v>0.18836538846577119</v>
      </c>
    </row>
    <row r="2517" spans="2:6" x14ac:dyDescent="0.2">
      <c r="B2517" s="115" t="s">
        <v>1985</v>
      </c>
      <c r="C2517" s="114">
        <v>2230</v>
      </c>
      <c r="D2517" s="147">
        <f t="shared" si="129"/>
        <v>0.78973874724581383</v>
      </c>
      <c r="E2517" s="148">
        <f t="shared" si="128"/>
        <v>2.3376482336289671E-4</v>
      </c>
      <c r="F2517" s="148">
        <f t="shared" si="130"/>
        <v>0.1885991532891341</v>
      </c>
    </row>
    <row r="2518" spans="2:6" x14ac:dyDescent="0.2">
      <c r="B2518" s="115" t="s">
        <v>41</v>
      </c>
      <c r="C2518" s="114">
        <v>2235</v>
      </c>
      <c r="D2518" s="147">
        <f t="shared" si="129"/>
        <v>0.79005350960023624</v>
      </c>
      <c r="E2518" s="148">
        <f t="shared" si="128"/>
        <v>2.3428895973814985E-4</v>
      </c>
      <c r="F2518" s="148">
        <f t="shared" si="130"/>
        <v>0.18883344224887225</v>
      </c>
    </row>
    <row r="2519" spans="2:6" x14ac:dyDescent="0.2">
      <c r="B2519" s="115" t="s">
        <v>2276</v>
      </c>
      <c r="C2519" s="114">
        <v>2237</v>
      </c>
      <c r="D2519" s="147">
        <f t="shared" si="129"/>
        <v>0.79036827195465864</v>
      </c>
      <c r="E2519" s="148">
        <f t="shared" si="128"/>
        <v>2.344986142882511E-4</v>
      </c>
      <c r="F2519" s="148">
        <f t="shared" si="130"/>
        <v>0.18906794086316051</v>
      </c>
    </row>
    <row r="2520" spans="2:6" x14ac:dyDescent="0.2">
      <c r="B2520" s="115" t="s">
        <v>388</v>
      </c>
      <c r="C2520" s="114">
        <v>2239</v>
      </c>
      <c r="D2520" s="147">
        <f t="shared" si="129"/>
        <v>0.79068303430908105</v>
      </c>
      <c r="E2520" s="148">
        <f t="shared" si="128"/>
        <v>2.3470826883835235E-4</v>
      </c>
      <c r="F2520" s="148">
        <f t="shared" si="130"/>
        <v>0.18930264913199885</v>
      </c>
    </row>
    <row r="2521" spans="2:6" x14ac:dyDescent="0.2">
      <c r="B2521" s="115" t="s">
        <v>2879</v>
      </c>
      <c r="C2521" s="114">
        <v>2242</v>
      </c>
      <c r="D2521" s="147">
        <f t="shared" si="129"/>
        <v>0.79099779666350345</v>
      </c>
      <c r="E2521" s="148">
        <f t="shared" si="128"/>
        <v>2.3502275066350424E-4</v>
      </c>
      <c r="F2521" s="148">
        <f t="shared" si="130"/>
        <v>0.18953767188266235</v>
      </c>
    </row>
    <row r="2522" spans="2:6" x14ac:dyDescent="0.2">
      <c r="B2522" s="206" t="s">
        <v>2949</v>
      </c>
      <c r="C2522" s="205">
        <v>2245</v>
      </c>
      <c r="D2522" s="147">
        <f t="shared" si="129"/>
        <v>0.79131255901792585</v>
      </c>
      <c r="E2522" s="148">
        <f t="shared" si="128"/>
        <v>2.3533723248865611E-4</v>
      </c>
      <c r="F2522" s="148">
        <f t="shared" si="130"/>
        <v>0.18977300911515102</v>
      </c>
    </row>
    <row r="2523" spans="2:6" x14ac:dyDescent="0.2">
      <c r="B2523" s="115" t="s">
        <v>3071</v>
      </c>
      <c r="C2523" s="114">
        <v>2254</v>
      </c>
      <c r="D2523" s="147">
        <f t="shared" si="129"/>
        <v>0.79162732137234826</v>
      </c>
      <c r="E2523" s="148">
        <f t="shared" si="128"/>
        <v>2.3628067796411175E-4</v>
      </c>
      <c r="F2523" s="148">
        <f t="shared" si="130"/>
        <v>0.19000928979311513</v>
      </c>
    </row>
    <row r="2524" spans="2:6" x14ac:dyDescent="0.2">
      <c r="B2524" s="115" t="s">
        <v>2358</v>
      </c>
      <c r="C2524" s="114">
        <v>2255</v>
      </c>
      <c r="D2524" s="147">
        <f t="shared" si="129"/>
        <v>0.79194208372677066</v>
      </c>
      <c r="E2524" s="148">
        <f t="shared" si="128"/>
        <v>2.3638550523916239E-4</v>
      </c>
      <c r="F2524" s="148">
        <f t="shared" si="130"/>
        <v>0.19024567529835429</v>
      </c>
    </row>
    <row r="2525" spans="2:6" x14ac:dyDescent="0.2">
      <c r="B2525" s="115" t="s">
        <v>2389</v>
      </c>
      <c r="C2525" s="114">
        <v>2256</v>
      </c>
      <c r="D2525" s="147">
        <f t="shared" si="129"/>
        <v>0.79225684608119307</v>
      </c>
      <c r="E2525" s="148">
        <f t="shared" si="128"/>
        <v>2.36490332514213E-4</v>
      </c>
      <c r="F2525" s="148">
        <f t="shared" si="130"/>
        <v>0.19048216563086851</v>
      </c>
    </row>
    <row r="2526" spans="2:6" x14ac:dyDescent="0.2">
      <c r="B2526" s="115" t="s">
        <v>844</v>
      </c>
      <c r="C2526" s="114">
        <v>2256</v>
      </c>
      <c r="D2526" s="147">
        <f t="shared" si="129"/>
        <v>0.79257160843561547</v>
      </c>
      <c r="E2526" s="148">
        <f t="shared" si="128"/>
        <v>2.36490332514213E-4</v>
      </c>
      <c r="F2526" s="148">
        <f t="shared" si="130"/>
        <v>0.19071865596338272</v>
      </c>
    </row>
    <row r="2527" spans="2:6" x14ac:dyDescent="0.2">
      <c r="B2527" s="115" t="s">
        <v>1215</v>
      </c>
      <c r="C2527" s="114">
        <v>2257</v>
      </c>
      <c r="D2527" s="147">
        <f t="shared" si="129"/>
        <v>0.79288637079003788</v>
      </c>
      <c r="E2527" s="148">
        <f t="shared" si="128"/>
        <v>2.3659515978926364E-4</v>
      </c>
      <c r="F2527" s="148">
        <f t="shared" si="130"/>
        <v>0.19095525112317199</v>
      </c>
    </row>
    <row r="2528" spans="2:6" x14ac:dyDescent="0.2">
      <c r="B2528" s="115" t="s">
        <v>2783</v>
      </c>
      <c r="C2528" s="114">
        <v>2258</v>
      </c>
      <c r="D2528" s="147">
        <f t="shared" si="129"/>
        <v>0.79320113314446028</v>
      </c>
      <c r="E2528" s="148">
        <f t="shared" si="128"/>
        <v>2.3669998706431425E-4</v>
      </c>
      <c r="F2528" s="148">
        <f t="shared" si="130"/>
        <v>0.19119195111023632</v>
      </c>
    </row>
    <row r="2529" spans="2:6" x14ac:dyDescent="0.2">
      <c r="B2529" s="115" t="s">
        <v>1684</v>
      </c>
      <c r="C2529" s="114">
        <v>2267</v>
      </c>
      <c r="D2529" s="147">
        <f t="shared" si="129"/>
        <v>0.79351589549888268</v>
      </c>
      <c r="E2529" s="148">
        <f t="shared" si="128"/>
        <v>2.376434325397699E-4</v>
      </c>
      <c r="F2529" s="148">
        <f t="shared" si="130"/>
        <v>0.19142959454277608</v>
      </c>
    </row>
    <row r="2530" spans="2:6" x14ac:dyDescent="0.2">
      <c r="B2530" s="115" t="s">
        <v>588</v>
      </c>
      <c r="C2530" s="114">
        <v>2275</v>
      </c>
      <c r="D2530" s="147">
        <f t="shared" si="129"/>
        <v>0.79383065785330509</v>
      </c>
      <c r="E2530" s="148">
        <f t="shared" si="128"/>
        <v>2.384820507401749E-4</v>
      </c>
      <c r="F2530" s="148">
        <f t="shared" si="130"/>
        <v>0.19166807659351626</v>
      </c>
    </row>
    <row r="2531" spans="2:6" x14ac:dyDescent="0.2">
      <c r="B2531" s="115" t="s">
        <v>2056</v>
      </c>
      <c r="C2531" s="114">
        <v>2277</v>
      </c>
      <c r="D2531" s="147">
        <f t="shared" si="129"/>
        <v>0.79414542020772749</v>
      </c>
      <c r="E2531" s="148">
        <f t="shared" si="128"/>
        <v>2.3869170529027616E-4</v>
      </c>
      <c r="F2531" s="148">
        <f t="shared" si="130"/>
        <v>0.19190676829880654</v>
      </c>
    </row>
    <row r="2532" spans="2:6" x14ac:dyDescent="0.2">
      <c r="B2532" s="115" t="s">
        <v>1041</v>
      </c>
      <c r="C2532" s="114">
        <v>2278</v>
      </c>
      <c r="D2532" s="147">
        <f t="shared" si="129"/>
        <v>0.7944601825621499</v>
      </c>
      <c r="E2532" s="148">
        <f t="shared" si="128"/>
        <v>2.3879653256532679E-4</v>
      </c>
      <c r="F2532" s="148">
        <f t="shared" si="130"/>
        <v>0.19214556483137188</v>
      </c>
    </row>
    <row r="2533" spans="2:6" x14ac:dyDescent="0.2">
      <c r="B2533" s="115" t="s">
        <v>2725</v>
      </c>
      <c r="C2533" s="114">
        <v>2283</v>
      </c>
      <c r="D2533" s="147">
        <f t="shared" si="129"/>
        <v>0.7947749449165723</v>
      </c>
      <c r="E2533" s="148">
        <f t="shared" si="128"/>
        <v>2.3932066894057991E-4</v>
      </c>
      <c r="F2533" s="148">
        <f t="shared" si="130"/>
        <v>0.19238488550031246</v>
      </c>
    </row>
    <row r="2534" spans="2:6" x14ac:dyDescent="0.2">
      <c r="B2534" s="206" t="s">
        <v>677</v>
      </c>
      <c r="C2534" s="205">
        <v>2283</v>
      </c>
      <c r="D2534" s="147">
        <f t="shared" si="129"/>
        <v>0.79508970727099471</v>
      </c>
      <c r="E2534" s="148">
        <f t="shared" si="128"/>
        <v>2.3932066894057991E-4</v>
      </c>
      <c r="F2534" s="148">
        <f t="shared" si="130"/>
        <v>0.19262420616925305</v>
      </c>
    </row>
    <row r="2535" spans="2:6" x14ac:dyDescent="0.2">
      <c r="B2535" s="115" t="s">
        <v>3048</v>
      </c>
      <c r="C2535" s="114">
        <v>2288</v>
      </c>
      <c r="D2535" s="147">
        <f t="shared" si="129"/>
        <v>0.79540446962541711</v>
      </c>
      <c r="E2535" s="148">
        <f t="shared" si="128"/>
        <v>2.3984480531583305E-4</v>
      </c>
      <c r="F2535" s="148">
        <f t="shared" si="130"/>
        <v>0.19286405097456888</v>
      </c>
    </row>
    <row r="2536" spans="2:6" x14ac:dyDescent="0.2">
      <c r="B2536" s="206" t="s">
        <v>772</v>
      </c>
      <c r="C2536" s="205">
        <v>2288</v>
      </c>
      <c r="D2536" s="147">
        <f t="shared" si="129"/>
        <v>0.79571923197983951</v>
      </c>
      <c r="E2536" s="148">
        <f t="shared" si="128"/>
        <v>2.3984480531583305E-4</v>
      </c>
      <c r="F2536" s="148">
        <f t="shared" si="130"/>
        <v>0.19310389577988471</v>
      </c>
    </row>
    <row r="2537" spans="2:6" x14ac:dyDescent="0.2">
      <c r="B2537" s="206" t="s">
        <v>1856</v>
      </c>
      <c r="C2537" s="205">
        <v>2291</v>
      </c>
      <c r="D2537" s="147">
        <f t="shared" si="129"/>
        <v>0.79603399433426192</v>
      </c>
      <c r="E2537" s="148">
        <f t="shared" si="128"/>
        <v>2.4015928714098491E-4</v>
      </c>
      <c r="F2537" s="148">
        <f t="shared" si="130"/>
        <v>0.19334405506702571</v>
      </c>
    </row>
    <row r="2538" spans="2:6" x14ac:dyDescent="0.2">
      <c r="B2538" s="115" t="s">
        <v>2989</v>
      </c>
      <c r="C2538" s="114">
        <v>2295</v>
      </c>
      <c r="D2538" s="147">
        <f t="shared" si="129"/>
        <v>0.79634875668868432</v>
      </c>
      <c r="E2538" s="148">
        <f t="shared" si="128"/>
        <v>2.4057859624118744E-4</v>
      </c>
      <c r="F2538" s="148">
        <f t="shared" si="130"/>
        <v>0.19358463366326689</v>
      </c>
    </row>
    <row r="2539" spans="2:6" x14ac:dyDescent="0.2">
      <c r="B2539" s="115" t="s">
        <v>285</v>
      </c>
      <c r="C2539" s="114">
        <v>2295</v>
      </c>
      <c r="D2539" s="147">
        <f t="shared" si="129"/>
        <v>0.79666351904310673</v>
      </c>
      <c r="E2539" s="148">
        <f t="shared" si="128"/>
        <v>2.4057859624118744E-4</v>
      </c>
      <c r="F2539" s="148">
        <f t="shared" si="130"/>
        <v>0.19382521225950808</v>
      </c>
    </row>
    <row r="2540" spans="2:6" x14ac:dyDescent="0.2">
      <c r="B2540" s="115" t="s">
        <v>359</v>
      </c>
      <c r="C2540" s="114">
        <v>2298</v>
      </c>
      <c r="D2540" s="147">
        <f t="shared" si="129"/>
        <v>0.79697828139752913</v>
      </c>
      <c r="E2540" s="148">
        <f t="shared" si="128"/>
        <v>2.4089307806633931E-4</v>
      </c>
      <c r="F2540" s="148">
        <f t="shared" si="130"/>
        <v>0.19406610533757443</v>
      </c>
    </row>
    <row r="2541" spans="2:6" x14ac:dyDescent="0.2">
      <c r="B2541" s="115" t="s">
        <v>2513</v>
      </c>
      <c r="C2541" s="114">
        <v>2302</v>
      </c>
      <c r="D2541" s="147">
        <f t="shared" si="129"/>
        <v>0.79729304375195154</v>
      </c>
      <c r="E2541" s="148">
        <f t="shared" si="128"/>
        <v>2.4131238716654181E-4</v>
      </c>
      <c r="F2541" s="148">
        <f t="shared" si="130"/>
        <v>0.19430741772474097</v>
      </c>
    </row>
    <row r="2542" spans="2:6" x14ac:dyDescent="0.2">
      <c r="B2542" s="115" t="s">
        <v>2002</v>
      </c>
      <c r="C2542" s="114">
        <v>2305</v>
      </c>
      <c r="D2542" s="147">
        <f t="shared" si="129"/>
        <v>0.79760780610637394</v>
      </c>
      <c r="E2542" s="148">
        <f t="shared" si="128"/>
        <v>2.416268689916937E-4</v>
      </c>
      <c r="F2542" s="148">
        <f t="shared" si="130"/>
        <v>0.19454904459373268</v>
      </c>
    </row>
    <row r="2543" spans="2:6" x14ac:dyDescent="0.2">
      <c r="B2543" s="206" t="s">
        <v>1916</v>
      </c>
      <c r="C2543" s="205">
        <v>2310</v>
      </c>
      <c r="D2543" s="147">
        <f t="shared" si="129"/>
        <v>0.79792256846079634</v>
      </c>
      <c r="E2543" s="148">
        <f t="shared" si="128"/>
        <v>2.4215100536694682E-4</v>
      </c>
      <c r="F2543" s="148">
        <f t="shared" si="130"/>
        <v>0.19479119559909963</v>
      </c>
    </row>
    <row r="2544" spans="2:6" x14ac:dyDescent="0.2">
      <c r="B2544" s="115" t="s">
        <v>1968</v>
      </c>
      <c r="C2544" s="114">
        <v>2316</v>
      </c>
      <c r="D2544" s="147">
        <f t="shared" si="129"/>
        <v>0.79823733081521875</v>
      </c>
      <c r="E2544" s="148">
        <f t="shared" si="128"/>
        <v>2.427799690172506E-4</v>
      </c>
      <c r="F2544" s="148">
        <f t="shared" si="130"/>
        <v>0.19503397556811689</v>
      </c>
    </row>
    <row r="2545" spans="2:6" x14ac:dyDescent="0.2">
      <c r="B2545" s="115" t="s">
        <v>2528</v>
      </c>
      <c r="C2545" s="114">
        <v>2324</v>
      </c>
      <c r="D2545" s="147">
        <f t="shared" si="129"/>
        <v>0.79855209316964115</v>
      </c>
      <c r="E2545" s="148">
        <f t="shared" si="128"/>
        <v>2.436185872176556E-4</v>
      </c>
      <c r="F2545" s="148">
        <f t="shared" si="130"/>
        <v>0.19527759415533455</v>
      </c>
    </row>
    <row r="2546" spans="2:6" x14ac:dyDescent="0.2">
      <c r="B2546" s="115" t="s">
        <v>317</v>
      </c>
      <c r="C2546" s="114">
        <v>2324</v>
      </c>
      <c r="D2546" s="147">
        <f t="shared" si="129"/>
        <v>0.79886685552406356</v>
      </c>
      <c r="E2546" s="148">
        <f t="shared" si="128"/>
        <v>2.436185872176556E-4</v>
      </c>
      <c r="F2546" s="148">
        <f t="shared" si="130"/>
        <v>0.19552121274255221</v>
      </c>
    </row>
    <row r="2547" spans="2:6" x14ac:dyDescent="0.2">
      <c r="B2547" s="206" t="s">
        <v>2863</v>
      </c>
      <c r="C2547" s="205">
        <v>2327</v>
      </c>
      <c r="D2547" s="147">
        <f t="shared" si="129"/>
        <v>0.79918161787848596</v>
      </c>
      <c r="E2547" s="148">
        <f t="shared" si="128"/>
        <v>2.4393306904280747E-4</v>
      </c>
      <c r="F2547" s="148">
        <f t="shared" si="130"/>
        <v>0.19576514581159501</v>
      </c>
    </row>
    <row r="2548" spans="2:6" x14ac:dyDescent="0.2">
      <c r="B2548" s="115" t="s">
        <v>1031</v>
      </c>
      <c r="C2548" s="114">
        <v>2336</v>
      </c>
      <c r="D2548" s="147">
        <f t="shared" si="129"/>
        <v>0.79949638023290837</v>
      </c>
      <c r="E2548" s="148">
        <f t="shared" si="128"/>
        <v>2.4487651451826311E-4</v>
      </c>
      <c r="F2548" s="148">
        <f t="shared" si="130"/>
        <v>0.19601002232611328</v>
      </c>
    </row>
    <row r="2549" spans="2:6" x14ac:dyDescent="0.2">
      <c r="B2549" s="115" t="s">
        <v>379</v>
      </c>
      <c r="C2549" s="114">
        <v>2343</v>
      </c>
      <c r="D2549" s="147">
        <f t="shared" si="129"/>
        <v>0.79981114258733077</v>
      </c>
      <c r="E2549" s="148">
        <f t="shared" si="128"/>
        <v>2.456103054436175E-4</v>
      </c>
      <c r="F2549" s="148">
        <f t="shared" si="130"/>
        <v>0.1962556326315569</v>
      </c>
    </row>
    <row r="2550" spans="2:6" x14ac:dyDescent="0.2">
      <c r="B2550" s="115" t="s">
        <v>1273</v>
      </c>
      <c r="C2550" s="114">
        <v>2344</v>
      </c>
      <c r="D2550" s="147">
        <f t="shared" si="129"/>
        <v>0.80012590494175317</v>
      </c>
      <c r="E2550" s="148">
        <f t="shared" si="128"/>
        <v>2.4571513271866812E-4</v>
      </c>
      <c r="F2550" s="148">
        <f t="shared" si="130"/>
        <v>0.19650134776427558</v>
      </c>
    </row>
    <row r="2551" spans="2:6" x14ac:dyDescent="0.2">
      <c r="B2551" s="115" t="s">
        <v>516</v>
      </c>
      <c r="C2551" s="114">
        <v>2347</v>
      </c>
      <c r="D2551" s="147">
        <f t="shared" si="129"/>
        <v>0.80044066729617558</v>
      </c>
      <c r="E2551" s="148">
        <f t="shared" si="128"/>
        <v>2.4602961454382001E-4</v>
      </c>
      <c r="F2551" s="148">
        <f t="shared" si="130"/>
        <v>0.19674737737881939</v>
      </c>
    </row>
    <row r="2552" spans="2:6" x14ac:dyDescent="0.2">
      <c r="B2552" s="115" t="s">
        <v>841</v>
      </c>
      <c r="C2552" s="114">
        <v>2349</v>
      </c>
      <c r="D2552" s="147">
        <f t="shared" si="129"/>
        <v>0.80075542965059798</v>
      </c>
      <c r="E2552" s="148">
        <f t="shared" si="128"/>
        <v>2.4623926909392123E-4</v>
      </c>
      <c r="F2552" s="148">
        <f t="shared" si="130"/>
        <v>0.19699361664791332</v>
      </c>
    </row>
    <row r="2553" spans="2:6" x14ac:dyDescent="0.2">
      <c r="B2553" s="115" t="s">
        <v>820</v>
      </c>
      <c r="C2553" s="114">
        <v>2349</v>
      </c>
      <c r="D2553" s="147">
        <f t="shared" si="129"/>
        <v>0.80107019200502039</v>
      </c>
      <c r="E2553" s="148">
        <f t="shared" si="128"/>
        <v>2.4623926909392123E-4</v>
      </c>
      <c r="F2553" s="148">
        <f t="shared" si="130"/>
        <v>0.19723985591700724</v>
      </c>
    </row>
    <row r="2554" spans="2:6" x14ac:dyDescent="0.2">
      <c r="B2554" s="115" t="s">
        <v>3041</v>
      </c>
      <c r="C2554" s="114">
        <v>2355</v>
      </c>
      <c r="D2554" s="147">
        <f t="shared" si="129"/>
        <v>0.80138495435944279</v>
      </c>
      <c r="E2554" s="148">
        <f t="shared" si="128"/>
        <v>2.4686823274422501E-4</v>
      </c>
      <c r="F2554" s="148">
        <f t="shared" si="130"/>
        <v>0.19748672414975146</v>
      </c>
    </row>
    <row r="2555" spans="2:6" x14ac:dyDescent="0.2">
      <c r="B2555" s="206" t="s">
        <v>569</v>
      </c>
      <c r="C2555" s="205">
        <v>2355</v>
      </c>
      <c r="D2555" s="147">
        <f t="shared" si="129"/>
        <v>0.8016997167138652</v>
      </c>
      <c r="E2555" s="148">
        <f t="shared" si="128"/>
        <v>2.4686823274422501E-4</v>
      </c>
      <c r="F2555" s="148">
        <f t="shared" si="130"/>
        <v>0.19773359238249569</v>
      </c>
    </row>
    <row r="2556" spans="2:6" x14ac:dyDescent="0.2">
      <c r="B2556" s="115" t="s">
        <v>22</v>
      </c>
      <c r="C2556" s="114">
        <v>2362</v>
      </c>
      <c r="D2556" s="147">
        <f t="shared" si="129"/>
        <v>0.8020144790682876</v>
      </c>
      <c r="E2556" s="148">
        <f t="shared" si="128"/>
        <v>2.476020236695794E-4</v>
      </c>
      <c r="F2556" s="148">
        <f t="shared" si="130"/>
        <v>0.19798119440616527</v>
      </c>
    </row>
    <row r="2557" spans="2:6" x14ac:dyDescent="0.2">
      <c r="B2557" s="115" t="s">
        <v>2477</v>
      </c>
      <c r="C2557" s="114">
        <v>2363</v>
      </c>
      <c r="D2557" s="147">
        <f t="shared" si="129"/>
        <v>0.80232924142271</v>
      </c>
      <c r="E2557" s="148">
        <f t="shared" si="128"/>
        <v>2.4770685094463002E-4</v>
      </c>
      <c r="F2557" s="148">
        <f t="shared" si="130"/>
        <v>0.1982289012571099</v>
      </c>
    </row>
    <row r="2558" spans="2:6" x14ac:dyDescent="0.2">
      <c r="B2558" s="115" t="s">
        <v>2014</v>
      </c>
      <c r="C2558" s="114">
        <v>2365</v>
      </c>
      <c r="D2558" s="147">
        <f t="shared" si="129"/>
        <v>0.80264400377713241</v>
      </c>
      <c r="E2558" s="148">
        <f t="shared" si="128"/>
        <v>2.4791650549473129E-4</v>
      </c>
      <c r="F2558" s="148">
        <f t="shared" si="130"/>
        <v>0.19847681776260465</v>
      </c>
    </row>
    <row r="2559" spans="2:6" x14ac:dyDescent="0.2">
      <c r="B2559" s="115" t="s">
        <v>1549</v>
      </c>
      <c r="C2559" s="114">
        <v>2368</v>
      </c>
      <c r="D2559" s="147">
        <f t="shared" si="129"/>
        <v>0.80295876613155481</v>
      </c>
      <c r="E2559" s="148">
        <f t="shared" si="128"/>
        <v>2.4823098731988313E-4</v>
      </c>
      <c r="F2559" s="148">
        <f t="shared" si="130"/>
        <v>0.19872504874992453</v>
      </c>
    </row>
    <row r="2560" spans="2:6" x14ac:dyDescent="0.2">
      <c r="B2560" s="115" t="s">
        <v>874</v>
      </c>
      <c r="C2560" s="114">
        <v>2371</v>
      </c>
      <c r="D2560" s="147">
        <f t="shared" si="129"/>
        <v>0.80327352848597722</v>
      </c>
      <c r="E2560" s="148">
        <f t="shared" si="128"/>
        <v>2.4854546914503502E-4</v>
      </c>
      <c r="F2560" s="148">
        <f t="shared" si="130"/>
        <v>0.19897359421906957</v>
      </c>
    </row>
    <row r="2561" spans="2:6" x14ac:dyDescent="0.2">
      <c r="B2561" s="115" t="s">
        <v>1007</v>
      </c>
      <c r="C2561" s="114">
        <v>2374</v>
      </c>
      <c r="D2561" s="147">
        <f t="shared" si="129"/>
        <v>0.80358829084039962</v>
      </c>
      <c r="E2561" s="148">
        <f t="shared" si="128"/>
        <v>2.4885995097018691E-4</v>
      </c>
      <c r="F2561" s="148">
        <f t="shared" si="130"/>
        <v>0.19922245417003975</v>
      </c>
    </row>
    <row r="2562" spans="2:6" x14ac:dyDescent="0.2">
      <c r="B2562" s="115" t="s">
        <v>68</v>
      </c>
      <c r="C2562" s="114">
        <v>2375</v>
      </c>
      <c r="D2562" s="147">
        <f t="shared" si="129"/>
        <v>0.80390305319482203</v>
      </c>
      <c r="E2562" s="148">
        <f t="shared" si="128"/>
        <v>2.4896477824523752E-4</v>
      </c>
      <c r="F2562" s="148">
        <f t="shared" si="130"/>
        <v>0.19947141894828499</v>
      </c>
    </row>
    <row r="2563" spans="2:6" x14ac:dyDescent="0.2">
      <c r="B2563" s="206" t="s">
        <v>628</v>
      </c>
      <c r="C2563" s="205">
        <v>2378</v>
      </c>
      <c r="D2563" s="147">
        <f t="shared" si="129"/>
        <v>0.80421781554924443</v>
      </c>
      <c r="E2563" s="148">
        <f t="shared" si="128"/>
        <v>2.4927926007038941E-4</v>
      </c>
      <c r="F2563" s="148">
        <f t="shared" si="130"/>
        <v>0.19972069820835539</v>
      </c>
    </row>
    <row r="2564" spans="2:6" x14ac:dyDescent="0.2">
      <c r="B2564" s="115" t="s">
        <v>2062</v>
      </c>
      <c r="C2564" s="114">
        <v>2382</v>
      </c>
      <c r="D2564" s="147">
        <f t="shared" si="129"/>
        <v>0.80453257790366683</v>
      </c>
      <c r="E2564" s="148">
        <f t="shared" si="128"/>
        <v>2.4969856917059192E-4</v>
      </c>
      <c r="F2564" s="148">
        <f t="shared" si="130"/>
        <v>0.19997039677752598</v>
      </c>
    </row>
    <row r="2565" spans="2:6" x14ac:dyDescent="0.2">
      <c r="B2565" s="206" t="s">
        <v>1165</v>
      </c>
      <c r="C2565" s="205">
        <v>2384</v>
      </c>
      <c r="D2565" s="147">
        <f t="shared" si="129"/>
        <v>0.80484734025808924</v>
      </c>
      <c r="E2565" s="148">
        <f t="shared" si="128"/>
        <v>2.499082237206932E-4</v>
      </c>
      <c r="F2565" s="148">
        <f t="shared" si="130"/>
        <v>0.20022030500124668</v>
      </c>
    </row>
    <row r="2566" spans="2:6" x14ac:dyDescent="0.2">
      <c r="B2566" s="115" t="s">
        <v>953</v>
      </c>
      <c r="C2566" s="114">
        <v>2384</v>
      </c>
      <c r="D2566" s="147">
        <f t="shared" si="129"/>
        <v>0.80516210261251164</v>
      </c>
      <c r="E2566" s="148">
        <f t="shared" si="128"/>
        <v>2.499082237206932E-4</v>
      </c>
      <c r="F2566" s="148">
        <f t="shared" si="130"/>
        <v>0.20047021322496739</v>
      </c>
    </row>
    <row r="2567" spans="2:6" x14ac:dyDescent="0.2">
      <c r="B2567" s="115" t="s">
        <v>2034</v>
      </c>
      <c r="C2567" s="114">
        <v>2392</v>
      </c>
      <c r="D2567" s="147">
        <f t="shared" si="129"/>
        <v>0.80547686496693405</v>
      </c>
      <c r="E2567" s="148">
        <f t="shared" si="128"/>
        <v>2.507468419210982E-4</v>
      </c>
      <c r="F2567" s="148">
        <f t="shared" si="130"/>
        <v>0.20072096006688847</v>
      </c>
    </row>
    <row r="2568" spans="2:6" x14ac:dyDescent="0.2">
      <c r="B2568" s="115" t="s">
        <v>1541</v>
      </c>
      <c r="C2568" s="114">
        <v>2392</v>
      </c>
      <c r="D2568" s="147">
        <f t="shared" si="129"/>
        <v>0.80579162732135645</v>
      </c>
      <c r="E2568" s="148">
        <f t="shared" si="128"/>
        <v>2.507468419210982E-4</v>
      </c>
      <c r="F2568" s="148">
        <f t="shared" si="130"/>
        <v>0.20097170690880956</v>
      </c>
    </row>
    <row r="2569" spans="2:6" x14ac:dyDescent="0.2">
      <c r="B2569" s="115" t="s">
        <v>2905</v>
      </c>
      <c r="C2569" s="114">
        <v>2394</v>
      </c>
      <c r="D2569" s="147">
        <f t="shared" si="129"/>
        <v>0.80610638967577886</v>
      </c>
      <c r="E2569" s="148">
        <f t="shared" ref="E2569:E2632" si="131">C2569/$O$18</f>
        <v>2.5095649647119943E-4</v>
      </c>
      <c r="F2569" s="148">
        <f t="shared" si="130"/>
        <v>0.20122266340528075</v>
      </c>
    </row>
    <row r="2570" spans="2:6" x14ac:dyDescent="0.2">
      <c r="B2570" s="115" t="s">
        <v>1801</v>
      </c>
      <c r="C2570" s="114">
        <v>2394</v>
      </c>
      <c r="D2570" s="147">
        <f t="shared" ref="D2570:D2633" si="132">D2569+1/$L$18</f>
        <v>0.80642115203020126</v>
      </c>
      <c r="E2570" s="148">
        <f t="shared" si="131"/>
        <v>2.5095649647119943E-4</v>
      </c>
      <c r="F2570" s="148">
        <f t="shared" ref="F2570:F2633" si="133">F2569+E2570</f>
        <v>0.20147361990175194</v>
      </c>
    </row>
    <row r="2571" spans="2:6" x14ac:dyDescent="0.2">
      <c r="B2571" s="206" t="s">
        <v>2820</v>
      </c>
      <c r="C2571" s="205">
        <v>2407</v>
      </c>
      <c r="D2571" s="147">
        <f t="shared" si="132"/>
        <v>0.80673591438462366</v>
      </c>
      <c r="E2571" s="148">
        <f t="shared" si="131"/>
        <v>2.523192510468576E-4</v>
      </c>
      <c r="F2571" s="148">
        <f t="shared" si="133"/>
        <v>0.20172593915279879</v>
      </c>
    </row>
    <row r="2572" spans="2:6" x14ac:dyDescent="0.2">
      <c r="B2572" s="115" t="s">
        <v>2525</v>
      </c>
      <c r="C2572" s="114">
        <v>2408</v>
      </c>
      <c r="D2572" s="147">
        <f t="shared" si="132"/>
        <v>0.80705067673904607</v>
      </c>
      <c r="E2572" s="148">
        <f t="shared" si="131"/>
        <v>2.5242407832190821E-4</v>
      </c>
      <c r="F2572" s="148">
        <f t="shared" si="133"/>
        <v>0.2019783632311207</v>
      </c>
    </row>
    <row r="2573" spans="2:6" x14ac:dyDescent="0.2">
      <c r="B2573" s="115" t="s">
        <v>3136</v>
      </c>
      <c r="C2573" s="114">
        <v>2409</v>
      </c>
      <c r="D2573" s="147">
        <f t="shared" si="132"/>
        <v>0.80736543909346847</v>
      </c>
      <c r="E2573" s="148">
        <f t="shared" si="131"/>
        <v>2.5252890559695882E-4</v>
      </c>
      <c r="F2573" s="148">
        <f t="shared" si="133"/>
        <v>0.20223089213671766</v>
      </c>
    </row>
    <row r="2574" spans="2:6" x14ac:dyDescent="0.2">
      <c r="B2574" s="115" t="s">
        <v>1355</v>
      </c>
      <c r="C2574" s="114">
        <v>2414</v>
      </c>
      <c r="D2574" s="147">
        <f t="shared" si="132"/>
        <v>0.80768020144789088</v>
      </c>
      <c r="E2574" s="148">
        <f t="shared" si="131"/>
        <v>2.5305304197221199E-4</v>
      </c>
      <c r="F2574" s="148">
        <f t="shared" si="133"/>
        <v>0.20248394517868987</v>
      </c>
    </row>
    <row r="2575" spans="2:6" x14ac:dyDescent="0.2">
      <c r="B2575" s="115" t="s">
        <v>3078</v>
      </c>
      <c r="C2575" s="114">
        <v>2421</v>
      </c>
      <c r="D2575" s="147">
        <f t="shared" si="132"/>
        <v>0.80799496380231328</v>
      </c>
      <c r="E2575" s="148">
        <f t="shared" si="131"/>
        <v>2.5378683289756633E-4</v>
      </c>
      <c r="F2575" s="148">
        <f t="shared" si="133"/>
        <v>0.20273773201158743</v>
      </c>
    </row>
    <row r="2576" spans="2:6" x14ac:dyDescent="0.2">
      <c r="B2576" s="206" t="s">
        <v>1188</v>
      </c>
      <c r="C2576" s="205">
        <v>2425</v>
      </c>
      <c r="D2576" s="147">
        <f t="shared" si="132"/>
        <v>0.80830972615673569</v>
      </c>
      <c r="E2576" s="148">
        <f t="shared" si="131"/>
        <v>2.5420614199776883E-4</v>
      </c>
      <c r="F2576" s="148">
        <f t="shared" si="133"/>
        <v>0.20299193815358521</v>
      </c>
    </row>
    <row r="2577" spans="2:6" x14ac:dyDescent="0.2">
      <c r="B2577" s="115" t="s">
        <v>2876</v>
      </c>
      <c r="C2577" s="114">
        <v>2429</v>
      </c>
      <c r="D2577" s="147">
        <f t="shared" si="132"/>
        <v>0.80862448851115809</v>
      </c>
      <c r="E2577" s="148">
        <f t="shared" si="131"/>
        <v>2.5462545109797134E-4</v>
      </c>
      <c r="F2577" s="148">
        <f t="shared" si="133"/>
        <v>0.20324656360468318</v>
      </c>
    </row>
    <row r="2578" spans="2:6" x14ac:dyDescent="0.2">
      <c r="B2578" s="206" t="s">
        <v>930</v>
      </c>
      <c r="C2578" s="205">
        <v>2430</v>
      </c>
      <c r="D2578" s="147">
        <f t="shared" si="132"/>
        <v>0.80893925086558049</v>
      </c>
      <c r="E2578" s="148">
        <f t="shared" si="131"/>
        <v>2.54730278373022E-4</v>
      </c>
      <c r="F2578" s="148">
        <f t="shared" si="133"/>
        <v>0.20350129388305621</v>
      </c>
    </row>
    <row r="2579" spans="2:6" x14ac:dyDescent="0.2">
      <c r="B2579" s="115" t="s">
        <v>367</v>
      </c>
      <c r="C2579" s="114">
        <v>2433</v>
      </c>
      <c r="D2579" s="147">
        <f t="shared" si="132"/>
        <v>0.8092540132200029</v>
      </c>
      <c r="E2579" s="148">
        <f t="shared" si="131"/>
        <v>2.5504476019817389E-4</v>
      </c>
      <c r="F2579" s="148">
        <f t="shared" si="133"/>
        <v>0.20375633864325438</v>
      </c>
    </row>
    <row r="2580" spans="2:6" x14ac:dyDescent="0.2">
      <c r="B2580" s="115" t="s">
        <v>883</v>
      </c>
      <c r="C2580" s="114">
        <v>2449</v>
      </c>
      <c r="D2580" s="147">
        <f t="shared" si="132"/>
        <v>0.8095687755744253</v>
      </c>
      <c r="E2580" s="148">
        <f t="shared" si="131"/>
        <v>2.567219965989839E-4</v>
      </c>
      <c r="F2580" s="148">
        <f t="shared" si="133"/>
        <v>0.20401306063985336</v>
      </c>
    </row>
    <row r="2581" spans="2:6" x14ac:dyDescent="0.2">
      <c r="B2581" s="115" t="s">
        <v>1951</v>
      </c>
      <c r="C2581" s="114">
        <v>2453</v>
      </c>
      <c r="D2581" s="147">
        <f t="shared" si="132"/>
        <v>0.80988353792884771</v>
      </c>
      <c r="E2581" s="148">
        <f t="shared" si="131"/>
        <v>2.5714130569918641E-4</v>
      </c>
      <c r="F2581" s="148">
        <f t="shared" si="133"/>
        <v>0.20427020194555254</v>
      </c>
    </row>
    <row r="2582" spans="2:6" x14ac:dyDescent="0.2">
      <c r="B2582" s="115" t="s">
        <v>1185</v>
      </c>
      <c r="C2582" s="114">
        <v>2453</v>
      </c>
      <c r="D2582" s="147">
        <f t="shared" si="132"/>
        <v>0.81019830028327011</v>
      </c>
      <c r="E2582" s="148">
        <f t="shared" si="131"/>
        <v>2.5714130569918641E-4</v>
      </c>
      <c r="F2582" s="148">
        <f t="shared" si="133"/>
        <v>0.20452734325125171</v>
      </c>
    </row>
    <row r="2583" spans="2:6" x14ac:dyDescent="0.2">
      <c r="B2583" s="206" t="s">
        <v>1777</v>
      </c>
      <c r="C2583" s="205">
        <v>2464</v>
      </c>
      <c r="D2583" s="147">
        <f t="shared" si="132"/>
        <v>0.81051306263769252</v>
      </c>
      <c r="E2583" s="148">
        <f t="shared" si="131"/>
        <v>2.582944057247433E-4</v>
      </c>
      <c r="F2583" s="148">
        <f t="shared" si="133"/>
        <v>0.20478563765697647</v>
      </c>
    </row>
    <row r="2584" spans="2:6" x14ac:dyDescent="0.2">
      <c r="B2584" s="206" t="s">
        <v>2724</v>
      </c>
      <c r="C2584" s="205">
        <v>2466</v>
      </c>
      <c r="D2584" s="147">
        <f t="shared" si="132"/>
        <v>0.81082782499211492</v>
      </c>
      <c r="E2584" s="148">
        <f t="shared" si="131"/>
        <v>2.5850406027484453E-4</v>
      </c>
      <c r="F2584" s="148">
        <f t="shared" si="133"/>
        <v>0.2050441417172513</v>
      </c>
    </row>
    <row r="2585" spans="2:6" x14ac:dyDescent="0.2">
      <c r="B2585" s="115" t="s">
        <v>99</v>
      </c>
      <c r="C2585" s="114">
        <v>2471</v>
      </c>
      <c r="D2585" s="147">
        <f t="shared" si="132"/>
        <v>0.81114258734653732</v>
      </c>
      <c r="E2585" s="148">
        <f t="shared" si="131"/>
        <v>2.5902819665009764E-4</v>
      </c>
      <c r="F2585" s="148">
        <f t="shared" si="133"/>
        <v>0.20530316991390141</v>
      </c>
    </row>
    <row r="2586" spans="2:6" x14ac:dyDescent="0.2">
      <c r="B2586" s="115" t="s">
        <v>3160</v>
      </c>
      <c r="C2586" s="114">
        <v>2473</v>
      </c>
      <c r="D2586" s="147">
        <f t="shared" si="132"/>
        <v>0.81145734970095973</v>
      </c>
      <c r="E2586" s="148">
        <f t="shared" si="131"/>
        <v>2.5923785120019892E-4</v>
      </c>
      <c r="F2586" s="148">
        <f t="shared" si="133"/>
        <v>0.2055624077651016</v>
      </c>
    </row>
    <row r="2587" spans="2:6" x14ac:dyDescent="0.2">
      <c r="B2587" s="206" t="s">
        <v>2382</v>
      </c>
      <c r="C2587" s="205">
        <v>2473</v>
      </c>
      <c r="D2587" s="147">
        <f t="shared" si="132"/>
        <v>0.81177211205538213</v>
      </c>
      <c r="E2587" s="148">
        <f t="shared" si="131"/>
        <v>2.5923785120019892E-4</v>
      </c>
      <c r="F2587" s="148">
        <f t="shared" si="133"/>
        <v>0.20582164561630178</v>
      </c>
    </row>
    <row r="2588" spans="2:6" x14ac:dyDescent="0.2">
      <c r="B2588" s="206" t="s">
        <v>2018</v>
      </c>
      <c r="C2588" s="205">
        <v>2473</v>
      </c>
      <c r="D2588" s="147">
        <f t="shared" si="132"/>
        <v>0.81208687440980454</v>
      </c>
      <c r="E2588" s="148">
        <f t="shared" si="131"/>
        <v>2.5923785120019892E-4</v>
      </c>
      <c r="F2588" s="148">
        <f t="shared" si="133"/>
        <v>0.20608088346750197</v>
      </c>
    </row>
    <row r="2589" spans="2:6" x14ac:dyDescent="0.2">
      <c r="B2589" s="206" t="s">
        <v>795</v>
      </c>
      <c r="C2589" s="205">
        <v>2488</v>
      </c>
      <c r="D2589" s="147">
        <f t="shared" si="132"/>
        <v>0.81240163676422694</v>
      </c>
      <c r="E2589" s="148">
        <f t="shared" si="131"/>
        <v>2.6081026032595832E-4</v>
      </c>
      <c r="F2589" s="148">
        <f t="shared" si="133"/>
        <v>0.20634169372782793</v>
      </c>
    </row>
    <row r="2590" spans="2:6" x14ac:dyDescent="0.2">
      <c r="B2590" s="115" t="s">
        <v>521</v>
      </c>
      <c r="C2590" s="114">
        <v>2488</v>
      </c>
      <c r="D2590" s="147">
        <f t="shared" si="132"/>
        <v>0.81271639911864935</v>
      </c>
      <c r="E2590" s="148">
        <f t="shared" si="131"/>
        <v>2.6081026032595832E-4</v>
      </c>
      <c r="F2590" s="148">
        <f t="shared" si="133"/>
        <v>0.20660250398815388</v>
      </c>
    </row>
    <row r="2591" spans="2:6" x14ac:dyDescent="0.2">
      <c r="B2591" s="115" t="s">
        <v>2749</v>
      </c>
      <c r="C2591" s="114">
        <v>2490</v>
      </c>
      <c r="D2591" s="147">
        <f t="shared" si="132"/>
        <v>0.81303116147307175</v>
      </c>
      <c r="E2591" s="148">
        <f t="shared" si="131"/>
        <v>2.6101991487605954E-4</v>
      </c>
      <c r="F2591" s="148">
        <f t="shared" si="133"/>
        <v>0.20686352390302995</v>
      </c>
    </row>
    <row r="2592" spans="2:6" x14ac:dyDescent="0.2">
      <c r="B2592" s="115" t="s">
        <v>1731</v>
      </c>
      <c r="C2592" s="114">
        <v>2493</v>
      </c>
      <c r="D2592" s="147">
        <f t="shared" si="132"/>
        <v>0.81334592382749415</v>
      </c>
      <c r="E2592" s="148">
        <f t="shared" si="131"/>
        <v>2.6133439670121143E-4</v>
      </c>
      <c r="F2592" s="148">
        <f t="shared" si="133"/>
        <v>0.20712485829973115</v>
      </c>
    </row>
    <row r="2593" spans="2:6" x14ac:dyDescent="0.2">
      <c r="B2593" s="115" t="s">
        <v>1493</v>
      </c>
      <c r="C2593" s="114">
        <v>2498</v>
      </c>
      <c r="D2593" s="147">
        <f t="shared" si="132"/>
        <v>0.81366068618191656</v>
      </c>
      <c r="E2593" s="148">
        <f t="shared" si="131"/>
        <v>2.618585330764646E-4</v>
      </c>
      <c r="F2593" s="148">
        <f t="shared" si="133"/>
        <v>0.20738671683280763</v>
      </c>
    </row>
    <row r="2594" spans="2:6" x14ac:dyDescent="0.2">
      <c r="B2594" s="115" t="s">
        <v>2095</v>
      </c>
      <c r="C2594" s="114">
        <v>2501</v>
      </c>
      <c r="D2594" s="147">
        <f t="shared" si="132"/>
        <v>0.81397544853633896</v>
      </c>
      <c r="E2594" s="148">
        <f t="shared" si="131"/>
        <v>2.6217301490161644E-4</v>
      </c>
      <c r="F2594" s="148">
        <f t="shared" si="133"/>
        <v>0.20764888984770924</v>
      </c>
    </row>
    <row r="2595" spans="2:6" x14ac:dyDescent="0.2">
      <c r="B2595" s="115" t="s">
        <v>381</v>
      </c>
      <c r="C2595" s="114">
        <v>2502</v>
      </c>
      <c r="D2595" s="147">
        <f t="shared" si="132"/>
        <v>0.81429021089076137</v>
      </c>
      <c r="E2595" s="148">
        <f t="shared" si="131"/>
        <v>2.622778421766671E-4</v>
      </c>
      <c r="F2595" s="148">
        <f t="shared" si="133"/>
        <v>0.20791116768988591</v>
      </c>
    </row>
    <row r="2596" spans="2:6" x14ac:dyDescent="0.2">
      <c r="B2596" s="115" t="s">
        <v>3144</v>
      </c>
      <c r="C2596" s="114">
        <v>2507</v>
      </c>
      <c r="D2596" s="147">
        <f t="shared" si="132"/>
        <v>0.81460497324518377</v>
      </c>
      <c r="E2596" s="148">
        <f t="shared" si="131"/>
        <v>2.6280197855192022E-4</v>
      </c>
      <c r="F2596" s="148">
        <f t="shared" si="133"/>
        <v>0.20817396966843782</v>
      </c>
    </row>
    <row r="2597" spans="2:6" x14ac:dyDescent="0.2">
      <c r="B2597" s="115" t="s">
        <v>980</v>
      </c>
      <c r="C2597" s="114">
        <v>2507</v>
      </c>
      <c r="D2597" s="147">
        <f t="shared" si="132"/>
        <v>0.81491973559960618</v>
      </c>
      <c r="E2597" s="148">
        <f t="shared" si="131"/>
        <v>2.6280197855192022E-4</v>
      </c>
      <c r="F2597" s="148">
        <f t="shared" si="133"/>
        <v>0.20843677164698973</v>
      </c>
    </row>
    <row r="2598" spans="2:6" x14ac:dyDescent="0.2">
      <c r="B2598" s="115" t="s">
        <v>1588</v>
      </c>
      <c r="C2598" s="114">
        <v>2509</v>
      </c>
      <c r="D2598" s="147">
        <f t="shared" si="132"/>
        <v>0.81523449795402858</v>
      </c>
      <c r="E2598" s="148">
        <f t="shared" si="131"/>
        <v>2.6301163310202144E-4</v>
      </c>
      <c r="F2598" s="148">
        <f t="shared" si="133"/>
        <v>0.20869978328009176</v>
      </c>
    </row>
    <row r="2599" spans="2:6" x14ac:dyDescent="0.2">
      <c r="B2599" s="115" t="s">
        <v>838</v>
      </c>
      <c r="C2599" s="114">
        <v>2509</v>
      </c>
      <c r="D2599" s="147">
        <f t="shared" si="132"/>
        <v>0.81554926030845099</v>
      </c>
      <c r="E2599" s="148">
        <f t="shared" si="131"/>
        <v>2.6301163310202144E-4</v>
      </c>
      <c r="F2599" s="148">
        <f t="shared" si="133"/>
        <v>0.20896279491319378</v>
      </c>
    </row>
    <row r="2600" spans="2:6" x14ac:dyDescent="0.2">
      <c r="B2600" s="115" t="s">
        <v>2233</v>
      </c>
      <c r="C2600" s="114">
        <v>2519</v>
      </c>
      <c r="D2600" s="147">
        <f t="shared" si="132"/>
        <v>0.81586402266287339</v>
      </c>
      <c r="E2600" s="148">
        <f t="shared" si="131"/>
        <v>2.6405990585252773E-4</v>
      </c>
      <c r="F2600" s="148">
        <f t="shared" si="133"/>
        <v>0.20922685481904629</v>
      </c>
    </row>
    <row r="2601" spans="2:6" x14ac:dyDescent="0.2">
      <c r="B2601" s="206" t="s">
        <v>996</v>
      </c>
      <c r="C2601" s="205">
        <v>2519</v>
      </c>
      <c r="D2601" s="147">
        <f t="shared" si="132"/>
        <v>0.81617878501729579</v>
      </c>
      <c r="E2601" s="148">
        <f t="shared" si="131"/>
        <v>2.6405990585252773E-4</v>
      </c>
      <c r="F2601" s="148">
        <f t="shared" si="133"/>
        <v>0.20949091472489881</v>
      </c>
    </row>
    <row r="2602" spans="2:6" x14ac:dyDescent="0.2">
      <c r="B2602" s="115" t="s">
        <v>240</v>
      </c>
      <c r="C2602" s="114">
        <v>2530</v>
      </c>
      <c r="D2602" s="147">
        <f t="shared" si="132"/>
        <v>0.8164935473717182</v>
      </c>
      <c r="E2602" s="148">
        <f t="shared" si="131"/>
        <v>2.6521300587808462E-4</v>
      </c>
      <c r="F2602" s="148">
        <f t="shared" si="133"/>
        <v>0.2097561277307769</v>
      </c>
    </row>
    <row r="2603" spans="2:6" x14ac:dyDescent="0.2">
      <c r="B2603" s="115" t="s">
        <v>2335</v>
      </c>
      <c r="C2603" s="114">
        <v>2542</v>
      </c>
      <c r="D2603" s="147">
        <f t="shared" si="132"/>
        <v>0.8168083097261406</v>
      </c>
      <c r="E2603" s="148">
        <f t="shared" si="131"/>
        <v>2.6647093317869213E-4</v>
      </c>
      <c r="F2603" s="148">
        <f t="shared" si="133"/>
        <v>0.21002259866395559</v>
      </c>
    </row>
    <row r="2604" spans="2:6" x14ac:dyDescent="0.2">
      <c r="B2604" s="115" t="s">
        <v>2043</v>
      </c>
      <c r="C2604" s="114">
        <v>2548</v>
      </c>
      <c r="D2604" s="147">
        <f t="shared" si="132"/>
        <v>0.81712307208056301</v>
      </c>
      <c r="E2604" s="148">
        <f t="shared" si="131"/>
        <v>2.6709989682899591E-4</v>
      </c>
      <c r="F2604" s="148">
        <f t="shared" si="133"/>
        <v>0.21028969856078458</v>
      </c>
    </row>
    <row r="2605" spans="2:6" x14ac:dyDescent="0.2">
      <c r="B2605" s="206" t="s">
        <v>658</v>
      </c>
      <c r="C2605" s="205">
        <v>2549</v>
      </c>
      <c r="D2605" s="147">
        <f t="shared" si="132"/>
        <v>0.81743783443498541</v>
      </c>
      <c r="E2605" s="148">
        <f t="shared" si="131"/>
        <v>2.6720472410404652E-4</v>
      </c>
      <c r="F2605" s="148">
        <f t="shared" si="133"/>
        <v>0.21055690328488863</v>
      </c>
    </row>
    <row r="2606" spans="2:6" x14ac:dyDescent="0.2">
      <c r="B2606" s="206" t="s">
        <v>294</v>
      </c>
      <c r="C2606" s="205">
        <v>2554</v>
      </c>
      <c r="D2606" s="147">
        <f t="shared" si="132"/>
        <v>0.81775259678940782</v>
      </c>
      <c r="E2606" s="148">
        <f t="shared" si="131"/>
        <v>2.6772886047929964E-4</v>
      </c>
      <c r="F2606" s="148">
        <f t="shared" si="133"/>
        <v>0.21082463214536792</v>
      </c>
    </row>
    <row r="2607" spans="2:6" x14ac:dyDescent="0.2">
      <c r="B2607" s="206" t="s">
        <v>2720</v>
      </c>
      <c r="C2607" s="205">
        <v>2556</v>
      </c>
      <c r="D2607" s="147">
        <f t="shared" si="132"/>
        <v>0.81806735914383022</v>
      </c>
      <c r="E2607" s="148">
        <f t="shared" si="131"/>
        <v>2.6793851502940092E-4</v>
      </c>
      <c r="F2607" s="148">
        <f t="shared" si="133"/>
        <v>0.21109257066039733</v>
      </c>
    </row>
    <row r="2608" spans="2:6" x14ac:dyDescent="0.2">
      <c r="B2608" s="115" t="s">
        <v>2015</v>
      </c>
      <c r="C2608" s="114">
        <v>2560</v>
      </c>
      <c r="D2608" s="147">
        <f t="shared" si="132"/>
        <v>0.81838212149825262</v>
      </c>
      <c r="E2608" s="148">
        <f t="shared" si="131"/>
        <v>2.6835782412960342E-4</v>
      </c>
      <c r="F2608" s="148">
        <f t="shared" si="133"/>
        <v>0.21136092848452692</v>
      </c>
    </row>
    <row r="2609" spans="2:6" x14ac:dyDescent="0.2">
      <c r="B2609" s="206" t="s">
        <v>1623</v>
      </c>
      <c r="C2609" s="205">
        <v>2563</v>
      </c>
      <c r="D2609" s="147">
        <f t="shared" si="132"/>
        <v>0.81869688385267503</v>
      </c>
      <c r="E2609" s="148">
        <f t="shared" si="131"/>
        <v>2.6867230595475531E-4</v>
      </c>
      <c r="F2609" s="148">
        <f t="shared" si="133"/>
        <v>0.21162960079048168</v>
      </c>
    </row>
    <row r="2610" spans="2:6" x14ac:dyDescent="0.2">
      <c r="B2610" s="206" t="s">
        <v>216</v>
      </c>
      <c r="C2610" s="205">
        <v>2564</v>
      </c>
      <c r="D2610" s="147">
        <f t="shared" si="132"/>
        <v>0.81901164620709743</v>
      </c>
      <c r="E2610" s="148">
        <f t="shared" si="131"/>
        <v>2.6877713322980592E-4</v>
      </c>
      <c r="F2610" s="148">
        <f t="shared" si="133"/>
        <v>0.2118983779237115</v>
      </c>
    </row>
    <row r="2611" spans="2:6" x14ac:dyDescent="0.2">
      <c r="B2611" s="115" t="s">
        <v>2784</v>
      </c>
      <c r="C2611" s="114">
        <v>2568</v>
      </c>
      <c r="D2611" s="147">
        <f t="shared" si="132"/>
        <v>0.81932640856151984</v>
      </c>
      <c r="E2611" s="148">
        <f t="shared" si="131"/>
        <v>2.6919644233000843E-4</v>
      </c>
      <c r="F2611" s="148">
        <f t="shared" si="133"/>
        <v>0.2121675743660415</v>
      </c>
    </row>
    <row r="2612" spans="2:6" x14ac:dyDescent="0.2">
      <c r="B2612" s="115" t="s">
        <v>3088</v>
      </c>
      <c r="C2612" s="114">
        <v>2569</v>
      </c>
      <c r="D2612" s="147">
        <f t="shared" si="132"/>
        <v>0.81964117091594224</v>
      </c>
      <c r="E2612" s="148">
        <f t="shared" si="131"/>
        <v>2.6930126960505904E-4</v>
      </c>
      <c r="F2612" s="148">
        <f t="shared" si="133"/>
        <v>0.21243687563564656</v>
      </c>
    </row>
    <row r="2613" spans="2:6" x14ac:dyDescent="0.2">
      <c r="B2613" s="115" t="s">
        <v>2791</v>
      </c>
      <c r="C2613" s="114">
        <v>2569</v>
      </c>
      <c r="D2613" s="147">
        <f t="shared" si="132"/>
        <v>0.81995593327036465</v>
      </c>
      <c r="E2613" s="148">
        <f t="shared" si="131"/>
        <v>2.6930126960505904E-4</v>
      </c>
      <c r="F2613" s="148">
        <f t="shared" si="133"/>
        <v>0.21270617690525162</v>
      </c>
    </row>
    <row r="2614" spans="2:6" x14ac:dyDescent="0.2">
      <c r="B2614" s="115" t="s">
        <v>457</v>
      </c>
      <c r="C2614" s="114">
        <v>2569</v>
      </c>
      <c r="D2614" s="147">
        <f t="shared" si="132"/>
        <v>0.82027069562478705</v>
      </c>
      <c r="E2614" s="148">
        <f t="shared" si="131"/>
        <v>2.6930126960505904E-4</v>
      </c>
      <c r="F2614" s="148">
        <f t="shared" si="133"/>
        <v>0.21297547817485668</v>
      </c>
    </row>
    <row r="2615" spans="2:6" x14ac:dyDescent="0.2">
      <c r="B2615" s="206" t="s">
        <v>2984</v>
      </c>
      <c r="C2615" s="205">
        <v>2570</v>
      </c>
      <c r="D2615" s="147">
        <f t="shared" si="132"/>
        <v>0.82058545797920945</v>
      </c>
      <c r="E2615" s="148">
        <f t="shared" si="131"/>
        <v>2.6940609688010965E-4</v>
      </c>
      <c r="F2615" s="148">
        <f t="shared" si="133"/>
        <v>0.2132448842717368</v>
      </c>
    </row>
    <row r="2616" spans="2:6" x14ac:dyDescent="0.2">
      <c r="B2616" s="115" t="s">
        <v>2618</v>
      </c>
      <c r="C2616" s="114">
        <v>2576</v>
      </c>
      <c r="D2616" s="147">
        <f t="shared" si="132"/>
        <v>0.82090022033363186</v>
      </c>
      <c r="E2616" s="148">
        <f t="shared" si="131"/>
        <v>2.7003506053041343E-4</v>
      </c>
      <c r="F2616" s="148">
        <f t="shared" si="133"/>
        <v>0.21351491933226721</v>
      </c>
    </row>
    <row r="2617" spans="2:6" x14ac:dyDescent="0.2">
      <c r="B2617" s="115" t="s">
        <v>2252</v>
      </c>
      <c r="C2617" s="114">
        <v>2576</v>
      </c>
      <c r="D2617" s="147">
        <f t="shared" si="132"/>
        <v>0.82121498268805426</v>
      </c>
      <c r="E2617" s="148">
        <f t="shared" si="131"/>
        <v>2.7003506053041343E-4</v>
      </c>
      <c r="F2617" s="148">
        <f t="shared" si="133"/>
        <v>0.21378495439279763</v>
      </c>
    </row>
    <row r="2618" spans="2:6" x14ac:dyDescent="0.2">
      <c r="B2618" s="115" t="s">
        <v>463</v>
      </c>
      <c r="C2618" s="114">
        <v>2583</v>
      </c>
      <c r="D2618" s="147">
        <f t="shared" si="132"/>
        <v>0.82152974504247667</v>
      </c>
      <c r="E2618" s="148">
        <f t="shared" si="131"/>
        <v>2.7076885145576782E-4</v>
      </c>
      <c r="F2618" s="148">
        <f t="shared" si="133"/>
        <v>0.2140557232442534</v>
      </c>
    </row>
    <row r="2619" spans="2:6" x14ac:dyDescent="0.2">
      <c r="B2619" s="115" t="s">
        <v>2517</v>
      </c>
      <c r="C2619" s="114">
        <v>2591</v>
      </c>
      <c r="D2619" s="147">
        <f t="shared" si="132"/>
        <v>0.82184450739689907</v>
      </c>
      <c r="E2619" s="148">
        <f t="shared" si="131"/>
        <v>2.7160746965617283E-4</v>
      </c>
      <c r="F2619" s="148">
        <f t="shared" si="133"/>
        <v>0.21432733071390958</v>
      </c>
    </row>
    <row r="2620" spans="2:6" x14ac:dyDescent="0.2">
      <c r="B2620" s="115" t="s">
        <v>968</v>
      </c>
      <c r="C2620" s="114">
        <v>2596</v>
      </c>
      <c r="D2620" s="147">
        <f t="shared" si="132"/>
        <v>0.82215926975132148</v>
      </c>
      <c r="E2620" s="148">
        <f t="shared" si="131"/>
        <v>2.7213160603142594E-4</v>
      </c>
      <c r="F2620" s="148">
        <f t="shared" si="133"/>
        <v>0.21459946231994101</v>
      </c>
    </row>
    <row r="2621" spans="2:6" x14ac:dyDescent="0.2">
      <c r="B2621" s="115" t="s">
        <v>1808</v>
      </c>
      <c r="C2621" s="114">
        <v>2602</v>
      </c>
      <c r="D2621" s="147">
        <f t="shared" si="132"/>
        <v>0.82247403210574388</v>
      </c>
      <c r="E2621" s="148">
        <f t="shared" si="131"/>
        <v>2.7276056968172972E-4</v>
      </c>
      <c r="F2621" s="148">
        <f t="shared" si="133"/>
        <v>0.21487222288962274</v>
      </c>
    </row>
    <row r="2622" spans="2:6" x14ac:dyDescent="0.2">
      <c r="B2622" s="115" t="s">
        <v>1733</v>
      </c>
      <c r="C2622" s="114">
        <v>2615</v>
      </c>
      <c r="D2622" s="147">
        <f t="shared" si="132"/>
        <v>0.82278879446016628</v>
      </c>
      <c r="E2622" s="148">
        <f t="shared" si="131"/>
        <v>2.7412332425738784E-4</v>
      </c>
      <c r="F2622" s="148">
        <f t="shared" si="133"/>
        <v>0.21514634621388012</v>
      </c>
    </row>
    <row r="2623" spans="2:6" x14ac:dyDescent="0.2">
      <c r="B2623" s="115" t="s">
        <v>575</v>
      </c>
      <c r="C2623" s="114">
        <v>2616</v>
      </c>
      <c r="D2623" s="147">
        <f t="shared" si="132"/>
        <v>0.82310355681458869</v>
      </c>
      <c r="E2623" s="148">
        <f t="shared" si="131"/>
        <v>2.7422815153243851E-4</v>
      </c>
      <c r="F2623" s="148">
        <f t="shared" si="133"/>
        <v>0.21542057436541256</v>
      </c>
    </row>
    <row r="2624" spans="2:6" x14ac:dyDescent="0.2">
      <c r="B2624" s="115" t="s">
        <v>1795</v>
      </c>
      <c r="C2624" s="114">
        <v>2617</v>
      </c>
      <c r="D2624" s="147">
        <f t="shared" si="132"/>
        <v>0.82341831916901109</v>
      </c>
      <c r="E2624" s="148">
        <f t="shared" si="131"/>
        <v>2.7433297880748912E-4</v>
      </c>
      <c r="F2624" s="148">
        <f t="shared" si="133"/>
        <v>0.21569490734422006</v>
      </c>
    </row>
    <row r="2625" spans="2:6" x14ac:dyDescent="0.2">
      <c r="B2625" s="115" t="s">
        <v>788</v>
      </c>
      <c r="C2625" s="114">
        <v>2621</v>
      </c>
      <c r="D2625" s="147">
        <f t="shared" si="132"/>
        <v>0.8237330815234335</v>
      </c>
      <c r="E2625" s="148">
        <f t="shared" si="131"/>
        <v>2.7475228790769163E-4</v>
      </c>
      <c r="F2625" s="148">
        <f t="shared" si="133"/>
        <v>0.21596965963212775</v>
      </c>
    </row>
    <row r="2626" spans="2:6" x14ac:dyDescent="0.2">
      <c r="B2626" s="115" t="s">
        <v>227</v>
      </c>
      <c r="C2626" s="114">
        <v>2625</v>
      </c>
      <c r="D2626" s="147">
        <f t="shared" si="132"/>
        <v>0.8240478438778559</v>
      </c>
      <c r="E2626" s="148">
        <f t="shared" si="131"/>
        <v>2.7517159700789413E-4</v>
      </c>
      <c r="F2626" s="148">
        <f t="shared" si="133"/>
        <v>0.21624483122913565</v>
      </c>
    </row>
    <row r="2627" spans="2:6" x14ac:dyDescent="0.2">
      <c r="B2627" s="115" t="s">
        <v>2770</v>
      </c>
      <c r="C2627" s="114">
        <v>2626</v>
      </c>
      <c r="D2627" s="147">
        <f t="shared" si="132"/>
        <v>0.82436260623227831</v>
      </c>
      <c r="E2627" s="148">
        <f t="shared" si="131"/>
        <v>2.7527642428294474E-4</v>
      </c>
      <c r="F2627" s="148">
        <f t="shared" si="133"/>
        <v>0.21652010765341859</v>
      </c>
    </row>
    <row r="2628" spans="2:6" x14ac:dyDescent="0.2">
      <c r="B2628" s="115" t="s">
        <v>2299</v>
      </c>
      <c r="C2628" s="114">
        <v>2628</v>
      </c>
      <c r="D2628" s="147">
        <f t="shared" si="132"/>
        <v>0.82467736858670071</v>
      </c>
      <c r="E2628" s="148">
        <f t="shared" si="131"/>
        <v>2.7548607883304602E-4</v>
      </c>
      <c r="F2628" s="148">
        <f t="shared" si="133"/>
        <v>0.21679559373225163</v>
      </c>
    </row>
    <row r="2629" spans="2:6" x14ac:dyDescent="0.2">
      <c r="B2629" s="115" t="s">
        <v>1391</v>
      </c>
      <c r="C2629" s="114">
        <v>2631</v>
      </c>
      <c r="D2629" s="147">
        <f t="shared" si="132"/>
        <v>0.82499213094112311</v>
      </c>
      <c r="E2629" s="148">
        <f t="shared" si="131"/>
        <v>2.7580056065819786E-4</v>
      </c>
      <c r="F2629" s="148">
        <f t="shared" si="133"/>
        <v>0.21707139429290984</v>
      </c>
    </row>
    <row r="2630" spans="2:6" x14ac:dyDescent="0.2">
      <c r="B2630" s="115" t="s">
        <v>1868</v>
      </c>
      <c r="C2630" s="114">
        <v>2634</v>
      </c>
      <c r="D2630" s="147">
        <f t="shared" si="132"/>
        <v>0.82530689329554552</v>
      </c>
      <c r="E2630" s="148">
        <f t="shared" si="131"/>
        <v>2.7611504248334975E-4</v>
      </c>
      <c r="F2630" s="148">
        <f t="shared" si="133"/>
        <v>0.21734750933539318</v>
      </c>
    </row>
    <row r="2631" spans="2:6" x14ac:dyDescent="0.2">
      <c r="B2631" s="206" t="s">
        <v>252</v>
      </c>
      <c r="C2631" s="205">
        <v>2635</v>
      </c>
      <c r="D2631" s="147">
        <f t="shared" si="132"/>
        <v>0.82562165564996792</v>
      </c>
      <c r="E2631" s="148">
        <f t="shared" si="131"/>
        <v>2.7621986975840041E-4</v>
      </c>
      <c r="F2631" s="148">
        <f t="shared" si="133"/>
        <v>0.21762372920515158</v>
      </c>
    </row>
    <row r="2632" spans="2:6" x14ac:dyDescent="0.2">
      <c r="B2632" s="115" t="s">
        <v>970</v>
      </c>
      <c r="C2632" s="114">
        <v>2636</v>
      </c>
      <c r="D2632" s="147">
        <f t="shared" si="132"/>
        <v>0.82593641800439033</v>
      </c>
      <c r="E2632" s="148">
        <f t="shared" si="131"/>
        <v>2.7632469703345102E-4</v>
      </c>
      <c r="F2632" s="148">
        <f t="shared" si="133"/>
        <v>0.21790005390218503</v>
      </c>
    </row>
    <row r="2633" spans="2:6" x14ac:dyDescent="0.2">
      <c r="B2633" s="115" t="s">
        <v>867</v>
      </c>
      <c r="C2633" s="114">
        <v>2645</v>
      </c>
      <c r="D2633" s="147">
        <f t="shared" si="132"/>
        <v>0.82625118035881273</v>
      </c>
      <c r="E2633" s="148">
        <f t="shared" ref="E2633:E2696" si="134">C2633/$O$18</f>
        <v>2.7726814250890664E-4</v>
      </c>
      <c r="F2633" s="148">
        <f t="shared" si="133"/>
        <v>0.21817732204469395</v>
      </c>
    </row>
    <row r="2634" spans="2:6" x14ac:dyDescent="0.2">
      <c r="B2634" s="115" t="s">
        <v>83</v>
      </c>
      <c r="C2634" s="114">
        <v>2653</v>
      </c>
      <c r="D2634" s="147">
        <f t="shared" ref="D2634:D2697" si="135">D2633+1/$L$18</f>
        <v>0.82656594271323514</v>
      </c>
      <c r="E2634" s="148">
        <f t="shared" si="134"/>
        <v>2.7810676070931165E-4</v>
      </c>
      <c r="F2634" s="148">
        <f t="shared" ref="F2634:F2697" si="136">F2633+E2634</f>
        <v>0.21845542880540325</v>
      </c>
    </row>
    <row r="2635" spans="2:6" x14ac:dyDescent="0.2">
      <c r="B2635" s="206" t="s">
        <v>1757</v>
      </c>
      <c r="C2635" s="205">
        <v>2654</v>
      </c>
      <c r="D2635" s="147">
        <f t="shared" si="135"/>
        <v>0.82688070506765754</v>
      </c>
      <c r="E2635" s="148">
        <f t="shared" si="134"/>
        <v>2.7821158798436231E-4</v>
      </c>
      <c r="F2635" s="148">
        <f t="shared" si="136"/>
        <v>0.21873364039338761</v>
      </c>
    </row>
    <row r="2636" spans="2:6" x14ac:dyDescent="0.2">
      <c r="B2636" s="115" t="s">
        <v>1754</v>
      </c>
      <c r="C2636" s="114">
        <v>2659</v>
      </c>
      <c r="D2636" s="147">
        <f t="shared" si="135"/>
        <v>0.82719546742207994</v>
      </c>
      <c r="E2636" s="148">
        <f t="shared" si="134"/>
        <v>2.7873572435961543E-4</v>
      </c>
      <c r="F2636" s="148">
        <f t="shared" si="136"/>
        <v>0.21901237611774721</v>
      </c>
    </row>
    <row r="2637" spans="2:6" x14ac:dyDescent="0.2">
      <c r="B2637" s="206" t="s">
        <v>541</v>
      </c>
      <c r="C2637" s="205">
        <v>2659</v>
      </c>
      <c r="D2637" s="147">
        <f t="shared" si="135"/>
        <v>0.82751022977650235</v>
      </c>
      <c r="E2637" s="148">
        <f t="shared" si="134"/>
        <v>2.7873572435961543E-4</v>
      </c>
      <c r="F2637" s="148">
        <f t="shared" si="136"/>
        <v>0.21929111184210681</v>
      </c>
    </row>
    <row r="2638" spans="2:6" x14ac:dyDescent="0.2">
      <c r="B2638" s="115" t="s">
        <v>217</v>
      </c>
      <c r="C2638" s="114">
        <v>2660</v>
      </c>
      <c r="D2638" s="147">
        <f t="shared" si="135"/>
        <v>0.82782499213092475</v>
      </c>
      <c r="E2638" s="148">
        <f t="shared" si="134"/>
        <v>2.7884055163466604E-4</v>
      </c>
      <c r="F2638" s="148">
        <f t="shared" si="136"/>
        <v>0.21956995239374147</v>
      </c>
    </row>
    <row r="2639" spans="2:6" x14ac:dyDescent="0.2">
      <c r="B2639" s="206" t="s">
        <v>1316</v>
      </c>
      <c r="C2639" s="205">
        <v>2661</v>
      </c>
      <c r="D2639" s="147">
        <f t="shared" si="135"/>
        <v>0.82813975448534716</v>
      </c>
      <c r="E2639" s="148">
        <f t="shared" si="134"/>
        <v>2.7894537890971665E-4</v>
      </c>
      <c r="F2639" s="148">
        <f t="shared" si="136"/>
        <v>0.21984889777265118</v>
      </c>
    </row>
    <row r="2640" spans="2:6" x14ac:dyDescent="0.2">
      <c r="B2640" s="115" t="s">
        <v>1622</v>
      </c>
      <c r="C2640" s="114">
        <v>2662</v>
      </c>
      <c r="D2640" s="147">
        <f t="shared" si="135"/>
        <v>0.82845451683976956</v>
      </c>
      <c r="E2640" s="148">
        <f t="shared" si="134"/>
        <v>2.7905020618476732E-4</v>
      </c>
      <c r="F2640" s="148">
        <f t="shared" si="136"/>
        <v>0.22012794797883595</v>
      </c>
    </row>
    <row r="2641" spans="2:6" x14ac:dyDescent="0.2">
      <c r="B2641" s="206" t="s">
        <v>1398</v>
      </c>
      <c r="C2641" s="205">
        <v>2662</v>
      </c>
      <c r="D2641" s="147">
        <f t="shared" si="135"/>
        <v>0.82876927919419197</v>
      </c>
      <c r="E2641" s="148">
        <f t="shared" si="134"/>
        <v>2.7905020618476732E-4</v>
      </c>
      <c r="F2641" s="148">
        <f t="shared" si="136"/>
        <v>0.22040699818502071</v>
      </c>
    </row>
    <row r="2642" spans="2:6" x14ac:dyDescent="0.2">
      <c r="B2642" s="115" t="s">
        <v>2042</v>
      </c>
      <c r="C2642" s="114">
        <v>2666</v>
      </c>
      <c r="D2642" s="147">
        <f t="shared" si="135"/>
        <v>0.82908404154861437</v>
      </c>
      <c r="E2642" s="148">
        <f t="shared" si="134"/>
        <v>2.7946951528496982E-4</v>
      </c>
      <c r="F2642" s="148">
        <f t="shared" si="136"/>
        <v>0.22068646770030567</v>
      </c>
    </row>
    <row r="2643" spans="2:6" x14ac:dyDescent="0.2">
      <c r="B2643" s="115" t="s">
        <v>1341</v>
      </c>
      <c r="C2643" s="114">
        <v>2666</v>
      </c>
      <c r="D2643" s="147">
        <f t="shared" si="135"/>
        <v>0.82939880390303677</v>
      </c>
      <c r="E2643" s="148">
        <f t="shared" si="134"/>
        <v>2.7946951528496982E-4</v>
      </c>
      <c r="F2643" s="148">
        <f t="shared" si="136"/>
        <v>0.22096593721559063</v>
      </c>
    </row>
    <row r="2644" spans="2:6" x14ac:dyDescent="0.2">
      <c r="B2644" s="115" t="s">
        <v>1012</v>
      </c>
      <c r="C2644" s="114">
        <v>2666</v>
      </c>
      <c r="D2644" s="147">
        <f t="shared" si="135"/>
        <v>0.82971356625745918</v>
      </c>
      <c r="E2644" s="148">
        <f t="shared" si="134"/>
        <v>2.7946951528496982E-4</v>
      </c>
      <c r="F2644" s="148">
        <f t="shared" si="136"/>
        <v>0.22124540673087559</v>
      </c>
    </row>
    <row r="2645" spans="2:6" x14ac:dyDescent="0.2">
      <c r="B2645" s="115" t="s">
        <v>2370</v>
      </c>
      <c r="C2645" s="114">
        <v>2669</v>
      </c>
      <c r="D2645" s="147">
        <f t="shared" si="135"/>
        <v>0.83002832861188158</v>
      </c>
      <c r="E2645" s="148">
        <f t="shared" si="134"/>
        <v>2.7978399711012166E-4</v>
      </c>
      <c r="F2645" s="148">
        <f t="shared" si="136"/>
        <v>0.22152519072798571</v>
      </c>
    </row>
    <row r="2646" spans="2:6" x14ac:dyDescent="0.2">
      <c r="B2646" s="115" t="s">
        <v>3156</v>
      </c>
      <c r="C2646" s="114">
        <v>2671</v>
      </c>
      <c r="D2646" s="147">
        <f t="shared" si="135"/>
        <v>0.83034309096630399</v>
      </c>
      <c r="E2646" s="148">
        <f t="shared" si="134"/>
        <v>2.7999365166022294E-4</v>
      </c>
      <c r="F2646" s="148">
        <f t="shared" si="136"/>
        <v>0.22180518437964594</v>
      </c>
    </row>
    <row r="2647" spans="2:6" x14ac:dyDescent="0.2">
      <c r="B2647" s="115" t="s">
        <v>1204</v>
      </c>
      <c r="C2647" s="114">
        <v>2673</v>
      </c>
      <c r="D2647" s="147">
        <f t="shared" si="135"/>
        <v>0.83065785332072639</v>
      </c>
      <c r="E2647" s="148">
        <f t="shared" si="134"/>
        <v>2.8020330621032416E-4</v>
      </c>
      <c r="F2647" s="148">
        <f t="shared" si="136"/>
        <v>0.22208538768585626</v>
      </c>
    </row>
    <row r="2648" spans="2:6" x14ac:dyDescent="0.2">
      <c r="B2648" s="115" t="s">
        <v>2308</v>
      </c>
      <c r="C2648" s="114">
        <v>2674</v>
      </c>
      <c r="D2648" s="147">
        <f t="shared" si="135"/>
        <v>0.8309726156751488</v>
      </c>
      <c r="E2648" s="148">
        <f t="shared" si="134"/>
        <v>2.8030813348537483E-4</v>
      </c>
      <c r="F2648" s="148">
        <f t="shared" si="136"/>
        <v>0.22236569581934162</v>
      </c>
    </row>
    <row r="2649" spans="2:6" x14ac:dyDescent="0.2">
      <c r="B2649" s="115" t="s">
        <v>468</v>
      </c>
      <c r="C2649" s="114">
        <v>2674</v>
      </c>
      <c r="D2649" s="147">
        <f t="shared" si="135"/>
        <v>0.8312873780295712</v>
      </c>
      <c r="E2649" s="148">
        <f t="shared" si="134"/>
        <v>2.8030813348537483E-4</v>
      </c>
      <c r="F2649" s="148">
        <f t="shared" si="136"/>
        <v>0.22264600395282699</v>
      </c>
    </row>
    <row r="2650" spans="2:6" x14ac:dyDescent="0.2">
      <c r="B2650" s="115" t="s">
        <v>2774</v>
      </c>
      <c r="C2650" s="114">
        <v>2678</v>
      </c>
      <c r="D2650" s="147">
        <f t="shared" si="135"/>
        <v>0.8316021403839936</v>
      </c>
      <c r="E2650" s="148">
        <f t="shared" si="134"/>
        <v>2.8072744258557733E-4</v>
      </c>
      <c r="F2650" s="148">
        <f t="shared" si="136"/>
        <v>0.22292673139541258</v>
      </c>
    </row>
    <row r="2651" spans="2:6" x14ac:dyDescent="0.2">
      <c r="B2651" s="115" t="s">
        <v>2208</v>
      </c>
      <c r="C2651" s="114">
        <v>2684</v>
      </c>
      <c r="D2651" s="147">
        <f t="shared" si="135"/>
        <v>0.83191690273841601</v>
      </c>
      <c r="E2651" s="148">
        <f t="shared" si="134"/>
        <v>2.8135640623588106E-4</v>
      </c>
      <c r="F2651" s="148">
        <f t="shared" si="136"/>
        <v>0.22320808780164847</v>
      </c>
    </row>
    <row r="2652" spans="2:6" x14ac:dyDescent="0.2">
      <c r="B2652" s="115" t="s">
        <v>992</v>
      </c>
      <c r="C2652" s="114">
        <v>2686</v>
      </c>
      <c r="D2652" s="147">
        <f t="shared" si="135"/>
        <v>0.83223166509283841</v>
      </c>
      <c r="E2652" s="148">
        <f t="shared" si="134"/>
        <v>2.8156606078598233E-4</v>
      </c>
      <c r="F2652" s="148">
        <f t="shared" si="136"/>
        <v>0.22348965386243444</v>
      </c>
    </row>
    <row r="2653" spans="2:6" x14ac:dyDescent="0.2">
      <c r="B2653" s="115" t="s">
        <v>2248</v>
      </c>
      <c r="C2653" s="114">
        <v>2695</v>
      </c>
      <c r="D2653" s="147">
        <f t="shared" si="135"/>
        <v>0.83254642744726082</v>
      </c>
      <c r="E2653" s="148">
        <f t="shared" si="134"/>
        <v>2.8250950626143795E-4</v>
      </c>
      <c r="F2653" s="148">
        <f t="shared" si="136"/>
        <v>0.22377216336869588</v>
      </c>
    </row>
    <row r="2654" spans="2:6" x14ac:dyDescent="0.2">
      <c r="B2654" s="115" t="s">
        <v>65</v>
      </c>
      <c r="C2654" s="114">
        <v>2698</v>
      </c>
      <c r="D2654" s="147">
        <f t="shared" si="135"/>
        <v>0.83286118980168322</v>
      </c>
      <c r="E2654" s="148">
        <f t="shared" si="134"/>
        <v>2.8282398808658984E-4</v>
      </c>
      <c r="F2654" s="148">
        <f t="shared" si="136"/>
        <v>0.22405498735678248</v>
      </c>
    </row>
    <row r="2655" spans="2:6" x14ac:dyDescent="0.2">
      <c r="B2655" s="206" t="s">
        <v>42</v>
      </c>
      <c r="C2655" s="205">
        <v>2708</v>
      </c>
      <c r="D2655" s="147">
        <f t="shared" si="135"/>
        <v>0.83317595215610563</v>
      </c>
      <c r="E2655" s="148">
        <f t="shared" si="134"/>
        <v>2.8387226083709613E-4</v>
      </c>
      <c r="F2655" s="148">
        <f t="shared" si="136"/>
        <v>0.22433885961761957</v>
      </c>
    </row>
    <row r="2656" spans="2:6" x14ac:dyDescent="0.2">
      <c r="B2656" s="115" t="s">
        <v>241</v>
      </c>
      <c r="C2656" s="114">
        <v>2710</v>
      </c>
      <c r="D2656" s="147">
        <f t="shared" si="135"/>
        <v>0.83349071451052803</v>
      </c>
      <c r="E2656" s="148">
        <f t="shared" si="134"/>
        <v>2.8408191538719735E-4</v>
      </c>
      <c r="F2656" s="148">
        <f t="shared" si="136"/>
        <v>0.22462294153300677</v>
      </c>
    </row>
    <row r="2657" spans="2:6" x14ac:dyDescent="0.2">
      <c r="B2657" s="206" t="s">
        <v>1738</v>
      </c>
      <c r="C2657" s="205">
        <v>2713</v>
      </c>
      <c r="D2657" s="147">
        <f t="shared" si="135"/>
        <v>0.83380547686495043</v>
      </c>
      <c r="E2657" s="148">
        <f t="shared" si="134"/>
        <v>2.8439639721234924E-4</v>
      </c>
      <c r="F2657" s="148">
        <f t="shared" si="136"/>
        <v>0.22490733793021911</v>
      </c>
    </row>
    <row r="2658" spans="2:6" x14ac:dyDescent="0.2">
      <c r="B2658" s="115" t="s">
        <v>1202</v>
      </c>
      <c r="C2658" s="114">
        <v>2714</v>
      </c>
      <c r="D2658" s="147">
        <f t="shared" si="135"/>
        <v>0.83412023921937284</v>
      </c>
      <c r="E2658" s="148">
        <f t="shared" si="134"/>
        <v>2.8450122448739985E-4</v>
      </c>
      <c r="F2658" s="148">
        <f t="shared" si="136"/>
        <v>0.2251918391547065</v>
      </c>
    </row>
    <row r="2659" spans="2:6" x14ac:dyDescent="0.2">
      <c r="B2659" s="206" t="s">
        <v>2019</v>
      </c>
      <c r="C2659" s="205">
        <v>2733</v>
      </c>
      <c r="D2659" s="147">
        <f t="shared" si="135"/>
        <v>0.83443500157379524</v>
      </c>
      <c r="E2659" s="148">
        <f t="shared" si="134"/>
        <v>2.8649294271336175E-4</v>
      </c>
      <c r="F2659" s="148">
        <f t="shared" si="136"/>
        <v>0.22547833209741985</v>
      </c>
    </row>
    <row r="2660" spans="2:6" x14ac:dyDescent="0.2">
      <c r="B2660" s="115" t="s">
        <v>2908</v>
      </c>
      <c r="C2660" s="114">
        <v>2738</v>
      </c>
      <c r="D2660" s="147">
        <f t="shared" si="135"/>
        <v>0.83474976392821765</v>
      </c>
      <c r="E2660" s="148">
        <f t="shared" si="134"/>
        <v>2.8701707908861492E-4</v>
      </c>
      <c r="F2660" s="148">
        <f t="shared" si="136"/>
        <v>0.22576534917650848</v>
      </c>
    </row>
    <row r="2661" spans="2:6" x14ac:dyDescent="0.2">
      <c r="B2661" s="115" t="s">
        <v>1045</v>
      </c>
      <c r="C2661" s="114">
        <v>2742</v>
      </c>
      <c r="D2661" s="147">
        <f t="shared" si="135"/>
        <v>0.83506452628264005</v>
      </c>
      <c r="E2661" s="148">
        <f t="shared" si="134"/>
        <v>2.8743638818881743E-4</v>
      </c>
      <c r="F2661" s="148">
        <f t="shared" si="136"/>
        <v>0.2260527855646973</v>
      </c>
    </row>
    <row r="2662" spans="2:6" x14ac:dyDescent="0.2">
      <c r="B2662" s="115" t="s">
        <v>2452</v>
      </c>
      <c r="C2662" s="114">
        <v>2756</v>
      </c>
      <c r="D2662" s="147">
        <f t="shared" si="135"/>
        <v>0.83537928863706246</v>
      </c>
      <c r="E2662" s="148">
        <f t="shared" si="134"/>
        <v>2.8890397003952616E-4</v>
      </c>
      <c r="F2662" s="148">
        <f t="shared" si="136"/>
        <v>0.22634168953473682</v>
      </c>
    </row>
    <row r="2663" spans="2:6" x14ac:dyDescent="0.2">
      <c r="B2663" s="115" t="s">
        <v>2804</v>
      </c>
      <c r="C2663" s="114">
        <v>2767</v>
      </c>
      <c r="D2663" s="147">
        <f t="shared" si="135"/>
        <v>0.83569405099148486</v>
      </c>
      <c r="E2663" s="148">
        <f t="shared" si="134"/>
        <v>2.9005707006508305E-4</v>
      </c>
      <c r="F2663" s="148">
        <f t="shared" si="136"/>
        <v>0.2266317466048019</v>
      </c>
    </row>
    <row r="2664" spans="2:6" x14ac:dyDescent="0.2">
      <c r="B2664" s="115" t="s">
        <v>1603</v>
      </c>
      <c r="C2664" s="114">
        <v>2768</v>
      </c>
      <c r="D2664" s="147">
        <f t="shared" si="135"/>
        <v>0.83600881334590726</v>
      </c>
      <c r="E2664" s="148">
        <f t="shared" si="134"/>
        <v>2.9016189734013367E-4</v>
      </c>
      <c r="F2664" s="148">
        <f t="shared" si="136"/>
        <v>0.22692190850214203</v>
      </c>
    </row>
    <row r="2665" spans="2:6" x14ac:dyDescent="0.2">
      <c r="B2665" s="206" t="s">
        <v>452</v>
      </c>
      <c r="C2665" s="205">
        <v>2771</v>
      </c>
      <c r="D2665" s="147">
        <f t="shared" si="135"/>
        <v>0.83632357570032967</v>
      </c>
      <c r="E2665" s="148">
        <f t="shared" si="134"/>
        <v>2.9047637916528556E-4</v>
      </c>
      <c r="F2665" s="148">
        <f t="shared" si="136"/>
        <v>0.22721238488130732</v>
      </c>
    </row>
    <row r="2666" spans="2:6" x14ac:dyDescent="0.2">
      <c r="B2666" s="115" t="s">
        <v>799</v>
      </c>
      <c r="C2666" s="114">
        <v>2773</v>
      </c>
      <c r="D2666" s="147">
        <f t="shared" si="135"/>
        <v>0.83663833805475207</v>
      </c>
      <c r="E2666" s="148">
        <f t="shared" si="134"/>
        <v>2.9068603371538683E-4</v>
      </c>
      <c r="F2666" s="148">
        <f t="shared" si="136"/>
        <v>0.2275030709150227</v>
      </c>
    </row>
    <row r="2667" spans="2:6" x14ac:dyDescent="0.2">
      <c r="B2667" s="206" t="s">
        <v>2741</v>
      </c>
      <c r="C2667" s="205">
        <v>2780</v>
      </c>
      <c r="D2667" s="147">
        <f t="shared" si="135"/>
        <v>0.83695310040917448</v>
      </c>
      <c r="E2667" s="148">
        <f t="shared" si="134"/>
        <v>2.9141982464074123E-4</v>
      </c>
      <c r="F2667" s="148">
        <f t="shared" si="136"/>
        <v>0.22779449073966343</v>
      </c>
    </row>
    <row r="2668" spans="2:6" x14ac:dyDescent="0.2">
      <c r="B2668" s="115" t="s">
        <v>781</v>
      </c>
      <c r="C2668" s="114">
        <v>2784</v>
      </c>
      <c r="D2668" s="147">
        <f t="shared" si="135"/>
        <v>0.83726786276359688</v>
      </c>
      <c r="E2668" s="148">
        <f t="shared" si="134"/>
        <v>2.9183913374094373E-4</v>
      </c>
      <c r="F2668" s="148">
        <f t="shared" si="136"/>
        <v>0.22808632987340438</v>
      </c>
    </row>
    <row r="2669" spans="2:6" x14ac:dyDescent="0.2">
      <c r="B2669" s="115" t="s">
        <v>1958</v>
      </c>
      <c r="C2669" s="114">
        <v>2785</v>
      </c>
      <c r="D2669" s="147">
        <f t="shared" si="135"/>
        <v>0.83758262511801929</v>
      </c>
      <c r="E2669" s="148">
        <f t="shared" si="134"/>
        <v>2.9194396101599434E-4</v>
      </c>
      <c r="F2669" s="148">
        <f t="shared" si="136"/>
        <v>0.22837827383442039</v>
      </c>
    </row>
    <row r="2670" spans="2:6" x14ac:dyDescent="0.2">
      <c r="B2670" s="115" t="s">
        <v>2049</v>
      </c>
      <c r="C2670" s="114">
        <v>2790</v>
      </c>
      <c r="D2670" s="147">
        <f t="shared" si="135"/>
        <v>0.83789738747244169</v>
      </c>
      <c r="E2670" s="148">
        <f t="shared" si="134"/>
        <v>2.9246809739124746E-4</v>
      </c>
      <c r="F2670" s="148">
        <f t="shared" si="136"/>
        <v>0.22867074193181164</v>
      </c>
    </row>
    <row r="2671" spans="2:6" x14ac:dyDescent="0.2">
      <c r="B2671" s="115" t="s">
        <v>3081</v>
      </c>
      <c r="C2671" s="114">
        <v>2799</v>
      </c>
      <c r="D2671" s="147">
        <f t="shared" si="135"/>
        <v>0.83821214982686409</v>
      </c>
      <c r="E2671" s="148">
        <f t="shared" si="134"/>
        <v>2.9341154286670313E-4</v>
      </c>
      <c r="F2671" s="148">
        <f t="shared" si="136"/>
        <v>0.22896415347467833</v>
      </c>
    </row>
    <row r="2672" spans="2:6" x14ac:dyDescent="0.2">
      <c r="B2672" s="115" t="s">
        <v>67</v>
      </c>
      <c r="C2672" s="114">
        <v>2805</v>
      </c>
      <c r="D2672" s="147">
        <f t="shared" si="135"/>
        <v>0.8385269121812865</v>
      </c>
      <c r="E2672" s="148">
        <f t="shared" si="134"/>
        <v>2.9404050651700686E-4</v>
      </c>
      <c r="F2672" s="148">
        <f t="shared" si="136"/>
        <v>0.22925819398119535</v>
      </c>
    </row>
    <row r="2673" spans="2:6" x14ac:dyDescent="0.2">
      <c r="B2673" s="115" t="s">
        <v>2785</v>
      </c>
      <c r="C2673" s="114">
        <v>2807</v>
      </c>
      <c r="D2673" s="147">
        <f t="shared" si="135"/>
        <v>0.8388416745357089</v>
      </c>
      <c r="E2673" s="148">
        <f t="shared" si="134"/>
        <v>2.9425016106710813E-4</v>
      </c>
      <c r="F2673" s="148">
        <f t="shared" si="136"/>
        <v>0.22955244414226245</v>
      </c>
    </row>
    <row r="2674" spans="2:6" x14ac:dyDescent="0.2">
      <c r="B2674" s="206" t="s">
        <v>2159</v>
      </c>
      <c r="C2674" s="205">
        <v>2807</v>
      </c>
      <c r="D2674" s="147">
        <f t="shared" si="135"/>
        <v>0.83915643689013131</v>
      </c>
      <c r="E2674" s="148">
        <f t="shared" si="134"/>
        <v>2.9425016106710813E-4</v>
      </c>
      <c r="F2674" s="148">
        <f t="shared" si="136"/>
        <v>0.22984669430332955</v>
      </c>
    </row>
    <row r="2675" spans="2:6" x14ac:dyDescent="0.2">
      <c r="B2675" s="115" t="s">
        <v>544</v>
      </c>
      <c r="C2675" s="114">
        <v>2821</v>
      </c>
      <c r="D2675" s="147">
        <f t="shared" si="135"/>
        <v>0.83947119924455371</v>
      </c>
      <c r="E2675" s="148">
        <f t="shared" si="134"/>
        <v>2.9571774291781687E-4</v>
      </c>
      <c r="F2675" s="148">
        <f t="shared" si="136"/>
        <v>0.23014241204624736</v>
      </c>
    </row>
    <row r="2676" spans="2:6" x14ac:dyDescent="0.2">
      <c r="B2676" s="206" t="s">
        <v>648</v>
      </c>
      <c r="C2676" s="205">
        <v>2825</v>
      </c>
      <c r="D2676" s="147">
        <f t="shared" si="135"/>
        <v>0.83978596159897612</v>
      </c>
      <c r="E2676" s="148">
        <f t="shared" si="134"/>
        <v>2.9613705201801937E-4</v>
      </c>
      <c r="F2676" s="148">
        <f t="shared" si="136"/>
        <v>0.23043854909826539</v>
      </c>
    </row>
    <row r="2677" spans="2:6" x14ac:dyDescent="0.2">
      <c r="B2677" s="206" t="s">
        <v>3037</v>
      </c>
      <c r="C2677" s="205">
        <v>2833</v>
      </c>
      <c r="D2677" s="147">
        <f t="shared" si="135"/>
        <v>0.84010072395339852</v>
      </c>
      <c r="E2677" s="148">
        <f t="shared" si="134"/>
        <v>2.9697567021842437E-4</v>
      </c>
      <c r="F2677" s="148">
        <f t="shared" si="136"/>
        <v>0.2307355247684838</v>
      </c>
    </row>
    <row r="2678" spans="2:6" x14ac:dyDescent="0.2">
      <c r="B2678" s="115" t="s">
        <v>2824</v>
      </c>
      <c r="C2678" s="114">
        <v>2833</v>
      </c>
      <c r="D2678" s="147">
        <f t="shared" si="135"/>
        <v>0.84041548630782092</v>
      </c>
      <c r="E2678" s="148">
        <f t="shared" si="134"/>
        <v>2.9697567021842437E-4</v>
      </c>
      <c r="F2678" s="148">
        <f t="shared" si="136"/>
        <v>0.23103250043870222</v>
      </c>
    </row>
    <row r="2679" spans="2:6" x14ac:dyDescent="0.2">
      <c r="B2679" s="115" t="s">
        <v>1025</v>
      </c>
      <c r="C2679" s="114">
        <v>2834</v>
      </c>
      <c r="D2679" s="147">
        <f t="shared" si="135"/>
        <v>0.84073024866224333</v>
      </c>
      <c r="E2679" s="148">
        <f t="shared" si="134"/>
        <v>2.9708049749347504E-4</v>
      </c>
      <c r="F2679" s="148">
        <f t="shared" si="136"/>
        <v>0.23132958093619568</v>
      </c>
    </row>
    <row r="2680" spans="2:6" x14ac:dyDescent="0.2">
      <c r="B2680" s="115" t="s">
        <v>437</v>
      </c>
      <c r="C2680" s="114">
        <v>2836</v>
      </c>
      <c r="D2680" s="147">
        <f t="shared" si="135"/>
        <v>0.84104501101666573</v>
      </c>
      <c r="E2680" s="148">
        <f t="shared" si="134"/>
        <v>2.9729015204357626E-4</v>
      </c>
      <c r="F2680" s="148">
        <f t="shared" si="136"/>
        <v>0.23162687108823926</v>
      </c>
    </row>
    <row r="2681" spans="2:6" x14ac:dyDescent="0.2">
      <c r="B2681" s="115" t="s">
        <v>1632</v>
      </c>
      <c r="C2681" s="114">
        <v>2837</v>
      </c>
      <c r="D2681" s="147">
        <f t="shared" si="135"/>
        <v>0.84135977337108814</v>
      </c>
      <c r="E2681" s="148">
        <f t="shared" si="134"/>
        <v>2.9739497931862693E-4</v>
      </c>
      <c r="F2681" s="148">
        <f t="shared" si="136"/>
        <v>0.23192426606755789</v>
      </c>
    </row>
    <row r="2682" spans="2:6" x14ac:dyDescent="0.2">
      <c r="B2682" s="206" t="s">
        <v>979</v>
      </c>
      <c r="C2682" s="205">
        <v>2849</v>
      </c>
      <c r="D2682" s="147">
        <f t="shared" si="135"/>
        <v>0.84167453572551054</v>
      </c>
      <c r="E2682" s="148">
        <f t="shared" si="134"/>
        <v>2.9865290661923444E-4</v>
      </c>
      <c r="F2682" s="148">
        <f t="shared" si="136"/>
        <v>0.23222291897417713</v>
      </c>
    </row>
    <row r="2683" spans="2:6" x14ac:dyDescent="0.2">
      <c r="B2683" s="115" t="s">
        <v>830</v>
      </c>
      <c r="C2683" s="114">
        <v>2850</v>
      </c>
      <c r="D2683" s="147">
        <f t="shared" si="135"/>
        <v>0.84198929807993295</v>
      </c>
      <c r="E2683" s="148">
        <f t="shared" si="134"/>
        <v>2.9875773389428505E-4</v>
      </c>
      <c r="F2683" s="148">
        <f t="shared" si="136"/>
        <v>0.23252167670807142</v>
      </c>
    </row>
    <row r="2684" spans="2:6" x14ac:dyDescent="0.2">
      <c r="B2684" s="206" t="s">
        <v>2368</v>
      </c>
      <c r="C2684" s="205">
        <v>2869</v>
      </c>
      <c r="D2684" s="147">
        <f t="shared" si="135"/>
        <v>0.84230406043435535</v>
      </c>
      <c r="E2684" s="148">
        <f t="shared" si="134"/>
        <v>3.0074945212024695E-4</v>
      </c>
      <c r="F2684" s="148">
        <f t="shared" si="136"/>
        <v>0.23282242616019166</v>
      </c>
    </row>
    <row r="2685" spans="2:6" x14ac:dyDescent="0.2">
      <c r="B2685" s="115" t="s">
        <v>464</v>
      </c>
      <c r="C2685" s="114">
        <v>2870</v>
      </c>
      <c r="D2685" s="147">
        <f t="shared" si="135"/>
        <v>0.84261882278877775</v>
      </c>
      <c r="E2685" s="148">
        <f t="shared" si="134"/>
        <v>3.0085427939529756E-4</v>
      </c>
      <c r="F2685" s="148">
        <f t="shared" si="136"/>
        <v>0.23312328043958697</v>
      </c>
    </row>
    <row r="2686" spans="2:6" x14ac:dyDescent="0.2">
      <c r="B2686" s="115" t="s">
        <v>1363</v>
      </c>
      <c r="C2686" s="114">
        <v>2871</v>
      </c>
      <c r="D2686" s="147">
        <f t="shared" si="135"/>
        <v>0.84293358514320016</v>
      </c>
      <c r="E2686" s="148">
        <f t="shared" si="134"/>
        <v>3.0095910667034818E-4</v>
      </c>
      <c r="F2686" s="148">
        <f t="shared" si="136"/>
        <v>0.23342423954625732</v>
      </c>
    </row>
    <row r="2687" spans="2:6" x14ac:dyDescent="0.2">
      <c r="B2687" s="115" t="s">
        <v>2587</v>
      </c>
      <c r="C2687" s="114">
        <v>2872</v>
      </c>
      <c r="D2687" s="147">
        <f t="shared" si="135"/>
        <v>0.84324834749762256</v>
      </c>
      <c r="E2687" s="148">
        <f t="shared" si="134"/>
        <v>3.0106393394539884E-4</v>
      </c>
      <c r="F2687" s="148">
        <f t="shared" si="136"/>
        <v>0.23372530348020273</v>
      </c>
    </row>
    <row r="2688" spans="2:6" x14ac:dyDescent="0.2">
      <c r="B2688" s="206" t="s">
        <v>1344</v>
      </c>
      <c r="C2688" s="205">
        <v>2874</v>
      </c>
      <c r="D2688" s="147">
        <f t="shared" si="135"/>
        <v>0.84356310985204497</v>
      </c>
      <c r="E2688" s="148">
        <f t="shared" si="134"/>
        <v>3.0127358849550007E-4</v>
      </c>
      <c r="F2688" s="148">
        <f t="shared" si="136"/>
        <v>0.23402657706869823</v>
      </c>
    </row>
    <row r="2689" spans="2:6" x14ac:dyDescent="0.2">
      <c r="B2689" s="115" t="s">
        <v>2734</v>
      </c>
      <c r="C2689" s="114">
        <v>2896</v>
      </c>
      <c r="D2689" s="147">
        <f t="shared" si="135"/>
        <v>0.84387787220646737</v>
      </c>
      <c r="E2689" s="148">
        <f t="shared" si="134"/>
        <v>3.0357978854661386E-4</v>
      </c>
      <c r="F2689" s="148">
        <f t="shared" si="136"/>
        <v>0.23433015685724484</v>
      </c>
    </row>
    <row r="2690" spans="2:6" x14ac:dyDescent="0.2">
      <c r="B2690" s="115" t="s">
        <v>1100</v>
      </c>
      <c r="C2690" s="114">
        <v>2908</v>
      </c>
      <c r="D2690" s="147">
        <f t="shared" si="135"/>
        <v>0.84419263456088978</v>
      </c>
      <c r="E2690" s="148">
        <f t="shared" si="134"/>
        <v>3.0483771584722137E-4</v>
      </c>
      <c r="F2690" s="148">
        <f t="shared" si="136"/>
        <v>0.23463499457309206</v>
      </c>
    </row>
    <row r="2691" spans="2:6" x14ac:dyDescent="0.2">
      <c r="B2691" s="206" t="s">
        <v>1129</v>
      </c>
      <c r="C2691" s="205">
        <v>2909</v>
      </c>
      <c r="D2691" s="147">
        <f t="shared" si="135"/>
        <v>0.84450739691531218</v>
      </c>
      <c r="E2691" s="148">
        <f t="shared" si="134"/>
        <v>3.0494254312227198E-4</v>
      </c>
      <c r="F2691" s="148">
        <f t="shared" si="136"/>
        <v>0.23493993711621433</v>
      </c>
    </row>
    <row r="2692" spans="2:6" x14ac:dyDescent="0.2">
      <c r="B2692" s="206" t="s">
        <v>2977</v>
      </c>
      <c r="C2692" s="205">
        <v>2913</v>
      </c>
      <c r="D2692" s="147">
        <f t="shared" si="135"/>
        <v>0.84482215926973458</v>
      </c>
      <c r="E2692" s="148">
        <f t="shared" si="134"/>
        <v>3.0536185222247448E-4</v>
      </c>
      <c r="F2692" s="148">
        <f t="shared" si="136"/>
        <v>0.23524529896843679</v>
      </c>
    </row>
    <row r="2693" spans="2:6" x14ac:dyDescent="0.2">
      <c r="B2693" s="115" t="s">
        <v>268</v>
      </c>
      <c r="C2693" s="114">
        <v>2914</v>
      </c>
      <c r="D2693" s="147">
        <f t="shared" si="135"/>
        <v>0.84513692162415699</v>
      </c>
      <c r="E2693" s="148">
        <f t="shared" si="134"/>
        <v>3.0546667949752515E-4</v>
      </c>
      <c r="F2693" s="148">
        <f t="shared" si="136"/>
        <v>0.23555076564793431</v>
      </c>
    </row>
    <row r="2694" spans="2:6" x14ac:dyDescent="0.2">
      <c r="B2694" s="115" t="s">
        <v>2211</v>
      </c>
      <c r="C2694" s="114">
        <v>2918</v>
      </c>
      <c r="D2694" s="147">
        <f t="shared" si="135"/>
        <v>0.84545168397857939</v>
      </c>
      <c r="E2694" s="148">
        <f t="shared" si="134"/>
        <v>3.0588598859772765E-4</v>
      </c>
      <c r="F2694" s="148">
        <f t="shared" si="136"/>
        <v>0.23585665163653205</v>
      </c>
    </row>
    <row r="2695" spans="2:6" x14ac:dyDescent="0.2">
      <c r="B2695" s="115" t="s">
        <v>1148</v>
      </c>
      <c r="C2695" s="114">
        <v>2955</v>
      </c>
      <c r="D2695" s="147">
        <f t="shared" si="135"/>
        <v>0.8457664463330018</v>
      </c>
      <c r="E2695" s="148">
        <f t="shared" si="134"/>
        <v>3.0976459777460079E-4</v>
      </c>
      <c r="F2695" s="148">
        <f t="shared" si="136"/>
        <v>0.23616641623430665</v>
      </c>
    </row>
    <row r="2696" spans="2:6" x14ac:dyDescent="0.2">
      <c r="B2696" s="115" t="s">
        <v>832</v>
      </c>
      <c r="C2696" s="114">
        <v>2955</v>
      </c>
      <c r="D2696" s="147">
        <f t="shared" si="135"/>
        <v>0.8460812086874242</v>
      </c>
      <c r="E2696" s="148">
        <f t="shared" si="134"/>
        <v>3.0976459777460079E-4</v>
      </c>
      <c r="F2696" s="148">
        <f t="shared" si="136"/>
        <v>0.23647618083208125</v>
      </c>
    </row>
    <row r="2697" spans="2:6" x14ac:dyDescent="0.2">
      <c r="B2697" s="115" t="s">
        <v>2209</v>
      </c>
      <c r="C2697" s="114">
        <v>2963</v>
      </c>
      <c r="D2697" s="147">
        <f t="shared" si="135"/>
        <v>0.84639597104184661</v>
      </c>
      <c r="E2697" s="148">
        <f t="shared" ref="E2697:E2760" si="137">C2697/$O$18</f>
        <v>3.1060321597500584E-4</v>
      </c>
      <c r="F2697" s="148">
        <f t="shared" si="136"/>
        <v>0.23678678404805625</v>
      </c>
    </row>
    <row r="2698" spans="2:6" x14ac:dyDescent="0.2">
      <c r="B2698" s="115" t="s">
        <v>1203</v>
      </c>
      <c r="C2698" s="114">
        <v>2968</v>
      </c>
      <c r="D2698" s="147">
        <f t="shared" ref="D2698:D2761" si="138">D2697+1/$L$18</f>
        <v>0.84671073339626901</v>
      </c>
      <c r="E2698" s="148">
        <f t="shared" si="137"/>
        <v>3.1112735235025896E-4</v>
      </c>
      <c r="F2698" s="148">
        <f t="shared" ref="F2698:F2761" si="139">F2697+E2698</f>
        <v>0.23709791140040651</v>
      </c>
    </row>
    <row r="2699" spans="2:6" x14ac:dyDescent="0.2">
      <c r="B2699" s="206" t="s">
        <v>3025</v>
      </c>
      <c r="C2699" s="205">
        <v>2971</v>
      </c>
      <c r="D2699" s="147">
        <f t="shared" si="138"/>
        <v>0.84702549575069142</v>
      </c>
      <c r="E2699" s="148">
        <f t="shared" si="137"/>
        <v>3.1144183417541085E-4</v>
      </c>
      <c r="F2699" s="148">
        <f t="shared" si="139"/>
        <v>0.23740935323458193</v>
      </c>
    </row>
    <row r="2700" spans="2:6" x14ac:dyDescent="0.2">
      <c r="B2700" s="115" t="s">
        <v>917</v>
      </c>
      <c r="C2700" s="114">
        <v>2985</v>
      </c>
      <c r="D2700" s="147">
        <f t="shared" si="138"/>
        <v>0.84734025810511382</v>
      </c>
      <c r="E2700" s="148">
        <f t="shared" si="137"/>
        <v>3.1290941602611958E-4</v>
      </c>
      <c r="F2700" s="148">
        <f t="shared" si="139"/>
        <v>0.23772226265060806</v>
      </c>
    </row>
    <row r="2701" spans="2:6" x14ac:dyDescent="0.2">
      <c r="B2701" s="115" t="s">
        <v>542</v>
      </c>
      <c r="C2701" s="114">
        <v>2991</v>
      </c>
      <c r="D2701" s="147">
        <f t="shared" si="138"/>
        <v>0.84765502045953622</v>
      </c>
      <c r="E2701" s="148">
        <f t="shared" si="137"/>
        <v>3.1353837967642336E-4</v>
      </c>
      <c r="F2701" s="148">
        <f t="shared" si="139"/>
        <v>0.23803580103028449</v>
      </c>
    </row>
    <row r="2702" spans="2:6" x14ac:dyDescent="0.2">
      <c r="B2702" s="115" t="s">
        <v>328</v>
      </c>
      <c r="C2702" s="114">
        <v>2994</v>
      </c>
      <c r="D2702" s="147">
        <f t="shared" si="138"/>
        <v>0.84796978281395863</v>
      </c>
      <c r="E2702" s="148">
        <f t="shared" si="137"/>
        <v>3.1385286150157525E-4</v>
      </c>
      <c r="F2702" s="148">
        <f t="shared" si="139"/>
        <v>0.23834965389178606</v>
      </c>
    </row>
    <row r="2703" spans="2:6" x14ac:dyDescent="0.2">
      <c r="B2703" s="115" t="s">
        <v>1245</v>
      </c>
      <c r="C2703" s="114">
        <v>3003</v>
      </c>
      <c r="D2703" s="147">
        <f t="shared" si="138"/>
        <v>0.84828454516838103</v>
      </c>
      <c r="E2703" s="148">
        <f t="shared" si="137"/>
        <v>3.1479630697703087E-4</v>
      </c>
      <c r="F2703" s="148">
        <f t="shared" si="139"/>
        <v>0.23866445019876309</v>
      </c>
    </row>
    <row r="2704" spans="2:6" x14ac:dyDescent="0.2">
      <c r="B2704" s="115" t="s">
        <v>784</v>
      </c>
      <c r="C2704" s="114">
        <v>3004</v>
      </c>
      <c r="D2704" s="147">
        <f t="shared" si="138"/>
        <v>0.84859930752280344</v>
      </c>
      <c r="E2704" s="148">
        <f t="shared" si="137"/>
        <v>3.1490113425208148E-4</v>
      </c>
      <c r="F2704" s="148">
        <f t="shared" si="139"/>
        <v>0.23897935133301518</v>
      </c>
    </row>
    <row r="2705" spans="2:6" x14ac:dyDescent="0.2">
      <c r="B2705" s="206" t="s">
        <v>2530</v>
      </c>
      <c r="C2705" s="205">
        <v>3015</v>
      </c>
      <c r="D2705" s="147">
        <f t="shared" si="138"/>
        <v>0.84891406987722584</v>
      </c>
      <c r="E2705" s="148">
        <f t="shared" si="137"/>
        <v>3.1605423427763838E-4</v>
      </c>
      <c r="F2705" s="148">
        <f t="shared" si="139"/>
        <v>0.23929540556729281</v>
      </c>
    </row>
    <row r="2706" spans="2:6" x14ac:dyDescent="0.2">
      <c r="B2706" s="115" t="s">
        <v>1630</v>
      </c>
      <c r="C2706" s="114">
        <v>3016</v>
      </c>
      <c r="D2706" s="147">
        <f t="shared" si="138"/>
        <v>0.84922883223164825</v>
      </c>
      <c r="E2706" s="148">
        <f t="shared" si="137"/>
        <v>3.1615906155268905E-4</v>
      </c>
      <c r="F2706" s="148">
        <f t="shared" si="139"/>
        <v>0.2396115646288455</v>
      </c>
    </row>
    <row r="2707" spans="2:6" x14ac:dyDescent="0.2">
      <c r="B2707" s="206" t="s">
        <v>1119</v>
      </c>
      <c r="C2707" s="205">
        <v>3019</v>
      </c>
      <c r="D2707" s="147">
        <f t="shared" si="138"/>
        <v>0.84954359458607065</v>
      </c>
      <c r="E2707" s="148">
        <f t="shared" si="137"/>
        <v>3.1647354337784088E-4</v>
      </c>
      <c r="F2707" s="148">
        <f t="shared" si="139"/>
        <v>0.23992803817222336</v>
      </c>
    </row>
    <row r="2708" spans="2:6" x14ac:dyDescent="0.2">
      <c r="B2708" s="115" t="s">
        <v>169</v>
      </c>
      <c r="C2708" s="114">
        <v>3058</v>
      </c>
      <c r="D2708" s="147">
        <f t="shared" si="138"/>
        <v>0.84985835694049305</v>
      </c>
      <c r="E2708" s="148">
        <f t="shared" si="137"/>
        <v>3.2056180710481535E-4</v>
      </c>
      <c r="F2708" s="148">
        <f t="shared" si="139"/>
        <v>0.24024859997932818</v>
      </c>
    </row>
    <row r="2709" spans="2:6" x14ac:dyDescent="0.2">
      <c r="B2709" s="115" t="s">
        <v>1302</v>
      </c>
      <c r="C2709" s="114">
        <v>3069</v>
      </c>
      <c r="D2709" s="147">
        <f t="shared" si="138"/>
        <v>0.85017311929491546</v>
      </c>
      <c r="E2709" s="148">
        <f t="shared" si="137"/>
        <v>3.2171490713037219E-4</v>
      </c>
      <c r="F2709" s="148">
        <f t="shared" si="139"/>
        <v>0.24057031488645855</v>
      </c>
    </row>
    <row r="2710" spans="2:6" x14ac:dyDescent="0.2">
      <c r="B2710" s="115" t="s">
        <v>2950</v>
      </c>
      <c r="C2710" s="114">
        <v>3075</v>
      </c>
      <c r="D2710" s="147">
        <f t="shared" si="138"/>
        <v>0.85048788164933786</v>
      </c>
      <c r="E2710" s="148">
        <f t="shared" si="137"/>
        <v>3.2234387078067597E-4</v>
      </c>
      <c r="F2710" s="148">
        <f t="shared" si="139"/>
        <v>0.24089265875723923</v>
      </c>
    </row>
    <row r="2711" spans="2:6" x14ac:dyDescent="0.2">
      <c r="B2711" s="115" t="s">
        <v>387</v>
      </c>
      <c r="C2711" s="114">
        <v>3078</v>
      </c>
      <c r="D2711" s="147">
        <f t="shared" si="138"/>
        <v>0.85080264400376027</v>
      </c>
      <c r="E2711" s="148">
        <f t="shared" si="137"/>
        <v>3.2265835260582786E-4</v>
      </c>
      <c r="F2711" s="148">
        <f t="shared" si="139"/>
        <v>0.24121531710984506</v>
      </c>
    </row>
    <row r="2712" spans="2:6" x14ac:dyDescent="0.2">
      <c r="B2712" s="115" t="s">
        <v>791</v>
      </c>
      <c r="C2712" s="114">
        <v>3084</v>
      </c>
      <c r="D2712" s="147">
        <f t="shared" si="138"/>
        <v>0.85111740635818267</v>
      </c>
      <c r="E2712" s="148">
        <f t="shared" si="137"/>
        <v>3.2328731625613159E-4</v>
      </c>
      <c r="F2712" s="148">
        <f t="shared" si="139"/>
        <v>0.2415386044261012</v>
      </c>
    </row>
    <row r="2713" spans="2:6" x14ac:dyDescent="0.2">
      <c r="B2713" s="115" t="s">
        <v>205</v>
      </c>
      <c r="C2713" s="114">
        <v>3093</v>
      </c>
      <c r="D2713" s="147">
        <f t="shared" si="138"/>
        <v>0.85143216871260508</v>
      </c>
      <c r="E2713" s="148">
        <f t="shared" si="137"/>
        <v>3.2423076173158726E-4</v>
      </c>
      <c r="F2713" s="148">
        <f t="shared" si="139"/>
        <v>0.24186283518783278</v>
      </c>
    </row>
    <row r="2714" spans="2:6" x14ac:dyDescent="0.2">
      <c r="B2714" s="115" t="s">
        <v>2875</v>
      </c>
      <c r="C2714" s="114">
        <v>3095</v>
      </c>
      <c r="D2714" s="147">
        <f t="shared" si="138"/>
        <v>0.85174693106702748</v>
      </c>
      <c r="E2714" s="148">
        <f t="shared" si="137"/>
        <v>3.2444041628168849E-4</v>
      </c>
      <c r="F2714" s="148">
        <f t="shared" si="139"/>
        <v>0.24218727560411446</v>
      </c>
    </row>
    <row r="2715" spans="2:6" x14ac:dyDescent="0.2">
      <c r="B2715" s="206" t="s">
        <v>2655</v>
      </c>
      <c r="C2715" s="205">
        <v>3098</v>
      </c>
      <c r="D2715" s="147">
        <f t="shared" si="138"/>
        <v>0.85206169342144988</v>
      </c>
      <c r="E2715" s="148">
        <f t="shared" si="137"/>
        <v>3.2475489810684038E-4</v>
      </c>
      <c r="F2715" s="148">
        <f t="shared" si="139"/>
        <v>0.24251203050222131</v>
      </c>
    </row>
    <row r="2716" spans="2:6" x14ac:dyDescent="0.2">
      <c r="B2716" s="115" t="s">
        <v>235</v>
      </c>
      <c r="C2716" s="114">
        <v>3100</v>
      </c>
      <c r="D2716" s="147">
        <f t="shared" si="138"/>
        <v>0.85237645577587229</v>
      </c>
      <c r="E2716" s="148">
        <f t="shared" si="137"/>
        <v>3.2496455265694165E-4</v>
      </c>
      <c r="F2716" s="148">
        <f t="shared" si="139"/>
        <v>0.24283699505487824</v>
      </c>
    </row>
    <row r="2717" spans="2:6" x14ac:dyDescent="0.2">
      <c r="B2717" s="206" t="s">
        <v>3130</v>
      </c>
      <c r="C2717" s="205">
        <v>3113</v>
      </c>
      <c r="D2717" s="147">
        <f t="shared" si="138"/>
        <v>0.85269121813029469</v>
      </c>
      <c r="E2717" s="148">
        <f t="shared" si="137"/>
        <v>3.2632730723259977E-4</v>
      </c>
      <c r="F2717" s="148">
        <f t="shared" si="139"/>
        <v>0.24316332236211083</v>
      </c>
    </row>
    <row r="2718" spans="2:6" x14ac:dyDescent="0.2">
      <c r="B2718" s="206" t="s">
        <v>1495</v>
      </c>
      <c r="C2718" s="205">
        <v>3122</v>
      </c>
      <c r="D2718" s="147">
        <f t="shared" si="138"/>
        <v>0.8530059804847171</v>
      </c>
      <c r="E2718" s="148">
        <f t="shared" si="137"/>
        <v>3.2727075270805539E-4</v>
      </c>
      <c r="F2718" s="148">
        <f t="shared" si="139"/>
        <v>0.24349059311481888</v>
      </c>
    </row>
    <row r="2719" spans="2:6" x14ac:dyDescent="0.2">
      <c r="B2719" s="206" t="s">
        <v>2028</v>
      </c>
      <c r="C2719" s="205">
        <v>3127</v>
      </c>
      <c r="D2719" s="147">
        <f t="shared" si="138"/>
        <v>0.8533207428391395</v>
      </c>
      <c r="E2719" s="148">
        <f t="shared" si="137"/>
        <v>3.2779488908330856E-4</v>
      </c>
      <c r="F2719" s="148">
        <f t="shared" si="139"/>
        <v>0.24381838800390218</v>
      </c>
    </row>
    <row r="2720" spans="2:6" x14ac:dyDescent="0.2">
      <c r="B2720" s="206" t="s">
        <v>2688</v>
      </c>
      <c r="C2720" s="205">
        <v>3128</v>
      </c>
      <c r="D2720" s="147">
        <f t="shared" si="138"/>
        <v>0.85363550519356191</v>
      </c>
      <c r="E2720" s="148">
        <f t="shared" si="137"/>
        <v>3.2789971635835917E-4</v>
      </c>
      <c r="F2720" s="148">
        <f t="shared" si="139"/>
        <v>0.24414628772026054</v>
      </c>
    </row>
    <row r="2721" spans="2:6" x14ac:dyDescent="0.2">
      <c r="B2721" s="115" t="s">
        <v>2512</v>
      </c>
      <c r="C2721" s="114">
        <v>3138</v>
      </c>
      <c r="D2721" s="147">
        <f t="shared" si="138"/>
        <v>0.85395026754798431</v>
      </c>
      <c r="E2721" s="148">
        <f t="shared" si="137"/>
        <v>3.2894798910886546E-4</v>
      </c>
      <c r="F2721" s="148">
        <f t="shared" si="139"/>
        <v>0.24447523570936941</v>
      </c>
    </row>
    <row r="2722" spans="2:6" x14ac:dyDescent="0.2">
      <c r="B2722" s="115" t="s">
        <v>1373</v>
      </c>
      <c r="C2722" s="114">
        <v>3140</v>
      </c>
      <c r="D2722" s="147">
        <f t="shared" si="138"/>
        <v>0.85426502990240671</v>
      </c>
      <c r="E2722" s="148">
        <f t="shared" si="137"/>
        <v>3.2915764365896668E-4</v>
      </c>
      <c r="F2722" s="148">
        <f t="shared" si="139"/>
        <v>0.24480439335302837</v>
      </c>
    </row>
    <row r="2723" spans="2:6" x14ac:dyDescent="0.2">
      <c r="B2723" s="115" t="s">
        <v>3153</v>
      </c>
      <c r="C2723" s="114">
        <v>3155</v>
      </c>
      <c r="D2723" s="147">
        <f t="shared" si="138"/>
        <v>0.85457979225682912</v>
      </c>
      <c r="E2723" s="148">
        <f t="shared" si="137"/>
        <v>3.3073005278472608E-4</v>
      </c>
      <c r="F2723" s="148">
        <f t="shared" si="139"/>
        <v>0.24513512340581309</v>
      </c>
    </row>
    <row r="2724" spans="2:6" x14ac:dyDescent="0.2">
      <c r="B2724" s="115" t="s">
        <v>2195</v>
      </c>
      <c r="C2724" s="114">
        <v>3159</v>
      </c>
      <c r="D2724" s="147">
        <f t="shared" si="138"/>
        <v>0.85489455461125152</v>
      </c>
      <c r="E2724" s="148">
        <f t="shared" si="137"/>
        <v>3.3114936188492858E-4</v>
      </c>
      <c r="F2724" s="148">
        <f t="shared" si="139"/>
        <v>0.24546627276769803</v>
      </c>
    </row>
    <row r="2725" spans="2:6" x14ac:dyDescent="0.2">
      <c r="B2725" s="115" t="s">
        <v>1996</v>
      </c>
      <c r="C2725" s="114">
        <v>3170</v>
      </c>
      <c r="D2725" s="147">
        <f t="shared" si="138"/>
        <v>0.85520931696567393</v>
      </c>
      <c r="E2725" s="148">
        <f t="shared" si="137"/>
        <v>3.3230246191048548E-4</v>
      </c>
      <c r="F2725" s="148">
        <f t="shared" si="139"/>
        <v>0.24579857522960852</v>
      </c>
    </row>
    <row r="2726" spans="2:6" x14ac:dyDescent="0.2">
      <c r="B2726" s="115" t="s">
        <v>1893</v>
      </c>
      <c r="C2726" s="114">
        <v>3186</v>
      </c>
      <c r="D2726" s="147">
        <f t="shared" si="138"/>
        <v>0.85552407932009633</v>
      </c>
      <c r="E2726" s="148">
        <f t="shared" si="137"/>
        <v>3.3397969831129549E-4</v>
      </c>
      <c r="F2726" s="148">
        <f t="shared" si="139"/>
        <v>0.2461325549279198</v>
      </c>
    </row>
    <row r="2727" spans="2:6" x14ac:dyDescent="0.2">
      <c r="B2727" s="115" t="s">
        <v>2289</v>
      </c>
      <c r="C2727" s="114">
        <v>3192</v>
      </c>
      <c r="D2727" s="147">
        <f t="shared" si="138"/>
        <v>0.85583884167451874</v>
      </c>
      <c r="E2727" s="148">
        <f t="shared" si="137"/>
        <v>3.3460866196159927E-4</v>
      </c>
      <c r="F2727" s="148">
        <f t="shared" si="139"/>
        <v>0.24646716358988141</v>
      </c>
    </row>
    <row r="2728" spans="2:6" x14ac:dyDescent="0.2">
      <c r="B2728" s="115" t="s">
        <v>2120</v>
      </c>
      <c r="C2728" s="114">
        <v>3193</v>
      </c>
      <c r="D2728" s="147">
        <f t="shared" si="138"/>
        <v>0.85615360402894114</v>
      </c>
      <c r="E2728" s="148">
        <f t="shared" si="137"/>
        <v>3.3471348923664988E-4</v>
      </c>
      <c r="F2728" s="148">
        <f t="shared" si="139"/>
        <v>0.24680187707911805</v>
      </c>
    </row>
    <row r="2729" spans="2:6" x14ac:dyDescent="0.2">
      <c r="B2729" s="115" t="s">
        <v>279</v>
      </c>
      <c r="C2729" s="114">
        <v>3194</v>
      </c>
      <c r="D2729" s="147">
        <f t="shared" si="138"/>
        <v>0.85646836638336354</v>
      </c>
      <c r="E2729" s="148">
        <f t="shared" si="137"/>
        <v>3.3481831651170049E-4</v>
      </c>
      <c r="F2729" s="148">
        <f t="shared" si="139"/>
        <v>0.24713669539562974</v>
      </c>
    </row>
    <row r="2730" spans="2:6" x14ac:dyDescent="0.2">
      <c r="B2730" s="115" t="s">
        <v>144</v>
      </c>
      <c r="C2730" s="114">
        <v>3210</v>
      </c>
      <c r="D2730" s="147">
        <f t="shared" si="138"/>
        <v>0.85678312873778595</v>
      </c>
      <c r="E2730" s="148">
        <f t="shared" si="137"/>
        <v>3.364955529125105E-4</v>
      </c>
      <c r="F2730" s="148">
        <f t="shared" si="139"/>
        <v>0.24747319094854225</v>
      </c>
    </row>
    <row r="2731" spans="2:6" x14ac:dyDescent="0.2">
      <c r="B2731" s="115" t="s">
        <v>3133</v>
      </c>
      <c r="C2731" s="114">
        <v>3218</v>
      </c>
      <c r="D2731" s="147">
        <f t="shared" si="138"/>
        <v>0.85709789109220835</v>
      </c>
      <c r="E2731" s="148">
        <f t="shared" si="137"/>
        <v>3.3733417111291556E-4</v>
      </c>
      <c r="F2731" s="148">
        <f t="shared" si="139"/>
        <v>0.24781052511965518</v>
      </c>
    </row>
    <row r="2732" spans="2:6" x14ac:dyDescent="0.2">
      <c r="B2732" s="115" t="s">
        <v>3001</v>
      </c>
      <c r="C2732" s="114">
        <v>3225</v>
      </c>
      <c r="D2732" s="147">
        <f t="shared" si="138"/>
        <v>0.85741265344663076</v>
      </c>
      <c r="E2732" s="148">
        <f t="shared" si="137"/>
        <v>3.380679620382699E-4</v>
      </c>
      <c r="F2732" s="148">
        <f t="shared" si="139"/>
        <v>0.24814859308169346</v>
      </c>
    </row>
    <row r="2733" spans="2:6" x14ac:dyDescent="0.2">
      <c r="B2733" s="115" t="s">
        <v>2812</v>
      </c>
      <c r="C2733" s="114">
        <v>3232</v>
      </c>
      <c r="D2733" s="147">
        <f t="shared" si="138"/>
        <v>0.85772741580105316</v>
      </c>
      <c r="E2733" s="148">
        <f t="shared" si="137"/>
        <v>3.388017529636243E-4</v>
      </c>
      <c r="F2733" s="148">
        <f t="shared" si="139"/>
        <v>0.24848739483465709</v>
      </c>
    </row>
    <row r="2734" spans="2:6" x14ac:dyDescent="0.2">
      <c r="B2734" s="115" t="s">
        <v>2342</v>
      </c>
      <c r="C2734" s="114">
        <v>3254</v>
      </c>
      <c r="D2734" s="147">
        <f t="shared" si="138"/>
        <v>0.85804217815547557</v>
      </c>
      <c r="E2734" s="148">
        <f t="shared" si="137"/>
        <v>3.4110795301473809E-4</v>
      </c>
      <c r="F2734" s="148">
        <f t="shared" si="139"/>
        <v>0.24882850278767182</v>
      </c>
    </row>
    <row r="2735" spans="2:6" x14ac:dyDescent="0.2">
      <c r="B2735" s="206" t="s">
        <v>2537</v>
      </c>
      <c r="C2735" s="205">
        <v>3256</v>
      </c>
      <c r="D2735" s="147">
        <f t="shared" si="138"/>
        <v>0.85835694050989797</v>
      </c>
      <c r="E2735" s="148">
        <f t="shared" si="137"/>
        <v>3.4131760756483931E-4</v>
      </c>
      <c r="F2735" s="148">
        <f t="shared" si="139"/>
        <v>0.24916982039523666</v>
      </c>
    </row>
    <row r="2736" spans="2:6" x14ac:dyDescent="0.2">
      <c r="B2736" s="115" t="s">
        <v>1140</v>
      </c>
      <c r="C2736" s="114">
        <v>3261</v>
      </c>
      <c r="D2736" s="147">
        <f t="shared" si="138"/>
        <v>0.85867170286432037</v>
      </c>
      <c r="E2736" s="148">
        <f t="shared" si="137"/>
        <v>3.4184174394009248E-4</v>
      </c>
      <c r="F2736" s="148">
        <f t="shared" si="139"/>
        <v>0.24951166213917675</v>
      </c>
    </row>
    <row r="2737" spans="2:6" x14ac:dyDescent="0.2">
      <c r="B2737" s="206" t="s">
        <v>2277</v>
      </c>
      <c r="C2737" s="205">
        <v>3262</v>
      </c>
      <c r="D2737" s="147">
        <f t="shared" si="138"/>
        <v>0.85898646521874278</v>
      </c>
      <c r="E2737" s="148">
        <f t="shared" si="137"/>
        <v>3.4194657121514309E-4</v>
      </c>
      <c r="F2737" s="148">
        <f t="shared" si="139"/>
        <v>0.24985360871039189</v>
      </c>
    </row>
    <row r="2738" spans="2:6" x14ac:dyDescent="0.2">
      <c r="B2738" s="115" t="s">
        <v>1865</v>
      </c>
      <c r="C2738" s="114">
        <v>3262</v>
      </c>
      <c r="D2738" s="147">
        <f t="shared" si="138"/>
        <v>0.85930122757316518</v>
      </c>
      <c r="E2738" s="148">
        <f t="shared" si="137"/>
        <v>3.4194657121514309E-4</v>
      </c>
      <c r="F2738" s="148">
        <f t="shared" si="139"/>
        <v>0.25019555528160703</v>
      </c>
    </row>
    <row r="2739" spans="2:6" x14ac:dyDescent="0.2">
      <c r="B2739" s="206" t="s">
        <v>2319</v>
      </c>
      <c r="C2739" s="205">
        <v>3271</v>
      </c>
      <c r="D2739" s="147">
        <f t="shared" si="138"/>
        <v>0.85961598992758759</v>
      </c>
      <c r="E2739" s="148">
        <f t="shared" si="137"/>
        <v>3.4289001669059871E-4</v>
      </c>
      <c r="F2739" s="148">
        <f t="shared" si="139"/>
        <v>0.25053844529829761</v>
      </c>
    </row>
    <row r="2740" spans="2:6" x14ac:dyDescent="0.2">
      <c r="B2740" s="206" t="s">
        <v>2910</v>
      </c>
      <c r="C2740" s="205">
        <v>3275</v>
      </c>
      <c r="D2740" s="147">
        <f t="shared" si="138"/>
        <v>0.85993075228200999</v>
      </c>
      <c r="E2740" s="148">
        <f t="shared" si="137"/>
        <v>3.4330932579080121E-4</v>
      </c>
      <c r="F2740" s="148">
        <f t="shared" si="139"/>
        <v>0.2508817546240884</v>
      </c>
    </row>
    <row r="2741" spans="2:6" x14ac:dyDescent="0.2">
      <c r="B2741" s="115" t="s">
        <v>2206</v>
      </c>
      <c r="C2741" s="114">
        <v>3279</v>
      </c>
      <c r="D2741" s="147">
        <f t="shared" si="138"/>
        <v>0.8602455146364324</v>
      </c>
      <c r="E2741" s="148">
        <f t="shared" si="137"/>
        <v>3.4372863489100377E-4</v>
      </c>
      <c r="F2741" s="148">
        <f t="shared" si="139"/>
        <v>0.25122548325897942</v>
      </c>
    </row>
    <row r="2742" spans="2:6" x14ac:dyDescent="0.2">
      <c r="B2742" s="115" t="s">
        <v>1640</v>
      </c>
      <c r="C2742" s="114">
        <v>3283</v>
      </c>
      <c r="D2742" s="147">
        <f t="shared" si="138"/>
        <v>0.8605602769908548</v>
      </c>
      <c r="E2742" s="148">
        <f t="shared" si="137"/>
        <v>3.4414794399120627E-4</v>
      </c>
      <c r="F2742" s="148">
        <f t="shared" si="139"/>
        <v>0.2515696312029706</v>
      </c>
    </row>
    <row r="2743" spans="2:6" x14ac:dyDescent="0.2">
      <c r="B2743" s="115" t="s">
        <v>2455</v>
      </c>
      <c r="C2743" s="114">
        <v>3291</v>
      </c>
      <c r="D2743" s="147">
        <f t="shared" si="138"/>
        <v>0.8608750393452772</v>
      </c>
      <c r="E2743" s="148">
        <f t="shared" si="137"/>
        <v>3.4498656219161128E-4</v>
      </c>
      <c r="F2743" s="148">
        <f t="shared" si="139"/>
        <v>0.25191461776516222</v>
      </c>
    </row>
    <row r="2744" spans="2:6" x14ac:dyDescent="0.2">
      <c r="B2744" s="206" t="s">
        <v>2188</v>
      </c>
      <c r="C2744" s="205">
        <v>3310</v>
      </c>
      <c r="D2744" s="147">
        <f t="shared" si="138"/>
        <v>0.86118980169969961</v>
      </c>
      <c r="E2744" s="148">
        <f t="shared" si="137"/>
        <v>3.4697828041757318E-4</v>
      </c>
      <c r="F2744" s="148">
        <f t="shared" si="139"/>
        <v>0.25226159604557979</v>
      </c>
    </row>
    <row r="2745" spans="2:6" x14ac:dyDescent="0.2">
      <c r="B2745" s="115" t="s">
        <v>486</v>
      </c>
      <c r="C2745" s="114">
        <v>3324</v>
      </c>
      <c r="D2745" s="147">
        <f t="shared" si="138"/>
        <v>0.86150456405412201</v>
      </c>
      <c r="E2745" s="148">
        <f t="shared" si="137"/>
        <v>3.4844586226828191E-4</v>
      </c>
      <c r="F2745" s="148">
        <f t="shared" si="139"/>
        <v>0.25261004190784808</v>
      </c>
    </row>
    <row r="2746" spans="2:6" x14ac:dyDescent="0.2">
      <c r="B2746" s="206" t="s">
        <v>687</v>
      </c>
      <c r="C2746" s="205">
        <v>3334</v>
      </c>
      <c r="D2746" s="147">
        <f t="shared" si="138"/>
        <v>0.86181932640854442</v>
      </c>
      <c r="E2746" s="148">
        <f t="shared" si="137"/>
        <v>3.4949413501878819E-4</v>
      </c>
      <c r="F2746" s="148">
        <f t="shared" si="139"/>
        <v>0.25295953604286686</v>
      </c>
    </row>
    <row r="2747" spans="2:6" x14ac:dyDescent="0.2">
      <c r="B2747" s="115" t="s">
        <v>2102</v>
      </c>
      <c r="C2747" s="114">
        <v>3341</v>
      </c>
      <c r="D2747" s="147">
        <f t="shared" si="138"/>
        <v>0.86213408876296682</v>
      </c>
      <c r="E2747" s="148">
        <f t="shared" si="137"/>
        <v>3.5022792594414259E-4</v>
      </c>
      <c r="F2747" s="148">
        <f t="shared" si="139"/>
        <v>0.253309763968811</v>
      </c>
    </row>
    <row r="2748" spans="2:6" x14ac:dyDescent="0.2">
      <c r="B2748" s="206" t="s">
        <v>2130</v>
      </c>
      <c r="C2748" s="205">
        <v>3348</v>
      </c>
      <c r="D2748" s="147">
        <f t="shared" si="138"/>
        <v>0.86244885111738923</v>
      </c>
      <c r="E2748" s="148">
        <f t="shared" si="137"/>
        <v>3.5096171686949698E-4</v>
      </c>
      <c r="F2748" s="148">
        <f t="shared" si="139"/>
        <v>0.25366072568568049</v>
      </c>
    </row>
    <row r="2749" spans="2:6" x14ac:dyDescent="0.2">
      <c r="B2749" s="115" t="s">
        <v>221</v>
      </c>
      <c r="C2749" s="114">
        <v>3368</v>
      </c>
      <c r="D2749" s="147">
        <f t="shared" si="138"/>
        <v>0.86276361347181163</v>
      </c>
      <c r="E2749" s="148">
        <f t="shared" si="137"/>
        <v>3.5305826237050949E-4</v>
      </c>
      <c r="F2749" s="148">
        <f t="shared" si="139"/>
        <v>0.25401378394805102</v>
      </c>
    </row>
    <row r="2750" spans="2:6" x14ac:dyDescent="0.2">
      <c r="B2750" s="115" t="s">
        <v>845</v>
      </c>
      <c r="C2750" s="114">
        <v>3386</v>
      </c>
      <c r="D2750" s="147">
        <f t="shared" si="138"/>
        <v>0.86307837582623403</v>
      </c>
      <c r="E2750" s="148">
        <f t="shared" si="137"/>
        <v>3.5494515332142078E-4</v>
      </c>
      <c r="F2750" s="148">
        <f t="shared" si="139"/>
        <v>0.25436872910137243</v>
      </c>
    </row>
    <row r="2751" spans="2:6" x14ac:dyDescent="0.2">
      <c r="B2751" s="115" t="s">
        <v>1990</v>
      </c>
      <c r="C2751" s="114">
        <v>3390</v>
      </c>
      <c r="D2751" s="147">
        <f t="shared" si="138"/>
        <v>0.86339313818065644</v>
      </c>
      <c r="E2751" s="148">
        <f t="shared" si="137"/>
        <v>3.5536446242162329E-4</v>
      </c>
      <c r="F2751" s="148">
        <f t="shared" si="139"/>
        <v>0.25472409356379405</v>
      </c>
    </row>
    <row r="2752" spans="2:6" x14ac:dyDescent="0.2">
      <c r="B2752" s="206" t="s">
        <v>2450</v>
      </c>
      <c r="C2752" s="205">
        <v>3393</v>
      </c>
      <c r="D2752" s="147">
        <f t="shared" si="138"/>
        <v>0.86370790053507884</v>
      </c>
      <c r="E2752" s="148">
        <f t="shared" si="137"/>
        <v>3.5567894424677512E-4</v>
      </c>
      <c r="F2752" s="148">
        <f t="shared" si="139"/>
        <v>0.25507977250804081</v>
      </c>
    </row>
    <row r="2753" spans="2:6" x14ac:dyDescent="0.2">
      <c r="B2753" s="115" t="s">
        <v>2385</v>
      </c>
      <c r="C2753" s="114">
        <v>3409</v>
      </c>
      <c r="D2753" s="147">
        <f t="shared" si="138"/>
        <v>0.86402266288950125</v>
      </c>
      <c r="E2753" s="148">
        <f t="shared" si="137"/>
        <v>3.5735618064758519E-4</v>
      </c>
      <c r="F2753" s="148">
        <f t="shared" si="139"/>
        <v>0.2554371286886884</v>
      </c>
    </row>
    <row r="2754" spans="2:6" x14ac:dyDescent="0.2">
      <c r="B2754" s="115" t="s">
        <v>2430</v>
      </c>
      <c r="C2754" s="114">
        <v>3414</v>
      </c>
      <c r="D2754" s="147">
        <f t="shared" si="138"/>
        <v>0.86433742524392365</v>
      </c>
      <c r="E2754" s="148">
        <f t="shared" si="137"/>
        <v>3.578803170228383E-4</v>
      </c>
      <c r="F2754" s="148">
        <f t="shared" si="139"/>
        <v>0.25579500900571123</v>
      </c>
    </row>
    <row r="2755" spans="2:6" x14ac:dyDescent="0.2">
      <c r="B2755" s="115" t="s">
        <v>12</v>
      </c>
      <c r="C2755" s="114">
        <v>3417</v>
      </c>
      <c r="D2755" s="147">
        <f t="shared" si="138"/>
        <v>0.86465218759834606</v>
      </c>
      <c r="E2755" s="148">
        <f t="shared" si="137"/>
        <v>3.5819479884799019E-4</v>
      </c>
      <c r="F2755" s="148">
        <f t="shared" si="139"/>
        <v>0.25615320380455919</v>
      </c>
    </row>
    <row r="2756" spans="2:6" x14ac:dyDescent="0.2">
      <c r="B2756" s="115" t="s">
        <v>3053</v>
      </c>
      <c r="C2756" s="114">
        <v>3424</v>
      </c>
      <c r="D2756" s="147">
        <f t="shared" si="138"/>
        <v>0.86496694995276846</v>
      </c>
      <c r="E2756" s="148">
        <f t="shared" si="137"/>
        <v>3.5892858977334459E-4</v>
      </c>
      <c r="F2756" s="148">
        <f t="shared" si="139"/>
        <v>0.25651213239433251</v>
      </c>
    </row>
    <row r="2757" spans="2:6" x14ac:dyDescent="0.2">
      <c r="B2757" s="115" t="s">
        <v>2153</v>
      </c>
      <c r="C2757" s="114">
        <v>3438</v>
      </c>
      <c r="D2757" s="147">
        <f t="shared" si="138"/>
        <v>0.86528171230719086</v>
      </c>
      <c r="E2757" s="148">
        <f t="shared" si="137"/>
        <v>3.6039617162405332E-4</v>
      </c>
      <c r="F2757" s="148">
        <f t="shared" si="139"/>
        <v>0.25687252856595655</v>
      </c>
    </row>
    <row r="2758" spans="2:6" x14ac:dyDescent="0.2">
      <c r="B2758" s="115" t="s">
        <v>2394</v>
      </c>
      <c r="C2758" s="114">
        <v>3444</v>
      </c>
      <c r="D2758" s="147">
        <f t="shared" si="138"/>
        <v>0.86559647466161327</v>
      </c>
      <c r="E2758" s="148">
        <f t="shared" si="137"/>
        <v>3.610251352743571E-4</v>
      </c>
      <c r="F2758" s="148">
        <f t="shared" si="139"/>
        <v>0.25723355370123091</v>
      </c>
    </row>
    <row r="2759" spans="2:6" x14ac:dyDescent="0.2">
      <c r="B2759" s="115" t="s">
        <v>2951</v>
      </c>
      <c r="C2759" s="114">
        <v>3446</v>
      </c>
      <c r="D2759" s="147">
        <f t="shared" si="138"/>
        <v>0.86591123701603567</v>
      </c>
      <c r="E2759" s="148">
        <f t="shared" si="137"/>
        <v>3.6123478982445832E-4</v>
      </c>
      <c r="F2759" s="148">
        <f t="shared" si="139"/>
        <v>0.25759478849105538</v>
      </c>
    </row>
    <row r="2760" spans="2:6" x14ac:dyDescent="0.2">
      <c r="B2760" s="206" t="s">
        <v>1995</v>
      </c>
      <c r="C2760" s="205">
        <v>3446</v>
      </c>
      <c r="D2760" s="147">
        <f t="shared" si="138"/>
        <v>0.86622599937045808</v>
      </c>
      <c r="E2760" s="148">
        <f t="shared" si="137"/>
        <v>3.6123478982445832E-4</v>
      </c>
      <c r="F2760" s="148">
        <f t="shared" si="139"/>
        <v>0.25795602328087985</v>
      </c>
    </row>
    <row r="2761" spans="2:6" x14ac:dyDescent="0.2">
      <c r="B2761" s="115" t="s">
        <v>478</v>
      </c>
      <c r="C2761" s="114">
        <v>3447</v>
      </c>
      <c r="D2761" s="147">
        <f t="shared" si="138"/>
        <v>0.86654076172488048</v>
      </c>
      <c r="E2761" s="148">
        <f t="shared" ref="E2761:E2824" si="140">C2761/$O$18</f>
        <v>3.6133961709950899E-4</v>
      </c>
      <c r="F2761" s="148">
        <f t="shared" si="139"/>
        <v>0.25831736289797935</v>
      </c>
    </row>
    <row r="2762" spans="2:6" x14ac:dyDescent="0.2">
      <c r="B2762" s="115" t="s">
        <v>3072</v>
      </c>
      <c r="C2762" s="114">
        <v>3454</v>
      </c>
      <c r="D2762" s="147">
        <f t="shared" ref="D2762:D2825" si="141">D2761+1/$L$18</f>
        <v>0.86685552407930289</v>
      </c>
      <c r="E2762" s="148">
        <f t="shared" si="140"/>
        <v>3.6207340802486333E-4</v>
      </c>
      <c r="F2762" s="148">
        <f t="shared" ref="F2762:F2825" si="142">F2761+E2762</f>
        <v>0.25867943630600421</v>
      </c>
    </row>
    <row r="2763" spans="2:6" x14ac:dyDescent="0.2">
      <c r="B2763" s="115" t="s">
        <v>1463</v>
      </c>
      <c r="C2763" s="114">
        <v>3459</v>
      </c>
      <c r="D2763" s="147">
        <f t="shared" si="141"/>
        <v>0.86717028643372529</v>
      </c>
      <c r="E2763" s="148">
        <f t="shared" si="140"/>
        <v>3.625975444001165E-4</v>
      </c>
      <c r="F2763" s="148">
        <f t="shared" si="142"/>
        <v>0.25904203385040431</v>
      </c>
    </row>
    <row r="2764" spans="2:6" x14ac:dyDescent="0.2">
      <c r="B2764" s="115" t="s">
        <v>2145</v>
      </c>
      <c r="C2764" s="114">
        <v>3464</v>
      </c>
      <c r="D2764" s="147">
        <f t="shared" si="141"/>
        <v>0.86748504878814769</v>
      </c>
      <c r="E2764" s="148">
        <f t="shared" si="140"/>
        <v>3.6312168077536961E-4</v>
      </c>
      <c r="F2764" s="148">
        <f t="shared" si="142"/>
        <v>0.25940515553117965</v>
      </c>
    </row>
    <row r="2765" spans="2:6" x14ac:dyDescent="0.2">
      <c r="B2765" s="115" t="s">
        <v>509</v>
      </c>
      <c r="C2765" s="114">
        <v>3473</v>
      </c>
      <c r="D2765" s="147">
        <f t="shared" si="141"/>
        <v>0.8677998111425701</v>
      </c>
      <c r="E2765" s="148">
        <f t="shared" si="140"/>
        <v>3.6406512625082523E-4</v>
      </c>
      <c r="F2765" s="148">
        <f t="shared" si="142"/>
        <v>0.25976922065743047</v>
      </c>
    </row>
    <row r="2766" spans="2:6" x14ac:dyDescent="0.2">
      <c r="B2766" s="115" t="s">
        <v>3005</v>
      </c>
      <c r="C2766" s="114">
        <v>3494</v>
      </c>
      <c r="D2766" s="147">
        <f t="shared" si="141"/>
        <v>0.8681145734969925</v>
      </c>
      <c r="E2766" s="148">
        <f t="shared" si="140"/>
        <v>3.6626649902688841E-4</v>
      </c>
      <c r="F2766" s="148">
        <f t="shared" si="142"/>
        <v>0.26013548715645735</v>
      </c>
    </row>
    <row r="2767" spans="2:6" x14ac:dyDescent="0.2">
      <c r="B2767" s="115" t="s">
        <v>2676</v>
      </c>
      <c r="C2767" s="114">
        <v>3504</v>
      </c>
      <c r="D2767" s="147">
        <f t="shared" si="141"/>
        <v>0.86842933585141491</v>
      </c>
      <c r="E2767" s="148">
        <f t="shared" si="140"/>
        <v>3.6731477177739469E-4</v>
      </c>
      <c r="F2767" s="148">
        <f t="shared" si="142"/>
        <v>0.26050280192823472</v>
      </c>
    </row>
    <row r="2768" spans="2:6" x14ac:dyDescent="0.2">
      <c r="B2768" s="206" t="s">
        <v>2574</v>
      </c>
      <c r="C2768" s="205">
        <v>3512</v>
      </c>
      <c r="D2768" s="147">
        <f t="shared" si="141"/>
        <v>0.86874409820583731</v>
      </c>
      <c r="E2768" s="148">
        <f t="shared" si="140"/>
        <v>3.681533899777997E-4</v>
      </c>
      <c r="F2768" s="148">
        <f t="shared" si="142"/>
        <v>0.26087095531821253</v>
      </c>
    </row>
    <row r="2769" spans="2:6" x14ac:dyDescent="0.2">
      <c r="B2769" s="115" t="s">
        <v>2742</v>
      </c>
      <c r="C2769" s="114">
        <v>3546</v>
      </c>
      <c r="D2769" s="147">
        <f t="shared" si="141"/>
        <v>0.86905886056025972</v>
      </c>
      <c r="E2769" s="148">
        <f t="shared" si="140"/>
        <v>3.71717517329521E-4</v>
      </c>
      <c r="F2769" s="148">
        <f t="shared" si="142"/>
        <v>0.26124267283554203</v>
      </c>
    </row>
    <row r="2770" spans="2:6" x14ac:dyDescent="0.2">
      <c r="B2770" s="115" t="s">
        <v>1276</v>
      </c>
      <c r="C2770" s="114">
        <v>3548</v>
      </c>
      <c r="D2770" s="147">
        <f t="shared" si="141"/>
        <v>0.86937362291468212</v>
      </c>
      <c r="E2770" s="148">
        <f t="shared" si="140"/>
        <v>3.7192717187962222E-4</v>
      </c>
      <c r="F2770" s="148">
        <f t="shared" si="142"/>
        <v>0.26161460000742165</v>
      </c>
    </row>
    <row r="2771" spans="2:6" x14ac:dyDescent="0.2">
      <c r="B2771" s="206" t="s">
        <v>906</v>
      </c>
      <c r="C2771" s="205">
        <v>3552</v>
      </c>
      <c r="D2771" s="147">
        <f t="shared" si="141"/>
        <v>0.86968838526910452</v>
      </c>
      <c r="E2771" s="148">
        <f t="shared" si="140"/>
        <v>3.7234648097982472E-4</v>
      </c>
      <c r="F2771" s="148">
        <f t="shared" si="142"/>
        <v>0.26198694648840148</v>
      </c>
    </row>
    <row r="2772" spans="2:6" x14ac:dyDescent="0.2">
      <c r="B2772" s="115" t="s">
        <v>90</v>
      </c>
      <c r="C2772" s="114">
        <v>3554</v>
      </c>
      <c r="D2772" s="147">
        <f t="shared" si="141"/>
        <v>0.87000314762352693</v>
      </c>
      <c r="E2772" s="148">
        <f t="shared" si="140"/>
        <v>3.72556135529926E-4</v>
      </c>
      <c r="F2772" s="148">
        <f t="shared" si="142"/>
        <v>0.26235950262393143</v>
      </c>
    </row>
    <row r="2773" spans="2:6" x14ac:dyDescent="0.2">
      <c r="B2773" s="115" t="s">
        <v>757</v>
      </c>
      <c r="C2773" s="114">
        <v>3557</v>
      </c>
      <c r="D2773" s="147">
        <f t="shared" si="141"/>
        <v>0.87031790997794933</v>
      </c>
      <c r="E2773" s="148">
        <f t="shared" si="140"/>
        <v>3.7287061735507784E-4</v>
      </c>
      <c r="F2773" s="148">
        <f t="shared" si="142"/>
        <v>0.26273237324128651</v>
      </c>
    </row>
    <row r="2774" spans="2:6" x14ac:dyDescent="0.2">
      <c r="B2774" s="115" t="s">
        <v>1209</v>
      </c>
      <c r="C2774" s="114">
        <v>3559</v>
      </c>
      <c r="D2774" s="147">
        <f t="shared" si="141"/>
        <v>0.87063267233237174</v>
      </c>
      <c r="E2774" s="148">
        <f t="shared" si="140"/>
        <v>3.7308027190517912E-4</v>
      </c>
      <c r="F2774" s="148">
        <f t="shared" si="142"/>
        <v>0.2631054535131917</v>
      </c>
    </row>
    <row r="2775" spans="2:6" x14ac:dyDescent="0.2">
      <c r="B2775" s="115" t="s">
        <v>2107</v>
      </c>
      <c r="C2775" s="114">
        <v>3575</v>
      </c>
      <c r="D2775" s="147">
        <f t="shared" si="141"/>
        <v>0.87094743468679414</v>
      </c>
      <c r="E2775" s="148">
        <f t="shared" si="140"/>
        <v>3.7475750830598913E-4</v>
      </c>
      <c r="F2775" s="148">
        <f t="shared" si="142"/>
        <v>0.26348021102149771</v>
      </c>
    </row>
    <row r="2776" spans="2:6" x14ac:dyDescent="0.2">
      <c r="B2776" s="115" t="s">
        <v>2659</v>
      </c>
      <c r="C2776" s="114">
        <v>3588</v>
      </c>
      <c r="D2776" s="147">
        <f t="shared" si="141"/>
        <v>0.87126219704121655</v>
      </c>
      <c r="E2776" s="148">
        <f t="shared" si="140"/>
        <v>3.761202628816473E-4</v>
      </c>
      <c r="F2776" s="148">
        <f t="shared" si="142"/>
        <v>0.26385633128437935</v>
      </c>
    </row>
    <row r="2777" spans="2:6" x14ac:dyDescent="0.2">
      <c r="B2777" s="115" t="s">
        <v>469</v>
      </c>
      <c r="C2777" s="114">
        <v>3590</v>
      </c>
      <c r="D2777" s="147">
        <f t="shared" si="141"/>
        <v>0.87157695939563895</v>
      </c>
      <c r="E2777" s="148">
        <f t="shared" si="140"/>
        <v>3.7632991743174853E-4</v>
      </c>
      <c r="F2777" s="148">
        <f t="shared" si="142"/>
        <v>0.2642326612018111</v>
      </c>
    </row>
    <row r="2778" spans="2:6" x14ac:dyDescent="0.2">
      <c r="B2778" s="115" t="s">
        <v>2367</v>
      </c>
      <c r="C2778" s="114">
        <v>3602</v>
      </c>
      <c r="D2778" s="147">
        <f t="shared" si="141"/>
        <v>0.87189172175006135</v>
      </c>
      <c r="E2778" s="148">
        <f t="shared" si="140"/>
        <v>3.7758784473235603E-4</v>
      </c>
      <c r="F2778" s="148">
        <f t="shared" si="142"/>
        <v>0.26461024904654346</v>
      </c>
    </row>
    <row r="2779" spans="2:6" x14ac:dyDescent="0.2">
      <c r="B2779" s="115" t="s">
        <v>1766</v>
      </c>
      <c r="C2779" s="114">
        <v>3609</v>
      </c>
      <c r="D2779" s="147">
        <f t="shared" si="141"/>
        <v>0.87220648410448376</v>
      </c>
      <c r="E2779" s="148">
        <f t="shared" si="140"/>
        <v>3.7832163565771043E-4</v>
      </c>
      <c r="F2779" s="148">
        <f t="shared" si="142"/>
        <v>0.26498857068220116</v>
      </c>
    </row>
    <row r="2780" spans="2:6" x14ac:dyDescent="0.2">
      <c r="B2780" s="115" t="s">
        <v>1686</v>
      </c>
      <c r="C2780" s="114">
        <v>3613</v>
      </c>
      <c r="D2780" s="147">
        <f t="shared" si="141"/>
        <v>0.87252124645890616</v>
      </c>
      <c r="E2780" s="148">
        <f t="shared" si="140"/>
        <v>3.7874094475791293E-4</v>
      </c>
      <c r="F2780" s="148">
        <f t="shared" si="142"/>
        <v>0.26536731162695909</v>
      </c>
    </row>
    <row r="2781" spans="2:6" x14ac:dyDescent="0.2">
      <c r="B2781" s="206" t="s">
        <v>2236</v>
      </c>
      <c r="C2781" s="205">
        <v>3617</v>
      </c>
      <c r="D2781" s="147">
        <f t="shared" si="141"/>
        <v>0.87283600881332857</v>
      </c>
      <c r="E2781" s="148">
        <f t="shared" si="140"/>
        <v>3.7916025385811543E-4</v>
      </c>
      <c r="F2781" s="148">
        <f t="shared" si="142"/>
        <v>0.26574647188081718</v>
      </c>
    </row>
    <row r="2782" spans="2:6" x14ac:dyDescent="0.2">
      <c r="B2782" s="206" t="s">
        <v>1208</v>
      </c>
      <c r="C2782" s="205">
        <v>3624</v>
      </c>
      <c r="D2782" s="147">
        <f t="shared" si="141"/>
        <v>0.87315077116775097</v>
      </c>
      <c r="E2782" s="148">
        <f t="shared" si="140"/>
        <v>3.7989404478346983E-4</v>
      </c>
      <c r="F2782" s="148">
        <f t="shared" si="142"/>
        <v>0.26612636592560063</v>
      </c>
    </row>
    <row r="2783" spans="2:6" x14ac:dyDescent="0.2">
      <c r="B2783" s="115" t="s">
        <v>132</v>
      </c>
      <c r="C2783" s="114">
        <v>3632</v>
      </c>
      <c r="D2783" s="147">
        <f t="shared" si="141"/>
        <v>0.87346553352217338</v>
      </c>
      <c r="E2783" s="148">
        <f t="shared" si="140"/>
        <v>3.8073266298387483E-4</v>
      </c>
      <c r="F2783" s="148">
        <f t="shared" si="142"/>
        <v>0.26650709858858451</v>
      </c>
    </row>
    <row r="2784" spans="2:6" x14ac:dyDescent="0.2">
      <c r="B2784" s="115" t="s">
        <v>1543</v>
      </c>
      <c r="C2784" s="114">
        <v>3648</v>
      </c>
      <c r="D2784" s="147">
        <f t="shared" si="141"/>
        <v>0.87378029587659578</v>
      </c>
      <c r="E2784" s="148">
        <f t="shared" si="140"/>
        <v>3.8240989938468484E-4</v>
      </c>
      <c r="F2784" s="148">
        <f t="shared" si="142"/>
        <v>0.26688950848796922</v>
      </c>
    </row>
    <row r="2785" spans="2:6" x14ac:dyDescent="0.2">
      <c r="B2785" s="115" t="s">
        <v>330</v>
      </c>
      <c r="C2785" s="114">
        <v>3649</v>
      </c>
      <c r="D2785" s="147">
        <f t="shared" si="141"/>
        <v>0.87409505823101818</v>
      </c>
      <c r="E2785" s="148">
        <f t="shared" si="140"/>
        <v>3.8251472665973551E-4</v>
      </c>
      <c r="F2785" s="148">
        <f t="shared" si="142"/>
        <v>0.26727202321462895</v>
      </c>
    </row>
    <row r="2786" spans="2:6" x14ac:dyDescent="0.2">
      <c r="B2786" s="206" t="s">
        <v>88</v>
      </c>
      <c r="C2786" s="205">
        <v>3650</v>
      </c>
      <c r="D2786" s="147">
        <f t="shared" si="141"/>
        <v>0.87440982058544059</v>
      </c>
      <c r="E2786" s="148">
        <f t="shared" si="140"/>
        <v>3.8261955393478612E-4</v>
      </c>
      <c r="F2786" s="148">
        <f t="shared" si="142"/>
        <v>0.26765464276856371</v>
      </c>
    </row>
    <row r="2787" spans="2:6" x14ac:dyDescent="0.2">
      <c r="B2787" s="206" t="s">
        <v>140</v>
      </c>
      <c r="C2787" s="205">
        <v>3653</v>
      </c>
      <c r="D2787" s="147">
        <f t="shared" si="141"/>
        <v>0.87472458293986299</v>
      </c>
      <c r="E2787" s="148">
        <f t="shared" si="140"/>
        <v>3.8293403575993801E-4</v>
      </c>
      <c r="F2787" s="148">
        <f t="shared" si="142"/>
        <v>0.26803757680432366</v>
      </c>
    </row>
    <row r="2788" spans="2:6" x14ac:dyDescent="0.2">
      <c r="B2788" s="206" t="s">
        <v>470</v>
      </c>
      <c r="C2788" s="205">
        <v>3655</v>
      </c>
      <c r="D2788" s="147">
        <f t="shared" si="141"/>
        <v>0.8750393452942854</v>
      </c>
      <c r="E2788" s="148">
        <f t="shared" si="140"/>
        <v>3.8314369031003923E-4</v>
      </c>
      <c r="F2788" s="148">
        <f t="shared" si="142"/>
        <v>0.26842072049463372</v>
      </c>
    </row>
    <row r="2789" spans="2:6" x14ac:dyDescent="0.2">
      <c r="B2789" s="115" t="s">
        <v>2182</v>
      </c>
      <c r="C2789" s="114">
        <v>3663</v>
      </c>
      <c r="D2789" s="147">
        <f t="shared" si="141"/>
        <v>0.8753541076487078</v>
      </c>
      <c r="E2789" s="148">
        <f t="shared" si="140"/>
        <v>3.8398230851044424E-4</v>
      </c>
      <c r="F2789" s="148">
        <f t="shared" si="142"/>
        <v>0.26880470280314417</v>
      </c>
    </row>
    <row r="2790" spans="2:6" x14ac:dyDescent="0.2">
      <c r="B2790" s="206" t="s">
        <v>3066</v>
      </c>
      <c r="C2790" s="205">
        <v>3665</v>
      </c>
      <c r="D2790" s="147">
        <f t="shared" si="141"/>
        <v>0.87566887000313021</v>
      </c>
      <c r="E2790" s="148">
        <f t="shared" si="140"/>
        <v>3.8419196306054552E-4</v>
      </c>
      <c r="F2790" s="148">
        <f t="shared" si="142"/>
        <v>0.26918889476620472</v>
      </c>
    </row>
    <row r="2791" spans="2:6" x14ac:dyDescent="0.2">
      <c r="B2791" s="115" t="s">
        <v>1625</v>
      </c>
      <c r="C2791" s="114">
        <v>3677</v>
      </c>
      <c r="D2791" s="147">
        <f t="shared" si="141"/>
        <v>0.87598363235755261</v>
      </c>
      <c r="E2791" s="148">
        <f t="shared" si="140"/>
        <v>3.8544989036115303E-4</v>
      </c>
      <c r="F2791" s="148">
        <f t="shared" si="142"/>
        <v>0.26957434465656588</v>
      </c>
    </row>
    <row r="2792" spans="2:6" x14ac:dyDescent="0.2">
      <c r="B2792" s="206" t="s">
        <v>666</v>
      </c>
      <c r="C2792" s="205">
        <v>3679</v>
      </c>
      <c r="D2792" s="147">
        <f t="shared" si="141"/>
        <v>0.87629839471197501</v>
      </c>
      <c r="E2792" s="148">
        <f t="shared" si="140"/>
        <v>3.856595449112543E-4</v>
      </c>
      <c r="F2792" s="148">
        <f t="shared" si="142"/>
        <v>0.26996000420147714</v>
      </c>
    </row>
    <row r="2793" spans="2:6" x14ac:dyDescent="0.2">
      <c r="B2793" s="206" t="s">
        <v>2817</v>
      </c>
      <c r="C2793" s="205">
        <v>3684</v>
      </c>
      <c r="D2793" s="147">
        <f t="shared" si="141"/>
        <v>0.87661315706639742</v>
      </c>
      <c r="E2793" s="148">
        <f t="shared" si="140"/>
        <v>3.8618368128650742E-4</v>
      </c>
      <c r="F2793" s="148">
        <f t="shared" si="142"/>
        <v>0.27034618788276366</v>
      </c>
    </row>
    <row r="2794" spans="2:6" x14ac:dyDescent="0.2">
      <c r="B2794" s="115" t="s">
        <v>3042</v>
      </c>
      <c r="C2794" s="114">
        <v>3712</v>
      </c>
      <c r="D2794" s="147">
        <f t="shared" si="141"/>
        <v>0.87692791942081982</v>
      </c>
      <c r="E2794" s="148">
        <f t="shared" si="140"/>
        <v>3.8911884498792494E-4</v>
      </c>
      <c r="F2794" s="148">
        <f t="shared" si="142"/>
        <v>0.27073530672775159</v>
      </c>
    </row>
    <row r="2795" spans="2:6" x14ac:dyDescent="0.2">
      <c r="B2795" s="115" t="s">
        <v>3162</v>
      </c>
      <c r="C2795" s="114">
        <v>3727</v>
      </c>
      <c r="D2795" s="147">
        <f t="shared" si="141"/>
        <v>0.87724268177524223</v>
      </c>
      <c r="E2795" s="148">
        <f t="shared" si="140"/>
        <v>3.9069125411368434E-4</v>
      </c>
      <c r="F2795" s="148">
        <f t="shared" si="142"/>
        <v>0.27112599798186526</v>
      </c>
    </row>
    <row r="2796" spans="2:6" x14ac:dyDescent="0.2">
      <c r="B2796" s="115" t="s">
        <v>2606</v>
      </c>
      <c r="C2796" s="114">
        <v>3737</v>
      </c>
      <c r="D2796" s="147">
        <f t="shared" si="141"/>
        <v>0.87755744412966463</v>
      </c>
      <c r="E2796" s="148">
        <f t="shared" si="140"/>
        <v>3.9173952686419062E-4</v>
      </c>
      <c r="F2796" s="148">
        <f t="shared" si="142"/>
        <v>0.27151773750872943</v>
      </c>
    </row>
    <row r="2797" spans="2:6" x14ac:dyDescent="0.2">
      <c r="B2797" s="115" t="s">
        <v>1182</v>
      </c>
      <c r="C2797" s="114">
        <v>3752</v>
      </c>
      <c r="D2797" s="147">
        <f t="shared" si="141"/>
        <v>0.87787220648408704</v>
      </c>
      <c r="E2797" s="148">
        <f t="shared" si="140"/>
        <v>3.9331193598995002E-4</v>
      </c>
      <c r="F2797" s="148">
        <f t="shared" si="142"/>
        <v>0.27191104944471939</v>
      </c>
    </row>
    <row r="2798" spans="2:6" x14ac:dyDescent="0.2">
      <c r="B2798" s="206" t="s">
        <v>2402</v>
      </c>
      <c r="C2798" s="205">
        <v>3756</v>
      </c>
      <c r="D2798" s="147">
        <f t="shared" si="141"/>
        <v>0.87818696883850944</v>
      </c>
      <c r="E2798" s="148">
        <f t="shared" si="140"/>
        <v>3.9373124509015252E-4</v>
      </c>
      <c r="F2798" s="148">
        <f t="shared" si="142"/>
        <v>0.27230478068980957</v>
      </c>
    </row>
    <row r="2799" spans="2:6" x14ac:dyDescent="0.2">
      <c r="B2799" s="115" t="s">
        <v>698</v>
      </c>
      <c r="C2799" s="114">
        <v>3760</v>
      </c>
      <c r="D2799" s="147">
        <f t="shared" si="141"/>
        <v>0.87850173119293185</v>
      </c>
      <c r="E2799" s="148">
        <f t="shared" si="140"/>
        <v>3.9415055419035502E-4</v>
      </c>
      <c r="F2799" s="148">
        <f t="shared" si="142"/>
        <v>0.27269893124399991</v>
      </c>
    </row>
    <row r="2800" spans="2:6" x14ac:dyDescent="0.2">
      <c r="B2800" s="115" t="s">
        <v>1090</v>
      </c>
      <c r="C2800" s="114">
        <v>3793</v>
      </c>
      <c r="D2800" s="147">
        <f t="shared" si="141"/>
        <v>0.87881649354735425</v>
      </c>
      <c r="E2800" s="148">
        <f t="shared" si="140"/>
        <v>3.9760985426702566E-4</v>
      </c>
      <c r="F2800" s="148">
        <f t="shared" si="142"/>
        <v>0.27309654109826692</v>
      </c>
    </row>
    <row r="2801" spans="2:6" x14ac:dyDescent="0.2">
      <c r="B2801" s="115" t="s">
        <v>1032</v>
      </c>
      <c r="C2801" s="114">
        <v>3795</v>
      </c>
      <c r="D2801" s="147">
        <f t="shared" si="141"/>
        <v>0.87913125590177665</v>
      </c>
      <c r="E2801" s="148">
        <f t="shared" si="140"/>
        <v>3.9781950881712693E-4</v>
      </c>
      <c r="F2801" s="148">
        <f t="shared" si="142"/>
        <v>0.27349436060708404</v>
      </c>
    </row>
    <row r="2802" spans="2:6" x14ac:dyDescent="0.2">
      <c r="B2802" s="206" t="s">
        <v>2848</v>
      </c>
      <c r="C2802" s="205">
        <v>3801</v>
      </c>
      <c r="D2802" s="147">
        <f t="shared" si="141"/>
        <v>0.87944601825619906</v>
      </c>
      <c r="E2802" s="148">
        <f t="shared" si="140"/>
        <v>3.9844847246743072E-4</v>
      </c>
      <c r="F2802" s="148">
        <f t="shared" si="142"/>
        <v>0.27389280907955149</v>
      </c>
    </row>
    <row r="2803" spans="2:6" x14ac:dyDescent="0.2">
      <c r="B2803" s="206" t="s">
        <v>2601</v>
      </c>
      <c r="C2803" s="205">
        <v>3810</v>
      </c>
      <c r="D2803" s="147">
        <f t="shared" si="141"/>
        <v>0.87976078061062146</v>
      </c>
      <c r="E2803" s="148">
        <f t="shared" si="140"/>
        <v>3.9939191794288633E-4</v>
      </c>
      <c r="F2803" s="148">
        <f t="shared" si="142"/>
        <v>0.27429220099749435</v>
      </c>
    </row>
    <row r="2804" spans="2:6" x14ac:dyDescent="0.2">
      <c r="B2804" s="115" t="s">
        <v>2764</v>
      </c>
      <c r="C2804" s="114">
        <v>3822</v>
      </c>
      <c r="D2804" s="147">
        <f t="shared" si="141"/>
        <v>0.88007554296504387</v>
      </c>
      <c r="E2804" s="148">
        <f t="shared" si="140"/>
        <v>4.0064984524349384E-4</v>
      </c>
      <c r="F2804" s="148">
        <f t="shared" si="142"/>
        <v>0.27469285084273787</v>
      </c>
    </row>
    <row r="2805" spans="2:6" x14ac:dyDescent="0.2">
      <c r="B2805" s="115" t="s">
        <v>319</v>
      </c>
      <c r="C2805" s="114">
        <v>3823</v>
      </c>
      <c r="D2805" s="147">
        <f t="shared" si="141"/>
        <v>0.88039030531946627</v>
      </c>
      <c r="E2805" s="148">
        <f t="shared" si="140"/>
        <v>4.0075467251854445E-4</v>
      </c>
      <c r="F2805" s="148">
        <f t="shared" si="142"/>
        <v>0.27509360551525641</v>
      </c>
    </row>
    <row r="2806" spans="2:6" x14ac:dyDescent="0.2">
      <c r="B2806" s="115" t="s">
        <v>1216</v>
      </c>
      <c r="C2806" s="114">
        <v>3840</v>
      </c>
      <c r="D2806" s="147">
        <f t="shared" si="141"/>
        <v>0.88070506767388868</v>
      </c>
      <c r="E2806" s="148">
        <f t="shared" si="140"/>
        <v>4.0253673619440513E-4</v>
      </c>
      <c r="F2806" s="148">
        <f t="shared" si="142"/>
        <v>0.2754961422514508</v>
      </c>
    </row>
    <row r="2807" spans="2:6" x14ac:dyDescent="0.2">
      <c r="B2807" s="115" t="s">
        <v>1017</v>
      </c>
      <c r="C2807" s="114">
        <v>3865</v>
      </c>
      <c r="D2807" s="147">
        <f t="shared" si="141"/>
        <v>0.88101983002831108</v>
      </c>
      <c r="E2807" s="148">
        <f t="shared" si="140"/>
        <v>4.0515741807067076E-4</v>
      </c>
      <c r="F2807" s="148">
        <f t="shared" si="142"/>
        <v>0.27590129966952148</v>
      </c>
    </row>
    <row r="2808" spans="2:6" x14ac:dyDescent="0.2">
      <c r="B2808" s="115" t="s">
        <v>165</v>
      </c>
      <c r="C2808" s="114">
        <v>3881</v>
      </c>
      <c r="D2808" s="147">
        <f t="shared" si="141"/>
        <v>0.88133459238273348</v>
      </c>
      <c r="E2808" s="148">
        <f t="shared" si="140"/>
        <v>4.0683465447148082E-4</v>
      </c>
      <c r="F2808" s="148">
        <f t="shared" si="142"/>
        <v>0.27630813432399298</v>
      </c>
    </row>
    <row r="2809" spans="2:6" x14ac:dyDescent="0.2">
      <c r="B2809" s="115" t="s">
        <v>1072</v>
      </c>
      <c r="C2809" s="114">
        <v>3892</v>
      </c>
      <c r="D2809" s="147">
        <f t="shared" si="141"/>
        <v>0.88164935473715589</v>
      </c>
      <c r="E2809" s="148">
        <f t="shared" si="140"/>
        <v>4.0798775449703766E-4</v>
      </c>
      <c r="F2809" s="148">
        <f t="shared" si="142"/>
        <v>0.27671612207849</v>
      </c>
    </row>
    <row r="2810" spans="2:6" x14ac:dyDescent="0.2">
      <c r="B2810" s="115" t="s">
        <v>2518</v>
      </c>
      <c r="C2810" s="114">
        <v>3894</v>
      </c>
      <c r="D2810" s="147">
        <f t="shared" si="141"/>
        <v>0.88196411709157829</v>
      </c>
      <c r="E2810" s="148">
        <f t="shared" si="140"/>
        <v>4.0819740904713894E-4</v>
      </c>
      <c r="F2810" s="148">
        <f t="shared" si="142"/>
        <v>0.27712431948753713</v>
      </c>
    </row>
    <row r="2811" spans="2:6" x14ac:dyDescent="0.2">
      <c r="B2811" s="206" t="s">
        <v>2583</v>
      </c>
      <c r="C2811" s="205">
        <v>3903</v>
      </c>
      <c r="D2811" s="147">
        <f t="shared" si="141"/>
        <v>0.8822788794460007</v>
      </c>
      <c r="E2811" s="148">
        <f t="shared" si="140"/>
        <v>4.0914085452259456E-4</v>
      </c>
      <c r="F2811" s="148">
        <f t="shared" si="142"/>
        <v>0.27753346034205972</v>
      </c>
    </row>
    <row r="2812" spans="2:6" x14ac:dyDescent="0.2">
      <c r="B2812" s="206" t="s">
        <v>2864</v>
      </c>
      <c r="C2812" s="205">
        <v>3921</v>
      </c>
      <c r="D2812" s="147">
        <f t="shared" si="141"/>
        <v>0.8825936418004231</v>
      </c>
      <c r="E2812" s="148">
        <f t="shared" si="140"/>
        <v>4.1102774547350585E-4</v>
      </c>
      <c r="F2812" s="148">
        <f t="shared" si="142"/>
        <v>0.27794448808753325</v>
      </c>
    </row>
    <row r="2813" spans="2:6" x14ac:dyDescent="0.2">
      <c r="B2813" s="115" t="s">
        <v>589</v>
      </c>
      <c r="C2813" s="114">
        <v>3921</v>
      </c>
      <c r="D2813" s="147">
        <f t="shared" si="141"/>
        <v>0.88290840415484551</v>
      </c>
      <c r="E2813" s="148">
        <f t="shared" si="140"/>
        <v>4.1102774547350585E-4</v>
      </c>
      <c r="F2813" s="148">
        <f t="shared" si="142"/>
        <v>0.27835551583300677</v>
      </c>
    </row>
    <row r="2814" spans="2:6" x14ac:dyDescent="0.2">
      <c r="B2814" s="206" t="s">
        <v>2381</v>
      </c>
      <c r="C2814" s="205">
        <v>3933</v>
      </c>
      <c r="D2814" s="147">
        <f t="shared" si="141"/>
        <v>0.88322316650926791</v>
      </c>
      <c r="E2814" s="148">
        <f t="shared" si="140"/>
        <v>4.1228567277411336E-4</v>
      </c>
      <c r="F2814" s="148">
        <f t="shared" si="142"/>
        <v>0.2787678015057809</v>
      </c>
    </row>
    <row r="2815" spans="2:6" x14ac:dyDescent="0.2">
      <c r="B2815" s="206" t="s">
        <v>602</v>
      </c>
      <c r="C2815" s="205">
        <v>3939</v>
      </c>
      <c r="D2815" s="147">
        <f t="shared" si="141"/>
        <v>0.88353792886369031</v>
      </c>
      <c r="E2815" s="148">
        <f t="shared" si="140"/>
        <v>4.1291463642441714E-4</v>
      </c>
      <c r="F2815" s="148">
        <f t="shared" si="142"/>
        <v>0.2791807161422053</v>
      </c>
    </row>
    <row r="2816" spans="2:6" x14ac:dyDescent="0.2">
      <c r="B2816" s="206" t="s">
        <v>2263</v>
      </c>
      <c r="C2816" s="205">
        <v>3964</v>
      </c>
      <c r="D2816" s="147">
        <f t="shared" si="141"/>
        <v>0.88385269121811272</v>
      </c>
      <c r="E2816" s="148">
        <f t="shared" si="140"/>
        <v>4.1553531830068277E-4</v>
      </c>
      <c r="F2816" s="148">
        <f t="shared" si="142"/>
        <v>0.27959625146050598</v>
      </c>
    </row>
    <row r="2817" spans="2:6" x14ac:dyDescent="0.2">
      <c r="B2817" s="115" t="s">
        <v>1707</v>
      </c>
      <c r="C2817" s="114">
        <v>3970</v>
      </c>
      <c r="D2817" s="147">
        <f t="shared" si="141"/>
        <v>0.88416745357253512</v>
      </c>
      <c r="E2817" s="148">
        <f t="shared" si="140"/>
        <v>4.1616428195098655E-4</v>
      </c>
      <c r="F2817" s="148">
        <f t="shared" si="142"/>
        <v>0.28001241574245694</v>
      </c>
    </row>
    <row r="2818" spans="2:6" x14ac:dyDescent="0.2">
      <c r="B2818" s="115" t="s">
        <v>489</v>
      </c>
      <c r="C2818" s="114">
        <v>3971</v>
      </c>
      <c r="D2818" s="147">
        <f t="shared" si="141"/>
        <v>0.88448221592695753</v>
      </c>
      <c r="E2818" s="148">
        <f t="shared" si="140"/>
        <v>4.1626910922603716E-4</v>
      </c>
      <c r="F2818" s="148">
        <f t="shared" si="142"/>
        <v>0.28042868485168299</v>
      </c>
    </row>
    <row r="2819" spans="2:6" x14ac:dyDescent="0.2">
      <c r="B2819" s="115" t="s">
        <v>1896</v>
      </c>
      <c r="C2819" s="114">
        <v>3977</v>
      </c>
      <c r="D2819" s="147">
        <f t="shared" si="141"/>
        <v>0.88479697828137993</v>
      </c>
      <c r="E2819" s="148">
        <f t="shared" si="140"/>
        <v>4.1689807287634094E-4</v>
      </c>
      <c r="F2819" s="148">
        <f t="shared" si="142"/>
        <v>0.2808455829245593</v>
      </c>
    </row>
    <row r="2820" spans="2:6" x14ac:dyDescent="0.2">
      <c r="B2820" s="115" t="s">
        <v>2595</v>
      </c>
      <c r="C2820" s="114">
        <v>3990</v>
      </c>
      <c r="D2820" s="147">
        <f t="shared" si="141"/>
        <v>0.88511174063580234</v>
      </c>
      <c r="E2820" s="148">
        <f t="shared" si="140"/>
        <v>4.1826082745199906E-4</v>
      </c>
      <c r="F2820" s="148">
        <f t="shared" si="142"/>
        <v>0.2812638437520113</v>
      </c>
    </row>
    <row r="2821" spans="2:6" x14ac:dyDescent="0.2">
      <c r="B2821" s="115" t="s">
        <v>2231</v>
      </c>
      <c r="C2821" s="114">
        <v>3994</v>
      </c>
      <c r="D2821" s="147">
        <f t="shared" si="141"/>
        <v>0.88542650299022474</v>
      </c>
      <c r="E2821" s="148">
        <f t="shared" si="140"/>
        <v>4.1868013655220156E-4</v>
      </c>
      <c r="F2821" s="148">
        <f t="shared" si="142"/>
        <v>0.28168252388856352</v>
      </c>
    </row>
    <row r="2822" spans="2:6" x14ac:dyDescent="0.2">
      <c r="B2822" s="115" t="s">
        <v>2437</v>
      </c>
      <c r="C2822" s="114">
        <v>4035</v>
      </c>
      <c r="D2822" s="147">
        <f t="shared" si="141"/>
        <v>0.88574126534464714</v>
      </c>
      <c r="E2822" s="148">
        <f t="shared" si="140"/>
        <v>4.2297805482927726E-4</v>
      </c>
      <c r="F2822" s="148">
        <f t="shared" si="142"/>
        <v>0.28210550194339279</v>
      </c>
    </row>
    <row r="2823" spans="2:6" x14ac:dyDescent="0.2">
      <c r="B2823" s="115" t="s">
        <v>1642</v>
      </c>
      <c r="C2823" s="114">
        <v>4053</v>
      </c>
      <c r="D2823" s="147">
        <f t="shared" si="141"/>
        <v>0.88605602769906955</v>
      </c>
      <c r="E2823" s="148">
        <f t="shared" si="140"/>
        <v>4.2486494578018854E-4</v>
      </c>
      <c r="F2823" s="148">
        <f t="shared" si="142"/>
        <v>0.28253036688917299</v>
      </c>
    </row>
    <row r="2824" spans="2:6" x14ac:dyDescent="0.2">
      <c r="B2824" s="115" t="s">
        <v>334</v>
      </c>
      <c r="C2824" s="114">
        <v>4066</v>
      </c>
      <c r="D2824" s="147">
        <f t="shared" si="141"/>
        <v>0.88637079005349195</v>
      </c>
      <c r="E2824" s="148">
        <f t="shared" si="140"/>
        <v>4.2622770035584666E-4</v>
      </c>
      <c r="F2824" s="148">
        <f t="shared" si="142"/>
        <v>0.28295659458952882</v>
      </c>
    </row>
    <row r="2825" spans="2:6" x14ac:dyDescent="0.2">
      <c r="B2825" s="115" t="s">
        <v>1974</v>
      </c>
      <c r="C2825" s="114">
        <v>4087</v>
      </c>
      <c r="D2825" s="147">
        <f t="shared" si="141"/>
        <v>0.88668555240791436</v>
      </c>
      <c r="E2825" s="148">
        <f t="shared" ref="E2825:E2888" si="143">C2825/$O$18</f>
        <v>4.2842907313190984E-4</v>
      </c>
      <c r="F2825" s="148">
        <f t="shared" si="142"/>
        <v>0.28338502366266072</v>
      </c>
    </row>
    <row r="2826" spans="2:6" x14ac:dyDescent="0.2">
      <c r="B2826" s="115" t="s">
        <v>3141</v>
      </c>
      <c r="C2826" s="114">
        <v>4103</v>
      </c>
      <c r="D2826" s="147">
        <f t="shared" ref="D2826:D2889" si="144">D2825+1/$L$18</f>
        <v>0.88700031476233676</v>
      </c>
      <c r="E2826" s="148">
        <f t="shared" si="143"/>
        <v>4.3010630953271985E-4</v>
      </c>
      <c r="F2826" s="148">
        <f t="shared" ref="F2826:F2889" si="145">F2825+E2826</f>
        <v>0.28381512997219344</v>
      </c>
    </row>
    <row r="2827" spans="2:6" x14ac:dyDescent="0.2">
      <c r="B2827" s="115" t="s">
        <v>2508</v>
      </c>
      <c r="C2827" s="114">
        <v>4109</v>
      </c>
      <c r="D2827" s="147">
        <f t="shared" si="144"/>
        <v>0.88731507711675917</v>
      </c>
      <c r="E2827" s="148">
        <f t="shared" si="143"/>
        <v>4.3073527318302358E-4</v>
      </c>
      <c r="F2827" s="148">
        <f t="shared" si="145"/>
        <v>0.28424586524537648</v>
      </c>
    </row>
    <row r="2828" spans="2:6" x14ac:dyDescent="0.2">
      <c r="B2828" s="115" t="s">
        <v>2591</v>
      </c>
      <c r="C2828" s="114">
        <v>4137</v>
      </c>
      <c r="D2828" s="147">
        <f t="shared" si="144"/>
        <v>0.88762983947118157</v>
      </c>
      <c r="E2828" s="148">
        <f t="shared" si="143"/>
        <v>4.3367043688444115E-4</v>
      </c>
      <c r="F2828" s="148">
        <f t="shared" si="145"/>
        <v>0.2846795356822609</v>
      </c>
    </row>
    <row r="2829" spans="2:6" x14ac:dyDescent="0.2">
      <c r="B2829" s="206" t="s">
        <v>2150</v>
      </c>
      <c r="C2829" s="205">
        <v>4143</v>
      </c>
      <c r="D2829" s="147">
        <f t="shared" si="144"/>
        <v>0.88794460182560397</v>
      </c>
      <c r="E2829" s="148">
        <f t="shared" si="143"/>
        <v>4.3429940053474488E-4</v>
      </c>
      <c r="F2829" s="148">
        <f t="shared" si="145"/>
        <v>0.28511383508279564</v>
      </c>
    </row>
    <row r="2830" spans="2:6" x14ac:dyDescent="0.2">
      <c r="B2830" s="115" t="s">
        <v>141</v>
      </c>
      <c r="C2830" s="114">
        <v>4146</v>
      </c>
      <c r="D2830" s="147">
        <f t="shared" si="144"/>
        <v>0.88825936418002638</v>
      </c>
      <c r="E2830" s="148">
        <f t="shared" si="143"/>
        <v>4.3461388235989677E-4</v>
      </c>
      <c r="F2830" s="148">
        <f t="shared" si="145"/>
        <v>0.28554844896515552</v>
      </c>
    </row>
    <row r="2831" spans="2:6" x14ac:dyDescent="0.2">
      <c r="B2831" s="206" t="s">
        <v>1465</v>
      </c>
      <c r="C2831" s="205">
        <v>4173</v>
      </c>
      <c r="D2831" s="147">
        <f t="shared" si="144"/>
        <v>0.88857412653444878</v>
      </c>
      <c r="E2831" s="148">
        <f t="shared" si="143"/>
        <v>4.3744421878626368E-4</v>
      </c>
      <c r="F2831" s="148">
        <f t="shared" si="145"/>
        <v>0.2859858931839418</v>
      </c>
    </row>
    <row r="2832" spans="2:6" x14ac:dyDescent="0.2">
      <c r="B2832" s="115" t="s">
        <v>2850</v>
      </c>
      <c r="C2832" s="114">
        <v>4191</v>
      </c>
      <c r="D2832" s="147">
        <f t="shared" si="144"/>
        <v>0.88888888888887119</v>
      </c>
      <c r="E2832" s="148">
        <f t="shared" si="143"/>
        <v>4.3933110973717497E-4</v>
      </c>
      <c r="F2832" s="148">
        <f t="shared" si="145"/>
        <v>0.28642522429367895</v>
      </c>
    </row>
    <row r="2833" spans="2:6" x14ac:dyDescent="0.2">
      <c r="B2833" s="115" t="s">
        <v>404</v>
      </c>
      <c r="C2833" s="114">
        <v>4205</v>
      </c>
      <c r="D2833" s="147">
        <f t="shared" si="144"/>
        <v>0.88920365124329359</v>
      </c>
      <c r="E2833" s="148">
        <f t="shared" si="143"/>
        <v>4.4079869158788375E-4</v>
      </c>
      <c r="F2833" s="148">
        <f t="shared" si="145"/>
        <v>0.28686602298526681</v>
      </c>
    </row>
    <row r="2834" spans="2:6" x14ac:dyDescent="0.2">
      <c r="B2834" s="115" t="s">
        <v>1010</v>
      </c>
      <c r="C2834" s="114">
        <v>4206</v>
      </c>
      <c r="D2834" s="147">
        <f t="shared" si="144"/>
        <v>0.889518413597716</v>
      </c>
      <c r="E2834" s="148">
        <f t="shared" si="143"/>
        <v>4.4090351886293436E-4</v>
      </c>
      <c r="F2834" s="148">
        <f t="shared" si="145"/>
        <v>0.28730692650412976</v>
      </c>
    </row>
    <row r="2835" spans="2:6" x14ac:dyDescent="0.2">
      <c r="B2835" s="115" t="s">
        <v>288</v>
      </c>
      <c r="C2835" s="114">
        <v>4212</v>
      </c>
      <c r="D2835" s="147">
        <f t="shared" si="144"/>
        <v>0.8898331759521384</v>
      </c>
      <c r="E2835" s="148">
        <f t="shared" si="143"/>
        <v>4.4153248251323809E-4</v>
      </c>
      <c r="F2835" s="148">
        <f t="shared" si="145"/>
        <v>0.28774845898664297</v>
      </c>
    </row>
    <row r="2836" spans="2:6" x14ac:dyDescent="0.2">
      <c r="B2836" s="115" t="s">
        <v>303</v>
      </c>
      <c r="C2836" s="114">
        <v>4218</v>
      </c>
      <c r="D2836" s="147">
        <f t="shared" si="144"/>
        <v>0.8901479383065608</v>
      </c>
      <c r="E2836" s="148">
        <f t="shared" si="143"/>
        <v>4.4216144616354187E-4</v>
      </c>
      <c r="F2836" s="148">
        <f t="shared" si="145"/>
        <v>0.28819062043280652</v>
      </c>
    </row>
    <row r="2837" spans="2:6" x14ac:dyDescent="0.2">
      <c r="B2837" s="115" t="s">
        <v>896</v>
      </c>
      <c r="C2837" s="114">
        <v>4222</v>
      </c>
      <c r="D2837" s="147">
        <f t="shared" si="144"/>
        <v>0.89046270066098321</v>
      </c>
      <c r="E2837" s="148">
        <f t="shared" si="143"/>
        <v>4.4258075526374438E-4</v>
      </c>
      <c r="F2837" s="148">
        <f t="shared" si="145"/>
        <v>0.28863320118807029</v>
      </c>
    </row>
    <row r="2838" spans="2:6" x14ac:dyDescent="0.2">
      <c r="B2838" s="115" t="s">
        <v>2479</v>
      </c>
      <c r="C2838" s="114">
        <v>4231</v>
      </c>
      <c r="D2838" s="147">
        <f t="shared" si="144"/>
        <v>0.89077746301540561</v>
      </c>
      <c r="E2838" s="148">
        <f t="shared" si="143"/>
        <v>4.4352420073919999E-4</v>
      </c>
      <c r="F2838" s="148">
        <f t="shared" si="145"/>
        <v>0.28907672538880946</v>
      </c>
    </row>
    <row r="2839" spans="2:6" x14ac:dyDescent="0.2">
      <c r="B2839" s="115" t="s">
        <v>385</v>
      </c>
      <c r="C2839" s="114">
        <v>4237</v>
      </c>
      <c r="D2839" s="147">
        <f t="shared" si="144"/>
        <v>0.89109222536982802</v>
      </c>
      <c r="E2839" s="148">
        <f t="shared" si="143"/>
        <v>4.4415316438950377E-4</v>
      </c>
      <c r="F2839" s="148">
        <f t="shared" si="145"/>
        <v>0.28952087855319897</v>
      </c>
    </row>
    <row r="2840" spans="2:6" x14ac:dyDescent="0.2">
      <c r="B2840" s="206" t="s">
        <v>1294</v>
      </c>
      <c r="C2840" s="205">
        <v>4242</v>
      </c>
      <c r="D2840" s="147">
        <f t="shared" si="144"/>
        <v>0.89140698772425042</v>
      </c>
      <c r="E2840" s="148">
        <f t="shared" si="143"/>
        <v>4.4467730076475689E-4</v>
      </c>
      <c r="F2840" s="148">
        <f t="shared" si="145"/>
        <v>0.28996555585396372</v>
      </c>
    </row>
    <row r="2841" spans="2:6" x14ac:dyDescent="0.2">
      <c r="B2841" s="206" t="s">
        <v>2746</v>
      </c>
      <c r="C2841" s="205">
        <v>4248</v>
      </c>
      <c r="D2841" s="147">
        <f t="shared" si="144"/>
        <v>0.89172175007867283</v>
      </c>
      <c r="E2841" s="148">
        <f t="shared" si="143"/>
        <v>4.4530626441506067E-4</v>
      </c>
      <c r="F2841" s="148">
        <f t="shared" si="145"/>
        <v>0.2904108621183788</v>
      </c>
    </row>
    <row r="2842" spans="2:6" x14ac:dyDescent="0.2">
      <c r="B2842" s="115" t="s">
        <v>1484</v>
      </c>
      <c r="C2842" s="114">
        <v>4250</v>
      </c>
      <c r="D2842" s="147">
        <f t="shared" si="144"/>
        <v>0.89203651243309523</v>
      </c>
      <c r="E2842" s="148">
        <f t="shared" si="143"/>
        <v>4.4551591896516189E-4</v>
      </c>
      <c r="F2842" s="148">
        <f t="shared" si="145"/>
        <v>0.29085637803734399</v>
      </c>
    </row>
    <row r="2843" spans="2:6" x14ac:dyDescent="0.2">
      <c r="B2843" s="206" t="s">
        <v>329</v>
      </c>
      <c r="C2843" s="205">
        <v>4255</v>
      </c>
      <c r="D2843" s="147">
        <f t="shared" si="144"/>
        <v>0.89235127478751763</v>
      </c>
      <c r="E2843" s="148">
        <f t="shared" si="143"/>
        <v>4.4604005534041506E-4</v>
      </c>
      <c r="F2843" s="148">
        <f t="shared" si="145"/>
        <v>0.29130241809268442</v>
      </c>
    </row>
    <row r="2844" spans="2:6" x14ac:dyDescent="0.2">
      <c r="B2844" s="206" t="s">
        <v>2629</v>
      </c>
      <c r="C2844" s="205">
        <v>4279</v>
      </c>
      <c r="D2844" s="147">
        <f t="shared" si="144"/>
        <v>0.89266603714194004</v>
      </c>
      <c r="E2844" s="148">
        <f t="shared" si="143"/>
        <v>4.4855590994163008E-4</v>
      </c>
      <c r="F2844" s="148">
        <f t="shared" si="145"/>
        <v>0.29175097400262606</v>
      </c>
    </row>
    <row r="2845" spans="2:6" x14ac:dyDescent="0.2">
      <c r="B2845" s="115" t="s">
        <v>991</v>
      </c>
      <c r="C2845" s="114">
        <v>4283</v>
      </c>
      <c r="D2845" s="147">
        <f t="shared" si="144"/>
        <v>0.89298079949636244</v>
      </c>
      <c r="E2845" s="148">
        <f t="shared" si="143"/>
        <v>4.4897521904183258E-4</v>
      </c>
      <c r="F2845" s="148">
        <f t="shared" si="145"/>
        <v>0.29219994922166792</v>
      </c>
    </row>
    <row r="2846" spans="2:6" x14ac:dyDescent="0.2">
      <c r="B2846" s="115" t="s">
        <v>1279</v>
      </c>
      <c r="C2846" s="114">
        <v>4294</v>
      </c>
      <c r="D2846" s="147">
        <f t="shared" si="144"/>
        <v>0.89329556185078485</v>
      </c>
      <c r="E2846" s="148">
        <f t="shared" si="143"/>
        <v>4.5012831906738948E-4</v>
      </c>
      <c r="F2846" s="148">
        <f t="shared" si="145"/>
        <v>0.2926500775407353</v>
      </c>
    </row>
    <row r="2847" spans="2:6" x14ac:dyDescent="0.2">
      <c r="B2847" s="115" t="s">
        <v>767</v>
      </c>
      <c r="C2847" s="114">
        <v>4299</v>
      </c>
      <c r="D2847" s="147">
        <f t="shared" si="144"/>
        <v>0.89361032420520725</v>
      </c>
      <c r="E2847" s="148">
        <f t="shared" si="143"/>
        <v>4.5065245544264259E-4</v>
      </c>
      <c r="F2847" s="148">
        <f t="shared" si="145"/>
        <v>0.29310072999617792</v>
      </c>
    </row>
    <row r="2848" spans="2:6" x14ac:dyDescent="0.2">
      <c r="B2848" s="115" t="s">
        <v>2644</v>
      </c>
      <c r="C2848" s="114">
        <v>4313</v>
      </c>
      <c r="D2848" s="147">
        <f t="shared" si="144"/>
        <v>0.89392508655962966</v>
      </c>
      <c r="E2848" s="148">
        <f t="shared" si="143"/>
        <v>4.5212003729335138E-4</v>
      </c>
      <c r="F2848" s="148">
        <f t="shared" si="145"/>
        <v>0.29355285003347126</v>
      </c>
    </row>
    <row r="2849" spans="2:6" x14ac:dyDescent="0.2">
      <c r="B2849" s="115" t="s">
        <v>2696</v>
      </c>
      <c r="C2849" s="114">
        <v>4322</v>
      </c>
      <c r="D2849" s="147">
        <f t="shared" si="144"/>
        <v>0.89423984891405206</v>
      </c>
      <c r="E2849" s="148">
        <f t="shared" si="143"/>
        <v>4.53063482768807E-4</v>
      </c>
      <c r="F2849" s="148">
        <f t="shared" si="145"/>
        <v>0.29400591351624006</v>
      </c>
    </row>
    <row r="2850" spans="2:6" x14ac:dyDescent="0.2">
      <c r="B2850" s="206" t="s">
        <v>522</v>
      </c>
      <c r="C2850" s="205">
        <v>4331</v>
      </c>
      <c r="D2850" s="147">
        <f t="shared" si="144"/>
        <v>0.89455461126847446</v>
      </c>
      <c r="E2850" s="148">
        <f t="shared" si="143"/>
        <v>4.5400692824426267E-4</v>
      </c>
      <c r="F2850" s="148">
        <f t="shared" si="145"/>
        <v>0.29445992044448432</v>
      </c>
    </row>
    <row r="2851" spans="2:6" x14ac:dyDescent="0.2">
      <c r="B2851" s="115" t="s">
        <v>3163</v>
      </c>
      <c r="C2851" s="114">
        <v>4371</v>
      </c>
      <c r="D2851" s="147">
        <f t="shared" si="144"/>
        <v>0.89486937362289687</v>
      </c>
      <c r="E2851" s="148">
        <f t="shared" si="143"/>
        <v>4.5820001924628769E-4</v>
      </c>
      <c r="F2851" s="148">
        <f t="shared" si="145"/>
        <v>0.29491812046373062</v>
      </c>
    </row>
    <row r="2852" spans="2:6" x14ac:dyDescent="0.2">
      <c r="B2852" s="115" t="s">
        <v>1546</v>
      </c>
      <c r="C2852" s="114">
        <v>4371</v>
      </c>
      <c r="D2852" s="147">
        <f t="shared" si="144"/>
        <v>0.89518413597731927</v>
      </c>
      <c r="E2852" s="148">
        <f t="shared" si="143"/>
        <v>4.5820001924628769E-4</v>
      </c>
      <c r="F2852" s="148">
        <f t="shared" si="145"/>
        <v>0.29537632048297691</v>
      </c>
    </row>
    <row r="2853" spans="2:6" x14ac:dyDescent="0.2">
      <c r="B2853" s="115" t="s">
        <v>2966</v>
      </c>
      <c r="C2853" s="114">
        <v>4399</v>
      </c>
      <c r="D2853" s="147">
        <f t="shared" si="144"/>
        <v>0.89549889833174168</v>
      </c>
      <c r="E2853" s="148">
        <f t="shared" si="143"/>
        <v>4.6113518294770521E-4</v>
      </c>
      <c r="F2853" s="148">
        <f t="shared" si="145"/>
        <v>0.29583745566592462</v>
      </c>
    </row>
    <row r="2854" spans="2:6" x14ac:dyDescent="0.2">
      <c r="B2854" s="206" t="s">
        <v>2699</v>
      </c>
      <c r="C2854" s="205">
        <v>4409</v>
      </c>
      <c r="D2854" s="147">
        <f t="shared" si="144"/>
        <v>0.89581366068616408</v>
      </c>
      <c r="E2854" s="148">
        <f t="shared" si="143"/>
        <v>4.621834556982115E-4</v>
      </c>
      <c r="F2854" s="148">
        <f t="shared" si="145"/>
        <v>0.29629963912162283</v>
      </c>
    </row>
    <row r="2855" spans="2:6" x14ac:dyDescent="0.2">
      <c r="B2855" s="115" t="s">
        <v>998</v>
      </c>
      <c r="C2855" s="114">
        <v>4431</v>
      </c>
      <c r="D2855" s="147">
        <f t="shared" si="144"/>
        <v>0.89612842304058649</v>
      </c>
      <c r="E2855" s="148">
        <f t="shared" si="143"/>
        <v>4.6448965574932529E-4</v>
      </c>
      <c r="F2855" s="148">
        <f t="shared" si="145"/>
        <v>0.29676412877737213</v>
      </c>
    </row>
    <row r="2856" spans="2:6" x14ac:dyDescent="0.2">
      <c r="B2856" s="115" t="s">
        <v>1467</v>
      </c>
      <c r="C2856" s="114">
        <v>4447</v>
      </c>
      <c r="D2856" s="147">
        <f t="shared" si="144"/>
        <v>0.89644318539500889</v>
      </c>
      <c r="E2856" s="148">
        <f t="shared" si="143"/>
        <v>4.661668921501353E-4</v>
      </c>
      <c r="F2856" s="148">
        <f t="shared" si="145"/>
        <v>0.29723029566952225</v>
      </c>
    </row>
    <row r="2857" spans="2:6" x14ac:dyDescent="0.2">
      <c r="B2857" s="115" t="s">
        <v>2987</v>
      </c>
      <c r="C2857" s="114">
        <v>4448</v>
      </c>
      <c r="D2857" s="147">
        <f t="shared" si="144"/>
        <v>0.89675794774943129</v>
      </c>
      <c r="E2857" s="148">
        <f t="shared" si="143"/>
        <v>4.6627171942518591E-4</v>
      </c>
      <c r="F2857" s="148">
        <f t="shared" si="145"/>
        <v>0.29769656738894745</v>
      </c>
    </row>
    <row r="2858" spans="2:6" x14ac:dyDescent="0.2">
      <c r="B2858" s="115" t="s">
        <v>1753</v>
      </c>
      <c r="C2858" s="114">
        <v>4454</v>
      </c>
      <c r="D2858" s="147">
        <f t="shared" si="144"/>
        <v>0.8970727101038537</v>
      </c>
      <c r="E2858" s="148">
        <f t="shared" si="143"/>
        <v>4.6690068307548969E-4</v>
      </c>
      <c r="F2858" s="148">
        <f t="shared" si="145"/>
        <v>0.29816346807202293</v>
      </c>
    </row>
    <row r="2859" spans="2:6" x14ac:dyDescent="0.2">
      <c r="B2859" s="206" t="s">
        <v>1739</v>
      </c>
      <c r="C2859" s="205">
        <v>4454</v>
      </c>
      <c r="D2859" s="147">
        <f t="shared" si="144"/>
        <v>0.8973874724582761</v>
      </c>
      <c r="E2859" s="148">
        <f t="shared" si="143"/>
        <v>4.6690068307548969E-4</v>
      </c>
      <c r="F2859" s="148">
        <f t="shared" si="145"/>
        <v>0.29863036875509841</v>
      </c>
    </row>
    <row r="2860" spans="2:6" x14ac:dyDescent="0.2">
      <c r="B2860" s="115" t="s">
        <v>422</v>
      </c>
      <c r="C2860" s="114">
        <v>4466</v>
      </c>
      <c r="D2860" s="147">
        <f t="shared" si="144"/>
        <v>0.89770223481269851</v>
      </c>
      <c r="E2860" s="148">
        <f t="shared" si="143"/>
        <v>4.681586103760972E-4</v>
      </c>
      <c r="F2860" s="148">
        <f t="shared" si="145"/>
        <v>0.29909852736547449</v>
      </c>
    </row>
    <row r="2861" spans="2:6" x14ac:dyDescent="0.2">
      <c r="B2861" s="115" t="s">
        <v>1729</v>
      </c>
      <c r="C2861" s="114">
        <v>4473</v>
      </c>
      <c r="D2861" s="147">
        <f t="shared" si="144"/>
        <v>0.89801699716712091</v>
      </c>
      <c r="E2861" s="148">
        <f t="shared" si="143"/>
        <v>4.6889240130145159E-4</v>
      </c>
      <c r="F2861" s="148">
        <f t="shared" si="145"/>
        <v>0.29956741976677592</v>
      </c>
    </row>
    <row r="2862" spans="2:6" x14ac:dyDescent="0.2">
      <c r="B2862" s="115" t="s">
        <v>2131</v>
      </c>
      <c r="C2862" s="114">
        <v>4500</v>
      </c>
      <c r="D2862" s="147">
        <f t="shared" si="144"/>
        <v>0.89833175952154332</v>
      </c>
      <c r="E2862" s="148">
        <f t="shared" si="143"/>
        <v>4.717227377278185E-4</v>
      </c>
      <c r="F2862" s="148">
        <f t="shared" si="145"/>
        <v>0.30003914250450375</v>
      </c>
    </row>
    <row r="2863" spans="2:6" x14ac:dyDescent="0.2">
      <c r="B2863" s="115" t="s">
        <v>2441</v>
      </c>
      <c r="C2863" s="114">
        <v>4510</v>
      </c>
      <c r="D2863" s="147">
        <f t="shared" si="144"/>
        <v>0.89864652187596572</v>
      </c>
      <c r="E2863" s="148">
        <f t="shared" si="143"/>
        <v>4.7277101047832478E-4</v>
      </c>
      <c r="F2863" s="148">
        <f t="shared" si="145"/>
        <v>0.30051191351498208</v>
      </c>
    </row>
    <row r="2864" spans="2:6" x14ac:dyDescent="0.2">
      <c r="B2864" s="115" t="s">
        <v>2617</v>
      </c>
      <c r="C2864" s="114">
        <v>4529</v>
      </c>
      <c r="D2864" s="147">
        <f t="shared" si="144"/>
        <v>0.89896128423038812</v>
      </c>
      <c r="E2864" s="148">
        <f t="shared" si="143"/>
        <v>4.7476272870428668E-4</v>
      </c>
      <c r="F2864" s="148">
        <f t="shared" si="145"/>
        <v>0.30098667624368636</v>
      </c>
    </row>
    <row r="2865" spans="2:6" x14ac:dyDescent="0.2">
      <c r="B2865" s="115" t="s">
        <v>1486</v>
      </c>
      <c r="C2865" s="114">
        <v>4594</v>
      </c>
      <c r="D2865" s="147">
        <f t="shared" si="144"/>
        <v>0.89927604658481053</v>
      </c>
      <c r="E2865" s="148">
        <f t="shared" si="143"/>
        <v>4.8157650158257739E-4</v>
      </c>
      <c r="F2865" s="148">
        <f t="shared" si="145"/>
        <v>0.30146825274526895</v>
      </c>
    </row>
    <row r="2866" spans="2:6" x14ac:dyDescent="0.2">
      <c r="B2866" s="206" t="s">
        <v>1911</v>
      </c>
      <c r="C2866" s="205">
        <v>4611</v>
      </c>
      <c r="D2866" s="147">
        <f t="shared" si="144"/>
        <v>0.89959080893923293</v>
      </c>
      <c r="E2866" s="148">
        <f t="shared" si="143"/>
        <v>4.8335856525843801E-4</v>
      </c>
      <c r="F2866" s="148">
        <f t="shared" si="145"/>
        <v>0.30195161131052739</v>
      </c>
    </row>
    <row r="2867" spans="2:6" x14ac:dyDescent="0.2">
      <c r="B2867" s="115" t="s">
        <v>2514</v>
      </c>
      <c r="C2867" s="114">
        <v>4627</v>
      </c>
      <c r="D2867" s="147">
        <f t="shared" si="144"/>
        <v>0.89990557129365534</v>
      </c>
      <c r="E2867" s="148">
        <f t="shared" si="143"/>
        <v>4.8503580165924802E-4</v>
      </c>
      <c r="F2867" s="148">
        <f t="shared" si="145"/>
        <v>0.30243664711218665</v>
      </c>
    </row>
    <row r="2868" spans="2:6" x14ac:dyDescent="0.2">
      <c r="B2868" s="115" t="s">
        <v>1187</v>
      </c>
      <c r="C2868" s="114">
        <v>4631</v>
      </c>
      <c r="D2868" s="147">
        <f t="shared" si="144"/>
        <v>0.90022033364807774</v>
      </c>
      <c r="E2868" s="148">
        <f t="shared" si="143"/>
        <v>4.8545511075945053E-4</v>
      </c>
      <c r="F2868" s="148">
        <f t="shared" si="145"/>
        <v>0.30292210222294608</v>
      </c>
    </row>
    <row r="2869" spans="2:6" x14ac:dyDescent="0.2">
      <c r="B2869" s="115" t="s">
        <v>362</v>
      </c>
      <c r="C2869" s="114">
        <v>4676</v>
      </c>
      <c r="D2869" s="147">
        <f t="shared" si="144"/>
        <v>0.90053509600250015</v>
      </c>
      <c r="E2869" s="148">
        <f t="shared" si="143"/>
        <v>4.9017233813672878E-4</v>
      </c>
      <c r="F2869" s="148">
        <f t="shared" si="145"/>
        <v>0.30341227456108283</v>
      </c>
    </row>
    <row r="2870" spans="2:6" x14ac:dyDescent="0.2">
      <c r="B2870" s="115" t="s">
        <v>1150</v>
      </c>
      <c r="C2870" s="114">
        <v>4689</v>
      </c>
      <c r="D2870" s="147">
        <f t="shared" si="144"/>
        <v>0.90084985835692255</v>
      </c>
      <c r="E2870" s="148">
        <f t="shared" si="143"/>
        <v>4.915350927123869E-4</v>
      </c>
      <c r="F2870" s="148">
        <f t="shared" si="145"/>
        <v>0.30390380965379521</v>
      </c>
    </row>
    <row r="2871" spans="2:6" x14ac:dyDescent="0.2">
      <c r="B2871" s="115" t="s">
        <v>1172</v>
      </c>
      <c r="C2871" s="114">
        <v>4693</v>
      </c>
      <c r="D2871" s="147">
        <f t="shared" si="144"/>
        <v>0.90116462071134495</v>
      </c>
      <c r="E2871" s="148">
        <f t="shared" si="143"/>
        <v>4.9195440181258935E-4</v>
      </c>
      <c r="F2871" s="148">
        <f t="shared" si="145"/>
        <v>0.30439576405560781</v>
      </c>
    </row>
    <row r="2872" spans="2:6" x14ac:dyDescent="0.2">
      <c r="B2872" s="115" t="s">
        <v>263</v>
      </c>
      <c r="C2872" s="114">
        <v>4697</v>
      </c>
      <c r="D2872" s="147">
        <f t="shared" si="144"/>
        <v>0.90147938306576736</v>
      </c>
      <c r="E2872" s="148">
        <f t="shared" si="143"/>
        <v>4.923737109127919E-4</v>
      </c>
      <c r="F2872" s="148">
        <f t="shared" si="145"/>
        <v>0.30488813776652063</v>
      </c>
    </row>
    <row r="2873" spans="2:6" x14ac:dyDescent="0.2">
      <c r="B2873" s="115" t="s">
        <v>2476</v>
      </c>
      <c r="C2873" s="114">
        <v>4712</v>
      </c>
      <c r="D2873" s="147">
        <f t="shared" si="144"/>
        <v>0.90179414542018976</v>
      </c>
      <c r="E2873" s="148">
        <f t="shared" si="143"/>
        <v>4.9394612003855125E-4</v>
      </c>
      <c r="F2873" s="148">
        <f t="shared" si="145"/>
        <v>0.30538208388655919</v>
      </c>
    </row>
    <row r="2874" spans="2:6" x14ac:dyDescent="0.2">
      <c r="B2874" s="115" t="s">
        <v>2578</v>
      </c>
      <c r="C2874" s="114">
        <v>4753</v>
      </c>
      <c r="D2874" s="147">
        <f t="shared" si="144"/>
        <v>0.90210890777461217</v>
      </c>
      <c r="E2874" s="148">
        <f t="shared" si="143"/>
        <v>4.9824403831562694E-4</v>
      </c>
      <c r="F2874" s="148">
        <f t="shared" si="145"/>
        <v>0.3058803279248748</v>
      </c>
    </row>
    <row r="2875" spans="2:6" x14ac:dyDescent="0.2">
      <c r="B2875" s="115" t="s">
        <v>2017</v>
      </c>
      <c r="C2875" s="114">
        <v>4753</v>
      </c>
      <c r="D2875" s="147">
        <f t="shared" si="144"/>
        <v>0.90242367012903457</v>
      </c>
      <c r="E2875" s="148">
        <f t="shared" si="143"/>
        <v>4.9824403831562694E-4</v>
      </c>
      <c r="F2875" s="148">
        <f t="shared" si="145"/>
        <v>0.3063785719631904</v>
      </c>
    </row>
    <row r="2876" spans="2:6" x14ac:dyDescent="0.2">
      <c r="B2876" s="115" t="s">
        <v>2193</v>
      </c>
      <c r="C2876" s="114">
        <v>4765</v>
      </c>
      <c r="D2876" s="147">
        <f t="shared" si="144"/>
        <v>0.90273843248345698</v>
      </c>
      <c r="E2876" s="148">
        <f t="shared" si="143"/>
        <v>4.995019656162345E-4</v>
      </c>
      <c r="F2876" s="148">
        <f t="shared" si="145"/>
        <v>0.30687807392880662</v>
      </c>
    </row>
    <row r="2877" spans="2:6" x14ac:dyDescent="0.2">
      <c r="B2877" s="206" t="s">
        <v>393</v>
      </c>
      <c r="C2877" s="205">
        <v>4767</v>
      </c>
      <c r="D2877" s="147">
        <f t="shared" si="144"/>
        <v>0.90305319483787938</v>
      </c>
      <c r="E2877" s="148">
        <f t="shared" si="143"/>
        <v>4.9971162016633573E-4</v>
      </c>
      <c r="F2877" s="148">
        <f t="shared" si="145"/>
        <v>0.30737778554897294</v>
      </c>
    </row>
    <row r="2878" spans="2:6" x14ac:dyDescent="0.2">
      <c r="B2878" s="115" t="s">
        <v>2489</v>
      </c>
      <c r="C2878" s="114">
        <v>4772</v>
      </c>
      <c r="D2878" s="147">
        <f t="shared" si="144"/>
        <v>0.90336795719230178</v>
      </c>
      <c r="E2878" s="148">
        <f t="shared" si="143"/>
        <v>5.0023575654158884E-4</v>
      </c>
      <c r="F2878" s="148">
        <f t="shared" si="145"/>
        <v>0.3078780213055145</v>
      </c>
    </row>
    <row r="2879" spans="2:6" x14ac:dyDescent="0.2">
      <c r="B2879" s="206" t="s">
        <v>681</v>
      </c>
      <c r="C2879" s="205">
        <v>4779</v>
      </c>
      <c r="D2879" s="147">
        <f t="shared" si="144"/>
        <v>0.90368271954672419</v>
      </c>
      <c r="E2879" s="148">
        <f t="shared" si="143"/>
        <v>5.0096954746694329E-4</v>
      </c>
      <c r="F2879" s="148">
        <f t="shared" si="145"/>
        <v>0.30837899085298143</v>
      </c>
    </row>
    <row r="2880" spans="2:6" x14ac:dyDescent="0.2">
      <c r="B2880" s="115" t="s">
        <v>2928</v>
      </c>
      <c r="C2880" s="114">
        <v>4797</v>
      </c>
      <c r="D2880" s="147">
        <f t="shared" si="144"/>
        <v>0.90399748190114659</v>
      </c>
      <c r="E2880" s="148">
        <f t="shared" si="143"/>
        <v>5.0285643841785452E-4</v>
      </c>
      <c r="F2880" s="148">
        <f t="shared" si="145"/>
        <v>0.30888184729139928</v>
      </c>
    </row>
    <row r="2881" spans="2:6" x14ac:dyDescent="0.2">
      <c r="B2881" s="115" t="s">
        <v>1710</v>
      </c>
      <c r="C2881" s="114">
        <v>4801</v>
      </c>
      <c r="D2881" s="147">
        <f t="shared" si="144"/>
        <v>0.904312244255569</v>
      </c>
      <c r="E2881" s="148">
        <f t="shared" si="143"/>
        <v>5.0327574751805697E-4</v>
      </c>
      <c r="F2881" s="148">
        <f t="shared" si="145"/>
        <v>0.30938512303891735</v>
      </c>
    </row>
    <row r="2882" spans="2:6" x14ac:dyDescent="0.2">
      <c r="B2882" s="115" t="s">
        <v>1750</v>
      </c>
      <c r="C2882" s="114">
        <v>4819</v>
      </c>
      <c r="D2882" s="147">
        <f t="shared" si="144"/>
        <v>0.9046270066099914</v>
      </c>
      <c r="E2882" s="148">
        <f t="shared" si="143"/>
        <v>5.0516263846896831E-4</v>
      </c>
      <c r="F2882" s="148">
        <f t="shared" si="145"/>
        <v>0.3098902856773863</v>
      </c>
    </row>
    <row r="2883" spans="2:6" x14ac:dyDescent="0.2">
      <c r="B2883" s="115" t="s">
        <v>1678</v>
      </c>
      <c r="C2883" s="114">
        <v>4851</v>
      </c>
      <c r="D2883" s="147">
        <f t="shared" si="144"/>
        <v>0.90494176896441381</v>
      </c>
      <c r="E2883" s="148">
        <f t="shared" si="143"/>
        <v>5.0851711127058833E-4</v>
      </c>
      <c r="F2883" s="148">
        <f t="shared" si="145"/>
        <v>0.31039880278865689</v>
      </c>
    </row>
    <row r="2884" spans="2:6" x14ac:dyDescent="0.2">
      <c r="B2884" s="115" t="s">
        <v>1661</v>
      </c>
      <c r="C2884" s="114">
        <v>4851</v>
      </c>
      <c r="D2884" s="147">
        <f t="shared" si="144"/>
        <v>0.90525653131883621</v>
      </c>
      <c r="E2884" s="148">
        <f t="shared" si="143"/>
        <v>5.0851711127058833E-4</v>
      </c>
      <c r="F2884" s="148">
        <f t="shared" si="145"/>
        <v>0.31090731989992748</v>
      </c>
    </row>
    <row r="2885" spans="2:6" x14ac:dyDescent="0.2">
      <c r="B2885" s="115" t="s">
        <v>2982</v>
      </c>
      <c r="C2885" s="114">
        <v>4860</v>
      </c>
      <c r="D2885" s="147">
        <f t="shared" si="144"/>
        <v>0.90557129367325861</v>
      </c>
      <c r="E2885" s="148">
        <f t="shared" si="143"/>
        <v>5.0946055674604401E-4</v>
      </c>
      <c r="F2885" s="148">
        <f t="shared" si="145"/>
        <v>0.31141678045667354</v>
      </c>
    </row>
    <row r="2886" spans="2:6" x14ac:dyDescent="0.2">
      <c r="B2886" s="206" t="s">
        <v>2350</v>
      </c>
      <c r="C2886" s="205">
        <v>4871</v>
      </c>
      <c r="D2886" s="147">
        <f t="shared" si="144"/>
        <v>0.90588605602768102</v>
      </c>
      <c r="E2886" s="148">
        <f t="shared" si="143"/>
        <v>5.106136567716009E-4</v>
      </c>
      <c r="F2886" s="148">
        <f t="shared" si="145"/>
        <v>0.31192739411344511</v>
      </c>
    </row>
    <row r="2887" spans="2:6" x14ac:dyDescent="0.2">
      <c r="B2887" s="115" t="s">
        <v>2070</v>
      </c>
      <c r="C2887" s="114">
        <v>4885</v>
      </c>
      <c r="D2887" s="147">
        <f t="shared" si="144"/>
        <v>0.90620081838210342</v>
      </c>
      <c r="E2887" s="148">
        <f t="shared" si="143"/>
        <v>5.1208123862230969E-4</v>
      </c>
      <c r="F2887" s="148">
        <f t="shared" si="145"/>
        <v>0.3124394753520674</v>
      </c>
    </row>
    <row r="2888" spans="2:6" x14ac:dyDescent="0.2">
      <c r="B2888" s="115" t="s">
        <v>1651</v>
      </c>
      <c r="C2888" s="114">
        <v>4886</v>
      </c>
      <c r="D2888" s="147">
        <f t="shared" si="144"/>
        <v>0.90651558073652583</v>
      </c>
      <c r="E2888" s="148">
        <f t="shared" si="143"/>
        <v>5.1218606589736025E-4</v>
      </c>
      <c r="F2888" s="148">
        <f t="shared" si="145"/>
        <v>0.31295166141796477</v>
      </c>
    </row>
    <row r="2889" spans="2:6" x14ac:dyDescent="0.2">
      <c r="B2889" s="115" t="s">
        <v>1108</v>
      </c>
      <c r="C2889" s="114">
        <v>4896</v>
      </c>
      <c r="D2889" s="147">
        <f t="shared" si="144"/>
        <v>0.90683034309094823</v>
      </c>
      <c r="E2889" s="148">
        <f t="shared" ref="E2889:E2952" si="146">C2889/$O$18</f>
        <v>5.1323433864786648E-4</v>
      </c>
      <c r="F2889" s="148">
        <f t="shared" si="145"/>
        <v>0.31346489575661263</v>
      </c>
    </row>
    <row r="2890" spans="2:6" x14ac:dyDescent="0.2">
      <c r="B2890" s="115" t="s">
        <v>508</v>
      </c>
      <c r="C2890" s="114">
        <v>4915</v>
      </c>
      <c r="D2890" s="147">
        <f t="shared" ref="D2890:D2953" si="147">D2889+1/$L$18</f>
        <v>0.90714510544537064</v>
      </c>
      <c r="E2890" s="148">
        <f t="shared" si="146"/>
        <v>5.1522605687382838E-4</v>
      </c>
      <c r="F2890" s="148">
        <f t="shared" ref="F2890:F2953" si="148">F2889+E2890</f>
        <v>0.31398012181348645</v>
      </c>
    </row>
    <row r="2891" spans="2:6" x14ac:dyDescent="0.2">
      <c r="B2891" s="206" t="s">
        <v>907</v>
      </c>
      <c r="C2891" s="205">
        <v>4928</v>
      </c>
      <c r="D2891" s="147">
        <f t="shared" si="147"/>
        <v>0.90745986779979304</v>
      </c>
      <c r="E2891" s="148">
        <f t="shared" si="146"/>
        <v>5.1658881144948661E-4</v>
      </c>
      <c r="F2891" s="148">
        <f t="shared" si="148"/>
        <v>0.31449671062493595</v>
      </c>
    </row>
    <row r="2892" spans="2:6" x14ac:dyDescent="0.2">
      <c r="B2892" s="115" t="s">
        <v>557</v>
      </c>
      <c r="C2892" s="114">
        <v>4947</v>
      </c>
      <c r="D2892" s="147">
        <f t="shared" si="147"/>
        <v>0.90777463015421545</v>
      </c>
      <c r="E2892" s="148">
        <f t="shared" si="146"/>
        <v>5.1858052967544851E-4</v>
      </c>
      <c r="F2892" s="148">
        <f t="shared" si="148"/>
        <v>0.31501529115461141</v>
      </c>
    </row>
    <row r="2893" spans="2:6" x14ac:dyDescent="0.2">
      <c r="B2893" s="115" t="s">
        <v>894</v>
      </c>
      <c r="C2893" s="114">
        <v>4952</v>
      </c>
      <c r="D2893" s="147">
        <f t="shared" si="147"/>
        <v>0.90808939250863785</v>
      </c>
      <c r="E2893" s="148">
        <f t="shared" si="146"/>
        <v>5.1910466605070162E-4</v>
      </c>
      <c r="F2893" s="148">
        <f t="shared" si="148"/>
        <v>0.31553439582066212</v>
      </c>
    </row>
    <row r="2894" spans="2:6" x14ac:dyDescent="0.2">
      <c r="B2894" s="206" t="s">
        <v>617</v>
      </c>
      <c r="C2894" s="205">
        <v>4957</v>
      </c>
      <c r="D2894" s="147">
        <f t="shared" si="147"/>
        <v>0.90840415486306025</v>
      </c>
      <c r="E2894" s="148">
        <f t="shared" si="146"/>
        <v>5.1962880242595474E-4</v>
      </c>
      <c r="F2894" s="148">
        <f t="shared" si="148"/>
        <v>0.31605402462308807</v>
      </c>
    </row>
    <row r="2895" spans="2:6" x14ac:dyDescent="0.2">
      <c r="B2895" s="115" t="s">
        <v>1213</v>
      </c>
      <c r="C2895" s="114">
        <v>5009</v>
      </c>
      <c r="D2895" s="147">
        <f t="shared" si="147"/>
        <v>0.90871891721748266</v>
      </c>
      <c r="E2895" s="148">
        <f t="shared" si="146"/>
        <v>5.2507982072858732E-4</v>
      </c>
      <c r="F2895" s="148">
        <f t="shared" si="148"/>
        <v>0.31657910444381665</v>
      </c>
    </row>
    <row r="2896" spans="2:6" x14ac:dyDescent="0.2">
      <c r="B2896" s="115" t="s">
        <v>1314</v>
      </c>
      <c r="C2896" s="114">
        <v>5011</v>
      </c>
      <c r="D2896" s="147">
        <f t="shared" si="147"/>
        <v>0.90903367957190506</v>
      </c>
      <c r="E2896" s="148">
        <f t="shared" si="146"/>
        <v>5.2528947527868855E-4</v>
      </c>
      <c r="F2896" s="148">
        <f t="shared" si="148"/>
        <v>0.31710439391909534</v>
      </c>
    </row>
    <row r="2897" spans="2:6" x14ac:dyDescent="0.2">
      <c r="B2897" s="206" t="s">
        <v>2372</v>
      </c>
      <c r="C2897" s="205">
        <v>5055</v>
      </c>
      <c r="D2897" s="147">
        <f t="shared" si="147"/>
        <v>0.90934844192632747</v>
      </c>
      <c r="E2897" s="148">
        <f t="shared" si="146"/>
        <v>5.2990187538091613E-4</v>
      </c>
      <c r="F2897" s="148">
        <f t="shared" si="148"/>
        <v>0.31763429579447627</v>
      </c>
    </row>
    <row r="2898" spans="2:6" x14ac:dyDescent="0.2">
      <c r="B2898" s="115" t="s">
        <v>2162</v>
      </c>
      <c r="C2898" s="114">
        <v>5070</v>
      </c>
      <c r="D2898" s="147">
        <f t="shared" si="147"/>
        <v>0.90966320428074987</v>
      </c>
      <c r="E2898" s="148">
        <f t="shared" si="146"/>
        <v>5.3147428450667548E-4</v>
      </c>
      <c r="F2898" s="148">
        <f t="shared" si="148"/>
        <v>0.31816577007898295</v>
      </c>
    </row>
    <row r="2899" spans="2:6" x14ac:dyDescent="0.2">
      <c r="B2899" s="115" t="s">
        <v>207</v>
      </c>
      <c r="C2899" s="114">
        <v>5086</v>
      </c>
      <c r="D2899" s="147">
        <f t="shared" si="147"/>
        <v>0.90997796663517228</v>
      </c>
      <c r="E2899" s="148">
        <f t="shared" si="146"/>
        <v>5.3315152090748549E-4</v>
      </c>
      <c r="F2899" s="148">
        <f t="shared" si="148"/>
        <v>0.31869892159989044</v>
      </c>
    </row>
    <row r="2900" spans="2:6" x14ac:dyDescent="0.2">
      <c r="B2900" s="115" t="s">
        <v>1411</v>
      </c>
      <c r="C2900" s="114">
        <v>5107</v>
      </c>
      <c r="D2900" s="147">
        <f t="shared" si="147"/>
        <v>0.91029272898959468</v>
      </c>
      <c r="E2900" s="148">
        <f t="shared" si="146"/>
        <v>5.3535289368354872E-4</v>
      </c>
      <c r="F2900" s="148">
        <f t="shared" si="148"/>
        <v>0.319234274493574</v>
      </c>
    </row>
    <row r="2901" spans="2:6" x14ac:dyDescent="0.2">
      <c r="B2901" s="115" t="s">
        <v>435</v>
      </c>
      <c r="C2901" s="114">
        <v>5116</v>
      </c>
      <c r="D2901" s="147">
        <f t="shared" si="147"/>
        <v>0.91060749134401708</v>
      </c>
      <c r="E2901" s="148">
        <f t="shared" si="146"/>
        <v>5.3629633915900428E-4</v>
      </c>
      <c r="F2901" s="148">
        <f t="shared" si="148"/>
        <v>0.31977057083273303</v>
      </c>
    </row>
    <row r="2902" spans="2:6" x14ac:dyDescent="0.2">
      <c r="B2902" s="115" t="s">
        <v>612</v>
      </c>
      <c r="C2902" s="114">
        <v>5138</v>
      </c>
      <c r="D2902" s="147">
        <f t="shared" si="147"/>
        <v>0.91092225369843949</v>
      </c>
      <c r="E2902" s="148">
        <f t="shared" si="146"/>
        <v>5.3860253921011807E-4</v>
      </c>
      <c r="F2902" s="148">
        <f t="shared" si="148"/>
        <v>0.32030917337194315</v>
      </c>
    </row>
    <row r="2903" spans="2:6" x14ac:dyDescent="0.2">
      <c r="B2903" s="115" t="s">
        <v>2006</v>
      </c>
      <c r="C2903" s="114">
        <v>5144</v>
      </c>
      <c r="D2903" s="147">
        <f t="shared" si="147"/>
        <v>0.91123701605286189</v>
      </c>
      <c r="E2903" s="148">
        <f t="shared" si="146"/>
        <v>5.3923150286042186E-4</v>
      </c>
      <c r="F2903" s="148">
        <f t="shared" si="148"/>
        <v>0.32084840487480359</v>
      </c>
    </row>
    <row r="2904" spans="2:6" x14ac:dyDescent="0.2">
      <c r="B2904" s="115" t="s">
        <v>302</v>
      </c>
      <c r="C2904" s="114">
        <v>5146</v>
      </c>
      <c r="D2904" s="147">
        <f t="shared" si="147"/>
        <v>0.9115517784072843</v>
      </c>
      <c r="E2904" s="148">
        <f t="shared" si="146"/>
        <v>5.3944115741052308E-4</v>
      </c>
      <c r="F2904" s="148">
        <f t="shared" si="148"/>
        <v>0.3213878460322141</v>
      </c>
    </row>
    <row r="2905" spans="2:6" x14ac:dyDescent="0.2">
      <c r="B2905" s="115" t="s">
        <v>1461</v>
      </c>
      <c r="C2905" s="114">
        <v>5251</v>
      </c>
      <c r="D2905" s="147">
        <f t="shared" si="147"/>
        <v>0.9118665407617067</v>
      </c>
      <c r="E2905" s="148">
        <f t="shared" si="146"/>
        <v>5.5044802129083892E-4</v>
      </c>
      <c r="F2905" s="148">
        <f t="shared" si="148"/>
        <v>0.32193829405350494</v>
      </c>
    </row>
    <row r="2906" spans="2:6" x14ac:dyDescent="0.2">
      <c r="B2906" s="115" t="s">
        <v>1346</v>
      </c>
      <c r="C2906" s="114">
        <v>5270</v>
      </c>
      <c r="D2906" s="147">
        <f t="shared" si="147"/>
        <v>0.91218130311612911</v>
      </c>
      <c r="E2906" s="148">
        <f t="shared" si="146"/>
        <v>5.5243973951680082E-4</v>
      </c>
      <c r="F2906" s="148">
        <f t="shared" si="148"/>
        <v>0.32249073379302173</v>
      </c>
    </row>
    <row r="2907" spans="2:6" x14ac:dyDescent="0.2">
      <c r="B2907" s="115" t="s">
        <v>2995</v>
      </c>
      <c r="C2907" s="114">
        <v>5298</v>
      </c>
      <c r="D2907" s="147">
        <f t="shared" si="147"/>
        <v>0.91249606547055151</v>
      </c>
      <c r="E2907" s="148">
        <f t="shared" si="146"/>
        <v>5.5537490321821829E-4</v>
      </c>
      <c r="F2907" s="148">
        <f t="shared" si="148"/>
        <v>0.32304610869623995</v>
      </c>
    </row>
    <row r="2908" spans="2:6" x14ac:dyDescent="0.2">
      <c r="B2908" s="115" t="s">
        <v>2768</v>
      </c>
      <c r="C2908" s="114">
        <v>5330</v>
      </c>
      <c r="D2908" s="147">
        <f t="shared" si="147"/>
        <v>0.91281082782497391</v>
      </c>
      <c r="E2908" s="148">
        <f t="shared" si="146"/>
        <v>5.5872937601983831E-4</v>
      </c>
      <c r="F2908" s="148">
        <f t="shared" si="148"/>
        <v>0.32360483807225982</v>
      </c>
    </row>
    <row r="2909" spans="2:6" x14ac:dyDescent="0.2">
      <c r="B2909" s="115" t="s">
        <v>363</v>
      </c>
      <c r="C2909" s="114">
        <v>5335</v>
      </c>
      <c r="D2909" s="147">
        <f t="shared" si="147"/>
        <v>0.91312559017939632</v>
      </c>
      <c r="E2909" s="148">
        <f t="shared" si="146"/>
        <v>5.5925351239509153E-4</v>
      </c>
      <c r="F2909" s="148">
        <f t="shared" si="148"/>
        <v>0.32416409158465492</v>
      </c>
    </row>
    <row r="2910" spans="2:6" x14ac:dyDescent="0.2">
      <c r="B2910" s="115" t="s">
        <v>1438</v>
      </c>
      <c r="C2910" s="114">
        <v>5362</v>
      </c>
      <c r="D2910" s="147">
        <f t="shared" si="147"/>
        <v>0.91344035253381872</v>
      </c>
      <c r="E2910" s="148">
        <f t="shared" si="146"/>
        <v>5.6208384882145844E-4</v>
      </c>
      <c r="F2910" s="148">
        <f t="shared" si="148"/>
        <v>0.32472617543347637</v>
      </c>
    </row>
    <row r="2911" spans="2:6" x14ac:dyDescent="0.2">
      <c r="B2911" s="115" t="s">
        <v>3123</v>
      </c>
      <c r="C2911" s="114">
        <v>5364</v>
      </c>
      <c r="D2911" s="147">
        <f t="shared" si="147"/>
        <v>0.91375511488824113</v>
      </c>
      <c r="E2911" s="148">
        <f t="shared" si="146"/>
        <v>5.6229350337155966E-4</v>
      </c>
      <c r="F2911" s="148">
        <f t="shared" si="148"/>
        <v>0.32528846893684793</v>
      </c>
    </row>
    <row r="2912" spans="2:6" x14ac:dyDescent="0.2">
      <c r="B2912" s="206" t="s">
        <v>1598</v>
      </c>
      <c r="C2912" s="205">
        <v>5365</v>
      </c>
      <c r="D2912" s="147">
        <f t="shared" si="147"/>
        <v>0.91406987724266353</v>
      </c>
      <c r="E2912" s="148">
        <f t="shared" si="146"/>
        <v>5.6239833064661022E-4</v>
      </c>
      <c r="F2912" s="148">
        <f t="shared" si="148"/>
        <v>0.32585086726749452</v>
      </c>
    </row>
    <row r="2913" spans="2:6" x14ac:dyDescent="0.2">
      <c r="B2913" s="115" t="s">
        <v>1839</v>
      </c>
      <c r="C2913" s="114">
        <v>5397</v>
      </c>
      <c r="D2913" s="147">
        <f t="shared" si="147"/>
        <v>0.91438463959708594</v>
      </c>
      <c r="E2913" s="148">
        <f t="shared" si="146"/>
        <v>5.6575280344823035E-4</v>
      </c>
      <c r="F2913" s="148">
        <f t="shared" si="148"/>
        <v>0.32641662007094274</v>
      </c>
    </row>
    <row r="2914" spans="2:6" x14ac:dyDescent="0.2">
      <c r="B2914" s="206" t="s">
        <v>2727</v>
      </c>
      <c r="C2914" s="205">
        <v>5398</v>
      </c>
      <c r="D2914" s="147">
        <f t="shared" si="147"/>
        <v>0.91469940195150834</v>
      </c>
      <c r="E2914" s="148">
        <f t="shared" si="146"/>
        <v>5.6585763072328091E-4</v>
      </c>
      <c r="F2914" s="148">
        <f t="shared" si="148"/>
        <v>0.326982477701666</v>
      </c>
    </row>
    <row r="2915" spans="2:6" x14ac:dyDescent="0.2">
      <c r="B2915" s="115" t="s">
        <v>534</v>
      </c>
      <c r="C2915" s="114">
        <v>5415</v>
      </c>
      <c r="D2915" s="147">
        <f t="shared" si="147"/>
        <v>0.91501416430593074</v>
      </c>
      <c r="E2915" s="148">
        <f t="shared" si="146"/>
        <v>5.6763969439914159E-4</v>
      </c>
      <c r="F2915" s="148">
        <f t="shared" si="148"/>
        <v>0.32755011739606515</v>
      </c>
    </row>
    <row r="2916" spans="2:6" x14ac:dyDescent="0.2">
      <c r="B2916" s="115" t="s">
        <v>3092</v>
      </c>
      <c r="C2916" s="114">
        <v>5459</v>
      </c>
      <c r="D2916" s="147">
        <f t="shared" si="147"/>
        <v>0.91532892666035315</v>
      </c>
      <c r="E2916" s="148">
        <f t="shared" si="146"/>
        <v>5.7225209450136917E-4</v>
      </c>
      <c r="F2916" s="148">
        <f t="shared" si="148"/>
        <v>0.3281223694905665</v>
      </c>
    </row>
    <row r="2917" spans="2:6" x14ac:dyDescent="0.2">
      <c r="B2917" s="115" t="s">
        <v>899</v>
      </c>
      <c r="C2917" s="114">
        <v>5459</v>
      </c>
      <c r="D2917" s="147">
        <f t="shared" si="147"/>
        <v>0.91564368901477555</v>
      </c>
      <c r="E2917" s="148">
        <f t="shared" si="146"/>
        <v>5.7225209450136917E-4</v>
      </c>
      <c r="F2917" s="148">
        <f t="shared" si="148"/>
        <v>0.32869462158506785</v>
      </c>
    </row>
    <row r="2918" spans="2:6" x14ac:dyDescent="0.2">
      <c r="B2918" s="115" t="s">
        <v>2101</v>
      </c>
      <c r="C2918" s="114">
        <v>5473</v>
      </c>
      <c r="D2918" s="147">
        <f t="shared" si="147"/>
        <v>0.91595845136919796</v>
      </c>
      <c r="E2918" s="148">
        <f t="shared" si="146"/>
        <v>5.7371967635207795E-4</v>
      </c>
      <c r="F2918" s="148">
        <f t="shared" si="148"/>
        <v>0.32926834126141991</v>
      </c>
    </row>
    <row r="2919" spans="2:6" x14ac:dyDescent="0.2">
      <c r="B2919" s="115" t="s">
        <v>2016</v>
      </c>
      <c r="C2919" s="114">
        <v>5492</v>
      </c>
      <c r="D2919" s="147">
        <f t="shared" si="147"/>
        <v>0.91627321372362036</v>
      </c>
      <c r="E2919" s="148">
        <f t="shared" si="146"/>
        <v>5.7571139457803986E-4</v>
      </c>
      <c r="F2919" s="148">
        <f t="shared" si="148"/>
        <v>0.32984405265599792</v>
      </c>
    </row>
    <row r="2920" spans="2:6" x14ac:dyDescent="0.2">
      <c r="B2920" s="115" t="s">
        <v>1518</v>
      </c>
      <c r="C2920" s="114">
        <v>5498</v>
      </c>
      <c r="D2920" s="147">
        <f t="shared" si="147"/>
        <v>0.91658797607804277</v>
      </c>
      <c r="E2920" s="148">
        <f t="shared" si="146"/>
        <v>5.7634035822834353E-4</v>
      </c>
      <c r="F2920" s="148">
        <f t="shared" si="148"/>
        <v>0.33042039301422627</v>
      </c>
    </row>
    <row r="2921" spans="2:6" x14ac:dyDescent="0.2">
      <c r="B2921" s="206" t="s">
        <v>2046</v>
      </c>
      <c r="C2921" s="205">
        <v>5511</v>
      </c>
      <c r="D2921" s="147">
        <f t="shared" si="147"/>
        <v>0.91690273843246517</v>
      </c>
      <c r="E2921" s="148">
        <f t="shared" si="146"/>
        <v>5.7770311280400176E-4</v>
      </c>
      <c r="F2921" s="148">
        <f t="shared" si="148"/>
        <v>0.33099809612703029</v>
      </c>
    </row>
    <row r="2922" spans="2:6" x14ac:dyDescent="0.2">
      <c r="B2922" s="115" t="s">
        <v>1470</v>
      </c>
      <c r="C2922" s="114">
        <v>5578</v>
      </c>
      <c r="D2922" s="147">
        <f t="shared" si="147"/>
        <v>0.91721750078688757</v>
      </c>
      <c r="E2922" s="148">
        <f t="shared" si="146"/>
        <v>5.8472654023239369E-4</v>
      </c>
      <c r="F2922" s="148">
        <f t="shared" si="148"/>
        <v>0.33158282266726269</v>
      </c>
    </row>
    <row r="2923" spans="2:6" x14ac:dyDescent="0.2">
      <c r="B2923" s="115" t="s">
        <v>3109</v>
      </c>
      <c r="C2923" s="114">
        <v>5584</v>
      </c>
      <c r="D2923" s="147">
        <f t="shared" si="147"/>
        <v>0.91753226314130998</v>
      </c>
      <c r="E2923" s="148">
        <f t="shared" si="146"/>
        <v>5.8535550388269747E-4</v>
      </c>
      <c r="F2923" s="148">
        <f t="shared" si="148"/>
        <v>0.33216817817114541</v>
      </c>
    </row>
    <row r="2924" spans="2:6" x14ac:dyDescent="0.2">
      <c r="B2924" s="206" t="s">
        <v>57</v>
      </c>
      <c r="C2924" s="205">
        <v>5665</v>
      </c>
      <c r="D2924" s="147">
        <f t="shared" si="147"/>
        <v>0.91784702549573238</v>
      </c>
      <c r="E2924" s="148">
        <f t="shared" si="146"/>
        <v>5.9384651316179819E-4</v>
      </c>
      <c r="F2924" s="148">
        <f t="shared" si="148"/>
        <v>0.33276202468430721</v>
      </c>
    </row>
    <row r="2925" spans="2:6" x14ac:dyDescent="0.2">
      <c r="B2925" s="206" t="s">
        <v>685</v>
      </c>
      <c r="C2925" s="205">
        <v>5669</v>
      </c>
      <c r="D2925" s="147">
        <f t="shared" si="147"/>
        <v>0.91816178785015479</v>
      </c>
      <c r="E2925" s="148">
        <f t="shared" si="146"/>
        <v>5.9426582226200064E-4</v>
      </c>
      <c r="F2925" s="148">
        <f t="shared" si="148"/>
        <v>0.33335629050656923</v>
      </c>
    </row>
    <row r="2926" spans="2:6" x14ac:dyDescent="0.2">
      <c r="B2926" s="115" t="s">
        <v>2885</v>
      </c>
      <c r="C2926" s="114">
        <v>5698</v>
      </c>
      <c r="D2926" s="147">
        <f t="shared" si="147"/>
        <v>0.91847655020457719</v>
      </c>
      <c r="E2926" s="148">
        <f t="shared" si="146"/>
        <v>5.9730581323846888E-4</v>
      </c>
      <c r="F2926" s="148">
        <f t="shared" si="148"/>
        <v>0.3339535963198077</v>
      </c>
    </row>
    <row r="2927" spans="2:6" x14ac:dyDescent="0.2">
      <c r="B2927" s="115" t="s">
        <v>465</v>
      </c>
      <c r="C2927" s="114">
        <v>5717</v>
      </c>
      <c r="D2927" s="147">
        <f t="shared" si="147"/>
        <v>0.9187913125589996</v>
      </c>
      <c r="E2927" s="148">
        <f t="shared" si="146"/>
        <v>5.9929753146443078E-4</v>
      </c>
      <c r="F2927" s="148">
        <f t="shared" si="148"/>
        <v>0.33455289385127213</v>
      </c>
    </row>
    <row r="2928" spans="2:6" x14ac:dyDescent="0.2">
      <c r="B2928" s="206" t="s">
        <v>2967</v>
      </c>
      <c r="C2928" s="205">
        <v>5737</v>
      </c>
      <c r="D2928" s="147">
        <f t="shared" si="147"/>
        <v>0.919106074913422</v>
      </c>
      <c r="E2928" s="148">
        <f t="shared" si="146"/>
        <v>6.0139407696544324E-4</v>
      </c>
      <c r="F2928" s="148">
        <f t="shared" si="148"/>
        <v>0.33515428792823759</v>
      </c>
    </row>
    <row r="2929" spans="2:6" x14ac:dyDescent="0.2">
      <c r="B2929" s="206" t="s">
        <v>935</v>
      </c>
      <c r="C2929" s="205">
        <v>5802</v>
      </c>
      <c r="D2929" s="147">
        <f t="shared" si="147"/>
        <v>0.9194208372678444</v>
      </c>
      <c r="E2929" s="148">
        <f t="shared" si="146"/>
        <v>6.0820784984373395E-4</v>
      </c>
      <c r="F2929" s="148">
        <f t="shared" si="148"/>
        <v>0.33576249577808132</v>
      </c>
    </row>
    <row r="2930" spans="2:6" x14ac:dyDescent="0.2">
      <c r="B2930" s="115" t="s">
        <v>2934</v>
      </c>
      <c r="C2930" s="114">
        <v>5809</v>
      </c>
      <c r="D2930" s="147">
        <f t="shared" si="147"/>
        <v>0.91973559962226681</v>
      </c>
      <c r="E2930" s="148">
        <f t="shared" si="146"/>
        <v>6.0894164076908839E-4</v>
      </c>
      <c r="F2930" s="148">
        <f t="shared" si="148"/>
        <v>0.33637143741885039</v>
      </c>
    </row>
    <row r="2931" spans="2:6" x14ac:dyDescent="0.2">
      <c r="B2931" s="206" t="s">
        <v>749</v>
      </c>
      <c r="C2931" s="205">
        <v>5817</v>
      </c>
      <c r="D2931" s="147">
        <f t="shared" si="147"/>
        <v>0.92005036197668921</v>
      </c>
      <c r="E2931" s="148">
        <f t="shared" si="146"/>
        <v>6.097802589694934E-4</v>
      </c>
      <c r="F2931" s="148">
        <f t="shared" si="148"/>
        <v>0.33698121767781991</v>
      </c>
    </row>
    <row r="2932" spans="2:6" x14ac:dyDescent="0.2">
      <c r="B2932" s="115" t="s">
        <v>466</v>
      </c>
      <c r="C2932" s="114">
        <v>5835</v>
      </c>
      <c r="D2932" s="147">
        <f t="shared" si="147"/>
        <v>0.92036512433111162</v>
      </c>
      <c r="E2932" s="148">
        <f t="shared" si="146"/>
        <v>6.1166714992040463E-4</v>
      </c>
      <c r="F2932" s="148">
        <f t="shared" si="148"/>
        <v>0.3375928848277403</v>
      </c>
    </row>
    <row r="2933" spans="2:6" x14ac:dyDescent="0.2">
      <c r="B2933" s="115" t="s">
        <v>676</v>
      </c>
      <c r="C2933" s="114">
        <v>5853</v>
      </c>
      <c r="D2933" s="147">
        <f t="shared" si="147"/>
        <v>0.92067988668553402</v>
      </c>
      <c r="E2933" s="148">
        <f t="shared" si="146"/>
        <v>6.1355404087131598E-4</v>
      </c>
      <c r="F2933" s="148">
        <f t="shared" si="148"/>
        <v>0.33820643886861163</v>
      </c>
    </row>
    <row r="2934" spans="2:6" x14ac:dyDescent="0.2">
      <c r="B2934" s="115" t="s">
        <v>255</v>
      </c>
      <c r="C2934" s="114">
        <v>5858</v>
      </c>
      <c r="D2934" s="147">
        <f t="shared" si="147"/>
        <v>0.92099464903995643</v>
      </c>
      <c r="E2934" s="148">
        <f t="shared" si="146"/>
        <v>6.1407817724656909E-4</v>
      </c>
      <c r="F2934" s="148">
        <f t="shared" si="148"/>
        <v>0.33882051704585819</v>
      </c>
    </row>
    <row r="2935" spans="2:6" x14ac:dyDescent="0.2">
      <c r="B2935" s="115" t="s">
        <v>2033</v>
      </c>
      <c r="C2935" s="114">
        <v>5863</v>
      </c>
      <c r="D2935" s="147">
        <f t="shared" si="147"/>
        <v>0.92130941139437883</v>
      </c>
      <c r="E2935" s="148">
        <f t="shared" si="146"/>
        <v>6.1460231362182221E-4</v>
      </c>
      <c r="F2935" s="148">
        <f t="shared" si="148"/>
        <v>0.33943511935948001</v>
      </c>
    </row>
    <row r="2936" spans="2:6" x14ac:dyDescent="0.2">
      <c r="B2936" s="115" t="s">
        <v>23</v>
      </c>
      <c r="C2936" s="114">
        <v>5866</v>
      </c>
      <c r="D2936" s="147">
        <f t="shared" si="147"/>
        <v>0.92162417374880123</v>
      </c>
      <c r="E2936" s="148">
        <f t="shared" si="146"/>
        <v>6.149167954469741E-4</v>
      </c>
      <c r="F2936" s="148">
        <f t="shared" si="148"/>
        <v>0.34005003615492696</v>
      </c>
    </row>
    <row r="2937" spans="2:6" x14ac:dyDescent="0.2">
      <c r="B2937" s="115" t="s">
        <v>2021</v>
      </c>
      <c r="C2937" s="114">
        <v>5876</v>
      </c>
      <c r="D2937" s="147">
        <f t="shared" si="147"/>
        <v>0.92193893610322364</v>
      </c>
      <c r="E2937" s="148">
        <f t="shared" si="146"/>
        <v>6.1596506819748033E-4</v>
      </c>
      <c r="F2937" s="148">
        <f t="shared" si="148"/>
        <v>0.34066600122312446</v>
      </c>
    </row>
    <row r="2938" spans="2:6" x14ac:dyDescent="0.2">
      <c r="B2938" s="206" t="s">
        <v>560</v>
      </c>
      <c r="C2938" s="205">
        <v>5899</v>
      </c>
      <c r="D2938" s="147">
        <f t="shared" si="147"/>
        <v>0.92225369845764604</v>
      </c>
      <c r="E2938" s="148">
        <f t="shared" si="146"/>
        <v>6.1837609552364478E-4</v>
      </c>
      <c r="F2938" s="148">
        <f t="shared" si="148"/>
        <v>0.34128437731864808</v>
      </c>
    </row>
    <row r="2939" spans="2:6" x14ac:dyDescent="0.2">
      <c r="B2939" s="206" t="s">
        <v>1516</v>
      </c>
      <c r="C2939" s="205">
        <v>5944</v>
      </c>
      <c r="D2939" s="147">
        <f t="shared" si="147"/>
        <v>0.92256846081206845</v>
      </c>
      <c r="E2939" s="148">
        <f t="shared" si="146"/>
        <v>6.2309332290092292E-4</v>
      </c>
      <c r="F2939" s="148">
        <f t="shared" si="148"/>
        <v>0.34190747064154903</v>
      </c>
    </row>
    <row r="2940" spans="2:6" x14ac:dyDescent="0.2">
      <c r="B2940" s="115" t="s">
        <v>2561</v>
      </c>
      <c r="C2940" s="114">
        <v>5948</v>
      </c>
      <c r="D2940" s="147">
        <f t="shared" si="147"/>
        <v>0.92288322316649085</v>
      </c>
      <c r="E2940" s="148">
        <f t="shared" si="146"/>
        <v>6.2351263200112537E-4</v>
      </c>
      <c r="F2940" s="148">
        <f t="shared" si="148"/>
        <v>0.34253098327355014</v>
      </c>
    </row>
    <row r="2941" spans="2:6" x14ac:dyDescent="0.2">
      <c r="B2941" s="115" t="s">
        <v>3049</v>
      </c>
      <c r="C2941" s="114">
        <v>5963</v>
      </c>
      <c r="D2941" s="147">
        <f t="shared" si="147"/>
        <v>0.92319798552091326</v>
      </c>
      <c r="E2941" s="148">
        <f t="shared" si="146"/>
        <v>6.2508504112688483E-4</v>
      </c>
      <c r="F2941" s="148">
        <f t="shared" si="148"/>
        <v>0.34315606831467704</v>
      </c>
    </row>
    <row r="2942" spans="2:6" x14ac:dyDescent="0.2">
      <c r="B2942" s="206" t="s">
        <v>1941</v>
      </c>
      <c r="C2942" s="205">
        <v>5985</v>
      </c>
      <c r="D2942" s="147">
        <f t="shared" si="147"/>
        <v>0.92351274787533566</v>
      </c>
      <c r="E2942" s="148">
        <f t="shared" si="146"/>
        <v>6.2739124117799862E-4</v>
      </c>
      <c r="F2942" s="148">
        <f t="shared" si="148"/>
        <v>0.34378345955585504</v>
      </c>
    </row>
    <row r="2943" spans="2:6" x14ac:dyDescent="0.2">
      <c r="B2943" s="115" t="s">
        <v>1354</v>
      </c>
      <c r="C2943" s="114">
        <v>5987</v>
      </c>
      <c r="D2943" s="147">
        <f t="shared" si="147"/>
        <v>0.92382751022975806</v>
      </c>
      <c r="E2943" s="148">
        <f t="shared" si="146"/>
        <v>6.2760089572809984E-4</v>
      </c>
      <c r="F2943" s="148">
        <f t="shared" si="148"/>
        <v>0.34441106045158315</v>
      </c>
    </row>
    <row r="2944" spans="2:6" x14ac:dyDescent="0.2">
      <c r="B2944" s="115" t="s">
        <v>125</v>
      </c>
      <c r="C2944" s="114">
        <v>5992</v>
      </c>
      <c r="D2944" s="147">
        <f t="shared" si="147"/>
        <v>0.92414227258418047</v>
      </c>
      <c r="E2944" s="148">
        <f t="shared" si="146"/>
        <v>6.2812503210335296E-4</v>
      </c>
      <c r="F2944" s="148">
        <f t="shared" si="148"/>
        <v>0.34503918548368651</v>
      </c>
    </row>
    <row r="2945" spans="2:6" x14ac:dyDescent="0.2">
      <c r="B2945" s="115" t="s">
        <v>2427</v>
      </c>
      <c r="C2945" s="114">
        <v>6000</v>
      </c>
      <c r="D2945" s="147">
        <f t="shared" si="147"/>
        <v>0.92445703493860287</v>
      </c>
      <c r="E2945" s="148">
        <f t="shared" si="146"/>
        <v>6.2896365030375796E-4</v>
      </c>
      <c r="F2945" s="148">
        <f t="shared" si="148"/>
        <v>0.34566814913399024</v>
      </c>
    </row>
    <row r="2946" spans="2:6" x14ac:dyDescent="0.2">
      <c r="B2946" s="115" t="s">
        <v>2475</v>
      </c>
      <c r="C2946" s="114">
        <v>6032</v>
      </c>
      <c r="D2946" s="147">
        <f t="shared" si="147"/>
        <v>0.92477179729302528</v>
      </c>
      <c r="E2946" s="148">
        <f t="shared" si="146"/>
        <v>6.3231812310537809E-4</v>
      </c>
      <c r="F2946" s="148">
        <f t="shared" si="148"/>
        <v>0.34630046725709562</v>
      </c>
    </row>
    <row r="2947" spans="2:6" x14ac:dyDescent="0.2">
      <c r="B2947" s="115" t="s">
        <v>2602</v>
      </c>
      <c r="C2947" s="114">
        <v>6082</v>
      </c>
      <c r="D2947" s="147">
        <f t="shared" si="147"/>
        <v>0.92508655964744768</v>
      </c>
      <c r="E2947" s="148">
        <f t="shared" si="146"/>
        <v>6.3755948685790935E-4</v>
      </c>
      <c r="F2947" s="148">
        <f t="shared" si="148"/>
        <v>0.34693802674395352</v>
      </c>
    </row>
    <row r="2948" spans="2:6" x14ac:dyDescent="0.2">
      <c r="B2948" s="115" t="s">
        <v>3062</v>
      </c>
      <c r="C2948" s="114">
        <v>6096</v>
      </c>
      <c r="D2948" s="147">
        <f t="shared" si="147"/>
        <v>0.92540132200187009</v>
      </c>
      <c r="E2948" s="148">
        <f t="shared" si="146"/>
        <v>6.3902706870861813E-4</v>
      </c>
      <c r="F2948" s="148">
        <f t="shared" si="148"/>
        <v>0.34757705381266213</v>
      </c>
    </row>
    <row r="2949" spans="2:6" x14ac:dyDescent="0.2">
      <c r="B2949" s="206" t="s">
        <v>467</v>
      </c>
      <c r="C2949" s="205">
        <v>6119</v>
      </c>
      <c r="D2949" s="147">
        <f t="shared" si="147"/>
        <v>0.92571608435629249</v>
      </c>
      <c r="E2949" s="148">
        <f t="shared" si="146"/>
        <v>6.4143809603478248E-4</v>
      </c>
      <c r="F2949" s="148">
        <f t="shared" si="148"/>
        <v>0.34821849190869691</v>
      </c>
    </row>
    <row r="2950" spans="2:6" x14ac:dyDescent="0.2">
      <c r="B2950" s="115" t="s">
        <v>1431</v>
      </c>
      <c r="C2950" s="114">
        <v>6209</v>
      </c>
      <c r="D2950" s="147">
        <f t="shared" si="147"/>
        <v>0.92603084671071489</v>
      </c>
      <c r="E2950" s="148">
        <f t="shared" si="146"/>
        <v>6.5087255078933887E-4</v>
      </c>
      <c r="F2950" s="148">
        <f t="shared" si="148"/>
        <v>0.34886936445948624</v>
      </c>
    </row>
    <row r="2951" spans="2:6" x14ac:dyDescent="0.2">
      <c r="B2951" s="115" t="s">
        <v>928</v>
      </c>
      <c r="C2951" s="114">
        <v>6213</v>
      </c>
      <c r="D2951" s="147">
        <f t="shared" si="147"/>
        <v>0.9263456090651373</v>
      </c>
      <c r="E2951" s="148">
        <f t="shared" si="146"/>
        <v>6.5129185988954143E-4</v>
      </c>
      <c r="F2951" s="148">
        <f t="shared" si="148"/>
        <v>0.34952065631937579</v>
      </c>
    </row>
    <row r="2952" spans="2:6" x14ac:dyDescent="0.2">
      <c r="B2952" s="206" t="s">
        <v>2087</v>
      </c>
      <c r="C2952" s="205">
        <v>6256</v>
      </c>
      <c r="D2952" s="147">
        <f t="shared" si="147"/>
        <v>0.9266603714195597</v>
      </c>
      <c r="E2952" s="148">
        <f t="shared" si="146"/>
        <v>6.5579943271671835E-4</v>
      </c>
      <c r="F2952" s="148">
        <f t="shared" si="148"/>
        <v>0.3501764557520925</v>
      </c>
    </row>
    <row r="2953" spans="2:6" x14ac:dyDescent="0.2">
      <c r="B2953" s="115" t="s">
        <v>429</v>
      </c>
      <c r="C2953" s="114">
        <v>6304</v>
      </c>
      <c r="D2953" s="147">
        <f t="shared" si="147"/>
        <v>0.92697513377398211</v>
      </c>
      <c r="E2953" s="148">
        <f t="shared" ref="E2953:E3016" si="149">C2953/$O$18</f>
        <v>6.6083114191914838E-4</v>
      </c>
      <c r="F2953" s="148">
        <f t="shared" si="148"/>
        <v>0.35083728689401167</v>
      </c>
    </row>
    <row r="2954" spans="2:6" x14ac:dyDescent="0.2">
      <c r="B2954" s="115" t="s">
        <v>483</v>
      </c>
      <c r="C2954" s="114">
        <v>6358</v>
      </c>
      <c r="D2954" s="147">
        <f t="shared" ref="D2954:D3017" si="150">D2953+1/$L$18</f>
        <v>0.92728989612840451</v>
      </c>
      <c r="E2954" s="148">
        <f t="shared" si="149"/>
        <v>6.6649181477188219E-4</v>
      </c>
      <c r="F2954" s="148">
        <f t="shared" ref="F2954:F3017" si="151">F2953+E2954</f>
        <v>0.35150377870878358</v>
      </c>
    </row>
    <row r="2955" spans="2:6" x14ac:dyDescent="0.2">
      <c r="B2955" s="206" t="s">
        <v>29</v>
      </c>
      <c r="C2955" s="205">
        <v>6371</v>
      </c>
      <c r="D2955" s="147">
        <f t="shared" si="150"/>
        <v>0.92760465848282692</v>
      </c>
      <c r="E2955" s="148">
        <f t="shared" si="149"/>
        <v>6.6785456934754031E-4</v>
      </c>
      <c r="F2955" s="148">
        <f t="shared" si="151"/>
        <v>0.35217163327813111</v>
      </c>
    </row>
    <row r="2956" spans="2:6" x14ac:dyDescent="0.2">
      <c r="B2956" s="115" t="s">
        <v>2390</v>
      </c>
      <c r="C2956" s="114">
        <v>6375</v>
      </c>
      <c r="D2956" s="147">
        <f t="shared" si="150"/>
        <v>0.92791942083724932</v>
      </c>
      <c r="E2956" s="148">
        <f t="shared" si="149"/>
        <v>6.6827387844774287E-4</v>
      </c>
      <c r="F2956" s="148">
        <f t="shared" si="151"/>
        <v>0.35283990715657887</v>
      </c>
    </row>
    <row r="2957" spans="2:6" x14ac:dyDescent="0.2">
      <c r="B2957" s="115" t="s">
        <v>1887</v>
      </c>
      <c r="C2957" s="114">
        <v>6396</v>
      </c>
      <c r="D2957" s="147">
        <f t="shared" si="150"/>
        <v>0.92823418319167172</v>
      </c>
      <c r="E2957" s="148">
        <f t="shared" si="149"/>
        <v>6.7047525122380599E-4</v>
      </c>
      <c r="F2957" s="148">
        <f t="shared" si="151"/>
        <v>0.35351038240780269</v>
      </c>
    </row>
    <row r="2958" spans="2:6" x14ac:dyDescent="0.2">
      <c r="B2958" s="115" t="s">
        <v>1403</v>
      </c>
      <c r="C2958" s="114">
        <v>6432</v>
      </c>
      <c r="D2958" s="147">
        <f t="shared" si="150"/>
        <v>0.92854894554609413</v>
      </c>
      <c r="E2958" s="148">
        <f t="shared" si="149"/>
        <v>6.7424903312562857E-4</v>
      </c>
      <c r="F2958" s="148">
        <f t="shared" si="151"/>
        <v>0.35418463144092832</v>
      </c>
    </row>
    <row r="2959" spans="2:6" x14ac:dyDescent="0.2">
      <c r="B2959" s="115" t="s">
        <v>2592</v>
      </c>
      <c r="C2959" s="114">
        <v>6450</v>
      </c>
      <c r="D2959" s="147">
        <f t="shared" si="150"/>
        <v>0.92886370790051653</v>
      </c>
      <c r="E2959" s="148">
        <f t="shared" si="149"/>
        <v>6.7613592407653981E-4</v>
      </c>
      <c r="F2959" s="148">
        <f t="shared" si="151"/>
        <v>0.35486076736500488</v>
      </c>
    </row>
    <row r="2960" spans="2:6" x14ac:dyDescent="0.2">
      <c r="B2960" s="115" t="s">
        <v>1179</v>
      </c>
      <c r="C2960" s="114">
        <v>6468</v>
      </c>
      <c r="D2960" s="147">
        <f t="shared" si="150"/>
        <v>0.92917847025493894</v>
      </c>
      <c r="E2960" s="148">
        <f t="shared" si="149"/>
        <v>6.7802281502745115E-4</v>
      </c>
      <c r="F2960" s="148">
        <f t="shared" si="151"/>
        <v>0.35553879018003232</v>
      </c>
    </row>
    <row r="2961" spans="2:6" x14ac:dyDescent="0.2">
      <c r="B2961" s="115" t="s">
        <v>2470</v>
      </c>
      <c r="C2961" s="114">
        <v>6483</v>
      </c>
      <c r="D2961" s="147">
        <f t="shared" si="150"/>
        <v>0.92949323260936134</v>
      </c>
      <c r="E2961" s="148">
        <f t="shared" si="149"/>
        <v>6.7959522415321049E-4</v>
      </c>
      <c r="F2961" s="148">
        <f t="shared" si="151"/>
        <v>0.35621838540418554</v>
      </c>
    </row>
    <row r="2962" spans="2:6" x14ac:dyDescent="0.2">
      <c r="B2962" s="115" t="s">
        <v>972</v>
      </c>
      <c r="C2962" s="114">
        <v>6621</v>
      </c>
      <c r="D2962" s="147">
        <f t="shared" si="150"/>
        <v>0.92980799496378375</v>
      </c>
      <c r="E2962" s="148">
        <f t="shared" si="149"/>
        <v>6.9406138811019692E-4</v>
      </c>
      <c r="F2962" s="148">
        <f t="shared" si="151"/>
        <v>0.35691244679229572</v>
      </c>
    </row>
    <row r="2963" spans="2:6" x14ac:dyDescent="0.2">
      <c r="B2963" s="115" t="s">
        <v>670</v>
      </c>
      <c r="C2963" s="114">
        <v>6631</v>
      </c>
      <c r="D2963" s="147">
        <f t="shared" si="150"/>
        <v>0.93012275731820615</v>
      </c>
      <c r="E2963" s="148">
        <f t="shared" si="149"/>
        <v>6.9510966086070325E-4</v>
      </c>
      <c r="F2963" s="148">
        <f t="shared" si="151"/>
        <v>0.35760755645315645</v>
      </c>
    </row>
    <row r="2964" spans="2:6" x14ac:dyDescent="0.2">
      <c r="B2964" s="115" t="s">
        <v>1290</v>
      </c>
      <c r="C2964" s="114">
        <v>6704</v>
      </c>
      <c r="D2964" s="147">
        <f t="shared" si="150"/>
        <v>0.93043751967262855</v>
      </c>
      <c r="E2964" s="148">
        <f t="shared" si="149"/>
        <v>7.0276205193939897E-4</v>
      </c>
      <c r="F2964" s="148">
        <f t="shared" si="151"/>
        <v>0.35831031850509587</v>
      </c>
    </row>
    <row r="2965" spans="2:6" x14ac:dyDescent="0.2">
      <c r="B2965" s="206" t="s">
        <v>1626</v>
      </c>
      <c r="C2965" s="205">
        <v>6748</v>
      </c>
      <c r="D2965" s="147">
        <f t="shared" si="150"/>
        <v>0.93075228202705096</v>
      </c>
      <c r="E2965" s="148">
        <f t="shared" si="149"/>
        <v>7.0737445204162644E-4</v>
      </c>
      <c r="F2965" s="148">
        <f t="shared" si="151"/>
        <v>0.35901769295713748</v>
      </c>
    </row>
    <row r="2966" spans="2:6" x14ac:dyDescent="0.2">
      <c r="B2966" s="115" t="s">
        <v>2426</v>
      </c>
      <c r="C2966" s="114">
        <v>6809</v>
      </c>
      <c r="D2966" s="147">
        <f t="shared" si="150"/>
        <v>0.93106704438147336</v>
      </c>
      <c r="E2966" s="148">
        <f t="shared" si="149"/>
        <v>7.137689158197147E-4</v>
      </c>
      <c r="F2966" s="148">
        <f t="shared" si="151"/>
        <v>0.35973146187295718</v>
      </c>
    </row>
    <row r="2967" spans="2:6" x14ac:dyDescent="0.2">
      <c r="B2967" s="115" t="s">
        <v>480</v>
      </c>
      <c r="C2967" s="114">
        <v>6815</v>
      </c>
      <c r="D2967" s="147">
        <f t="shared" si="150"/>
        <v>0.93138180673589577</v>
      </c>
      <c r="E2967" s="148">
        <f t="shared" si="149"/>
        <v>7.1439787947001848E-4</v>
      </c>
      <c r="F2967" s="148">
        <f t="shared" si="151"/>
        <v>0.36044585975242721</v>
      </c>
    </row>
    <row r="2968" spans="2:6" x14ac:dyDescent="0.2">
      <c r="B2968" s="115" t="s">
        <v>1724</v>
      </c>
      <c r="C2968" s="114">
        <v>6817</v>
      </c>
      <c r="D2968" s="147">
        <f t="shared" si="150"/>
        <v>0.93169656909031817</v>
      </c>
      <c r="E2968" s="148">
        <f t="shared" si="149"/>
        <v>7.1460753402011971E-4</v>
      </c>
      <c r="F2968" s="148">
        <f t="shared" si="151"/>
        <v>0.36116046728644735</v>
      </c>
    </row>
    <row r="2969" spans="2:6" x14ac:dyDescent="0.2">
      <c r="B2969" s="206" t="s">
        <v>1631</v>
      </c>
      <c r="C2969" s="205">
        <v>6820</v>
      </c>
      <c r="D2969" s="147">
        <f t="shared" si="150"/>
        <v>0.93201133144474058</v>
      </c>
      <c r="E2969" s="148">
        <f t="shared" si="149"/>
        <v>7.149220158452716E-4</v>
      </c>
      <c r="F2969" s="148">
        <f t="shared" si="151"/>
        <v>0.36187538930229263</v>
      </c>
    </row>
    <row r="2970" spans="2:6" x14ac:dyDescent="0.2">
      <c r="B2970" s="115" t="s">
        <v>1679</v>
      </c>
      <c r="C2970" s="114">
        <v>6823</v>
      </c>
      <c r="D2970" s="147">
        <f t="shared" si="150"/>
        <v>0.93232609379916298</v>
      </c>
      <c r="E2970" s="148">
        <f t="shared" si="149"/>
        <v>7.1523649767042349E-4</v>
      </c>
      <c r="F2970" s="148">
        <f t="shared" si="151"/>
        <v>0.36259062579996304</v>
      </c>
    </row>
    <row r="2971" spans="2:6" x14ac:dyDescent="0.2">
      <c r="B2971" s="115" t="s">
        <v>747</v>
      </c>
      <c r="C2971" s="114">
        <v>6865</v>
      </c>
      <c r="D2971" s="147">
        <f t="shared" si="150"/>
        <v>0.93264085615358538</v>
      </c>
      <c r="E2971" s="148">
        <f t="shared" si="149"/>
        <v>7.1963924322254974E-4</v>
      </c>
      <c r="F2971" s="148">
        <f t="shared" si="151"/>
        <v>0.36331026504318559</v>
      </c>
    </row>
    <row r="2972" spans="2:6" x14ac:dyDescent="0.2">
      <c r="B2972" s="115" t="s">
        <v>3149</v>
      </c>
      <c r="C2972" s="114">
        <v>6920</v>
      </c>
      <c r="D2972" s="147">
        <f t="shared" si="150"/>
        <v>0.93295561850800779</v>
      </c>
      <c r="E2972" s="148">
        <f t="shared" si="149"/>
        <v>7.2540474335033422E-4</v>
      </c>
      <c r="F2972" s="148">
        <f t="shared" si="151"/>
        <v>0.3640356697865359</v>
      </c>
    </row>
    <row r="2973" spans="2:6" x14ac:dyDescent="0.2">
      <c r="B2973" s="115" t="s">
        <v>1778</v>
      </c>
      <c r="C2973" s="114">
        <v>7037</v>
      </c>
      <c r="D2973" s="147">
        <f t="shared" si="150"/>
        <v>0.93327038086243019</v>
      </c>
      <c r="E2973" s="148">
        <f t="shared" si="149"/>
        <v>7.3766953453125751E-4</v>
      </c>
      <c r="F2973" s="148">
        <f t="shared" si="151"/>
        <v>0.36477333932106715</v>
      </c>
    </row>
    <row r="2974" spans="2:6" x14ac:dyDescent="0.2">
      <c r="B2974" s="115" t="s">
        <v>1675</v>
      </c>
      <c r="C2974" s="114">
        <v>7052</v>
      </c>
      <c r="D2974" s="147">
        <f t="shared" si="150"/>
        <v>0.9335851432168526</v>
      </c>
      <c r="E2974" s="148">
        <f t="shared" si="149"/>
        <v>7.3924194365701686E-4</v>
      </c>
      <c r="F2974" s="148">
        <f t="shared" si="151"/>
        <v>0.36551258126472419</v>
      </c>
    </row>
    <row r="2975" spans="2:6" x14ac:dyDescent="0.2">
      <c r="B2975" s="206" t="s">
        <v>2351</v>
      </c>
      <c r="C2975" s="205">
        <v>7098</v>
      </c>
      <c r="D2975" s="147">
        <f t="shared" si="150"/>
        <v>0.933899905571275</v>
      </c>
      <c r="E2975" s="148">
        <f t="shared" si="149"/>
        <v>7.4406399830934567E-4</v>
      </c>
      <c r="F2975" s="148">
        <f t="shared" si="151"/>
        <v>0.36625664526303353</v>
      </c>
    </row>
    <row r="2976" spans="2:6" x14ac:dyDescent="0.2">
      <c r="B2976" s="206" t="s">
        <v>1206</v>
      </c>
      <c r="C2976" s="205">
        <v>7175</v>
      </c>
      <c r="D2976" s="147">
        <f t="shared" si="150"/>
        <v>0.93421466792569741</v>
      </c>
      <c r="E2976" s="148">
        <f t="shared" si="149"/>
        <v>7.5213569848824394E-4</v>
      </c>
      <c r="F2976" s="148">
        <f t="shared" si="151"/>
        <v>0.36700878096152179</v>
      </c>
    </row>
    <row r="2977" spans="2:6" x14ac:dyDescent="0.2">
      <c r="B2977" s="206" t="s">
        <v>1212</v>
      </c>
      <c r="C2977" s="205">
        <v>7206</v>
      </c>
      <c r="D2977" s="147">
        <f t="shared" si="150"/>
        <v>0.93452943028011981</v>
      </c>
      <c r="E2977" s="148">
        <f t="shared" si="149"/>
        <v>7.553853440148134E-4</v>
      </c>
      <c r="F2977" s="148">
        <f t="shared" si="151"/>
        <v>0.3677641663055366</v>
      </c>
    </row>
    <row r="2978" spans="2:6" x14ac:dyDescent="0.2">
      <c r="B2978" s="206" t="s">
        <v>473</v>
      </c>
      <c r="C2978" s="205">
        <v>7408</v>
      </c>
      <c r="D2978" s="147">
        <f t="shared" si="150"/>
        <v>0.93484419263454221</v>
      </c>
      <c r="E2978" s="148">
        <f t="shared" si="149"/>
        <v>7.7656045357503986E-4</v>
      </c>
      <c r="F2978" s="148">
        <f t="shared" si="151"/>
        <v>0.36854072675911165</v>
      </c>
    </row>
    <row r="2979" spans="2:6" x14ac:dyDescent="0.2">
      <c r="B2979" s="115" t="s">
        <v>2026</v>
      </c>
      <c r="C2979" s="114">
        <v>7429</v>
      </c>
      <c r="D2979" s="147">
        <f t="shared" si="150"/>
        <v>0.93515895498896462</v>
      </c>
      <c r="E2979" s="148">
        <f t="shared" si="149"/>
        <v>7.7876182635110299E-4</v>
      </c>
      <c r="F2979" s="148">
        <f t="shared" si="151"/>
        <v>0.36931948858546276</v>
      </c>
    </row>
    <row r="2980" spans="2:6" x14ac:dyDescent="0.2">
      <c r="B2980" s="206" t="s">
        <v>282</v>
      </c>
      <c r="C2980" s="205">
        <v>7663</v>
      </c>
      <c r="D2980" s="147">
        <f t="shared" si="150"/>
        <v>0.93547371734338702</v>
      </c>
      <c r="E2980" s="148">
        <f t="shared" si="149"/>
        <v>8.0329140871294958E-4</v>
      </c>
      <c r="F2980" s="148">
        <f t="shared" si="151"/>
        <v>0.3701227799941757</v>
      </c>
    </row>
    <row r="2981" spans="2:6" x14ac:dyDescent="0.2">
      <c r="B2981" s="115" t="s">
        <v>284</v>
      </c>
      <c r="C2981" s="114">
        <v>7701</v>
      </c>
      <c r="D2981" s="147">
        <f t="shared" si="150"/>
        <v>0.93578847969780943</v>
      </c>
      <c r="E2981" s="148">
        <f t="shared" si="149"/>
        <v>8.0727484516487339E-4</v>
      </c>
      <c r="F2981" s="148">
        <f t="shared" si="151"/>
        <v>0.37093005483934055</v>
      </c>
    </row>
    <row r="2982" spans="2:6" x14ac:dyDescent="0.2">
      <c r="B2982" s="115" t="s">
        <v>175</v>
      </c>
      <c r="C2982" s="114">
        <v>7711</v>
      </c>
      <c r="D2982" s="147">
        <f t="shared" si="150"/>
        <v>0.93610324205223183</v>
      </c>
      <c r="E2982" s="148">
        <f t="shared" si="149"/>
        <v>8.0832311791537961E-4</v>
      </c>
      <c r="F2982" s="148">
        <f t="shared" si="151"/>
        <v>0.37173837795725595</v>
      </c>
    </row>
    <row r="2983" spans="2:6" x14ac:dyDescent="0.2">
      <c r="B2983" s="115" t="s">
        <v>605</v>
      </c>
      <c r="C2983" s="114">
        <v>7788</v>
      </c>
      <c r="D2983" s="147">
        <f t="shared" si="150"/>
        <v>0.93641800440665424</v>
      </c>
      <c r="E2983" s="148">
        <f t="shared" si="149"/>
        <v>8.1639481809427789E-4</v>
      </c>
      <c r="F2983" s="148">
        <f t="shared" si="151"/>
        <v>0.37255477277535021</v>
      </c>
    </row>
    <row r="2984" spans="2:6" x14ac:dyDescent="0.2">
      <c r="B2984" s="115" t="s">
        <v>973</v>
      </c>
      <c r="C2984" s="114">
        <v>7806</v>
      </c>
      <c r="D2984" s="147">
        <f t="shared" si="150"/>
        <v>0.93673276676107664</v>
      </c>
      <c r="E2984" s="148">
        <f t="shared" si="149"/>
        <v>8.1828170904518912E-4</v>
      </c>
      <c r="F2984" s="148">
        <f t="shared" si="151"/>
        <v>0.37337305448439539</v>
      </c>
    </row>
    <row r="2985" spans="2:6" x14ac:dyDescent="0.2">
      <c r="B2985" s="206" t="s">
        <v>1925</v>
      </c>
      <c r="C2985" s="205">
        <v>7826</v>
      </c>
      <c r="D2985" s="147">
        <f t="shared" si="150"/>
        <v>0.93704752911549904</v>
      </c>
      <c r="E2985" s="148">
        <f t="shared" si="149"/>
        <v>8.2037825454620169E-4</v>
      </c>
      <c r="F2985" s="148">
        <f t="shared" si="151"/>
        <v>0.37419343273894162</v>
      </c>
    </row>
    <row r="2986" spans="2:6" x14ac:dyDescent="0.2">
      <c r="B2986" s="115" t="s">
        <v>148</v>
      </c>
      <c r="C2986" s="114">
        <v>7906</v>
      </c>
      <c r="D2986" s="147">
        <f t="shared" si="150"/>
        <v>0.93736229146992145</v>
      </c>
      <c r="E2986" s="148">
        <f t="shared" si="149"/>
        <v>8.2876443655025174E-4</v>
      </c>
      <c r="F2986" s="148">
        <f t="shared" si="151"/>
        <v>0.3750221971754919</v>
      </c>
    </row>
    <row r="2987" spans="2:6" x14ac:dyDescent="0.2">
      <c r="B2987" s="206" t="s">
        <v>1380</v>
      </c>
      <c r="C2987" s="205">
        <v>7935</v>
      </c>
      <c r="D2987" s="147">
        <f t="shared" si="150"/>
        <v>0.93767705382434385</v>
      </c>
      <c r="E2987" s="148">
        <f t="shared" si="149"/>
        <v>8.3180442752671998E-4</v>
      </c>
      <c r="F2987" s="148">
        <f t="shared" si="151"/>
        <v>0.37585400160301863</v>
      </c>
    </row>
    <row r="2988" spans="2:6" x14ac:dyDescent="0.2">
      <c r="B2988" s="115" t="s">
        <v>2036</v>
      </c>
      <c r="C2988" s="114">
        <v>7973</v>
      </c>
      <c r="D2988" s="147">
        <f t="shared" si="150"/>
        <v>0.93799181617876626</v>
      </c>
      <c r="E2988" s="148">
        <f t="shared" si="149"/>
        <v>8.3578786397864378E-4</v>
      </c>
      <c r="F2988" s="148">
        <f t="shared" si="151"/>
        <v>0.37668978946699727</v>
      </c>
    </row>
    <row r="2989" spans="2:6" x14ac:dyDescent="0.2">
      <c r="B2989" s="206" t="s">
        <v>2465</v>
      </c>
      <c r="C2989" s="205">
        <v>7986</v>
      </c>
      <c r="D2989" s="147">
        <f t="shared" si="150"/>
        <v>0.93830657853318866</v>
      </c>
      <c r="E2989" s="148">
        <f t="shared" si="149"/>
        <v>8.371506185543019E-4</v>
      </c>
      <c r="F2989" s="148">
        <f t="shared" si="151"/>
        <v>0.3775269400855516</v>
      </c>
    </row>
    <row r="2990" spans="2:6" x14ac:dyDescent="0.2">
      <c r="B2990" s="206" t="s">
        <v>1674</v>
      </c>
      <c r="C2990" s="205">
        <v>7987</v>
      </c>
      <c r="D2990" s="147">
        <f t="shared" si="150"/>
        <v>0.93862134088761107</v>
      </c>
      <c r="E2990" s="148">
        <f t="shared" si="149"/>
        <v>8.3725544582935257E-4</v>
      </c>
      <c r="F2990" s="148">
        <f t="shared" si="151"/>
        <v>0.37836419553138095</v>
      </c>
    </row>
    <row r="2991" spans="2:6" x14ac:dyDescent="0.2">
      <c r="B2991" s="115" t="s">
        <v>573</v>
      </c>
      <c r="C2991" s="114">
        <v>8064</v>
      </c>
      <c r="D2991" s="147">
        <f t="shared" si="150"/>
        <v>0.93893610324203347</v>
      </c>
      <c r="E2991" s="148">
        <f t="shared" si="149"/>
        <v>8.4532714600825073E-4</v>
      </c>
      <c r="F2991" s="148">
        <f t="shared" si="151"/>
        <v>0.37920952267738922</v>
      </c>
    </row>
    <row r="2992" spans="2:6" x14ac:dyDescent="0.2">
      <c r="B2992" s="115" t="s">
        <v>2027</v>
      </c>
      <c r="C2992" s="114">
        <v>8107</v>
      </c>
      <c r="D2992" s="147">
        <f t="shared" si="150"/>
        <v>0.93925086559645588</v>
      </c>
      <c r="E2992" s="148">
        <f t="shared" si="149"/>
        <v>8.4983471883542765E-4</v>
      </c>
      <c r="F2992" s="148">
        <f t="shared" si="151"/>
        <v>0.38005935739622465</v>
      </c>
    </row>
    <row r="2993" spans="2:6" x14ac:dyDescent="0.2">
      <c r="B2993" s="206" t="s">
        <v>808</v>
      </c>
      <c r="C2993" s="205">
        <v>8196</v>
      </c>
      <c r="D2993" s="147">
        <f t="shared" si="150"/>
        <v>0.93956562795087828</v>
      </c>
      <c r="E2993" s="148">
        <f t="shared" si="149"/>
        <v>8.5916434631493337E-4</v>
      </c>
      <c r="F2993" s="148">
        <f t="shared" si="151"/>
        <v>0.3809185217425396</v>
      </c>
    </row>
    <row r="2994" spans="2:6" x14ac:dyDescent="0.2">
      <c r="B2994" s="115" t="s">
        <v>2534</v>
      </c>
      <c r="C2994" s="114">
        <v>8249</v>
      </c>
      <c r="D2994" s="147">
        <f t="shared" si="150"/>
        <v>0.93988039030530068</v>
      </c>
      <c r="E2994" s="148">
        <f t="shared" si="149"/>
        <v>8.6472019189261663E-4</v>
      </c>
      <c r="F2994" s="148">
        <f t="shared" si="151"/>
        <v>0.38178324193443219</v>
      </c>
    </row>
    <row r="2995" spans="2:6" x14ac:dyDescent="0.2">
      <c r="B2995" s="115" t="s">
        <v>2216</v>
      </c>
      <c r="C2995" s="114">
        <v>8272</v>
      </c>
      <c r="D2995" s="147">
        <f t="shared" si="150"/>
        <v>0.94019515265972309</v>
      </c>
      <c r="E2995" s="148">
        <f t="shared" si="149"/>
        <v>8.6713121921878098E-4</v>
      </c>
      <c r="F2995" s="148">
        <f t="shared" si="151"/>
        <v>0.38265037315365097</v>
      </c>
    </row>
    <row r="2996" spans="2:6" x14ac:dyDescent="0.2">
      <c r="B2996" s="115" t="s">
        <v>548</v>
      </c>
      <c r="C2996" s="114">
        <v>8300</v>
      </c>
      <c r="D2996" s="147">
        <f t="shared" si="150"/>
        <v>0.94050991501414549</v>
      </c>
      <c r="E2996" s="148">
        <f t="shared" si="149"/>
        <v>8.7006638292019855E-4</v>
      </c>
      <c r="F2996" s="148">
        <f t="shared" si="151"/>
        <v>0.38352043953657117</v>
      </c>
    </row>
    <row r="2997" spans="2:6" x14ac:dyDescent="0.2">
      <c r="B2997" s="115" t="s">
        <v>2234</v>
      </c>
      <c r="C2997" s="114">
        <v>8303</v>
      </c>
      <c r="D2997" s="147">
        <f t="shared" si="150"/>
        <v>0.9408246773685679</v>
      </c>
      <c r="E2997" s="148">
        <f t="shared" si="149"/>
        <v>8.7038086474535044E-4</v>
      </c>
      <c r="F2997" s="148">
        <f t="shared" si="151"/>
        <v>0.3843908204013165</v>
      </c>
    </row>
    <row r="2998" spans="2:6" x14ac:dyDescent="0.2">
      <c r="B2998" s="115" t="s">
        <v>1114</v>
      </c>
      <c r="C2998" s="114">
        <v>8341</v>
      </c>
      <c r="D2998" s="147">
        <f t="shared" si="150"/>
        <v>0.9411394397229903</v>
      </c>
      <c r="E2998" s="148">
        <f t="shared" si="149"/>
        <v>8.7436430119727424E-4</v>
      </c>
      <c r="F2998" s="148">
        <f t="shared" si="151"/>
        <v>0.38526518470251375</v>
      </c>
    </row>
    <row r="2999" spans="2:6" x14ac:dyDescent="0.2">
      <c r="B2999" s="115" t="s">
        <v>233</v>
      </c>
      <c r="C2999" s="114">
        <v>8347</v>
      </c>
      <c r="D2999" s="147">
        <f t="shared" si="150"/>
        <v>0.94145420207741271</v>
      </c>
      <c r="E2999" s="148">
        <f t="shared" si="149"/>
        <v>8.7499326484757802E-4</v>
      </c>
      <c r="F2999" s="148">
        <f t="shared" si="151"/>
        <v>0.38614017796736133</v>
      </c>
    </row>
    <row r="3000" spans="2:6" x14ac:dyDescent="0.2">
      <c r="B3000" s="115" t="s">
        <v>2597</v>
      </c>
      <c r="C3000" s="114">
        <v>8366</v>
      </c>
      <c r="D3000" s="147">
        <f t="shared" si="150"/>
        <v>0.94176896443183511</v>
      </c>
      <c r="E3000" s="148">
        <f t="shared" si="149"/>
        <v>8.7698498307353992E-4</v>
      </c>
      <c r="F3000" s="148">
        <f t="shared" si="151"/>
        <v>0.38701716295043487</v>
      </c>
    </row>
    <row r="3001" spans="2:6" x14ac:dyDescent="0.2">
      <c r="B3001" s="115" t="s">
        <v>1054</v>
      </c>
      <c r="C3001" s="114">
        <v>8379</v>
      </c>
      <c r="D3001" s="147">
        <f t="shared" si="150"/>
        <v>0.94208372678625751</v>
      </c>
      <c r="E3001" s="148">
        <f t="shared" si="149"/>
        <v>8.7834773764919804E-4</v>
      </c>
      <c r="F3001" s="148">
        <f t="shared" si="151"/>
        <v>0.38789551068808409</v>
      </c>
    </row>
    <row r="3002" spans="2:6" x14ac:dyDescent="0.2">
      <c r="B3002" s="115" t="s">
        <v>1423</v>
      </c>
      <c r="C3002" s="114">
        <v>8436</v>
      </c>
      <c r="D3002" s="147">
        <f t="shared" si="150"/>
        <v>0.94239848914067992</v>
      </c>
      <c r="E3002" s="148">
        <f t="shared" si="149"/>
        <v>8.8432289232708375E-4</v>
      </c>
      <c r="F3002" s="148">
        <f t="shared" si="151"/>
        <v>0.38877983358041118</v>
      </c>
    </row>
    <row r="3003" spans="2:6" x14ac:dyDescent="0.2">
      <c r="B3003" s="115" t="s">
        <v>686</v>
      </c>
      <c r="C3003" s="114">
        <v>8525</v>
      </c>
      <c r="D3003" s="147">
        <f t="shared" si="150"/>
        <v>0.94271325149510232</v>
      </c>
      <c r="E3003" s="148">
        <f t="shared" si="149"/>
        <v>8.9365251980658947E-4</v>
      </c>
      <c r="F3003" s="148">
        <f t="shared" si="151"/>
        <v>0.38967348610021779</v>
      </c>
    </row>
    <row r="3004" spans="2:6" x14ac:dyDescent="0.2">
      <c r="B3004" s="115" t="s">
        <v>997</v>
      </c>
      <c r="C3004" s="114">
        <v>8533</v>
      </c>
      <c r="D3004" s="147">
        <f t="shared" si="150"/>
        <v>0.94302801384952473</v>
      </c>
      <c r="E3004" s="148">
        <f t="shared" si="149"/>
        <v>8.9449113800699448E-4</v>
      </c>
      <c r="F3004" s="148">
        <f t="shared" si="151"/>
        <v>0.39056797723822478</v>
      </c>
    </row>
    <row r="3005" spans="2:6" x14ac:dyDescent="0.2">
      <c r="B3005" s="115" t="s">
        <v>763</v>
      </c>
      <c r="C3005" s="114">
        <v>8603</v>
      </c>
      <c r="D3005" s="147">
        <f t="shared" si="150"/>
        <v>0.94334277620394713</v>
      </c>
      <c r="E3005" s="148">
        <f t="shared" si="149"/>
        <v>9.018290472605383E-4</v>
      </c>
      <c r="F3005" s="148">
        <f t="shared" si="151"/>
        <v>0.39146980628548533</v>
      </c>
    </row>
    <row r="3006" spans="2:6" x14ac:dyDescent="0.2">
      <c r="B3006" s="115" t="s">
        <v>1328</v>
      </c>
      <c r="C3006" s="114">
        <v>8757</v>
      </c>
      <c r="D3006" s="147">
        <f t="shared" si="150"/>
        <v>0.94365753855836954</v>
      </c>
      <c r="E3006" s="148">
        <f t="shared" si="149"/>
        <v>9.1797244761833484E-4</v>
      </c>
      <c r="F3006" s="148">
        <f t="shared" si="151"/>
        <v>0.39238777873310365</v>
      </c>
    </row>
    <row r="3007" spans="2:6" x14ac:dyDescent="0.2">
      <c r="B3007" s="115" t="s">
        <v>1043</v>
      </c>
      <c r="C3007" s="114">
        <v>8765</v>
      </c>
      <c r="D3007" s="147">
        <f t="shared" si="150"/>
        <v>0.94397230091279194</v>
      </c>
      <c r="E3007" s="148">
        <f t="shared" si="149"/>
        <v>9.1881106581873984E-4</v>
      </c>
      <c r="F3007" s="148">
        <f t="shared" si="151"/>
        <v>0.39330658979892241</v>
      </c>
    </row>
    <row r="3008" spans="2:6" x14ac:dyDescent="0.2">
      <c r="B3008" s="115" t="s">
        <v>2519</v>
      </c>
      <c r="C3008" s="114">
        <v>8987</v>
      </c>
      <c r="D3008" s="147">
        <f t="shared" si="150"/>
        <v>0.94428706326721434</v>
      </c>
      <c r="E3008" s="148">
        <f t="shared" si="149"/>
        <v>9.4208272087997888E-4</v>
      </c>
      <c r="F3008" s="148">
        <f t="shared" si="151"/>
        <v>0.39424867251980239</v>
      </c>
    </row>
    <row r="3009" spans="2:6" x14ac:dyDescent="0.2">
      <c r="B3009" s="115" t="s">
        <v>798</v>
      </c>
      <c r="C3009" s="114">
        <v>8988</v>
      </c>
      <c r="D3009" s="147">
        <f t="shared" si="150"/>
        <v>0.94460182562163675</v>
      </c>
      <c r="E3009" s="148">
        <f t="shared" si="149"/>
        <v>9.4218754815502943E-4</v>
      </c>
      <c r="F3009" s="148">
        <f t="shared" si="151"/>
        <v>0.39519086006795739</v>
      </c>
    </row>
    <row r="3010" spans="2:6" x14ac:dyDescent="0.2">
      <c r="B3010" s="206" t="s">
        <v>1339</v>
      </c>
      <c r="C3010" s="205">
        <v>9016</v>
      </c>
      <c r="D3010" s="147">
        <f t="shared" si="150"/>
        <v>0.94491658797605915</v>
      </c>
      <c r="E3010" s="148">
        <f t="shared" si="149"/>
        <v>9.4512271185644701E-4</v>
      </c>
      <c r="F3010" s="148">
        <f t="shared" si="151"/>
        <v>0.39613598277981382</v>
      </c>
    </row>
    <row r="3011" spans="2:6" x14ac:dyDescent="0.2">
      <c r="B3011" s="115" t="s">
        <v>2506</v>
      </c>
      <c r="C3011" s="114">
        <v>9032</v>
      </c>
      <c r="D3011" s="147">
        <f t="shared" si="150"/>
        <v>0.94523135033048156</v>
      </c>
      <c r="E3011" s="148">
        <f t="shared" si="149"/>
        <v>9.4679994825725702E-4</v>
      </c>
      <c r="F3011" s="148">
        <f t="shared" si="151"/>
        <v>0.39708278272807107</v>
      </c>
    </row>
    <row r="3012" spans="2:6" x14ac:dyDescent="0.2">
      <c r="B3012" s="115" t="s">
        <v>1375</v>
      </c>
      <c r="C3012" s="114">
        <v>9218</v>
      </c>
      <c r="D3012" s="147">
        <f t="shared" si="150"/>
        <v>0.94554611268490396</v>
      </c>
      <c r="E3012" s="148">
        <f t="shared" si="149"/>
        <v>9.6629782141667358E-4</v>
      </c>
      <c r="F3012" s="148">
        <f t="shared" si="151"/>
        <v>0.39804908054948773</v>
      </c>
    </row>
    <row r="3013" spans="2:6" x14ac:dyDescent="0.2">
      <c r="B3013" s="115" t="s">
        <v>1471</v>
      </c>
      <c r="C3013" s="114">
        <v>9301</v>
      </c>
      <c r="D3013" s="147">
        <f t="shared" si="150"/>
        <v>0.94586087503932637</v>
      </c>
      <c r="E3013" s="148">
        <f t="shared" si="149"/>
        <v>9.7499848524587552E-4</v>
      </c>
      <c r="F3013" s="148">
        <f t="shared" si="151"/>
        <v>0.39902407903473358</v>
      </c>
    </row>
    <row r="3014" spans="2:6" x14ac:dyDescent="0.2">
      <c r="B3014" s="115" t="s">
        <v>538</v>
      </c>
      <c r="C3014" s="114">
        <v>9383</v>
      </c>
      <c r="D3014" s="147">
        <f t="shared" si="150"/>
        <v>0.94617563739374877</v>
      </c>
      <c r="E3014" s="148">
        <f t="shared" si="149"/>
        <v>9.8359432180002691E-4</v>
      </c>
      <c r="F3014" s="148">
        <f t="shared" si="151"/>
        <v>0.40000767335653359</v>
      </c>
    </row>
    <row r="3015" spans="2:6" x14ac:dyDescent="0.2">
      <c r="B3015" s="115" t="s">
        <v>1804</v>
      </c>
      <c r="C3015" s="114">
        <v>9441</v>
      </c>
      <c r="D3015" s="147">
        <f t="shared" si="150"/>
        <v>0.94649039974817117</v>
      </c>
      <c r="E3015" s="148">
        <f t="shared" si="149"/>
        <v>9.8967430375296317E-4</v>
      </c>
      <c r="F3015" s="148">
        <f t="shared" si="151"/>
        <v>0.40099734766028655</v>
      </c>
    </row>
    <row r="3016" spans="2:6" x14ac:dyDescent="0.2">
      <c r="B3016" s="115" t="s">
        <v>2944</v>
      </c>
      <c r="C3016" s="114">
        <v>9454</v>
      </c>
      <c r="D3016" s="147">
        <f t="shared" si="150"/>
        <v>0.94680516210259358</v>
      </c>
      <c r="E3016" s="148">
        <f t="shared" si="149"/>
        <v>9.910370583286214E-4</v>
      </c>
      <c r="F3016" s="148">
        <f t="shared" si="151"/>
        <v>0.4019883847186152</v>
      </c>
    </row>
    <row r="3017" spans="2:6" x14ac:dyDescent="0.2">
      <c r="B3017" s="115" t="s">
        <v>2645</v>
      </c>
      <c r="C3017" s="114">
        <v>9572</v>
      </c>
      <c r="D3017" s="147">
        <f t="shared" si="150"/>
        <v>0.94711992445701598</v>
      </c>
      <c r="E3017" s="148">
        <f t="shared" ref="E3017:E3080" si="152">C3017/$O$18</f>
        <v>1.0034066767845953E-3</v>
      </c>
      <c r="F3017" s="148">
        <f t="shared" si="151"/>
        <v>0.40299179139539981</v>
      </c>
    </row>
    <row r="3018" spans="2:6" x14ac:dyDescent="0.2">
      <c r="B3018" s="115" t="s">
        <v>2745</v>
      </c>
      <c r="C3018" s="114">
        <v>9600</v>
      </c>
      <c r="D3018" s="147">
        <f t="shared" ref="D3018:D3081" si="153">D3017+1/$L$18</f>
        <v>0.94743468681143839</v>
      </c>
      <c r="E3018" s="148">
        <f t="shared" si="152"/>
        <v>1.0063418404860128E-3</v>
      </c>
      <c r="F3018" s="148">
        <f t="shared" ref="F3018:F3081" si="154">F3017+E3018</f>
        <v>0.40399813323588585</v>
      </c>
    </row>
    <row r="3019" spans="2:6" x14ac:dyDescent="0.2">
      <c r="B3019" s="206" t="s">
        <v>1773</v>
      </c>
      <c r="C3019" s="205">
        <v>9635</v>
      </c>
      <c r="D3019" s="147">
        <f t="shared" si="153"/>
        <v>0.94774944916586079</v>
      </c>
      <c r="E3019" s="148">
        <f t="shared" si="152"/>
        <v>1.0100107951127846E-3</v>
      </c>
      <c r="F3019" s="148">
        <f t="shared" si="154"/>
        <v>0.40500814403099861</v>
      </c>
    </row>
    <row r="3020" spans="2:6" x14ac:dyDescent="0.2">
      <c r="B3020" s="115" t="s">
        <v>378</v>
      </c>
      <c r="C3020" s="114">
        <v>9778</v>
      </c>
      <c r="D3020" s="147">
        <f t="shared" si="153"/>
        <v>0.9480642115202832</v>
      </c>
      <c r="E3020" s="148">
        <f t="shared" si="152"/>
        <v>1.0250010954450243E-3</v>
      </c>
      <c r="F3020" s="148">
        <f t="shared" si="154"/>
        <v>0.40603314512644362</v>
      </c>
    </row>
    <row r="3021" spans="2:6" x14ac:dyDescent="0.2">
      <c r="B3021" s="115" t="s">
        <v>2134</v>
      </c>
      <c r="C3021" s="114">
        <v>9870</v>
      </c>
      <c r="D3021" s="147">
        <f t="shared" si="153"/>
        <v>0.9483789738747056</v>
      </c>
      <c r="E3021" s="148">
        <f t="shared" si="152"/>
        <v>1.0346452047496819E-3</v>
      </c>
      <c r="F3021" s="148">
        <f t="shared" si="154"/>
        <v>0.40706779033119328</v>
      </c>
    </row>
    <row r="3022" spans="2:6" x14ac:dyDescent="0.2">
      <c r="B3022" s="206" t="s">
        <v>1168</v>
      </c>
      <c r="C3022" s="205">
        <v>9950</v>
      </c>
      <c r="D3022" s="147">
        <f t="shared" si="153"/>
        <v>0.948693736229128</v>
      </c>
      <c r="E3022" s="148">
        <f t="shared" si="152"/>
        <v>1.0430313867537319E-3</v>
      </c>
      <c r="F3022" s="148">
        <f t="shared" si="154"/>
        <v>0.40811082171794699</v>
      </c>
    </row>
    <row r="3023" spans="2:6" x14ac:dyDescent="0.2">
      <c r="B3023" s="115" t="s">
        <v>1960</v>
      </c>
      <c r="C3023" s="114">
        <v>9974</v>
      </c>
      <c r="D3023" s="147">
        <f t="shared" si="153"/>
        <v>0.94900849858355041</v>
      </c>
      <c r="E3023" s="148">
        <f t="shared" si="152"/>
        <v>1.0455472413549471E-3</v>
      </c>
      <c r="F3023" s="148">
        <f t="shared" si="154"/>
        <v>0.40915636895930196</v>
      </c>
    </row>
    <row r="3024" spans="2:6" x14ac:dyDescent="0.2">
      <c r="B3024" s="206" t="s">
        <v>2461</v>
      </c>
      <c r="C3024" s="205">
        <v>10026</v>
      </c>
      <c r="D3024" s="147">
        <f t="shared" si="153"/>
        <v>0.94932326093797281</v>
      </c>
      <c r="E3024" s="148">
        <f t="shared" si="152"/>
        <v>1.0509982596575795E-3</v>
      </c>
      <c r="F3024" s="148">
        <f t="shared" si="154"/>
        <v>0.41020736721895956</v>
      </c>
    </row>
    <row r="3025" spans="2:6" x14ac:dyDescent="0.2">
      <c r="B3025" s="115" t="s">
        <v>1711</v>
      </c>
      <c r="C3025" s="114">
        <v>10062</v>
      </c>
      <c r="D3025" s="147">
        <f t="shared" si="153"/>
        <v>0.94963802329239522</v>
      </c>
      <c r="E3025" s="148">
        <f t="shared" si="152"/>
        <v>1.0547720415594022E-3</v>
      </c>
      <c r="F3025" s="148">
        <f t="shared" si="154"/>
        <v>0.41126213926051897</v>
      </c>
    </row>
    <row r="3026" spans="2:6" x14ac:dyDescent="0.2">
      <c r="B3026" s="206" t="s">
        <v>2997</v>
      </c>
      <c r="C3026" s="205">
        <v>10066</v>
      </c>
      <c r="D3026" s="147">
        <f t="shared" si="153"/>
        <v>0.94995278564681762</v>
      </c>
      <c r="E3026" s="148">
        <f t="shared" si="152"/>
        <v>1.0551913506596047E-3</v>
      </c>
      <c r="F3026" s="148">
        <f t="shared" si="154"/>
        <v>0.41231733061117859</v>
      </c>
    </row>
    <row r="3027" spans="2:6" x14ac:dyDescent="0.2">
      <c r="B3027" s="206" t="s">
        <v>2636</v>
      </c>
      <c r="C3027" s="205">
        <v>10194</v>
      </c>
      <c r="D3027" s="147">
        <f t="shared" si="153"/>
        <v>0.95026754800124003</v>
      </c>
      <c r="E3027" s="148">
        <f t="shared" si="152"/>
        <v>1.0686092418660848E-3</v>
      </c>
      <c r="F3027" s="148">
        <f t="shared" si="154"/>
        <v>0.41338593985304467</v>
      </c>
    </row>
    <row r="3028" spans="2:6" x14ac:dyDescent="0.2">
      <c r="B3028" s="115" t="s">
        <v>1538</v>
      </c>
      <c r="C3028" s="114">
        <v>10373</v>
      </c>
      <c r="D3028" s="147">
        <f t="shared" si="153"/>
        <v>0.95058231035566243</v>
      </c>
      <c r="E3028" s="148">
        <f t="shared" si="152"/>
        <v>1.0873733241001469E-3</v>
      </c>
      <c r="F3028" s="148">
        <f t="shared" si="154"/>
        <v>0.41447331317714481</v>
      </c>
    </row>
    <row r="3029" spans="2:6" x14ac:dyDescent="0.2">
      <c r="B3029" s="115" t="s">
        <v>790</v>
      </c>
      <c r="C3029" s="114">
        <v>10423</v>
      </c>
      <c r="D3029" s="147">
        <f t="shared" si="153"/>
        <v>0.95089707271008483</v>
      </c>
      <c r="E3029" s="148">
        <f t="shared" si="152"/>
        <v>1.0926146878526782E-3</v>
      </c>
      <c r="F3029" s="148">
        <f t="shared" si="154"/>
        <v>0.41556592786499746</v>
      </c>
    </row>
    <row r="3030" spans="2:6" x14ac:dyDescent="0.2">
      <c r="B3030" s="115" t="s">
        <v>323</v>
      </c>
      <c r="C3030" s="114">
        <v>10518</v>
      </c>
      <c r="D3030" s="147">
        <f t="shared" si="153"/>
        <v>0.95121183506450724</v>
      </c>
      <c r="E3030" s="148">
        <f t="shared" si="152"/>
        <v>1.1025732789824879E-3</v>
      </c>
      <c r="F3030" s="148">
        <f t="shared" si="154"/>
        <v>0.41666850114397996</v>
      </c>
    </row>
    <row r="3031" spans="2:6" x14ac:dyDescent="0.2">
      <c r="B3031" s="206" t="s">
        <v>442</v>
      </c>
      <c r="C3031" s="205">
        <v>10548</v>
      </c>
      <c r="D3031" s="147">
        <f t="shared" si="153"/>
        <v>0.95152659741892964</v>
      </c>
      <c r="E3031" s="148">
        <f t="shared" si="152"/>
        <v>1.1057180972340065E-3</v>
      </c>
      <c r="F3031" s="148">
        <f t="shared" si="154"/>
        <v>0.417774219241214</v>
      </c>
    </row>
    <row r="3032" spans="2:6" x14ac:dyDescent="0.2">
      <c r="B3032" s="206" t="s">
        <v>377</v>
      </c>
      <c r="C3032" s="205">
        <v>10628</v>
      </c>
      <c r="D3032" s="147">
        <f t="shared" si="153"/>
        <v>0.95184135977335205</v>
      </c>
      <c r="E3032" s="148">
        <f t="shared" si="152"/>
        <v>1.1141042792380566E-3</v>
      </c>
      <c r="F3032" s="148">
        <f t="shared" si="154"/>
        <v>0.41888832352045208</v>
      </c>
    </row>
    <row r="3033" spans="2:6" x14ac:dyDescent="0.2">
      <c r="B3033" s="115" t="s">
        <v>1803</v>
      </c>
      <c r="C3033" s="114">
        <v>10853</v>
      </c>
      <c r="D3033" s="147">
        <f t="shared" si="153"/>
        <v>0.95215612212777445</v>
      </c>
      <c r="E3033" s="148">
        <f t="shared" si="152"/>
        <v>1.1376904161244476E-3</v>
      </c>
      <c r="F3033" s="148">
        <f t="shared" si="154"/>
        <v>0.42002601393657651</v>
      </c>
    </row>
    <row r="3034" spans="2:6" x14ac:dyDescent="0.2">
      <c r="B3034" s="115" t="s">
        <v>745</v>
      </c>
      <c r="C3034" s="114">
        <v>10927</v>
      </c>
      <c r="D3034" s="147">
        <f t="shared" si="153"/>
        <v>0.95247088448219686</v>
      </c>
      <c r="E3034" s="148">
        <f t="shared" si="152"/>
        <v>1.1454476344781939E-3</v>
      </c>
      <c r="F3034" s="148">
        <f t="shared" si="154"/>
        <v>0.42117146157105473</v>
      </c>
    </row>
    <row r="3035" spans="2:6" x14ac:dyDescent="0.2">
      <c r="B3035" s="115" t="s">
        <v>2931</v>
      </c>
      <c r="C3035" s="114">
        <v>11056</v>
      </c>
      <c r="D3035" s="147">
        <f t="shared" si="153"/>
        <v>0.95278564683661926</v>
      </c>
      <c r="E3035" s="148">
        <f t="shared" si="152"/>
        <v>1.1589703529597247E-3</v>
      </c>
      <c r="F3035" s="148">
        <f t="shared" si="154"/>
        <v>0.42233043192401443</v>
      </c>
    </row>
    <row r="3036" spans="2:6" x14ac:dyDescent="0.2">
      <c r="B3036" s="206" t="s">
        <v>905</v>
      </c>
      <c r="C3036" s="205">
        <v>11086</v>
      </c>
      <c r="D3036" s="147">
        <f t="shared" si="153"/>
        <v>0.95310040919104166</v>
      </c>
      <c r="E3036" s="148">
        <f t="shared" si="152"/>
        <v>1.1621151712112436E-3</v>
      </c>
      <c r="F3036" s="148">
        <f t="shared" si="154"/>
        <v>0.42349254709522566</v>
      </c>
    </row>
    <row r="3037" spans="2:6" x14ac:dyDescent="0.2">
      <c r="B3037" s="115" t="s">
        <v>1205</v>
      </c>
      <c r="C3037" s="114">
        <v>11137</v>
      </c>
      <c r="D3037" s="147">
        <f t="shared" si="153"/>
        <v>0.95341517154546407</v>
      </c>
      <c r="E3037" s="148">
        <f t="shared" si="152"/>
        <v>1.1674613622388254E-3</v>
      </c>
      <c r="F3037" s="148">
        <f t="shared" si="154"/>
        <v>0.42466000845746449</v>
      </c>
    </row>
    <row r="3038" spans="2:6" x14ac:dyDescent="0.2">
      <c r="B3038" s="115" t="s">
        <v>1883</v>
      </c>
      <c r="C3038" s="114">
        <v>11175</v>
      </c>
      <c r="D3038" s="147">
        <f t="shared" si="153"/>
        <v>0.95372993389988647</v>
      </c>
      <c r="E3038" s="148">
        <f t="shared" si="152"/>
        <v>1.1714447986907492E-3</v>
      </c>
      <c r="F3038" s="148">
        <f t="shared" si="154"/>
        <v>0.42583145325615523</v>
      </c>
    </row>
    <row r="3039" spans="2:6" x14ac:dyDescent="0.2">
      <c r="B3039" s="115" t="s">
        <v>821</v>
      </c>
      <c r="C3039" s="114">
        <v>11185</v>
      </c>
      <c r="D3039" s="147">
        <f t="shared" si="153"/>
        <v>0.95404469625430888</v>
      </c>
      <c r="E3039" s="148">
        <f t="shared" si="152"/>
        <v>1.1724930714412556E-3</v>
      </c>
      <c r="F3039" s="148">
        <f t="shared" si="154"/>
        <v>0.42700394632759647</v>
      </c>
    </row>
    <row r="3040" spans="2:6" x14ac:dyDescent="0.2">
      <c r="B3040" s="115" t="s">
        <v>2866</v>
      </c>
      <c r="C3040" s="114">
        <v>11248</v>
      </c>
      <c r="D3040" s="147">
        <f t="shared" si="153"/>
        <v>0.95435945860873128</v>
      </c>
      <c r="E3040" s="148">
        <f t="shared" si="152"/>
        <v>1.179097189769445E-3</v>
      </c>
      <c r="F3040" s="148">
        <f t="shared" si="154"/>
        <v>0.42818304351736591</v>
      </c>
    </row>
    <row r="3041" spans="2:6" x14ac:dyDescent="0.2">
      <c r="B3041" s="115" t="s">
        <v>295</v>
      </c>
      <c r="C3041" s="114">
        <v>11253</v>
      </c>
      <c r="D3041" s="147">
        <f t="shared" si="153"/>
        <v>0.95467422096315369</v>
      </c>
      <c r="E3041" s="148">
        <f t="shared" si="152"/>
        <v>1.1796213261446981E-3</v>
      </c>
      <c r="F3041" s="148">
        <f t="shared" si="154"/>
        <v>0.4293626648435106</v>
      </c>
    </row>
    <row r="3042" spans="2:6" x14ac:dyDescent="0.2">
      <c r="B3042" s="115" t="s">
        <v>2570</v>
      </c>
      <c r="C3042" s="114">
        <v>11272</v>
      </c>
      <c r="D3042" s="147">
        <f t="shared" si="153"/>
        <v>0.95498898331757609</v>
      </c>
      <c r="E3042" s="148">
        <f t="shared" si="152"/>
        <v>1.1816130443706601E-3</v>
      </c>
      <c r="F3042" s="148">
        <f t="shared" si="154"/>
        <v>0.43054427788788124</v>
      </c>
    </row>
    <row r="3043" spans="2:6" x14ac:dyDescent="0.2">
      <c r="B3043" s="115" t="s">
        <v>803</v>
      </c>
      <c r="C3043" s="114">
        <v>11396</v>
      </c>
      <c r="D3043" s="147">
        <f t="shared" si="153"/>
        <v>0.95530374567199849</v>
      </c>
      <c r="E3043" s="148">
        <f t="shared" si="152"/>
        <v>1.1946116264769378E-3</v>
      </c>
      <c r="F3043" s="148">
        <f t="shared" si="154"/>
        <v>0.43173888951435818</v>
      </c>
    </row>
    <row r="3044" spans="2:6" x14ac:dyDescent="0.2">
      <c r="B3044" s="206" t="s">
        <v>2060</v>
      </c>
      <c r="C3044" s="205">
        <v>11556</v>
      </c>
      <c r="D3044" s="147">
        <f t="shared" si="153"/>
        <v>0.9556185080264209</v>
      </c>
      <c r="E3044" s="148">
        <f t="shared" si="152"/>
        <v>1.2113839904850379E-3</v>
      </c>
      <c r="F3044" s="148">
        <f t="shared" si="154"/>
        <v>0.43295027350484322</v>
      </c>
    </row>
    <row r="3045" spans="2:6" x14ac:dyDescent="0.2">
      <c r="B3045" s="115" t="s">
        <v>1699</v>
      </c>
      <c r="C3045" s="114">
        <v>11654</v>
      </c>
      <c r="D3045" s="147">
        <f t="shared" si="153"/>
        <v>0.9559332703808433</v>
      </c>
      <c r="E3045" s="148">
        <f t="shared" si="152"/>
        <v>1.2216570634399993E-3</v>
      </c>
      <c r="F3045" s="148">
        <f t="shared" si="154"/>
        <v>0.43417193056828324</v>
      </c>
    </row>
    <row r="3046" spans="2:6" x14ac:dyDescent="0.2">
      <c r="B3046" s="115" t="s">
        <v>369</v>
      </c>
      <c r="C3046" s="114">
        <v>11654</v>
      </c>
      <c r="D3046" s="147">
        <f t="shared" si="153"/>
        <v>0.95624803273526571</v>
      </c>
      <c r="E3046" s="148">
        <f t="shared" si="152"/>
        <v>1.2216570634399993E-3</v>
      </c>
      <c r="F3046" s="148">
        <f t="shared" si="154"/>
        <v>0.43539358763172326</v>
      </c>
    </row>
    <row r="3047" spans="2:6" x14ac:dyDescent="0.2">
      <c r="B3047" s="115" t="s">
        <v>1654</v>
      </c>
      <c r="C3047" s="114">
        <v>11662</v>
      </c>
      <c r="D3047" s="147">
        <f t="shared" si="153"/>
        <v>0.95656279508968811</v>
      </c>
      <c r="E3047" s="148">
        <f t="shared" si="152"/>
        <v>1.2224956816404044E-3</v>
      </c>
      <c r="F3047" s="148">
        <f t="shared" si="154"/>
        <v>0.43661608331336366</v>
      </c>
    </row>
    <row r="3048" spans="2:6" x14ac:dyDescent="0.2">
      <c r="B3048" s="115" t="s">
        <v>2588</v>
      </c>
      <c r="C3048" s="114">
        <v>11693</v>
      </c>
      <c r="D3048" s="147">
        <f t="shared" si="153"/>
        <v>0.95687755744411052</v>
      </c>
      <c r="E3048" s="148">
        <f t="shared" si="152"/>
        <v>1.2257453271669737E-3</v>
      </c>
      <c r="F3048" s="148">
        <f t="shared" si="154"/>
        <v>0.43784182864053062</v>
      </c>
    </row>
    <row r="3049" spans="2:6" x14ac:dyDescent="0.2">
      <c r="B3049" s="115" t="s">
        <v>2815</v>
      </c>
      <c r="C3049" s="114">
        <v>11788</v>
      </c>
      <c r="D3049" s="147">
        <f t="shared" si="153"/>
        <v>0.95719231979853292</v>
      </c>
      <c r="E3049" s="148">
        <f t="shared" si="152"/>
        <v>1.2357039182967831E-3</v>
      </c>
      <c r="F3049" s="148">
        <f t="shared" si="154"/>
        <v>0.43907753255882742</v>
      </c>
    </row>
    <row r="3050" spans="2:6" x14ac:dyDescent="0.2">
      <c r="B3050" s="115" t="s">
        <v>2259</v>
      </c>
      <c r="C3050" s="114">
        <v>11828</v>
      </c>
      <c r="D3050" s="147">
        <f t="shared" si="153"/>
        <v>0.95750708215295532</v>
      </c>
      <c r="E3050" s="148">
        <f t="shared" si="152"/>
        <v>1.2398970092988083E-3</v>
      </c>
      <c r="F3050" s="148">
        <f t="shared" si="154"/>
        <v>0.44031742956812625</v>
      </c>
    </row>
    <row r="3051" spans="2:6" x14ac:dyDescent="0.2">
      <c r="B3051" s="206" t="s">
        <v>1334</v>
      </c>
      <c r="C3051" s="205">
        <v>11874</v>
      </c>
      <c r="D3051" s="147">
        <f t="shared" si="153"/>
        <v>0.95782184450737773</v>
      </c>
      <c r="E3051" s="148">
        <f t="shared" si="152"/>
        <v>1.2447190639511372E-3</v>
      </c>
      <c r="F3051" s="148">
        <f t="shared" si="154"/>
        <v>0.44156214863207738</v>
      </c>
    </row>
    <row r="3052" spans="2:6" x14ac:dyDescent="0.2">
      <c r="B3052" s="115" t="s">
        <v>999</v>
      </c>
      <c r="C3052" s="114">
        <v>11904</v>
      </c>
      <c r="D3052" s="147">
        <f t="shared" si="153"/>
        <v>0.95813660686180013</v>
      </c>
      <c r="E3052" s="148">
        <f t="shared" si="152"/>
        <v>1.2478638822026559E-3</v>
      </c>
      <c r="F3052" s="148">
        <f t="shared" si="154"/>
        <v>0.44281001251428004</v>
      </c>
    </row>
    <row r="3053" spans="2:6" x14ac:dyDescent="0.2">
      <c r="B3053" s="115" t="s">
        <v>2205</v>
      </c>
      <c r="C3053" s="114">
        <v>12084</v>
      </c>
      <c r="D3053" s="147">
        <f t="shared" si="153"/>
        <v>0.95845136921622254</v>
      </c>
      <c r="E3053" s="148">
        <f t="shared" si="152"/>
        <v>1.2667327917117686E-3</v>
      </c>
      <c r="F3053" s="148">
        <f t="shared" si="154"/>
        <v>0.44407674530599178</v>
      </c>
    </row>
    <row r="3054" spans="2:6" x14ac:dyDescent="0.2">
      <c r="B3054" s="206" t="s">
        <v>2773</v>
      </c>
      <c r="C3054" s="205">
        <v>12088</v>
      </c>
      <c r="D3054" s="147">
        <f t="shared" si="153"/>
        <v>0.95876613157064494</v>
      </c>
      <c r="E3054" s="148">
        <f t="shared" si="152"/>
        <v>1.2671521008119711E-3</v>
      </c>
      <c r="F3054" s="148">
        <f t="shared" si="154"/>
        <v>0.44534389740680375</v>
      </c>
    </row>
    <row r="3055" spans="2:6" x14ac:dyDescent="0.2">
      <c r="B3055" s="115" t="s">
        <v>269</v>
      </c>
      <c r="C3055" s="114">
        <v>12129</v>
      </c>
      <c r="D3055" s="147">
        <f t="shared" si="153"/>
        <v>0.95908089392506735</v>
      </c>
      <c r="E3055" s="148">
        <f t="shared" si="152"/>
        <v>1.2714500190890469E-3</v>
      </c>
      <c r="F3055" s="148">
        <f t="shared" si="154"/>
        <v>0.44661534742589282</v>
      </c>
    </row>
    <row r="3056" spans="2:6" x14ac:dyDescent="0.2">
      <c r="B3056" s="115" t="s">
        <v>338</v>
      </c>
      <c r="C3056" s="114">
        <v>12238</v>
      </c>
      <c r="D3056" s="147">
        <f t="shared" si="153"/>
        <v>0.95939565627948975</v>
      </c>
      <c r="E3056" s="148">
        <f t="shared" si="152"/>
        <v>1.282876192069565E-3</v>
      </c>
      <c r="F3056" s="148">
        <f t="shared" si="154"/>
        <v>0.44789822361796239</v>
      </c>
    </row>
    <row r="3057" spans="2:6" x14ac:dyDescent="0.2">
      <c r="B3057" s="206" t="s">
        <v>1585</v>
      </c>
      <c r="C3057" s="205">
        <v>12303</v>
      </c>
      <c r="D3057" s="147">
        <f t="shared" si="153"/>
        <v>0.95971041863391215</v>
      </c>
      <c r="E3057" s="148">
        <f t="shared" si="152"/>
        <v>1.2896899649478557E-3</v>
      </c>
      <c r="F3057" s="148">
        <f t="shared" si="154"/>
        <v>0.44918791358291027</v>
      </c>
    </row>
    <row r="3058" spans="2:6" x14ac:dyDescent="0.2">
      <c r="B3058" s="115" t="s">
        <v>778</v>
      </c>
      <c r="C3058" s="114">
        <v>12653</v>
      </c>
      <c r="D3058" s="147">
        <f t="shared" si="153"/>
        <v>0.96002518098833456</v>
      </c>
      <c r="E3058" s="148">
        <f t="shared" si="152"/>
        <v>1.326379511215575E-3</v>
      </c>
      <c r="F3058" s="148">
        <f t="shared" si="154"/>
        <v>0.45051429309412583</v>
      </c>
    </row>
    <row r="3059" spans="2:6" x14ac:dyDescent="0.2">
      <c r="B3059" s="115" t="s">
        <v>234</v>
      </c>
      <c r="C3059" s="114">
        <v>12693</v>
      </c>
      <c r="D3059" s="147">
        <f t="shared" si="153"/>
        <v>0.96033994334275696</v>
      </c>
      <c r="E3059" s="148">
        <f t="shared" si="152"/>
        <v>1.3305726022176001E-3</v>
      </c>
      <c r="F3059" s="148">
        <f t="shared" si="154"/>
        <v>0.45184486569634341</v>
      </c>
    </row>
    <row r="3060" spans="2:6" x14ac:dyDescent="0.2">
      <c r="B3060" s="206" t="s">
        <v>2988</v>
      </c>
      <c r="C3060" s="205">
        <v>12906</v>
      </c>
      <c r="D3060" s="147">
        <f t="shared" si="153"/>
        <v>0.96065470569717937</v>
      </c>
      <c r="E3060" s="148">
        <f t="shared" si="152"/>
        <v>1.3529008118033834E-3</v>
      </c>
      <c r="F3060" s="148">
        <f t="shared" si="154"/>
        <v>0.4531977665081468</v>
      </c>
    </row>
    <row r="3061" spans="2:6" x14ac:dyDescent="0.2">
      <c r="B3061" s="115" t="s">
        <v>925</v>
      </c>
      <c r="C3061" s="114">
        <v>12999</v>
      </c>
      <c r="D3061" s="147">
        <f t="shared" si="153"/>
        <v>0.96096946805160177</v>
      </c>
      <c r="E3061" s="148">
        <f t="shared" si="152"/>
        <v>1.3626497483830917E-3</v>
      </c>
      <c r="F3061" s="148">
        <f t="shared" si="154"/>
        <v>0.45456041625652988</v>
      </c>
    </row>
    <row r="3062" spans="2:6" x14ac:dyDescent="0.2">
      <c r="B3062" s="115" t="s">
        <v>2215</v>
      </c>
      <c r="C3062" s="114">
        <v>13104</v>
      </c>
      <c r="D3062" s="147">
        <f t="shared" si="153"/>
        <v>0.96128423040602418</v>
      </c>
      <c r="E3062" s="148">
        <f t="shared" si="152"/>
        <v>1.3736566122634075E-3</v>
      </c>
      <c r="F3062" s="148">
        <f t="shared" si="154"/>
        <v>0.45593407286879328</v>
      </c>
    </row>
    <row r="3063" spans="2:6" x14ac:dyDescent="0.2">
      <c r="B3063" s="115" t="s">
        <v>1807</v>
      </c>
      <c r="C3063" s="114">
        <v>13106</v>
      </c>
      <c r="D3063" s="147">
        <f t="shared" si="153"/>
        <v>0.96159899276044658</v>
      </c>
      <c r="E3063" s="148">
        <f t="shared" si="152"/>
        <v>1.3738662668135086E-3</v>
      </c>
      <c r="F3063" s="148">
        <f t="shared" si="154"/>
        <v>0.4573079391356068</v>
      </c>
    </row>
    <row r="3064" spans="2:6" x14ac:dyDescent="0.2">
      <c r="B3064" s="206" t="s">
        <v>1405</v>
      </c>
      <c r="C3064" s="205">
        <v>13256</v>
      </c>
      <c r="D3064" s="147">
        <f t="shared" si="153"/>
        <v>0.96191375511486898</v>
      </c>
      <c r="E3064" s="148">
        <f t="shared" si="152"/>
        <v>1.3895903580711027E-3</v>
      </c>
      <c r="F3064" s="148">
        <f t="shared" si="154"/>
        <v>0.45869752949367792</v>
      </c>
    </row>
    <row r="3065" spans="2:6" x14ac:dyDescent="0.2">
      <c r="B3065" s="115" t="s">
        <v>1779</v>
      </c>
      <c r="C3065" s="114">
        <v>13554</v>
      </c>
      <c r="D3065" s="147">
        <f t="shared" si="153"/>
        <v>0.96222851746929139</v>
      </c>
      <c r="E3065" s="148">
        <f t="shared" si="152"/>
        <v>1.4208288860361894E-3</v>
      </c>
      <c r="F3065" s="148">
        <f t="shared" si="154"/>
        <v>0.4601183583797141</v>
      </c>
    </row>
    <row r="3066" spans="2:6" x14ac:dyDescent="0.2">
      <c r="B3066" s="115" t="s">
        <v>3002</v>
      </c>
      <c r="C3066" s="114">
        <v>13706</v>
      </c>
      <c r="D3066" s="147">
        <f t="shared" si="153"/>
        <v>0.96254327982371379</v>
      </c>
      <c r="E3066" s="148">
        <f t="shared" si="152"/>
        <v>1.4367626318438846E-3</v>
      </c>
      <c r="F3066" s="148">
        <f t="shared" si="154"/>
        <v>0.46155512101155799</v>
      </c>
    </row>
    <row r="3067" spans="2:6" x14ac:dyDescent="0.2">
      <c r="B3067" s="115" t="s">
        <v>2323</v>
      </c>
      <c r="C3067" s="114">
        <v>13811</v>
      </c>
      <c r="D3067" s="147">
        <f t="shared" si="153"/>
        <v>0.9628580421781362</v>
      </c>
      <c r="E3067" s="148">
        <f t="shared" si="152"/>
        <v>1.4477694957242002E-3</v>
      </c>
      <c r="F3067" s="148">
        <f t="shared" si="154"/>
        <v>0.46300289050728222</v>
      </c>
    </row>
    <row r="3068" spans="2:6" x14ac:dyDescent="0.2">
      <c r="B3068" s="115" t="s">
        <v>462</v>
      </c>
      <c r="C3068" s="114">
        <v>13829</v>
      </c>
      <c r="D3068" s="147">
        <f t="shared" si="153"/>
        <v>0.9631728045325586</v>
      </c>
      <c r="E3068" s="148">
        <f t="shared" si="152"/>
        <v>1.4496563866751115E-3</v>
      </c>
      <c r="F3068" s="148">
        <f t="shared" si="154"/>
        <v>0.46445254689395732</v>
      </c>
    </row>
    <row r="3069" spans="2:6" x14ac:dyDescent="0.2">
      <c r="B3069" s="115" t="s">
        <v>782</v>
      </c>
      <c r="C3069" s="114">
        <v>13919</v>
      </c>
      <c r="D3069" s="147">
        <f t="shared" si="153"/>
        <v>0.96348756688698101</v>
      </c>
      <c r="E3069" s="148">
        <f t="shared" si="152"/>
        <v>1.4590908414296678E-3</v>
      </c>
      <c r="F3069" s="148">
        <f t="shared" si="154"/>
        <v>0.46591163773538696</v>
      </c>
    </row>
    <row r="3070" spans="2:6" x14ac:dyDescent="0.2">
      <c r="B3070" s="115" t="s">
        <v>2886</v>
      </c>
      <c r="C3070" s="114">
        <v>13924</v>
      </c>
      <c r="D3070" s="147">
        <f t="shared" si="153"/>
        <v>0.96380232924140341</v>
      </c>
      <c r="E3070" s="148">
        <f t="shared" si="152"/>
        <v>1.4596149778049212E-3</v>
      </c>
      <c r="F3070" s="148">
        <f t="shared" si="154"/>
        <v>0.46737125271319191</v>
      </c>
    </row>
    <row r="3071" spans="2:6" x14ac:dyDescent="0.2">
      <c r="B3071" s="115" t="s">
        <v>3126</v>
      </c>
      <c r="C3071" s="114">
        <v>13950</v>
      </c>
      <c r="D3071" s="147">
        <f t="shared" si="153"/>
        <v>0.96411709159582581</v>
      </c>
      <c r="E3071" s="148">
        <f t="shared" si="152"/>
        <v>1.4623404869562374E-3</v>
      </c>
      <c r="F3071" s="148">
        <f t="shared" si="154"/>
        <v>0.46883359320014817</v>
      </c>
    </row>
    <row r="3072" spans="2:6" x14ac:dyDescent="0.2">
      <c r="B3072" s="115" t="s">
        <v>341</v>
      </c>
      <c r="C3072" s="114">
        <v>14060</v>
      </c>
      <c r="D3072" s="147">
        <f t="shared" si="153"/>
        <v>0.96443185395024822</v>
      </c>
      <c r="E3072" s="148">
        <f t="shared" si="152"/>
        <v>1.4738714872118061E-3</v>
      </c>
      <c r="F3072" s="148">
        <f t="shared" si="154"/>
        <v>0.47030746468735996</v>
      </c>
    </row>
    <row r="3073" spans="2:6" x14ac:dyDescent="0.2">
      <c r="B3073" s="206" t="s">
        <v>2213</v>
      </c>
      <c r="C3073" s="205">
        <v>14220</v>
      </c>
      <c r="D3073" s="147">
        <f t="shared" si="153"/>
        <v>0.96474661630467062</v>
      </c>
      <c r="E3073" s="148">
        <f t="shared" si="152"/>
        <v>1.4906438512199065E-3</v>
      </c>
      <c r="F3073" s="148">
        <f t="shared" si="154"/>
        <v>0.47179810853857984</v>
      </c>
    </row>
    <row r="3074" spans="2:6" x14ac:dyDescent="0.2">
      <c r="B3074" s="115" t="s">
        <v>1986</v>
      </c>
      <c r="C3074" s="114">
        <v>14257</v>
      </c>
      <c r="D3074" s="147">
        <f t="shared" si="153"/>
        <v>0.96506137865909303</v>
      </c>
      <c r="E3074" s="148">
        <f t="shared" si="152"/>
        <v>1.4945224603967796E-3</v>
      </c>
      <c r="F3074" s="148">
        <f t="shared" si="154"/>
        <v>0.47329263099897662</v>
      </c>
    </row>
    <row r="3075" spans="2:6" x14ac:dyDescent="0.2">
      <c r="B3075" s="115" t="s">
        <v>627</v>
      </c>
      <c r="C3075" s="114">
        <v>14310</v>
      </c>
      <c r="D3075" s="147">
        <f t="shared" si="153"/>
        <v>0.96537614101351543</v>
      </c>
      <c r="E3075" s="148">
        <f t="shared" si="152"/>
        <v>1.5000783059744627E-3</v>
      </c>
      <c r="F3075" s="148">
        <f t="shared" si="154"/>
        <v>0.4747927093049511</v>
      </c>
    </row>
    <row r="3076" spans="2:6" x14ac:dyDescent="0.2">
      <c r="B3076" s="115" t="s">
        <v>993</v>
      </c>
      <c r="C3076" s="114">
        <v>14547</v>
      </c>
      <c r="D3076" s="147">
        <f t="shared" si="153"/>
        <v>0.96569090336793784</v>
      </c>
      <c r="E3076" s="148">
        <f t="shared" si="152"/>
        <v>1.5249223701614613E-3</v>
      </c>
      <c r="F3076" s="148">
        <f t="shared" si="154"/>
        <v>0.47631763167511254</v>
      </c>
    </row>
    <row r="3077" spans="2:6" x14ac:dyDescent="0.2">
      <c r="B3077" s="115" t="s">
        <v>3151</v>
      </c>
      <c r="C3077" s="114">
        <v>14603</v>
      </c>
      <c r="D3077" s="147">
        <f t="shared" si="153"/>
        <v>0.96600566572236024</v>
      </c>
      <c r="E3077" s="148">
        <f t="shared" si="152"/>
        <v>1.5307926975642963E-3</v>
      </c>
      <c r="F3077" s="148">
        <f t="shared" si="154"/>
        <v>0.47784842437267683</v>
      </c>
    </row>
    <row r="3078" spans="2:6" x14ac:dyDescent="0.2">
      <c r="B3078" s="115" t="s">
        <v>1771</v>
      </c>
      <c r="C3078" s="114">
        <v>14616</v>
      </c>
      <c r="D3078" s="147">
        <f t="shared" si="153"/>
        <v>0.96632042807678264</v>
      </c>
      <c r="E3078" s="148">
        <f t="shared" si="152"/>
        <v>1.5321554521399545E-3</v>
      </c>
      <c r="F3078" s="148">
        <f t="shared" si="154"/>
        <v>0.4793805798248168</v>
      </c>
    </row>
    <row r="3079" spans="2:6" x14ac:dyDescent="0.2">
      <c r="B3079" s="115" t="s">
        <v>1514</v>
      </c>
      <c r="C3079" s="114">
        <v>14848</v>
      </c>
      <c r="D3079" s="147">
        <f t="shared" si="153"/>
        <v>0.96663519043120505</v>
      </c>
      <c r="E3079" s="148">
        <f t="shared" si="152"/>
        <v>1.5564753799516997E-3</v>
      </c>
      <c r="F3079" s="148">
        <f t="shared" si="154"/>
        <v>0.48093705520476848</v>
      </c>
    </row>
    <row r="3080" spans="2:6" x14ac:dyDescent="0.2">
      <c r="B3080" s="206" t="s">
        <v>291</v>
      </c>
      <c r="C3080" s="205">
        <v>14948</v>
      </c>
      <c r="D3080" s="147">
        <f t="shared" si="153"/>
        <v>0.96694995278562745</v>
      </c>
      <c r="E3080" s="148">
        <f t="shared" si="152"/>
        <v>1.5669581074567625E-3</v>
      </c>
      <c r="F3080" s="148">
        <f t="shared" si="154"/>
        <v>0.48250401331222526</v>
      </c>
    </row>
    <row r="3081" spans="2:6" x14ac:dyDescent="0.2">
      <c r="B3081" s="115" t="s">
        <v>1448</v>
      </c>
      <c r="C3081" s="114">
        <v>15257</v>
      </c>
      <c r="D3081" s="147">
        <f t="shared" si="153"/>
        <v>0.96726471514004986</v>
      </c>
      <c r="E3081" s="148">
        <f t="shared" ref="E3081:E3144" si="155">C3081/$O$18</f>
        <v>1.599349735447406E-3</v>
      </c>
      <c r="F3081" s="148">
        <f t="shared" si="154"/>
        <v>0.48410336304767265</v>
      </c>
    </row>
    <row r="3082" spans="2:6" x14ac:dyDescent="0.2">
      <c r="B3082" s="206" t="s">
        <v>2650</v>
      </c>
      <c r="C3082" s="205">
        <v>15317</v>
      </c>
      <c r="D3082" s="147">
        <f t="shared" ref="D3082:D3145" si="156">D3081+1/$L$18</f>
        <v>0.96757947749447226</v>
      </c>
      <c r="E3082" s="148">
        <f t="shared" si="155"/>
        <v>1.6056393719504436E-3</v>
      </c>
      <c r="F3082" s="148">
        <f t="shared" ref="F3082:F3145" si="157">F3081+E3082</f>
        <v>0.48570900241962311</v>
      </c>
    </row>
    <row r="3083" spans="2:6" x14ac:dyDescent="0.2">
      <c r="B3083" s="115" t="s">
        <v>1460</v>
      </c>
      <c r="C3083" s="114">
        <v>15413</v>
      </c>
      <c r="D3083" s="147">
        <f t="shared" si="156"/>
        <v>0.96789423984889467</v>
      </c>
      <c r="E3083" s="148">
        <f t="shared" si="155"/>
        <v>1.6157027903553037E-3</v>
      </c>
      <c r="F3083" s="148">
        <f t="shared" si="157"/>
        <v>0.48732470520997839</v>
      </c>
    </row>
    <row r="3084" spans="2:6" x14ac:dyDescent="0.2">
      <c r="B3084" s="115" t="s">
        <v>2868</v>
      </c>
      <c r="C3084" s="114">
        <v>15444</v>
      </c>
      <c r="D3084" s="147">
        <f t="shared" si="156"/>
        <v>0.96820900220331707</v>
      </c>
      <c r="E3084" s="148">
        <f t="shared" si="155"/>
        <v>1.618952435881873E-3</v>
      </c>
      <c r="F3084" s="148">
        <f t="shared" si="157"/>
        <v>0.48894365764586029</v>
      </c>
    </row>
    <row r="3085" spans="2:6" x14ac:dyDescent="0.2">
      <c r="B3085" s="206" t="s">
        <v>2772</v>
      </c>
      <c r="C3085" s="205">
        <v>15950</v>
      </c>
      <c r="D3085" s="147">
        <f t="shared" si="156"/>
        <v>0.96852376455773947</v>
      </c>
      <c r="E3085" s="148">
        <f t="shared" si="155"/>
        <v>1.67199503705749E-3</v>
      </c>
      <c r="F3085" s="148">
        <f t="shared" si="157"/>
        <v>0.49061565268291779</v>
      </c>
    </row>
    <row r="3086" spans="2:6" x14ac:dyDescent="0.2">
      <c r="B3086" s="115" t="s">
        <v>2214</v>
      </c>
      <c r="C3086" s="114">
        <v>15986</v>
      </c>
      <c r="D3086" s="147">
        <f t="shared" si="156"/>
        <v>0.96883852691216188</v>
      </c>
      <c r="E3086" s="148">
        <f t="shared" si="155"/>
        <v>1.6757688189593125E-3</v>
      </c>
      <c r="F3086" s="148">
        <f t="shared" si="157"/>
        <v>0.4922914215018771</v>
      </c>
    </row>
    <row r="3087" spans="2:6" x14ac:dyDescent="0.2">
      <c r="B3087" s="115" t="s">
        <v>2575</v>
      </c>
      <c r="C3087" s="114">
        <v>16752</v>
      </c>
      <c r="D3087" s="147">
        <f t="shared" si="156"/>
        <v>0.96915328926658428</v>
      </c>
      <c r="E3087" s="148">
        <f t="shared" si="155"/>
        <v>1.7560665116480923E-3</v>
      </c>
      <c r="F3087" s="148">
        <f t="shared" si="157"/>
        <v>0.49404748801352522</v>
      </c>
    </row>
    <row r="3088" spans="2:6" x14ac:dyDescent="0.2">
      <c r="B3088" s="206" t="s">
        <v>1419</v>
      </c>
      <c r="C3088" s="205">
        <v>17054</v>
      </c>
      <c r="D3088" s="147">
        <f t="shared" si="156"/>
        <v>0.96946805162100669</v>
      </c>
      <c r="E3088" s="148">
        <f t="shared" si="155"/>
        <v>1.7877243487133814E-3</v>
      </c>
      <c r="F3088" s="148">
        <f t="shared" si="157"/>
        <v>0.4958352123622386</v>
      </c>
    </row>
    <row r="3089" spans="2:6" x14ac:dyDescent="0.2">
      <c r="B3089" s="115" t="s">
        <v>2965</v>
      </c>
      <c r="C3089" s="114">
        <v>17058</v>
      </c>
      <c r="D3089" s="147">
        <f t="shared" si="156"/>
        <v>0.96978281397542909</v>
      </c>
      <c r="E3089" s="148">
        <f t="shared" si="155"/>
        <v>1.7881436578135841E-3</v>
      </c>
      <c r="F3089" s="148">
        <f t="shared" si="157"/>
        <v>0.4976233560200522</v>
      </c>
    </row>
    <row r="3090" spans="2:6" x14ac:dyDescent="0.2">
      <c r="B3090" s="115" t="s">
        <v>2913</v>
      </c>
      <c r="C3090" s="114">
        <v>17282</v>
      </c>
      <c r="D3090" s="147">
        <f t="shared" si="156"/>
        <v>0.9700975763298515</v>
      </c>
      <c r="E3090" s="148">
        <f t="shared" si="155"/>
        <v>1.8116249674249242E-3</v>
      </c>
      <c r="F3090" s="148">
        <f t="shared" si="157"/>
        <v>0.49943498098747713</v>
      </c>
    </row>
    <row r="3091" spans="2:6" x14ac:dyDescent="0.2">
      <c r="B3091" s="115" t="s">
        <v>1039</v>
      </c>
      <c r="C3091" s="114">
        <v>17368</v>
      </c>
      <c r="D3091" s="147">
        <f t="shared" si="156"/>
        <v>0.9704123386842739</v>
      </c>
      <c r="E3091" s="148">
        <f t="shared" si="155"/>
        <v>1.820640113079278E-3</v>
      </c>
      <c r="F3091" s="148">
        <f t="shared" si="157"/>
        <v>0.50125562110055644</v>
      </c>
    </row>
    <row r="3092" spans="2:6" x14ac:dyDescent="0.2">
      <c r="B3092" s="206" t="s">
        <v>1869</v>
      </c>
      <c r="C3092" s="205">
        <v>17455</v>
      </c>
      <c r="D3092" s="147">
        <f t="shared" si="156"/>
        <v>0.97072710103869631</v>
      </c>
      <c r="E3092" s="148">
        <f t="shared" si="155"/>
        <v>1.8297600860086825E-3</v>
      </c>
      <c r="F3092" s="148">
        <f t="shared" si="157"/>
        <v>0.50308538118656509</v>
      </c>
    </row>
    <row r="3093" spans="2:6" x14ac:dyDescent="0.2">
      <c r="B3093" s="115" t="s">
        <v>1135</v>
      </c>
      <c r="C3093" s="114">
        <v>17510</v>
      </c>
      <c r="D3093" s="147">
        <f t="shared" si="156"/>
        <v>0.97104186339311871</v>
      </c>
      <c r="E3093" s="148">
        <f t="shared" si="155"/>
        <v>1.835525586136467E-3</v>
      </c>
      <c r="F3093" s="148">
        <f t="shared" si="157"/>
        <v>0.50492090677270152</v>
      </c>
    </row>
    <row r="3094" spans="2:6" x14ac:dyDescent="0.2">
      <c r="B3094" s="115" t="s">
        <v>2627</v>
      </c>
      <c r="C3094" s="114">
        <v>17670</v>
      </c>
      <c r="D3094" s="147">
        <f t="shared" si="156"/>
        <v>0.97135662574754111</v>
      </c>
      <c r="E3094" s="148">
        <f t="shared" si="155"/>
        <v>1.8522979501445673E-3</v>
      </c>
      <c r="F3094" s="148">
        <f t="shared" si="157"/>
        <v>0.50677320472284604</v>
      </c>
    </row>
    <row r="3095" spans="2:6" x14ac:dyDescent="0.2">
      <c r="B3095" s="206" t="s">
        <v>1089</v>
      </c>
      <c r="C3095" s="205">
        <v>17873</v>
      </c>
      <c r="D3095" s="147">
        <f t="shared" si="156"/>
        <v>0.97167138810196352</v>
      </c>
      <c r="E3095" s="148">
        <f t="shared" si="155"/>
        <v>1.8735778869798444E-3</v>
      </c>
      <c r="F3095" s="148">
        <f t="shared" si="157"/>
        <v>0.50864678260982588</v>
      </c>
    </row>
    <row r="3096" spans="2:6" x14ac:dyDescent="0.2">
      <c r="B3096" s="115" t="s">
        <v>1948</v>
      </c>
      <c r="C3096" s="114">
        <v>18022</v>
      </c>
      <c r="D3096" s="147">
        <f t="shared" si="156"/>
        <v>0.97198615045638592</v>
      </c>
      <c r="E3096" s="148">
        <f t="shared" si="155"/>
        <v>1.8891971509623878E-3</v>
      </c>
      <c r="F3096" s="148">
        <f t="shared" si="157"/>
        <v>0.51053597976078824</v>
      </c>
    </row>
    <row r="3097" spans="2:6" x14ac:dyDescent="0.2">
      <c r="B3097" s="115" t="s">
        <v>615</v>
      </c>
      <c r="C3097" s="114">
        <v>18115</v>
      </c>
      <c r="D3097" s="147">
        <f t="shared" si="156"/>
        <v>0.97230091281080833</v>
      </c>
      <c r="E3097" s="148">
        <f t="shared" si="155"/>
        <v>1.8989460875420961E-3</v>
      </c>
      <c r="F3097" s="148">
        <f t="shared" si="157"/>
        <v>0.51243492584833028</v>
      </c>
    </row>
    <row r="3098" spans="2:6" x14ac:dyDescent="0.2">
      <c r="B3098" s="115" t="s">
        <v>971</v>
      </c>
      <c r="C3098" s="114">
        <v>18243</v>
      </c>
      <c r="D3098" s="147">
        <f t="shared" si="156"/>
        <v>0.97261567516523073</v>
      </c>
      <c r="E3098" s="148">
        <f t="shared" si="155"/>
        <v>1.9123639787485761E-3</v>
      </c>
      <c r="F3098" s="148">
        <f t="shared" si="157"/>
        <v>0.51434728982707889</v>
      </c>
    </row>
    <row r="3099" spans="2:6" x14ac:dyDescent="0.2">
      <c r="B3099" s="115" t="s">
        <v>543</v>
      </c>
      <c r="C3099" s="114">
        <v>18382</v>
      </c>
      <c r="D3099" s="147">
        <f t="shared" si="156"/>
        <v>0.97293043751965314</v>
      </c>
      <c r="E3099" s="148">
        <f t="shared" si="155"/>
        <v>1.9269349699806133E-3</v>
      </c>
      <c r="F3099" s="148">
        <f t="shared" si="157"/>
        <v>0.51627422479705953</v>
      </c>
    </row>
    <row r="3100" spans="2:6" x14ac:dyDescent="0.2">
      <c r="B3100" s="115" t="s">
        <v>289</v>
      </c>
      <c r="C3100" s="114">
        <v>18963</v>
      </c>
      <c r="D3100" s="147">
        <f t="shared" si="156"/>
        <v>0.97324519987407554</v>
      </c>
      <c r="E3100" s="148">
        <f t="shared" si="155"/>
        <v>1.9878396167850271E-3</v>
      </c>
      <c r="F3100" s="148">
        <f t="shared" si="157"/>
        <v>0.51826206441384459</v>
      </c>
    </row>
    <row r="3101" spans="2:6" x14ac:dyDescent="0.2">
      <c r="B3101" s="206" t="s">
        <v>185</v>
      </c>
      <c r="C3101" s="205">
        <v>19265</v>
      </c>
      <c r="D3101" s="147">
        <f t="shared" si="156"/>
        <v>0.97355996222849794</v>
      </c>
      <c r="E3101" s="148">
        <f t="shared" si="155"/>
        <v>2.0194974538503161E-3</v>
      </c>
      <c r="F3101" s="148">
        <f t="shared" si="157"/>
        <v>0.52028156186769492</v>
      </c>
    </row>
    <row r="3102" spans="2:6" x14ac:dyDescent="0.2">
      <c r="B3102" s="206" t="s">
        <v>1412</v>
      </c>
      <c r="C3102" s="205">
        <v>19355</v>
      </c>
      <c r="D3102" s="147">
        <f t="shared" si="156"/>
        <v>0.97387472458292035</v>
      </c>
      <c r="E3102" s="148">
        <f t="shared" si="155"/>
        <v>2.0289319086048726E-3</v>
      </c>
      <c r="F3102" s="148">
        <f t="shared" si="157"/>
        <v>0.52231049377629979</v>
      </c>
    </row>
    <row r="3103" spans="2:6" x14ac:dyDescent="0.2">
      <c r="B3103" s="115" t="s">
        <v>2186</v>
      </c>
      <c r="C3103" s="114">
        <v>19505</v>
      </c>
      <c r="D3103" s="147">
        <f t="shared" si="156"/>
        <v>0.97418948693734275</v>
      </c>
      <c r="E3103" s="148">
        <f t="shared" si="155"/>
        <v>2.0446559998624665E-3</v>
      </c>
      <c r="F3103" s="148">
        <f t="shared" si="157"/>
        <v>0.52435514977616227</v>
      </c>
    </row>
    <row r="3104" spans="2:6" x14ac:dyDescent="0.2">
      <c r="B3104" s="206" t="s">
        <v>1749</v>
      </c>
      <c r="C3104" s="205">
        <v>19862</v>
      </c>
      <c r="D3104" s="147">
        <f t="shared" si="156"/>
        <v>0.97450424929176516</v>
      </c>
      <c r="E3104" s="148">
        <f t="shared" si="155"/>
        <v>2.0820793370555403E-3</v>
      </c>
      <c r="F3104" s="148">
        <f t="shared" si="157"/>
        <v>0.52643722911321778</v>
      </c>
    </row>
    <row r="3105" spans="2:6" x14ac:dyDescent="0.2">
      <c r="B3105" s="115" t="s">
        <v>2256</v>
      </c>
      <c r="C3105" s="114">
        <v>20355</v>
      </c>
      <c r="D3105" s="147">
        <f t="shared" si="156"/>
        <v>0.97481901164618756</v>
      </c>
      <c r="E3105" s="148">
        <f t="shared" si="155"/>
        <v>2.1337591836554991E-3</v>
      </c>
      <c r="F3105" s="148">
        <f t="shared" si="157"/>
        <v>0.52857098829687332</v>
      </c>
    </row>
    <row r="3106" spans="2:6" x14ac:dyDescent="0.2">
      <c r="B3106" s="115" t="s">
        <v>2369</v>
      </c>
      <c r="C3106" s="114">
        <v>20823</v>
      </c>
      <c r="D3106" s="147">
        <f t="shared" si="156"/>
        <v>0.97513377400060997</v>
      </c>
      <c r="E3106" s="148">
        <f t="shared" si="155"/>
        <v>2.1828183483791922E-3</v>
      </c>
      <c r="F3106" s="148">
        <f t="shared" si="157"/>
        <v>0.53075380664525251</v>
      </c>
    </row>
    <row r="3107" spans="2:6" x14ac:dyDescent="0.2">
      <c r="B3107" s="115" t="s">
        <v>142</v>
      </c>
      <c r="C3107" s="114">
        <v>21129</v>
      </c>
      <c r="D3107" s="147">
        <f t="shared" si="156"/>
        <v>0.97544853635503237</v>
      </c>
      <c r="E3107" s="148">
        <f t="shared" si="155"/>
        <v>2.214895494544684E-3</v>
      </c>
      <c r="F3107" s="148">
        <f t="shared" si="157"/>
        <v>0.53296870213979719</v>
      </c>
    </row>
    <row r="3108" spans="2:6" x14ac:dyDescent="0.2">
      <c r="B3108" s="115" t="s">
        <v>155</v>
      </c>
      <c r="C3108" s="114">
        <v>21379</v>
      </c>
      <c r="D3108" s="147">
        <f t="shared" si="156"/>
        <v>0.97576329870945477</v>
      </c>
      <c r="E3108" s="148">
        <f t="shared" si="155"/>
        <v>2.2411023133073402E-3</v>
      </c>
      <c r="F3108" s="148">
        <f t="shared" si="157"/>
        <v>0.53520980445310451</v>
      </c>
    </row>
    <row r="3109" spans="2:6" x14ac:dyDescent="0.2">
      <c r="B3109" s="115" t="s">
        <v>1747</v>
      </c>
      <c r="C3109" s="114">
        <v>21567</v>
      </c>
      <c r="D3109" s="147">
        <f t="shared" si="156"/>
        <v>0.97607806106387718</v>
      </c>
      <c r="E3109" s="148">
        <f t="shared" si="155"/>
        <v>2.2608098410168581E-3</v>
      </c>
      <c r="F3109" s="148">
        <f t="shared" si="157"/>
        <v>0.53747061429412135</v>
      </c>
    </row>
    <row r="3110" spans="2:6" x14ac:dyDescent="0.2">
      <c r="B3110" s="115" t="s">
        <v>1548</v>
      </c>
      <c r="C3110" s="114">
        <v>21703</v>
      </c>
      <c r="D3110" s="147">
        <f t="shared" si="156"/>
        <v>0.97639282341829958</v>
      </c>
      <c r="E3110" s="148">
        <f t="shared" si="155"/>
        <v>2.2750663504237435E-3</v>
      </c>
      <c r="F3110" s="148">
        <f t="shared" si="157"/>
        <v>0.53974568064454509</v>
      </c>
    </row>
    <row r="3111" spans="2:6" x14ac:dyDescent="0.2">
      <c r="B3111" s="115" t="s">
        <v>2284</v>
      </c>
      <c r="C3111" s="114">
        <v>21838</v>
      </c>
      <c r="D3111" s="147">
        <f t="shared" si="156"/>
        <v>0.97670758577272199</v>
      </c>
      <c r="E3111" s="148">
        <f t="shared" si="155"/>
        <v>2.289218032555578E-3</v>
      </c>
      <c r="F3111" s="148">
        <f t="shared" si="157"/>
        <v>0.54203489867710064</v>
      </c>
    </row>
    <row r="3112" spans="2:6" x14ac:dyDescent="0.2">
      <c r="B3112" s="115" t="s">
        <v>3282</v>
      </c>
      <c r="C3112" s="114">
        <v>22486</v>
      </c>
      <c r="D3112" s="147">
        <f t="shared" si="156"/>
        <v>0.97702234812714439</v>
      </c>
      <c r="E3112" s="148">
        <f t="shared" si="155"/>
        <v>2.3571461067883838E-3</v>
      </c>
      <c r="F3112" s="148">
        <f t="shared" si="157"/>
        <v>0.54439204478388903</v>
      </c>
    </row>
    <row r="3113" spans="2:6" x14ac:dyDescent="0.2">
      <c r="B3113" s="115" t="s">
        <v>1324</v>
      </c>
      <c r="C3113" s="114">
        <v>22940</v>
      </c>
      <c r="D3113" s="147">
        <f t="shared" si="156"/>
        <v>0.9773371104815668</v>
      </c>
      <c r="E3113" s="148">
        <f t="shared" si="155"/>
        <v>2.4047376896613681E-3</v>
      </c>
      <c r="F3113" s="148">
        <f t="shared" si="157"/>
        <v>0.54679678247355035</v>
      </c>
    </row>
    <row r="3114" spans="2:6" x14ac:dyDescent="0.2">
      <c r="B3114" s="115" t="s">
        <v>1928</v>
      </c>
      <c r="C3114" s="114">
        <v>23608</v>
      </c>
      <c r="D3114" s="147">
        <f t="shared" si="156"/>
        <v>0.9776518728359892</v>
      </c>
      <c r="E3114" s="148">
        <f t="shared" si="155"/>
        <v>2.4747623093951863E-3</v>
      </c>
      <c r="F3114" s="148">
        <f t="shared" si="157"/>
        <v>0.54927154478294549</v>
      </c>
    </row>
    <row r="3115" spans="2:6" x14ac:dyDescent="0.2">
      <c r="B3115" s="115" t="s">
        <v>434</v>
      </c>
      <c r="C3115" s="114">
        <v>23663</v>
      </c>
      <c r="D3115" s="147">
        <f t="shared" si="156"/>
        <v>0.9779666351904116</v>
      </c>
      <c r="E3115" s="148">
        <f t="shared" si="155"/>
        <v>2.480527809522971E-3</v>
      </c>
      <c r="F3115" s="148">
        <f t="shared" si="157"/>
        <v>0.5517520725924685</v>
      </c>
    </row>
    <row r="3116" spans="2:6" x14ac:dyDescent="0.2">
      <c r="B3116" s="115" t="s">
        <v>3283</v>
      </c>
      <c r="C3116" s="114">
        <v>23678</v>
      </c>
      <c r="D3116" s="147">
        <f t="shared" si="156"/>
        <v>0.97828139754483401</v>
      </c>
      <c r="E3116" s="148">
        <f t="shared" si="155"/>
        <v>2.4821002186487303E-3</v>
      </c>
      <c r="F3116" s="148">
        <f t="shared" si="157"/>
        <v>0.5542341728111172</v>
      </c>
    </row>
    <row r="3117" spans="2:6" x14ac:dyDescent="0.2">
      <c r="B3117" s="115" t="s">
        <v>2533</v>
      </c>
      <c r="C3117" s="114">
        <v>23700</v>
      </c>
      <c r="D3117" s="147">
        <f t="shared" si="156"/>
        <v>0.97859615989925641</v>
      </c>
      <c r="E3117" s="148">
        <f t="shared" si="155"/>
        <v>2.4844064186998441E-3</v>
      </c>
      <c r="F3117" s="148">
        <f t="shared" si="157"/>
        <v>0.55671857922981705</v>
      </c>
    </row>
    <row r="3118" spans="2:6" x14ac:dyDescent="0.2">
      <c r="B3118" s="115" t="s">
        <v>755</v>
      </c>
      <c r="C3118" s="114">
        <v>23806</v>
      </c>
      <c r="D3118" s="147">
        <f t="shared" si="156"/>
        <v>0.97891092225367882</v>
      </c>
      <c r="E3118" s="148">
        <f t="shared" si="155"/>
        <v>2.4955181098552104E-3</v>
      </c>
      <c r="F3118" s="148">
        <f t="shared" si="157"/>
        <v>0.5592140973396722</v>
      </c>
    </row>
    <row r="3119" spans="2:6" x14ac:dyDescent="0.2">
      <c r="B3119" s="115" t="s">
        <v>2212</v>
      </c>
      <c r="C3119" s="114">
        <v>23871</v>
      </c>
      <c r="D3119" s="147">
        <f t="shared" si="156"/>
        <v>0.97922568460810122</v>
      </c>
      <c r="E3119" s="148">
        <f t="shared" si="155"/>
        <v>2.5023318827335013E-3</v>
      </c>
      <c r="F3119" s="148">
        <f t="shared" si="157"/>
        <v>0.56171642922240572</v>
      </c>
    </row>
    <row r="3120" spans="2:6" x14ac:dyDescent="0.2">
      <c r="B3120" s="115" t="s">
        <v>3284</v>
      </c>
      <c r="C3120" s="114">
        <v>24031</v>
      </c>
      <c r="D3120" s="147">
        <f t="shared" si="156"/>
        <v>0.97954044696252363</v>
      </c>
      <c r="E3120" s="148">
        <f t="shared" si="155"/>
        <v>2.5191042467416014E-3</v>
      </c>
      <c r="F3120" s="148">
        <f t="shared" si="157"/>
        <v>0.56423553346914734</v>
      </c>
    </row>
    <row r="3121" spans="2:6" x14ac:dyDescent="0.2">
      <c r="B3121" s="115" t="s">
        <v>2268</v>
      </c>
      <c r="C3121" s="114">
        <v>24267</v>
      </c>
      <c r="D3121" s="147">
        <f t="shared" si="156"/>
        <v>0.97985520931694603</v>
      </c>
      <c r="E3121" s="148">
        <f t="shared" si="155"/>
        <v>2.5438434836535491E-3</v>
      </c>
      <c r="F3121" s="148">
        <f t="shared" si="157"/>
        <v>0.5667793769528009</v>
      </c>
    </row>
    <row r="3122" spans="2:6" x14ac:dyDescent="0.2">
      <c r="B3122" s="206" t="s">
        <v>576</v>
      </c>
      <c r="C3122" s="205">
        <v>24482</v>
      </c>
      <c r="D3122" s="147">
        <f t="shared" si="156"/>
        <v>0.98016997167136843</v>
      </c>
      <c r="E3122" s="148">
        <f t="shared" si="155"/>
        <v>2.5663813477894339E-3</v>
      </c>
      <c r="F3122" s="148">
        <f t="shared" si="157"/>
        <v>0.56934575830059031</v>
      </c>
    </row>
    <row r="3123" spans="2:6" x14ac:dyDescent="0.2">
      <c r="B3123" s="115" t="s">
        <v>1137</v>
      </c>
      <c r="C3123" s="114">
        <v>24859</v>
      </c>
      <c r="D3123" s="147">
        <f t="shared" si="156"/>
        <v>0.98048473402579084</v>
      </c>
      <c r="E3123" s="148">
        <f t="shared" si="155"/>
        <v>2.6059012304835202E-3</v>
      </c>
      <c r="F3123" s="148">
        <f t="shared" si="157"/>
        <v>0.57195165953107385</v>
      </c>
    </row>
    <row r="3124" spans="2:6" x14ac:dyDescent="0.2">
      <c r="B3124" s="115" t="s">
        <v>2025</v>
      </c>
      <c r="C3124" s="114">
        <v>25323</v>
      </c>
      <c r="D3124" s="147">
        <f t="shared" si="156"/>
        <v>0.98079949638021324</v>
      </c>
      <c r="E3124" s="148">
        <f t="shared" si="155"/>
        <v>2.6545410861070107E-3</v>
      </c>
      <c r="F3124" s="148">
        <f t="shared" si="157"/>
        <v>0.57460620061718082</v>
      </c>
    </row>
    <row r="3125" spans="2:6" x14ac:dyDescent="0.2">
      <c r="B3125" s="115" t="s">
        <v>1805</v>
      </c>
      <c r="C3125" s="114">
        <v>25717</v>
      </c>
      <c r="D3125" s="147">
        <f t="shared" si="156"/>
        <v>0.98111425873463565</v>
      </c>
      <c r="E3125" s="148">
        <f t="shared" si="155"/>
        <v>2.6958430324769576E-3</v>
      </c>
      <c r="F3125" s="148">
        <f t="shared" si="157"/>
        <v>0.57730204364965776</v>
      </c>
    </row>
    <row r="3126" spans="2:6" x14ac:dyDescent="0.2">
      <c r="B3126" s="206" t="s">
        <v>3132</v>
      </c>
      <c r="C3126" s="205">
        <v>26007</v>
      </c>
      <c r="D3126" s="147">
        <f t="shared" si="156"/>
        <v>0.98142902108905805</v>
      </c>
      <c r="E3126" s="148">
        <f t="shared" si="155"/>
        <v>2.7262429422416391E-3</v>
      </c>
      <c r="F3126" s="148">
        <f t="shared" si="157"/>
        <v>0.58002828659189942</v>
      </c>
    </row>
    <row r="3127" spans="2:6" x14ac:dyDescent="0.2">
      <c r="B3127" s="115" t="s">
        <v>2254</v>
      </c>
      <c r="C3127" s="114">
        <v>27294</v>
      </c>
      <c r="D3127" s="147">
        <f t="shared" si="156"/>
        <v>0.98174378344348046</v>
      </c>
      <c r="E3127" s="148">
        <f t="shared" si="155"/>
        <v>2.8611556452317953E-3</v>
      </c>
      <c r="F3127" s="148">
        <f t="shared" si="157"/>
        <v>0.58288944223713124</v>
      </c>
    </row>
    <row r="3128" spans="2:6" x14ac:dyDescent="0.2">
      <c r="B3128" s="206" t="s">
        <v>2229</v>
      </c>
      <c r="C3128" s="205">
        <v>27616</v>
      </c>
      <c r="D3128" s="147">
        <f t="shared" si="156"/>
        <v>0.98205854579790286</v>
      </c>
      <c r="E3128" s="148">
        <f t="shared" si="155"/>
        <v>2.8949100277980968E-3</v>
      </c>
      <c r="F3128" s="148">
        <f t="shared" si="157"/>
        <v>0.58578435226492931</v>
      </c>
    </row>
    <row r="3129" spans="2:6" x14ac:dyDescent="0.2">
      <c r="B3129" s="115" t="s">
        <v>1068</v>
      </c>
      <c r="C3129" s="114">
        <v>28240</v>
      </c>
      <c r="D3129" s="147">
        <f t="shared" si="156"/>
        <v>0.98237330815232526</v>
      </c>
      <c r="E3129" s="148">
        <f t="shared" si="155"/>
        <v>2.9603222474296875E-3</v>
      </c>
      <c r="F3129" s="148">
        <f t="shared" si="157"/>
        <v>0.58874467451235901</v>
      </c>
    </row>
    <row r="3130" spans="2:6" x14ac:dyDescent="0.2">
      <c r="B3130" s="115" t="s">
        <v>1806</v>
      </c>
      <c r="C3130" s="114">
        <v>28382</v>
      </c>
      <c r="D3130" s="147">
        <f t="shared" si="156"/>
        <v>0.98268807050674767</v>
      </c>
      <c r="E3130" s="148">
        <f t="shared" si="155"/>
        <v>2.9752077204868764E-3</v>
      </c>
      <c r="F3130" s="148">
        <f t="shared" si="157"/>
        <v>0.59171988223284588</v>
      </c>
    </row>
    <row r="3131" spans="2:6" x14ac:dyDescent="0.2">
      <c r="B3131" s="115" t="s">
        <v>577</v>
      </c>
      <c r="C3131" s="114">
        <v>28483</v>
      </c>
      <c r="D3131" s="147">
        <f t="shared" si="156"/>
        <v>0.98300283286117007</v>
      </c>
      <c r="E3131" s="148">
        <f t="shared" si="155"/>
        <v>2.9857952752669896E-3</v>
      </c>
      <c r="F3131" s="148">
        <f t="shared" si="157"/>
        <v>0.59470567750811287</v>
      </c>
    </row>
    <row r="3132" spans="2:6" x14ac:dyDescent="0.2">
      <c r="B3132" s="115" t="s">
        <v>2444</v>
      </c>
      <c r="C3132" s="114">
        <v>28521</v>
      </c>
      <c r="D3132" s="147">
        <f t="shared" si="156"/>
        <v>0.98331759521559248</v>
      </c>
      <c r="E3132" s="148">
        <f t="shared" si="155"/>
        <v>2.9897787117189136E-3</v>
      </c>
      <c r="F3132" s="148">
        <f t="shared" si="157"/>
        <v>0.59769545621983178</v>
      </c>
    </row>
    <row r="3133" spans="2:6" x14ac:dyDescent="0.2">
      <c r="B3133" s="115" t="s">
        <v>2771</v>
      </c>
      <c r="C3133" s="114">
        <v>29291</v>
      </c>
      <c r="D3133" s="147">
        <f t="shared" si="156"/>
        <v>0.98363235757001488</v>
      </c>
      <c r="E3133" s="148">
        <f t="shared" si="155"/>
        <v>3.0704957135078959E-3</v>
      </c>
      <c r="F3133" s="148">
        <f t="shared" si="157"/>
        <v>0.6007659519333397</v>
      </c>
    </row>
    <row r="3134" spans="2:6" x14ac:dyDescent="0.2">
      <c r="B3134" s="115" t="s">
        <v>2217</v>
      </c>
      <c r="C3134" s="114">
        <v>29304</v>
      </c>
      <c r="D3134" s="147">
        <f t="shared" si="156"/>
        <v>0.98394711992443729</v>
      </c>
      <c r="E3134" s="148">
        <f t="shared" si="155"/>
        <v>3.0718584680835539E-3</v>
      </c>
      <c r="F3134" s="148">
        <f t="shared" si="157"/>
        <v>0.60383781040142326</v>
      </c>
    </row>
    <row r="3135" spans="2:6" x14ac:dyDescent="0.2">
      <c r="B3135" s="206" t="s">
        <v>597</v>
      </c>
      <c r="C3135" s="205">
        <v>29337</v>
      </c>
      <c r="D3135" s="147">
        <f t="shared" si="156"/>
        <v>0.98426188227885969</v>
      </c>
      <c r="E3135" s="148">
        <f t="shared" si="155"/>
        <v>3.0753177681602248E-3</v>
      </c>
      <c r="F3135" s="148">
        <f t="shared" si="157"/>
        <v>0.60691312816958354</v>
      </c>
    </row>
    <row r="3136" spans="2:6" x14ac:dyDescent="0.2">
      <c r="B3136" s="115" t="s">
        <v>1125</v>
      </c>
      <c r="C3136" s="114">
        <v>30056</v>
      </c>
      <c r="D3136" s="147">
        <f t="shared" si="156"/>
        <v>0.98457664463328209</v>
      </c>
      <c r="E3136" s="148">
        <f t="shared" si="155"/>
        <v>3.1506885789216251E-3</v>
      </c>
      <c r="F3136" s="148">
        <f t="shared" si="157"/>
        <v>0.61006381674850518</v>
      </c>
    </row>
    <row r="3137" spans="2:6" x14ac:dyDescent="0.2">
      <c r="B3137" s="115" t="s">
        <v>815</v>
      </c>
      <c r="C3137" s="114">
        <v>30416</v>
      </c>
      <c r="D3137" s="147">
        <f t="shared" si="156"/>
        <v>0.9848914069877045</v>
      </c>
      <c r="E3137" s="148">
        <f t="shared" si="155"/>
        <v>3.1884263979398506E-3</v>
      </c>
      <c r="F3137" s="148">
        <f t="shared" si="157"/>
        <v>0.613252243146445</v>
      </c>
    </row>
    <row r="3138" spans="2:6" x14ac:dyDescent="0.2">
      <c r="B3138" s="115" t="s">
        <v>3036</v>
      </c>
      <c r="C3138" s="114">
        <v>32401</v>
      </c>
      <c r="D3138" s="147">
        <f t="shared" si="156"/>
        <v>0.9852061693421269</v>
      </c>
      <c r="E3138" s="148">
        <f t="shared" si="155"/>
        <v>3.3965085389153437E-3</v>
      </c>
      <c r="F3138" s="148">
        <f t="shared" si="157"/>
        <v>0.61664875168536037</v>
      </c>
    </row>
    <row r="3139" spans="2:6" x14ac:dyDescent="0.2">
      <c r="B3139" s="115" t="s">
        <v>2283</v>
      </c>
      <c r="C3139" s="114">
        <v>32410</v>
      </c>
      <c r="D3139" s="147">
        <f t="shared" si="156"/>
        <v>0.98552093169654931</v>
      </c>
      <c r="E3139" s="148">
        <f t="shared" si="155"/>
        <v>3.3974519843907995E-3</v>
      </c>
      <c r="F3139" s="148">
        <f t="shared" si="157"/>
        <v>0.62004620366975116</v>
      </c>
    </row>
    <row r="3140" spans="2:6" x14ac:dyDescent="0.2">
      <c r="B3140" s="115" t="s">
        <v>1399</v>
      </c>
      <c r="C3140" s="114">
        <v>33743</v>
      </c>
      <c r="D3140" s="147">
        <f t="shared" si="156"/>
        <v>0.98583569405097171</v>
      </c>
      <c r="E3140" s="148">
        <f t="shared" si="155"/>
        <v>3.5371867420332845E-3</v>
      </c>
      <c r="F3140" s="148">
        <f t="shared" si="157"/>
        <v>0.62358339041178446</v>
      </c>
    </row>
    <row r="3141" spans="2:6" x14ac:dyDescent="0.2">
      <c r="B3141" s="115" t="s">
        <v>232</v>
      </c>
      <c r="C3141" s="114">
        <v>33871</v>
      </c>
      <c r="D3141" s="147">
        <f t="shared" si="156"/>
        <v>0.98615045640539412</v>
      </c>
      <c r="E3141" s="148">
        <f t="shared" si="155"/>
        <v>3.5506046332397646E-3</v>
      </c>
      <c r="F3141" s="148">
        <f t="shared" si="157"/>
        <v>0.62713399504502421</v>
      </c>
    </row>
    <row r="3142" spans="2:6" x14ac:dyDescent="0.2">
      <c r="B3142" s="115" t="s">
        <v>3285</v>
      </c>
      <c r="C3142" s="114">
        <v>35355</v>
      </c>
      <c r="D3142" s="147">
        <f t="shared" si="156"/>
        <v>0.98646521875981652</v>
      </c>
      <c r="E3142" s="148">
        <f t="shared" si="155"/>
        <v>3.706168309414894E-3</v>
      </c>
      <c r="F3142" s="148">
        <f t="shared" si="157"/>
        <v>0.63084016335443915</v>
      </c>
    </row>
    <row r="3143" spans="2:6" x14ac:dyDescent="0.2">
      <c r="B3143" s="115" t="s">
        <v>2747</v>
      </c>
      <c r="C3143" s="114">
        <v>36125</v>
      </c>
      <c r="D3143" s="147">
        <f t="shared" si="156"/>
        <v>0.98677998111423892</v>
      </c>
      <c r="E3143" s="148">
        <f t="shared" si="155"/>
        <v>3.7868853112038763E-3</v>
      </c>
      <c r="F3143" s="148">
        <f t="shared" si="157"/>
        <v>0.63462704866564301</v>
      </c>
    </row>
    <row r="3144" spans="2:6" x14ac:dyDescent="0.2">
      <c r="B3144" s="115" t="s">
        <v>540</v>
      </c>
      <c r="C3144" s="114">
        <v>40132</v>
      </c>
      <c r="D3144" s="147">
        <f t="shared" si="156"/>
        <v>0.98709474346866133</v>
      </c>
      <c r="E3144" s="148">
        <f t="shared" si="155"/>
        <v>4.206928202331736E-3</v>
      </c>
      <c r="F3144" s="148">
        <f t="shared" si="157"/>
        <v>0.63883397686797472</v>
      </c>
    </row>
    <row r="3145" spans="2:6" x14ac:dyDescent="0.2">
      <c r="B3145" s="115" t="s">
        <v>2520</v>
      </c>
      <c r="C3145" s="114">
        <v>41193</v>
      </c>
      <c r="D3145" s="147">
        <f t="shared" si="156"/>
        <v>0.98740950582308373</v>
      </c>
      <c r="E3145" s="148">
        <f t="shared" ref="E3145:E3185" si="158">C3145/$O$18</f>
        <v>4.3181499411604502E-3</v>
      </c>
      <c r="F3145" s="148">
        <f t="shared" si="157"/>
        <v>0.64315212680913514</v>
      </c>
    </row>
    <row r="3146" spans="2:6" x14ac:dyDescent="0.2">
      <c r="B3146" s="115" t="s">
        <v>2119</v>
      </c>
      <c r="C3146" s="114">
        <v>41669</v>
      </c>
      <c r="D3146" s="147">
        <f t="shared" ref="D3146:D3185" si="159">D3145+1/$L$18</f>
        <v>0.98772426817750614</v>
      </c>
      <c r="E3146" s="148">
        <f t="shared" si="158"/>
        <v>4.3680477240845483E-3</v>
      </c>
      <c r="F3146" s="148">
        <f t="shared" ref="F3146:F3185" si="160">F3145+E3146</f>
        <v>0.64752017453321964</v>
      </c>
    </row>
    <row r="3147" spans="2:6" x14ac:dyDescent="0.2">
      <c r="B3147" s="115" t="s">
        <v>1337</v>
      </c>
      <c r="C3147" s="114">
        <v>42042</v>
      </c>
      <c r="D3147" s="147">
        <f t="shared" si="159"/>
        <v>0.98803903053192854</v>
      </c>
      <c r="E3147" s="148">
        <f t="shared" si="158"/>
        <v>4.4071482976784319E-3</v>
      </c>
      <c r="F3147" s="148">
        <f t="shared" si="160"/>
        <v>0.65192732283089805</v>
      </c>
    </row>
    <row r="3148" spans="2:6" x14ac:dyDescent="0.2">
      <c r="B3148" s="206" t="s">
        <v>2532</v>
      </c>
      <c r="C3148" s="205">
        <v>42630</v>
      </c>
      <c r="D3148" s="147">
        <f t="shared" si="159"/>
        <v>0.98835379288635095</v>
      </c>
      <c r="E3148" s="148">
        <f t="shared" si="158"/>
        <v>4.4687867354082002E-3</v>
      </c>
      <c r="F3148" s="148">
        <f t="shared" si="160"/>
        <v>0.65639610956630623</v>
      </c>
    </row>
    <row r="3149" spans="2:6" x14ac:dyDescent="0.2">
      <c r="B3149" s="115" t="s">
        <v>2504</v>
      </c>
      <c r="C3149" s="114">
        <v>48686</v>
      </c>
      <c r="D3149" s="147">
        <f t="shared" si="159"/>
        <v>0.98866855524077335</v>
      </c>
      <c r="E3149" s="148">
        <f t="shared" si="158"/>
        <v>5.1036207131147935E-3</v>
      </c>
      <c r="F3149" s="148">
        <f t="shared" si="160"/>
        <v>0.66149973027942099</v>
      </c>
    </row>
    <row r="3150" spans="2:6" x14ac:dyDescent="0.2">
      <c r="B3150" s="115" t="s">
        <v>3286</v>
      </c>
      <c r="C3150" s="114">
        <v>48825</v>
      </c>
      <c r="D3150" s="147">
        <f t="shared" si="159"/>
        <v>0.98898331759519575</v>
      </c>
      <c r="E3150" s="148">
        <f t="shared" si="158"/>
        <v>5.1181917043468311E-3</v>
      </c>
      <c r="F3150" s="148">
        <f t="shared" si="160"/>
        <v>0.66661792198376779</v>
      </c>
    </row>
    <row r="3151" spans="2:6" x14ac:dyDescent="0.2">
      <c r="B3151" s="115" t="s">
        <v>2912</v>
      </c>
      <c r="C3151" s="114">
        <v>53944</v>
      </c>
      <c r="D3151" s="147">
        <f t="shared" si="159"/>
        <v>0.98929807994961816</v>
      </c>
      <c r="E3151" s="148">
        <f t="shared" si="158"/>
        <v>5.6548025253309866E-3</v>
      </c>
      <c r="F3151" s="148">
        <f t="shared" si="160"/>
        <v>0.67227272450909881</v>
      </c>
    </row>
    <row r="3152" spans="2:6" x14ac:dyDescent="0.2">
      <c r="B3152" s="206" t="s">
        <v>75</v>
      </c>
      <c r="C3152" s="205">
        <v>53960</v>
      </c>
      <c r="D3152" s="147">
        <f t="shared" si="159"/>
        <v>0.98961284230404056</v>
      </c>
      <c r="E3152" s="148">
        <f t="shared" si="158"/>
        <v>5.6564797617317973E-3</v>
      </c>
      <c r="F3152" s="148">
        <f t="shared" si="160"/>
        <v>0.67792920427083059</v>
      </c>
    </row>
    <row r="3153" spans="2:6" x14ac:dyDescent="0.2">
      <c r="B3153" s="115" t="s">
        <v>129</v>
      </c>
      <c r="C3153" s="114">
        <v>55118</v>
      </c>
      <c r="D3153" s="147">
        <f t="shared" si="159"/>
        <v>0.98992760465846297</v>
      </c>
      <c r="E3153" s="148">
        <f t="shared" si="158"/>
        <v>5.7778697462404225E-3</v>
      </c>
      <c r="F3153" s="148">
        <f t="shared" si="160"/>
        <v>0.68370707401707098</v>
      </c>
    </row>
    <row r="3154" spans="2:6" x14ac:dyDescent="0.2">
      <c r="B3154" s="206" t="s">
        <v>3287</v>
      </c>
      <c r="C3154" s="205">
        <v>55337</v>
      </c>
      <c r="D3154" s="147">
        <f t="shared" si="159"/>
        <v>0.99024236701288537</v>
      </c>
      <c r="E3154" s="148">
        <f t="shared" si="158"/>
        <v>5.8008269194765091E-3</v>
      </c>
      <c r="F3154" s="148">
        <f t="shared" si="160"/>
        <v>0.68950790093654746</v>
      </c>
    </row>
    <row r="3155" spans="2:6" x14ac:dyDescent="0.2">
      <c r="B3155" s="115" t="s">
        <v>3288</v>
      </c>
      <c r="C3155" s="114">
        <v>56810</v>
      </c>
      <c r="D3155" s="147">
        <f t="shared" si="159"/>
        <v>0.99055712936730778</v>
      </c>
      <c r="E3155" s="148">
        <f t="shared" si="158"/>
        <v>5.9552374956260822E-3</v>
      </c>
      <c r="F3155" s="148">
        <f t="shared" si="160"/>
        <v>0.69546313843217356</v>
      </c>
    </row>
    <row r="3156" spans="2:6" x14ac:dyDescent="0.2">
      <c r="B3156" s="115" t="s">
        <v>3289</v>
      </c>
      <c r="C3156" s="114">
        <v>57459</v>
      </c>
      <c r="D3156" s="147">
        <f t="shared" si="159"/>
        <v>0.99087189172173018</v>
      </c>
      <c r="E3156" s="148">
        <f t="shared" si="158"/>
        <v>6.0232703971339384E-3</v>
      </c>
      <c r="F3156" s="148">
        <f t="shared" si="160"/>
        <v>0.70148640882930746</v>
      </c>
    </row>
    <row r="3157" spans="2:6" x14ac:dyDescent="0.2">
      <c r="B3157" s="115" t="s">
        <v>1965</v>
      </c>
      <c r="C3157" s="114">
        <v>58459</v>
      </c>
      <c r="D3157" s="147">
        <f t="shared" si="159"/>
        <v>0.99118665407615258</v>
      </c>
      <c r="E3157" s="148">
        <f t="shared" si="158"/>
        <v>6.1280976721845648E-3</v>
      </c>
      <c r="F3157" s="148">
        <f t="shared" si="160"/>
        <v>0.70761450650149205</v>
      </c>
    </row>
    <row r="3158" spans="2:6" x14ac:dyDescent="0.2">
      <c r="B3158" s="115" t="s">
        <v>3290</v>
      </c>
      <c r="C3158" s="114">
        <v>58508</v>
      </c>
      <c r="D3158" s="147">
        <f t="shared" si="159"/>
        <v>0.99150141643057499</v>
      </c>
      <c r="E3158" s="148">
        <f t="shared" si="158"/>
        <v>6.1332342086620455E-3</v>
      </c>
      <c r="F3158" s="148">
        <f t="shared" si="160"/>
        <v>0.71374774071015412</v>
      </c>
    </row>
    <row r="3159" spans="2:6" x14ac:dyDescent="0.2">
      <c r="B3159" s="115" t="s">
        <v>707</v>
      </c>
      <c r="C3159" s="114">
        <v>60820</v>
      </c>
      <c r="D3159" s="147">
        <f t="shared" si="159"/>
        <v>0.99181617878499739</v>
      </c>
      <c r="E3159" s="148">
        <f t="shared" si="158"/>
        <v>6.3755948685790933E-3</v>
      </c>
      <c r="F3159" s="148">
        <f t="shared" si="160"/>
        <v>0.7201233355787332</v>
      </c>
    </row>
    <row r="3160" spans="2:6" x14ac:dyDescent="0.2">
      <c r="B3160" s="115" t="s">
        <v>3291</v>
      </c>
      <c r="C3160" s="114">
        <v>61128</v>
      </c>
      <c r="D3160" s="147">
        <f t="shared" si="159"/>
        <v>0.9921309411394198</v>
      </c>
      <c r="E3160" s="148">
        <f t="shared" si="158"/>
        <v>6.4078816692946863E-3</v>
      </c>
      <c r="F3160" s="148">
        <f t="shared" si="160"/>
        <v>0.72653121724802794</v>
      </c>
    </row>
    <row r="3161" spans="2:6" x14ac:dyDescent="0.2">
      <c r="B3161" s="115" t="s">
        <v>433</v>
      </c>
      <c r="C3161" s="114">
        <v>64785</v>
      </c>
      <c r="D3161" s="147">
        <f t="shared" si="159"/>
        <v>0.9924457034938422</v>
      </c>
      <c r="E3161" s="148">
        <f t="shared" si="158"/>
        <v>6.7912350141548271E-3</v>
      </c>
      <c r="F3161" s="148">
        <f t="shared" si="160"/>
        <v>0.73332245226218273</v>
      </c>
    </row>
    <row r="3162" spans="2:6" x14ac:dyDescent="0.2">
      <c r="B3162" s="115" t="s">
        <v>518</v>
      </c>
      <c r="C3162" s="114">
        <v>65564</v>
      </c>
      <c r="D3162" s="147">
        <f t="shared" si="159"/>
        <v>0.99276046584826461</v>
      </c>
      <c r="E3162" s="148">
        <f t="shared" si="158"/>
        <v>6.8728954614192652E-3</v>
      </c>
      <c r="F3162" s="148">
        <f t="shared" si="160"/>
        <v>0.74019534772360196</v>
      </c>
    </row>
    <row r="3163" spans="2:6" x14ac:dyDescent="0.2">
      <c r="B3163" s="206" t="s">
        <v>3292</v>
      </c>
      <c r="C3163" s="205">
        <v>69502</v>
      </c>
      <c r="D3163" s="147">
        <f t="shared" si="159"/>
        <v>0.99307522820268701</v>
      </c>
      <c r="E3163" s="148">
        <f t="shared" si="158"/>
        <v>7.2857052705686317E-3</v>
      </c>
      <c r="F3163" s="148">
        <f t="shared" si="160"/>
        <v>0.74748105299417056</v>
      </c>
    </row>
    <row r="3164" spans="2:6" x14ac:dyDescent="0.2">
      <c r="B3164" s="115" t="s">
        <v>3293</v>
      </c>
      <c r="C3164" s="114">
        <v>71033</v>
      </c>
      <c r="D3164" s="147">
        <f t="shared" si="159"/>
        <v>0.99338999055710941</v>
      </c>
      <c r="E3164" s="148">
        <f t="shared" si="158"/>
        <v>7.4461958286711405E-3</v>
      </c>
      <c r="F3164" s="148">
        <f t="shared" si="160"/>
        <v>0.75492724882284168</v>
      </c>
    </row>
    <row r="3165" spans="2:6" x14ac:dyDescent="0.2">
      <c r="B3165" s="115" t="s">
        <v>2464</v>
      </c>
      <c r="C3165" s="114">
        <v>71495</v>
      </c>
      <c r="D3165" s="147">
        <f t="shared" si="159"/>
        <v>0.99370475291153182</v>
      </c>
      <c r="E3165" s="148">
        <f t="shared" si="158"/>
        <v>7.4946260297445296E-3</v>
      </c>
      <c r="F3165" s="148">
        <f t="shared" si="160"/>
        <v>0.76242187485258617</v>
      </c>
    </row>
    <row r="3166" spans="2:6" x14ac:dyDescent="0.2">
      <c r="B3166" s="115" t="s">
        <v>3294</v>
      </c>
      <c r="C3166" s="114">
        <v>72247</v>
      </c>
      <c r="D3166" s="147">
        <f t="shared" si="159"/>
        <v>0.99401951526595422</v>
      </c>
      <c r="E3166" s="148">
        <f t="shared" si="158"/>
        <v>7.5734561405826004E-3</v>
      </c>
      <c r="F3166" s="148">
        <f t="shared" si="160"/>
        <v>0.76999533099316875</v>
      </c>
    </row>
    <row r="3167" spans="2:6" x14ac:dyDescent="0.2">
      <c r="B3167" s="115" t="s">
        <v>3295</v>
      </c>
      <c r="C3167" s="114">
        <v>74641</v>
      </c>
      <c r="D3167" s="147">
        <f t="shared" si="159"/>
        <v>0.99433427762037663</v>
      </c>
      <c r="E3167" s="148">
        <f t="shared" si="158"/>
        <v>7.8244126370537997E-3</v>
      </c>
      <c r="F3167" s="148">
        <f t="shared" si="160"/>
        <v>0.77781974363022255</v>
      </c>
    </row>
    <row r="3168" spans="2:6" x14ac:dyDescent="0.2">
      <c r="B3168" s="115" t="s">
        <v>3296</v>
      </c>
      <c r="C3168" s="114">
        <v>75082</v>
      </c>
      <c r="D3168" s="147">
        <f t="shared" si="159"/>
        <v>0.99464903997479903</v>
      </c>
      <c r="E3168" s="148">
        <f t="shared" si="158"/>
        <v>7.8706414653511268E-3</v>
      </c>
      <c r="F3168" s="148">
        <f t="shared" si="160"/>
        <v>0.78569038509557365</v>
      </c>
    </row>
    <row r="3169" spans="2:6" x14ac:dyDescent="0.2">
      <c r="B3169" s="206" t="s">
        <v>517</v>
      </c>
      <c r="C3169" s="205">
        <v>76918</v>
      </c>
      <c r="D3169" s="147">
        <f t="shared" si="159"/>
        <v>0.99496380232922144</v>
      </c>
      <c r="E3169" s="148">
        <f t="shared" si="158"/>
        <v>8.0631043423440765E-3</v>
      </c>
      <c r="F3169" s="148">
        <f t="shared" si="160"/>
        <v>0.79375348943791768</v>
      </c>
    </row>
    <row r="3170" spans="2:6" x14ac:dyDescent="0.2">
      <c r="B3170" s="115" t="s">
        <v>3297</v>
      </c>
      <c r="C3170" s="114">
        <v>84265</v>
      </c>
      <c r="D3170" s="147">
        <f t="shared" si="159"/>
        <v>0.99527856468364384</v>
      </c>
      <c r="E3170" s="148">
        <f t="shared" si="158"/>
        <v>8.8332703321410272E-3</v>
      </c>
      <c r="F3170" s="148">
        <f t="shared" si="160"/>
        <v>0.80258675977005867</v>
      </c>
    </row>
    <row r="3171" spans="2:6" x14ac:dyDescent="0.2">
      <c r="B3171" s="115" t="s">
        <v>3298</v>
      </c>
      <c r="C3171" s="114">
        <v>85573</v>
      </c>
      <c r="D3171" s="147">
        <f t="shared" si="159"/>
        <v>0.99559332703806624</v>
      </c>
      <c r="E3171" s="148">
        <f t="shared" si="158"/>
        <v>8.9703844079072476E-3</v>
      </c>
      <c r="F3171" s="148">
        <f t="shared" si="160"/>
        <v>0.81155714417796587</v>
      </c>
    </row>
    <row r="3172" spans="2:6" x14ac:dyDescent="0.2">
      <c r="B3172" s="115" t="s">
        <v>3299</v>
      </c>
      <c r="C3172" s="114">
        <v>94716</v>
      </c>
      <c r="D3172" s="147">
        <f t="shared" si="159"/>
        <v>0.99590808939248865</v>
      </c>
      <c r="E3172" s="148">
        <f t="shared" si="158"/>
        <v>9.928820183695123E-3</v>
      </c>
      <c r="F3172" s="148">
        <f t="shared" si="160"/>
        <v>0.82148596436166099</v>
      </c>
    </row>
    <row r="3173" spans="2:6" x14ac:dyDescent="0.2">
      <c r="B3173" s="115" t="s">
        <v>599</v>
      </c>
      <c r="C3173" s="114">
        <v>95241</v>
      </c>
      <c r="D3173" s="147">
        <f t="shared" si="159"/>
        <v>0.99622285174691105</v>
      </c>
      <c r="E3173" s="148">
        <f t="shared" si="158"/>
        <v>9.9838545030967018E-3</v>
      </c>
      <c r="F3173" s="148">
        <f t="shared" si="160"/>
        <v>0.83146981886475768</v>
      </c>
    </row>
    <row r="3174" spans="2:6" x14ac:dyDescent="0.2">
      <c r="B3174" s="115" t="s">
        <v>3300</v>
      </c>
      <c r="C3174" s="114">
        <v>99163</v>
      </c>
      <c r="D3174" s="147">
        <f t="shared" si="159"/>
        <v>0.99653761410133346</v>
      </c>
      <c r="E3174" s="148">
        <f t="shared" si="158"/>
        <v>1.0394987075845259E-2</v>
      </c>
      <c r="F3174" s="148">
        <f t="shared" si="160"/>
        <v>0.84186480594060298</v>
      </c>
    </row>
    <row r="3175" spans="2:6" x14ac:dyDescent="0.2">
      <c r="B3175" s="115" t="s">
        <v>1923</v>
      </c>
      <c r="C3175" s="114">
        <v>108651</v>
      </c>
      <c r="D3175" s="147">
        <f t="shared" si="159"/>
        <v>0.99685237645575586</v>
      </c>
      <c r="E3175" s="148">
        <f t="shared" si="158"/>
        <v>1.1389588261525602E-2</v>
      </c>
      <c r="F3175" s="148">
        <f t="shared" si="160"/>
        <v>0.85325439420212856</v>
      </c>
    </row>
    <row r="3176" spans="2:6" x14ac:dyDescent="0.2">
      <c r="B3176" s="115" t="s">
        <v>1198</v>
      </c>
      <c r="C3176" s="114">
        <v>114873</v>
      </c>
      <c r="D3176" s="147">
        <f t="shared" si="159"/>
        <v>0.99716713881017827</v>
      </c>
      <c r="E3176" s="148">
        <f t="shared" si="158"/>
        <v>1.2041823566890599E-2</v>
      </c>
      <c r="F3176" s="148">
        <f t="shared" si="160"/>
        <v>0.86529621776901922</v>
      </c>
    </row>
    <row r="3177" spans="2:6" x14ac:dyDescent="0.2">
      <c r="B3177" s="115" t="s">
        <v>3301</v>
      </c>
      <c r="C3177" s="114">
        <v>118909</v>
      </c>
      <c r="D3177" s="147">
        <f t="shared" si="159"/>
        <v>0.99748190116460067</v>
      </c>
      <c r="E3177" s="148">
        <f t="shared" si="158"/>
        <v>1.2464906448994926E-2</v>
      </c>
      <c r="F3177" s="148">
        <f t="shared" si="160"/>
        <v>0.87776112421801411</v>
      </c>
    </row>
    <row r="3178" spans="2:6" x14ac:dyDescent="0.2">
      <c r="B3178" s="206" t="s">
        <v>3302</v>
      </c>
      <c r="C3178" s="205">
        <v>121206</v>
      </c>
      <c r="D3178" s="147">
        <f t="shared" si="159"/>
        <v>0.99779666351902307</v>
      </c>
      <c r="E3178" s="148">
        <f t="shared" si="158"/>
        <v>1.2705694699786215E-2</v>
      </c>
      <c r="F3178" s="148">
        <f t="shared" si="160"/>
        <v>0.89046681891780033</v>
      </c>
    </row>
    <row r="3179" spans="2:6" x14ac:dyDescent="0.2">
      <c r="B3179" s="115" t="s">
        <v>3303</v>
      </c>
      <c r="C3179" s="114">
        <v>125443</v>
      </c>
      <c r="D3179" s="147">
        <f t="shared" si="159"/>
        <v>0.99811142587344548</v>
      </c>
      <c r="E3179" s="148">
        <f t="shared" si="158"/>
        <v>1.314984786417572E-2</v>
      </c>
      <c r="F3179" s="148">
        <f t="shared" si="160"/>
        <v>0.90361666678197605</v>
      </c>
    </row>
    <row r="3180" spans="2:6" x14ac:dyDescent="0.2">
      <c r="B3180" s="115" t="s">
        <v>2245</v>
      </c>
      <c r="C3180" s="114">
        <v>129373</v>
      </c>
      <c r="D3180" s="147">
        <f t="shared" si="159"/>
        <v>0.99842618822786788</v>
      </c>
      <c r="E3180" s="148">
        <f t="shared" si="158"/>
        <v>1.356181905512468E-2</v>
      </c>
      <c r="F3180" s="148">
        <f t="shared" si="160"/>
        <v>0.91717848583710071</v>
      </c>
    </row>
    <row r="3181" spans="2:6" x14ac:dyDescent="0.2">
      <c r="B3181" s="115" t="s">
        <v>1037</v>
      </c>
      <c r="C3181" s="114">
        <v>139412</v>
      </c>
      <c r="D3181" s="147">
        <f t="shared" si="159"/>
        <v>0.99874095058229029</v>
      </c>
      <c r="E3181" s="148">
        <f t="shared" si="158"/>
        <v>1.4614180069357918E-2</v>
      </c>
      <c r="F3181" s="148">
        <f t="shared" si="160"/>
        <v>0.93179266590645859</v>
      </c>
    </row>
    <row r="3182" spans="2:6" x14ac:dyDescent="0.2">
      <c r="B3182" s="115" t="s">
        <v>1426</v>
      </c>
      <c r="C3182" s="114">
        <v>141440</v>
      </c>
      <c r="D3182" s="147">
        <f t="shared" si="159"/>
        <v>0.99905571293671269</v>
      </c>
      <c r="E3182" s="148">
        <f t="shared" si="158"/>
        <v>1.4826769783160589E-2</v>
      </c>
      <c r="F3182" s="148">
        <f t="shared" si="160"/>
        <v>0.94661943568961915</v>
      </c>
    </row>
    <row r="3183" spans="2:6" x14ac:dyDescent="0.2">
      <c r="B3183" s="115" t="s">
        <v>3304</v>
      </c>
      <c r="C3183" s="114">
        <v>149812</v>
      </c>
      <c r="D3183" s="147">
        <f t="shared" si="159"/>
        <v>0.9993704752911351</v>
      </c>
      <c r="E3183" s="148">
        <f t="shared" si="158"/>
        <v>1.5704383729884433E-2</v>
      </c>
      <c r="F3183" s="148">
        <f t="shared" si="160"/>
        <v>0.96232381941950362</v>
      </c>
    </row>
    <row r="3184" spans="2:6" x14ac:dyDescent="0.2">
      <c r="B3184" s="115" t="s">
        <v>607</v>
      </c>
      <c r="C3184" s="114">
        <v>157282</v>
      </c>
      <c r="D3184" s="147">
        <f t="shared" si="159"/>
        <v>0.9996852376455575</v>
      </c>
      <c r="E3184" s="148">
        <f t="shared" si="158"/>
        <v>1.6487443474512611E-2</v>
      </c>
      <c r="F3184" s="148">
        <f t="shared" si="160"/>
        <v>0.97881126289401621</v>
      </c>
    </row>
    <row r="3185" spans="2:6" x14ac:dyDescent="0.2">
      <c r="B3185" s="115" t="s">
        <v>2608</v>
      </c>
      <c r="C3185" s="114">
        <v>202130</v>
      </c>
      <c r="D3185" s="147">
        <f t="shared" si="159"/>
        <v>0.9999999999999799</v>
      </c>
      <c r="E3185" s="148">
        <f t="shared" si="158"/>
        <v>2.11887371059831E-2</v>
      </c>
      <c r="F3185" s="148">
        <f t="shared" si="160"/>
        <v>0.99999999999999933</v>
      </c>
    </row>
  </sheetData>
  <sortState xmlns:xlrd2="http://schemas.microsoft.com/office/spreadsheetml/2017/richdata2" ref="B9:C3185">
    <sortCondition ref="C9:C3185"/>
  </sortState>
  <mergeCells count="5">
    <mergeCell ref="B2:Q2"/>
    <mergeCell ref="B4:Q4"/>
    <mergeCell ref="J7:K7"/>
    <mergeCell ref="J18:K18"/>
    <mergeCell ref="I50:K6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21"/>
  </sheetPr>
  <dimension ref="B1:J118"/>
  <sheetViews>
    <sheetView zoomScaleNormal="100" workbookViewId="0"/>
  </sheetViews>
  <sheetFormatPr defaultColWidth="9.140625" defaultRowHeight="13.5" customHeight="1" x14ac:dyDescent="0.25"/>
  <cols>
    <col min="1" max="1" width="2.5703125" style="26" customWidth="1"/>
    <col min="2" max="5" width="16.7109375" style="26" customWidth="1"/>
    <col min="6" max="16384" width="9.140625" style="26"/>
  </cols>
  <sheetData>
    <row r="1" spans="2:10" customFormat="1" ht="13.5" customHeight="1" thickBot="1" x14ac:dyDescent="0.25"/>
    <row r="2" spans="2:10" customFormat="1" ht="27" customHeight="1" thickBot="1" x14ac:dyDescent="0.25">
      <c r="B2" s="263" t="s">
        <v>3199</v>
      </c>
      <c r="C2" s="264"/>
      <c r="D2" s="264"/>
      <c r="E2" s="264"/>
      <c r="F2" s="264"/>
      <c r="G2" s="264"/>
      <c r="H2" s="264"/>
      <c r="I2" s="265"/>
      <c r="J2" s="4"/>
    </row>
    <row r="3" spans="2:10" customFormat="1" ht="13.5" customHeight="1" thickBot="1" x14ac:dyDescent="0.25"/>
    <row r="4" spans="2:10" customFormat="1" ht="28.5" customHeight="1" thickBot="1" x14ac:dyDescent="0.25">
      <c r="B4" s="25" t="s">
        <v>3193</v>
      </c>
      <c r="C4" s="9" t="s">
        <v>3198</v>
      </c>
      <c r="D4" s="9" t="s">
        <v>3197</v>
      </c>
      <c r="E4" s="3" t="s">
        <v>3196</v>
      </c>
    </row>
    <row r="5" spans="2:10" customFormat="1" ht="13.5" customHeight="1" x14ac:dyDescent="0.2">
      <c r="B5" s="38" t="s">
        <v>3192</v>
      </c>
      <c r="C5" s="46">
        <v>6</v>
      </c>
      <c r="D5" s="45">
        <v>35</v>
      </c>
      <c r="E5" s="45">
        <v>68</v>
      </c>
    </row>
    <row r="6" spans="2:10" customFormat="1" ht="13.5" customHeight="1" x14ac:dyDescent="0.2">
      <c r="B6" s="40" t="s">
        <v>3191</v>
      </c>
      <c r="C6" s="48">
        <v>17</v>
      </c>
      <c r="D6" s="47">
        <v>240</v>
      </c>
      <c r="E6" s="47">
        <v>875</v>
      </c>
    </row>
    <row r="7" spans="2:10" customFormat="1" ht="13.5" customHeight="1" x14ac:dyDescent="0.2">
      <c r="B7" s="38" t="s">
        <v>3190</v>
      </c>
      <c r="C7" s="46">
        <v>22</v>
      </c>
      <c r="D7" s="45">
        <v>557</v>
      </c>
      <c r="E7" s="45">
        <v>2675</v>
      </c>
    </row>
    <row r="8" spans="2:10" customFormat="1" ht="13.5" customHeight="1" x14ac:dyDescent="0.2">
      <c r="B8" s="40" t="s">
        <v>3189</v>
      </c>
      <c r="C8" s="48">
        <v>32</v>
      </c>
      <c r="D8" s="47">
        <v>1416</v>
      </c>
      <c r="E8" s="47">
        <v>7890</v>
      </c>
    </row>
    <row r="9" spans="2:10" customFormat="1" ht="13.5" customHeight="1" x14ac:dyDescent="0.2">
      <c r="B9" s="38" t="s">
        <v>3188</v>
      </c>
      <c r="C9" s="46">
        <v>21</v>
      </c>
      <c r="D9" s="45">
        <v>940</v>
      </c>
      <c r="E9" s="45">
        <v>9874</v>
      </c>
    </row>
    <row r="10" spans="2:10" customFormat="1" ht="13.5" customHeight="1" thickBot="1" x14ac:dyDescent="0.25">
      <c r="B10" s="35" t="s">
        <v>3187</v>
      </c>
      <c r="C10" s="44">
        <v>2</v>
      </c>
      <c r="D10" s="43">
        <v>141</v>
      </c>
      <c r="E10" s="43">
        <v>1658</v>
      </c>
    </row>
    <row r="11" spans="2:10" customFormat="1" ht="13.5" customHeight="1" thickBot="1" x14ac:dyDescent="0.25">
      <c r="B11" s="32" t="s">
        <v>4</v>
      </c>
      <c r="C11" s="42">
        <f>SUM(C5:C10)</f>
        <v>100</v>
      </c>
      <c r="D11" s="41">
        <f>SUM(D5:D10)</f>
        <v>3329</v>
      </c>
      <c r="E11" s="41">
        <f>SUM(E5:E10)</f>
        <v>23040</v>
      </c>
    </row>
    <row r="12" spans="2:10" customFormat="1" ht="13.5" customHeight="1" thickBot="1" x14ac:dyDescent="0.25"/>
    <row r="13" spans="2:10" customFormat="1" thickBot="1" x14ac:dyDescent="0.25">
      <c r="B13" s="263" t="s">
        <v>3195</v>
      </c>
      <c r="C13" s="264"/>
      <c r="D13" s="264"/>
      <c r="E13" s="264"/>
      <c r="F13" s="264"/>
      <c r="G13" s="264"/>
      <c r="H13" s="264"/>
      <c r="I13" s="265"/>
      <c r="J13" s="4"/>
    </row>
    <row r="14" spans="2:10" s="1" customFormat="1" ht="13.5" customHeight="1" thickBot="1" x14ac:dyDescent="0.25">
      <c r="B14" s="2"/>
      <c r="C14" s="2"/>
      <c r="D14" s="2"/>
      <c r="E14" s="2"/>
      <c r="F14" s="2"/>
      <c r="G14" s="2"/>
      <c r="H14" s="2"/>
      <c r="I14" s="2"/>
    </row>
    <row r="15" spans="2:10" customFormat="1" ht="13.5" customHeight="1" thickBot="1" x14ac:dyDescent="0.25"/>
    <row r="16" spans="2:10" customFormat="1" ht="14.25" customHeight="1" thickBot="1" x14ac:dyDescent="0.25">
      <c r="D16" s="266" t="s">
        <v>3194</v>
      </c>
      <c r="E16" s="267"/>
    </row>
    <row r="17" spans="2:10" ht="27.75" customHeight="1" thickBot="1" x14ac:dyDescent="0.3">
      <c r="B17" s="25" t="s">
        <v>3193</v>
      </c>
      <c r="C17" s="6" t="s">
        <v>6</v>
      </c>
      <c r="D17" s="21" t="s">
        <v>3184</v>
      </c>
      <c r="E17" s="7" t="s">
        <v>3183</v>
      </c>
      <c r="F17" s="27"/>
      <c r="G17" s="27"/>
      <c r="H17" s="27"/>
      <c r="I17" s="27"/>
    </row>
    <row r="18" spans="2:10" ht="13.5" customHeight="1" x14ac:dyDescent="0.25">
      <c r="B18" s="38" t="s">
        <v>3192</v>
      </c>
      <c r="C18" s="37">
        <f t="shared" ref="C18:E23" si="0">C5/C$11</f>
        <v>0.06</v>
      </c>
      <c r="D18" s="28">
        <f t="shared" si="0"/>
        <v>1.0513667768098528E-2</v>
      </c>
      <c r="E18" s="28">
        <f t="shared" si="0"/>
        <v>2.9513888888888888E-3</v>
      </c>
      <c r="F18" s="27"/>
      <c r="G18" s="27"/>
      <c r="H18" s="27"/>
      <c r="I18" s="27"/>
    </row>
    <row r="19" spans="2:10" ht="13.5" customHeight="1" x14ac:dyDescent="0.25">
      <c r="B19" s="40" t="s">
        <v>3191</v>
      </c>
      <c r="C19" s="39">
        <f t="shared" si="0"/>
        <v>0.17</v>
      </c>
      <c r="D19" s="36">
        <f t="shared" si="0"/>
        <v>7.2093721838389913E-2</v>
      </c>
      <c r="E19" s="36">
        <f t="shared" si="0"/>
        <v>3.7977430555555552E-2</v>
      </c>
      <c r="F19" s="27"/>
      <c r="G19" s="27"/>
      <c r="H19" s="27"/>
      <c r="I19" s="27"/>
    </row>
    <row r="20" spans="2:10" ht="13.5" customHeight="1" x14ac:dyDescent="0.25">
      <c r="B20" s="38" t="s">
        <v>3190</v>
      </c>
      <c r="C20" s="37">
        <f t="shared" si="0"/>
        <v>0.22</v>
      </c>
      <c r="D20" s="36">
        <f t="shared" si="0"/>
        <v>0.16731751276659657</v>
      </c>
      <c r="E20" s="36">
        <f t="shared" si="0"/>
        <v>0.11610243055555555</v>
      </c>
      <c r="F20" s="27"/>
      <c r="G20" s="27"/>
      <c r="H20" s="27"/>
      <c r="I20" s="27"/>
    </row>
    <row r="21" spans="2:10" ht="13.5" customHeight="1" x14ac:dyDescent="0.25">
      <c r="B21" s="40" t="s">
        <v>3189</v>
      </c>
      <c r="C21" s="39">
        <f t="shared" si="0"/>
        <v>0.32</v>
      </c>
      <c r="D21" s="36">
        <f t="shared" si="0"/>
        <v>0.42535295884650043</v>
      </c>
      <c r="E21" s="36">
        <f t="shared" si="0"/>
        <v>0.34244791666666669</v>
      </c>
      <c r="F21" s="27"/>
      <c r="G21" s="27"/>
      <c r="H21" s="27"/>
      <c r="I21" s="27"/>
    </row>
    <row r="22" spans="2:10" ht="13.5" customHeight="1" x14ac:dyDescent="0.25">
      <c r="B22" s="38" t="s">
        <v>3188</v>
      </c>
      <c r="C22" s="37">
        <f t="shared" si="0"/>
        <v>0.21</v>
      </c>
      <c r="D22" s="36">
        <f t="shared" si="0"/>
        <v>0.28236707720036047</v>
      </c>
      <c r="E22" s="36">
        <f t="shared" si="0"/>
        <v>0.42855902777777777</v>
      </c>
      <c r="F22" s="27"/>
      <c r="G22" s="27"/>
      <c r="H22" s="27"/>
      <c r="I22" s="27"/>
    </row>
    <row r="23" spans="2:10" ht="13.5" customHeight="1" thickBot="1" x14ac:dyDescent="0.3">
      <c r="B23" s="35" t="s">
        <v>3187</v>
      </c>
      <c r="C23" s="34">
        <f t="shared" si="0"/>
        <v>0.02</v>
      </c>
      <c r="D23" s="33">
        <f t="shared" si="0"/>
        <v>4.2355061580054074E-2</v>
      </c>
      <c r="E23" s="33">
        <f t="shared" si="0"/>
        <v>7.196180555555555E-2</v>
      </c>
      <c r="F23" s="27"/>
      <c r="G23" s="27"/>
      <c r="H23" s="27"/>
      <c r="I23" s="27"/>
    </row>
    <row r="24" spans="2:10" ht="13.5" customHeight="1" thickBot="1" x14ac:dyDescent="0.3">
      <c r="B24" s="32" t="s">
        <v>4</v>
      </c>
      <c r="C24" s="31">
        <f>SUM(C18:C23)</f>
        <v>1</v>
      </c>
      <c r="D24" s="30">
        <f>SUM(D18:D23)</f>
        <v>1</v>
      </c>
      <c r="E24" s="30">
        <f>SUM(E18:E23)</f>
        <v>1</v>
      </c>
      <c r="F24" s="27"/>
      <c r="G24" s="27"/>
      <c r="H24" s="27"/>
      <c r="I24" s="27"/>
    </row>
    <row r="25" spans="2:10" ht="13.5" customHeight="1" thickBot="1" x14ac:dyDescent="0.3">
      <c r="B25" s="27"/>
      <c r="C25" s="27"/>
      <c r="D25" s="27"/>
      <c r="E25" s="27"/>
      <c r="F25" s="27"/>
      <c r="G25" s="27"/>
      <c r="H25" s="27"/>
      <c r="I25" s="27"/>
      <c r="J25" s="27"/>
    </row>
    <row r="26" spans="2:10" ht="14.25" customHeight="1" thickBot="1" x14ac:dyDescent="0.3">
      <c r="B26" s="27"/>
      <c r="C26" s="266" t="s">
        <v>3186</v>
      </c>
      <c r="D26" s="267"/>
      <c r="E26" s="27"/>
      <c r="F26" s="27"/>
      <c r="G26" s="27"/>
      <c r="H26" s="27"/>
      <c r="I26" s="27"/>
      <c r="J26" s="27"/>
    </row>
    <row r="27" spans="2:10" ht="14.25" customHeight="1" thickBot="1" x14ac:dyDescent="0.3">
      <c r="B27" s="29" t="s">
        <v>3185</v>
      </c>
      <c r="C27" s="21" t="s">
        <v>3184</v>
      </c>
      <c r="D27" s="7" t="s">
        <v>3183</v>
      </c>
      <c r="H27" s="27"/>
      <c r="I27" s="27"/>
      <c r="J27" s="27"/>
    </row>
    <row r="28" spans="2:10" ht="14.25" customHeight="1" x14ac:dyDescent="0.25">
      <c r="B28" s="28">
        <v>0</v>
      </c>
      <c r="C28" s="28">
        <v>0</v>
      </c>
      <c r="D28" s="28">
        <v>0</v>
      </c>
      <c r="H28" s="27"/>
      <c r="I28" s="27"/>
      <c r="J28" s="27"/>
    </row>
    <row r="29" spans="2:10" ht="13.5" customHeight="1" x14ac:dyDescent="0.25">
      <c r="B29" s="28">
        <f t="shared" ref="B29:D34" si="1">B28+C18</f>
        <v>0.06</v>
      </c>
      <c r="C29" s="28">
        <f t="shared" si="1"/>
        <v>1.0513667768098528E-2</v>
      </c>
      <c r="D29" s="28">
        <f t="shared" si="1"/>
        <v>2.9513888888888888E-3</v>
      </c>
      <c r="H29" s="27"/>
      <c r="I29" s="27"/>
      <c r="J29" s="27"/>
    </row>
    <row r="30" spans="2:10" ht="13.5" customHeight="1" x14ac:dyDescent="0.25">
      <c r="B30" s="28">
        <f t="shared" si="1"/>
        <v>0.23</v>
      </c>
      <c r="C30" s="28">
        <f t="shared" si="1"/>
        <v>8.2607389606488446E-2</v>
      </c>
      <c r="D30" s="28">
        <f t="shared" si="1"/>
        <v>4.0928819444444445E-2</v>
      </c>
      <c r="H30" s="27"/>
      <c r="I30" s="27"/>
      <c r="J30" s="27"/>
    </row>
    <row r="31" spans="2:10" ht="13.5" customHeight="1" x14ac:dyDescent="0.25">
      <c r="B31" s="28">
        <f t="shared" si="1"/>
        <v>0.45</v>
      </c>
      <c r="C31" s="28">
        <f t="shared" si="1"/>
        <v>0.24992490237308501</v>
      </c>
      <c r="D31" s="28">
        <f t="shared" si="1"/>
        <v>0.15703125000000001</v>
      </c>
      <c r="H31" s="27"/>
      <c r="I31" s="27"/>
      <c r="J31" s="27"/>
    </row>
    <row r="32" spans="2:10" ht="13.5" customHeight="1" x14ac:dyDescent="0.25">
      <c r="B32" s="28">
        <f t="shared" si="1"/>
        <v>0.77</v>
      </c>
      <c r="C32" s="28">
        <f t="shared" si="1"/>
        <v>0.67527786121958544</v>
      </c>
      <c r="D32" s="28">
        <f t="shared" si="1"/>
        <v>0.4994791666666667</v>
      </c>
      <c r="H32" s="27"/>
      <c r="I32" s="27"/>
      <c r="J32" s="27"/>
    </row>
    <row r="33" spans="2:10" ht="13.5" customHeight="1" x14ac:dyDescent="0.25">
      <c r="B33" s="28">
        <f t="shared" si="1"/>
        <v>0.98</v>
      </c>
      <c r="C33" s="28">
        <f t="shared" si="1"/>
        <v>0.95764493841994591</v>
      </c>
      <c r="D33" s="28">
        <f t="shared" si="1"/>
        <v>0.92803819444444446</v>
      </c>
      <c r="H33" s="27"/>
      <c r="I33" s="27"/>
      <c r="J33" s="27"/>
    </row>
    <row r="34" spans="2:10" ht="13.5" customHeight="1" x14ac:dyDescent="0.25">
      <c r="B34" s="28">
        <f t="shared" si="1"/>
        <v>1</v>
      </c>
      <c r="C34" s="28">
        <f t="shared" si="1"/>
        <v>1</v>
      </c>
      <c r="D34" s="28">
        <f t="shared" si="1"/>
        <v>1</v>
      </c>
      <c r="H34" s="27"/>
      <c r="I34" s="27"/>
      <c r="J34" s="27"/>
    </row>
    <row r="35" spans="2:10" ht="13.5" customHeight="1" x14ac:dyDescent="0.25">
      <c r="B35" s="27"/>
      <c r="C35" s="27"/>
      <c r="H35" s="27"/>
      <c r="I35" s="27"/>
      <c r="J35" s="27"/>
    </row>
    <row r="36" spans="2:10" ht="13.5" customHeight="1" x14ac:dyDescent="0.25">
      <c r="B36" s="27"/>
      <c r="C36" s="27"/>
      <c r="D36" s="27"/>
      <c r="E36" s="27"/>
      <c r="F36" s="27"/>
      <c r="G36" s="27"/>
      <c r="H36" s="27"/>
      <c r="I36" s="27"/>
      <c r="J36" s="27"/>
    </row>
    <row r="37" spans="2:10" ht="13.5" customHeight="1" x14ac:dyDescent="0.25">
      <c r="B37" s="27"/>
      <c r="C37" s="27"/>
      <c r="D37" s="27"/>
      <c r="E37" s="27"/>
      <c r="F37" s="27"/>
      <c r="G37" s="27"/>
      <c r="H37" s="27"/>
      <c r="I37" s="27"/>
      <c r="J37" s="27"/>
    </row>
    <row r="38" spans="2:10" ht="13.5" customHeight="1" x14ac:dyDescent="0.25">
      <c r="B38" s="27"/>
      <c r="C38" s="27"/>
      <c r="D38" s="27"/>
      <c r="E38" s="27"/>
      <c r="F38" s="27"/>
      <c r="G38" s="27"/>
      <c r="H38" s="27"/>
      <c r="I38" s="27"/>
      <c r="J38" s="27"/>
    </row>
    <row r="39" spans="2:10" ht="13.5" customHeight="1" x14ac:dyDescent="0.25">
      <c r="B39" s="27"/>
      <c r="C39" s="27"/>
      <c r="D39" s="27"/>
      <c r="E39" s="27"/>
      <c r="F39" s="27"/>
      <c r="G39" s="27"/>
      <c r="H39" s="27"/>
      <c r="I39" s="27"/>
      <c r="J39" s="27"/>
    </row>
    <row r="40" spans="2:10" ht="13.5" customHeight="1" x14ac:dyDescent="0.25">
      <c r="B40" s="27"/>
      <c r="C40" s="27"/>
      <c r="D40" s="27"/>
      <c r="E40" s="27"/>
      <c r="F40" s="27"/>
      <c r="G40" s="27"/>
      <c r="H40" s="27"/>
      <c r="I40" s="27"/>
      <c r="J40" s="27"/>
    </row>
    <row r="41" spans="2:10" ht="13.5" customHeight="1" x14ac:dyDescent="0.25">
      <c r="B41" s="27"/>
      <c r="C41" s="27"/>
      <c r="D41" s="27"/>
      <c r="E41" s="27"/>
      <c r="F41" s="27"/>
      <c r="G41" s="27"/>
      <c r="H41" s="27"/>
      <c r="I41" s="27"/>
      <c r="J41" s="27"/>
    </row>
    <row r="42" spans="2:10" ht="13.5" customHeight="1" x14ac:dyDescent="0.25">
      <c r="B42" s="27"/>
      <c r="C42" s="27"/>
      <c r="D42" s="27"/>
      <c r="E42" s="27"/>
      <c r="F42" s="27"/>
      <c r="G42" s="27"/>
      <c r="H42" s="27"/>
      <c r="I42" s="27"/>
      <c r="J42" s="27"/>
    </row>
    <row r="43" spans="2:10" ht="13.5" customHeight="1" x14ac:dyDescent="0.25">
      <c r="B43" s="27"/>
      <c r="C43" s="27"/>
      <c r="D43" s="27"/>
      <c r="E43" s="27"/>
      <c r="F43" s="27"/>
      <c r="G43" s="27"/>
      <c r="H43" s="27"/>
      <c r="I43" s="27"/>
      <c r="J43" s="27"/>
    </row>
    <row r="44" spans="2:10" ht="13.5" customHeight="1" x14ac:dyDescent="0.25">
      <c r="B44" s="27"/>
      <c r="C44" s="27"/>
      <c r="D44" s="27"/>
      <c r="E44" s="27"/>
      <c r="F44" s="27"/>
      <c r="G44" s="27"/>
      <c r="H44" s="27"/>
      <c r="I44" s="27"/>
      <c r="J44" s="27"/>
    </row>
    <row r="45" spans="2:10" ht="13.5" customHeight="1" x14ac:dyDescent="0.25">
      <c r="B45" s="27"/>
      <c r="C45" s="27"/>
      <c r="D45" s="27"/>
      <c r="E45" s="27"/>
      <c r="F45" s="27"/>
      <c r="G45" s="27"/>
      <c r="H45" s="27"/>
      <c r="I45" s="27"/>
      <c r="J45" s="27"/>
    </row>
    <row r="46" spans="2:10" ht="13.5" customHeight="1" x14ac:dyDescent="0.25">
      <c r="B46" s="27"/>
      <c r="C46" s="27"/>
      <c r="D46" s="27"/>
      <c r="E46" s="27"/>
      <c r="F46" s="27"/>
      <c r="G46" s="27"/>
      <c r="H46" s="27"/>
      <c r="I46" s="27"/>
      <c r="J46" s="27"/>
    </row>
    <row r="47" spans="2:10" ht="13.5" customHeight="1" x14ac:dyDescent="0.25">
      <c r="B47" s="27"/>
      <c r="C47" s="27"/>
      <c r="D47" s="27"/>
      <c r="E47" s="27"/>
      <c r="F47" s="27"/>
      <c r="G47" s="27"/>
      <c r="H47" s="27"/>
      <c r="I47" s="27"/>
      <c r="J47" s="27"/>
    </row>
    <row r="48" spans="2:10" ht="13.5" customHeight="1" x14ac:dyDescent="0.25">
      <c r="B48" s="27"/>
      <c r="C48" s="27"/>
      <c r="D48" s="27"/>
      <c r="E48" s="27"/>
      <c r="F48" s="27"/>
      <c r="G48" s="27"/>
      <c r="H48" s="27"/>
      <c r="I48" s="27"/>
      <c r="J48" s="27"/>
    </row>
    <row r="49" spans="2:10" ht="13.5" customHeight="1" x14ac:dyDescent="0.25">
      <c r="B49" s="27"/>
      <c r="C49" s="27"/>
      <c r="D49" s="27"/>
      <c r="E49" s="27"/>
      <c r="F49" s="27"/>
      <c r="G49" s="27"/>
      <c r="H49" s="27"/>
      <c r="I49" s="27"/>
      <c r="J49" s="27"/>
    </row>
    <row r="50" spans="2:10" ht="13.5" customHeight="1" x14ac:dyDescent="0.25">
      <c r="B50" s="27"/>
      <c r="C50" s="27"/>
      <c r="D50" s="27"/>
      <c r="E50" s="27"/>
      <c r="F50" s="27"/>
      <c r="G50" s="27"/>
      <c r="H50" s="27"/>
      <c r="I50" s="27"/>
      <c r="J50" s="27"/>
    </row>
    <row r="51" spans="2:10" ht="13.5" customHeight="1" x14ac:dyDescent="0.25">
      <c r="B51" s="27"/>
      <c r="C51" s="27"/>
      <c r="D51" s="27"/>
      <c r="E51" s="27"/>
      <c r="F51" s="27"/>
      <c r="G51" s="27"/>
      <c r="H51" s="27"/>
      <c r="I51" s="27"/>
      <c r="J51" s="27"/>
    </row>
    <row r="52" spans="2:10" ht="13.5" customHeight="1" x14ac:dyDescent="0.25">
      <c r="B52" s="27"/>
      <c r="C52" s="27"/>
      <c r="D52" s="27"/>
      <c r="E52" s="27"/>
      <c r="F52" s="27"/>
      <c r="G52" s="27"/>
      <c r="H52" s="27"/>
      <c r="I52" s="27"/>
      <c r="J52" s="27"/>
    </row>
    <row r="53" spans="2:10" ht="13.5" customHeight="1" x14ac:dyDescent="0.25">
      <c r="B53" s="27"/>
      <c r="C53" s="27"/>
      <c r="D53" s="27"/>
      <c r="E53" s="27"/>
      <c r="F53" s="27"/>
      <c r="G53" s="27"/>
      <c r="H53" s="27"/>
      <c r="I53" s="27"/>
      <c r="J53" s="27"/>
    </row>
    <row r="54" spans="2:10" ht="13.5" customHeight="1" x14ac:dyDescent="0.25">
      <c r="B54" s="27"/>
      <c r="C54" s="27"/>
      <c r="D54" s="27"/>
      <c r="E54" s="27"/>
      <c r="F54" s="27"/>
      <c r="G54" s="27"/>
      <c r="H54" s="27"/>
      <c r="I54" s="27"/>
      <c r="J54" s="27"/>
    </row>
    <row r="55" spans="2:10" ht="13.5" customHeight="1" x14ac:dyDescent="0.25">
      <c r="B55" s="27"/>
      <c r="C55" s="27"/>
      <c r="D55" s="27"/>
      <c r="E55" s="27"/>
      <c r="F55" s="27"/>
      <c r="G55" s="27"/>
      <c r="H55" s="27"/>
      <c r="I55" s="27"/>
      <c r="J55" s="27"/>
    </row>
    <row r="56" spans="2:10" ht="13.5" customHeight="1" x14ac:dyDescent="0.25">
      <c r="B56" s="27"/>
      <c r="C56" s="27"/>
      <c r="D56" s="27"/>
      <c r="E56" s="27"/>
      <c r="F56" s="27"/>
      <c r="G56" s="27"/>
      <c r="H56" s="27"/>
      <c r="I56" s="27"/>
      <c r="J56" s="27"/>
    </row>
    <row r="57" spans="2:10" ht="13.5" customHeight="1" x14ac:dyDescent="0.25">
      <c r="B57" s="27"/>
      <c r="C57" s="27"/>
      <c r="D57" s="27"/>
      <c r="E57" s="27"/>
      <c r="F57" s="27"/>
      <c r="G57" s="27"/>
      <c r="H57" s="27"/>
      <c r="I57" s="27"/>
      <c r="J57" s="27"/>
    </row>
    <row r="58" spans="2:10" ht="13.5" customHeight="1" x14ac:dyDescent="0.25">
      <c r="B58" s="27"/>
      <c r="C58" s="27"/>
      <c r="D58" s="27"/>
      <c r="E58" s="27"/>
      <c r="F58" s="27"/>
      <c r="G58" s="27"/>
      <c r="H58" s="27"/>
      <c r="I58" s="27"/>
      <c r="J58" s="27"/>
    </row>
    <row r="59" spans="2:10" ht="13.5" customHeight="1" x14ac:dyDescent="0.25">
      <c r="B59" s="27"/>
      <c r="C59" s="27"/>
      <c r="D59" s="27"/>
      <c r="E59" s="27"/>
      <c r="F59" s="27"/>
      <c r="G59" s="27"/>
      <c r="H59" s="27"/>
      <c r="I59" s="27"/>
      <c r="J59" s="27"/>
    </row>
    <row r="60" spans="2:10" ht="13.5" customHeight="1" x14ac:dyDescent="0.25">
      <c r="B60" s="27"/>
      <c r="C60" s="27"/>
      <c r="D60" s="27"/>
      <c r="E60" s="27"/>
      <c r="F60" s="27"/>
      <c r="G60" s="27"/>
      <c r="H60" s="27"/>
      <c r="I60" s="27"/>
      <c r="J60" s="27"/>
    </row>
    <row r="61" spans="2:10" ht="13.5" customHeight="1" x14ac:dyDescent="0.25">
      <c r="B61" s="27"/>
      <c r="C61" s="27"/>
      <c r="D61" s="27"/>
      <c r="E61" s="27"/>
      <c r="F61" s="27"/>
      <c r="G61" s="27"/>
      <c r="H61" s="27"/>
      <c r="I61" s="27"/>
      <c r="J61" s="27"/>
    </row>
    <row r="62" spans="2:10" ht="13.5" customHeight="1" x14ac:dyDescent="0.25">
      <c r="B62" s="27"/>
      <c r="C62" s="27"/>
      <c r="D62" s="27"/>
      <c r="E62" s="27"/>
      <c r="F62" s="27"/>
      <c r="G62" s="27"/>
      <c r="H62" s="27"/>
      <c r="I62" s="27"/>
      <c r="J62" s="27"/>
    </row>
    <row r="63" spans="2:10" ht="13.5" customHeight="1" x14ac:dyDescent="0.25">
      <c r="B63" s="27"/>
      <c r="C63" s="27"/>
      <c r="D63" s="27"/>
      <c r="E63" s="27"/>
      <c r="F63" s="27"/>
      <c r="G63" s="27"/>
      <c r="H63" s="27"/>
      <c r="I63" s="27"/>
      <c r="J63" s="27"/>
    </row>
    <row r="64" spans="2:10" ht="13.5" customHeight="1" x14ac:dyDescent="0.25">
      <c r="B64" s="27"/>
      <c r="C64" s="27"/>
      <c r="D64" s="27"/>
      <c r="E64" s="27"/>
      <c r="F64" s="27"/>
      <c r="G64" s="27"/>
      <c r="H64" s="27"/>
      <c r="I64" s="27"/>
      <c r="J64" s="27"/>
    </row>
    <row r="65" spans="2:10" ht="13.5" customHeight="1" x14ac:dyDescent="0.25">
      <c r="B65" s="27"/>
      <c r="C65" s="27"/>
      <c r="D65" s="27"/>
      <c r="E65" s="27"/>
      <c r="F65" s="27"/>
      <c r="G65" s="27"/>
      <c r="H65" s="27"/>
      <c r="I65" s="27"/>
      <c r="J65" s="27"/>
    </row>
    <row r="66" spans="2:10" ht="13.5" customHeight="1" x14ac:dyDescent="0.25">
      <c r="B66" s="27"/>
      <c r="C66" s="27"/>
      <c r="D66" s="27"/>
      <c r="E66" s="27"/>
      <c r="F66" s="27"/>
      <c r="G66" s="27"/>
      <c r="H66" s="27"/>
      <c r="I66" s="27"/>
      <c r="J66" s="27"/>
    </row>
    <row r="67" spans="2:10" ht="13.5" customHeight="1" x14ac:dyDescent="0.25">
      <c r="B67" s="27"/>
      <c r="C67" s="27"/>
      <c r="D67" s="27"/>
      <c r="E67" s="27"/>
      <c r="F67" s="27"/>
      <c r="G67" s="27"/>
      <c r="H67" s="27"/>
      <c r="I67" s="27"/>
      <c r="J67" s="27"/>
    </row>
    <row r="68" spans="2:10" ht="13.5" customHeight="1" x14ac:dyDescent="0.25">
      <c r="B68" s="27"/>
      <c r="C68" s="27"/>
      <c r="D68" s="27"/>
      <c r="E68" s="27"/>
      <c r="F68" s="27"/>
      <c r="G68" s="27"/>
      <c r="H68" s="27"/>
      <c r="I68" s="27"/>
      <c r="J68" s="27"/>
    </row>
    <row r="69" spans="2:10" ht="13.5" customHeight="1" x14ac:dyDescent="0.25">
      <c r="B69" s="27"/>
      <c r="C69" s="27"/>
      <c r="D69" s="27"/>
      <c r="E69" s="27"/>
      <c r="F69" s="27"/>
      <c r="G69" s="27"/>
      <c r="H69" s="27"/>
      <c r="I69" s="27"/>
      <c r="J69" s="27"/>
    </row>
    <row r="70" spans="2:10" ht="13.5" customHeight="1" x14ac:dyDescent="0.25">
      <c r="B70" s="27"/>
      <c r="C70" s="27"/>
      <c r="D70" s="27"/>
      <c r="E70" s="27"/>
      <c r="F70" s="27"/>
      <c r="G70" s="27"/>
      <c r="H70" s="27"/>
      <c r="I70" s="27"/>
      <c r="J70" s="27"/>
    </row>
    <row r="71" spans="2:10" ht="13.5" customHeight="1" x14ac:dyDescent="0.25">
      <c r="B71" s="27"/>
      <c r="C71" s="27"/>
      <c r="D71" s="27"/>
      <c r="E71" s="27"/>
      <c r="F71" s="27"/>
      <c r="G71" s="27"/>
      <c r="H71" s="27"/>
      <c r="I71" s="27"/>
      <c r="J71" s="27"/>
    </row>
    <row r="72" spans="2:10" ht="13.5" customHeight="1" x14ac:dyDescent="0.25">
      <c r="B72" s="27"/>
      <c r="C72" s="27"/>
      <c r="D72" s="27"/>
      <c r="E72" s="27"/>
      <c r="F72" s="27"/>
      <c r="G72" s="27"/>
      <c r="H72" s="27"/>
      <c r="I72" s="27"/>
      <c r="J72" s="27"/>
    </row>
    <row r="73" spans="2:10" ht="13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</row>
    <row r="74" spans="2:10" ht="13.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</row>
    <row r="75" spans="2:10" ht="13.5" customHeight="1" x14ac:dyDescent="0.25">
      <c r="B75" s="27"/>
      <c r="C75" s="27"/>
      <c r="D75" s="27"/>
      <c r="E75" s="27"/>
      <c r="F75" s="27"/>
      <c r="G75" s="27"/>
      <c r="H75" s="27"/>
      <c r="I75" s="27"/>
      <c r="J75" s="27"/>
    </row>
    <row r="76" spans="2:10" ht="13.5" customHeight="1" x14ac:dyDescent="0.25">
      <c r="B76" s="27"/>
      <c r="C76" s="27"/>
      <c r="D76" s="27"/>
      <c r="E76" s="27"/>
      <c r="F76" s="27"/>
      <c r="G76" s="27"/>
      <c r="H76" s="27"/>
      <c r="I76" s="27"/>
      <c r="J76" s="27"/>
    </row>
    <row r="77" spans="2:10" ht="13.5" customHeight="1" x14ac:dyDescent="0.25">
      <c r="B77" s="27"/>
      <c r="C77" s="27"/>
      <c r="D77" s="27"/>
      <c r="E77" s="27"/>
      <c r="F77" s="27"/>
      <c r="G77" s="27"/>
      <c r="H77" s="27"/>
      <c r="I77" s="27"/>
      <c r="J77" s="27"/>
    </row>
    <row r="78" spans="2:10" ht="13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</row>
    <row r="79" spans="2:10" ht="13.5" customHeight="1" x14ac:dyDescent="0.25">
      <c r="B79" s="27"/>
      <c r="C79" s="27"/>
      <c r="D79" s="27"/>
      <c r="E79" s="27"/>
      <c r="F79" s="27"/>
      <c r="G79" s="27"/>
      <c r="H79" s="27"/>
      <c r="I79" s="27"/>
      <c r="J79" s="27"/>
    </row>
    <row r="80" spans="2:10" ht="13.5" customHeight="1" x14ac:dyDescent="0.25">
      <c r="B80" s="27"/>
      <c r="C80" s="27"/>
      <c r="D80" s="27"/>
      <c r="E80" s="27"/>
      <c r="F80" s="27"/>
      <c r="G80" s="27"/>
      <c r="H80" s="27"/>
      <c r="I80" s="27"/>
      <c r="J80" s="27"/>
    </row>
    <row r="81" spans="2:10" ht="13.5" customHeight="1" x14ac:dyDescent="0.25">
      <c r="B81" s="27"/>
      <c r="C81" s="27"/>
      <c r="D81" s="27"/>
      <c r="E81" s="27"/>
      <c r="F81" s="27"/>
      <c r="G81" s="27"/>
      <c r="H81" s="27"/>
      <c r="I81" s="27"/>
      <c r="J81" s="27"/>
    </row>
    <row r="82" spans="2:10" ht="13.5" customHeight="1" x14ac:dyDescent="0.25">
      <c r="B82" s="27"/>
      <c r="C82" s="27"/>
      <c r="D82" s="27"/>
      <c r="E82" s="27"/>
      <c r="F82" s="27"/>
      <c r="G82" s="27"/>
      <c r="H82" s="27"/>
      <c r="I82" s="27"/>
      <c r="J82" s="27"/>
    </row>
    <row r="83" spans="2:10" ht="13.5" customHeight="1" x14ac:dyDescent="0.25">
      <c r="B83" s="27"/>
      <c r="C83" s="27"/>
      <c r="D83" s="27"/>
      <c r="E83" s="27"/>
      <c r="F83" s="27"/>
      <c r="G83" s="27"/>
      <c r="H83" s="27"/>
      <c r="I83" s="27"/>
      <c r="J83" s="27"/>
    </row>
    <row r="84" spans="2:10" ht="13.5" customHeight="1" x14ac:dyDescent="0.25">
      <c r="B84" s="27"/>
      <c r="C84" s="27"/>
      <c r="D84" s="27"/>
      <c r="E84" s="27"/>
      <c r="F84" s="27"/>
      <c r="G84" s="27"/>
      <c r="H84" s="27"/>
      <c r="I84" s="27"/>
      <c r="J84" s="27"/>
    </row>
    <row r="85" spans="2:10" ht="13.5" customHeight="1" x14ac:dyDescent="0.25">
      <c r="B85" s="27"/>
      <c r="C85" s="27"/>
      <c r="D85" s="27"/>
      <c r="E85" s="27"/>
      <c r="F85" s="27"/>
      <c r="G85" s="27"/>
      <c r="H85" s="27"/>
      <c r="I85" s="27"/>
      <c r="J85" s="27"/>
    </row>
    <row r="86" spans="2:10" ht="13.5" customHeight="1" x14ac:dyDescent="0.25">
      <c r="B86" s="27"/>
      <c r="C86" s="27"/>
      <c r="D86" s="27"/>
      <c r="E86" s="27"/>
      <c r="F86" s="27"/>
      <c r="G86" s="27"/>
      <c r="H86" s="27"/>
      <c r="I86" s="27"/>
      <c r="J86" s="27"/>
    </row>
    <row r="87" spans="2:10" ht="13.5" customHeight="1" x14ac:dyDescent="0.25">
      <c r="B87" s="27"/>
      <c r="C87" s="27"/>
      <c r="D87" s="27"/>
      <c r="E87" s="27"/>
      <c r="F87" s="27"/>
      <c r="G87" s="27"/>
      <c r="H87" s="27"/>
      <c r="I87" s="27"/>
      <c r="J87" s="27"/>
    </row>
    <row r="88" spans="2:10" ht="13.5" customHeight="1" x14ac:dyDescent="0.25">
      <c r="B88" s="27"/>
      <c r="C88" s="27"/>
      <c r="D88" s="27"/>
      <c r="E88" s="27"/>
      <c r="F88" s="27"/>
      <c r="G88" s="27"/>
      <c r="H88" s="27"/>
      <c r="I88" s="27"/>
      <c r="J88" s="27"/>
    </row>
    <row r="89" spans="2:10" ht="13.5" customHeight="1" x14ac:dyDescent="0.25">
      <c r="B89" s="27"/>
      <c r="C89" s="27"/>
      <c r="D89" s="27"/>
      <c r="E89" s="27"/>
      <c r="F89" s="27"/>
      <c r="G89" s="27"/>
      <c r="H89" s="27"/>
      <c r="I89" s="27"/>
      <c r="J89" s="27"/>
    </row>
    <row r="90" spans="2:10" ht="13.5" customHeight="1" x14ac:dyDescent="0.25">
      <c r="B90" s="27"/>
      <c r="C90" s="27"/>
      <c r="D90" s="27"/>
      <c r="E90" s="27"/>
      <c r="F90" s="27"/>
      <c r="G90" s="27"/>
      <c r="H90" s="27"/>
      <c r="I90" s="27"/>
      <c r="J90" s="27"/>
    </row>
    <row r="91" spans="2:10" ht="13.5" customHeight="1" x14ac:dyDescent="0.25">
      <c r="B91" s="27"/>
      <c r="C91" s="27"/>
      <c r="D91" s="27"/>
      <c r="E91" s="27"/>
      <c r="F91" s="27"/>
      <c r="G91" s="27"/>
      <c r="H91" s="27"/>
      <c r="I91" s="27"/>
      <c r="J91" s="27"/>
    </row>
    <row r="92" spans="2:10" ht="13.5" customHeight="1" x14ac:dyDescent="0.25">
      <c r="B92" s="27"/>
      <c r="C92" s="27"/>
      <c r="D92" s="27"/>
      <c r="E92" s="27"/>
      <c r="F92" s="27"/>
      <c r="G92" s="27"/>
      <c r="H92" s="27"/>
      <c r="I92" s="27"/>
      <c r="J92" s="27"/>
    </row>
    <row r="93" spans="2:10" ht="13.5" customHeight="1" x14ac:dyDescent="0.25">
      <c r="B93" s="27"/>
      <c r="C93" s="27"/>
      <c r="D93" s="27"/>
      <c r="E93" s="27"/>
      <c r="F93" s="27"/>
      <c r="G93" s="27"/>
      <c r="H93" s="27"/>
      <c r="I93" s="27"/>
      <c r="J93" s="27"/>
    </row>
    <row r="94" spans="2:10" ht="13.5" customHeight="1" x14ac:dyDescent="0.25">
      <c r="B94" s="27"/>
      <c r="C94" s="27"/>
      <c r="D94" s="27"/>
      <c r="E94" s="27"/>
      <c r="F94" s="27"/>
      <c r="G94" s="27"/>
      <c r="H94" s="27"/>
      <c r="I94" s="27"/>
      <c r="J94" s="27"/>
    </row>
    <row r="95" spans="2:10" ht="13.5" customHeight="1" x14ac:dyDescent="0.25">
      <c r="B95" s="27"/>
      <c r="C95" s="27"/>
      <c r="D95" s="27"/>
      <c r="E95" s="27"/>
      <c r="F95" s="27"/>
      <c r="G95" s="27"/>
      <c r="H95" s="27"/>
      <c r="I95" s="27"/>
      <c r="J95" s="27"/>
    </row>
    <row r="96" spans="2:10" ht="13.5" customHeight="1" x14ac:dyDescent="0.25">
      <c r="B96" s="27"/>
      <c r="C96" s="27"/>
      <c r="D96" s="27"/>
      <c r="E96" s="27"/>
      <c r="F96" s="27"/>
      <c r="G96" s="27"/>
      <c r="H96" s="27"/>
      <c r="I96" s="27"/>
      <c r="J96" s="27"/>
    </row>
    <row r="97" spans="2:10" ht="13.5" customHeight="1" x14ac:dyDescent="0.25">
      <c r="B97" s="27"/>
      <c r="C97" s="27"/>
      <c r="D97" s="27"/>
      <c r="E97" s="27"/>
      <c r="F97" s="27"/>
      <c r="G97" s="27"/>
      <c r="H97" s="27"/>
      <c r="I97" s="27"/>
      <c r="J97" s="27"/>
    </row>
    <row r="98" spans="2:10" ht="13.5" customHeight="1" x14ac:dyDescent="0.25">
      <c r="B98" s="27"/>
      <c r="C98" s="27"/>
      <c r="D98" s="27"/>
      <c r="E98" s="27"/>
      <c r="F98" s="27"/>
      <c r="G98" s="27"/>
      <c r="H98" s="27"/>
      <c r="I98" s="27"/>
      <c r="J98" s="27"/>
    </row>
    <row r="99" spans="2:10" ht="13.5" customHeight="1" x14ac:dyDescent="0.25">
      <c r="B99" s="27"/>
      <c r="C99" s="27"/>
      <c r="D99" s="27"/>
      <c r="E99" s="27"/>
      <c r="F99" s="27"/>
      <c r="G99" s="27"/>
      <c r="H99" s="27"/>
      <c r="I99" s="27"/>
      <c r="J99" s="27"/>
    </row>
    <row r="100" spans="2:10" ht="13.5" customHeight="1" x14ac:dyDescent="0.25">
      <c r="B100" s="27"/>
      <c r="C100" s="27"/>
      <c r="D100" s="27"/>
      <c r="E100" s="27"/>
      <c r="F100" s="27"/>
      <c r="G100" s="27"/>
      <c r="H100" s="27"/>
      <c r="I100" s="27"/>
      <c r="J100" s="27"/>
    </row>
    <row r="101" spans="2:10" ht="13.5" customHeight="1" x14ac:dyDescent="0.25">
      <c r="B101" s="27"/>
      <c r="C101" s="27"/>
      <c r="D101" s="27"/>
      <c r="E101" s="27"/>
      <c r="F101" s="27"/>
      <c r="G101" s="27"/>
      <c r="H101" s="27"/>
      <c r="I101" s="27"/>
      <c r="J101" s="27"/>
    </row>
    <row r="102" spans="2:10" ht="13.5" customHeight="1" x14ac:dyDescent="0.25">
      <c r="B102" s="27"/>
      <c r="C102" s="27"/>
      <c r="D102" s="27"/>
      <c r="E102" s="27"/>
      <c r="F102" s="27"/>
      <c r="G102" s="27"/>
      <c r="H102" s="27"/>
      <c r="I102" s="27"/>
      <c r="J102" s="27"/>
    </row>
    <row r="103" spans="2:10" ht="13.5" customHeight="1" x14ac:dyDescent="0.25">
      <c r="B103" s="27"/>
      <c r="C103" s="27"/>
      <c r="D103" s="27"/>
      <c r="E103" s="27"/>
      <c r="F103" s="27"/>
      <c r="G103" s="27"/>
      <c r="H103" s="27"/>
      <c r="I103" s="27"/>
      <c r="J103" s="27"/>
    </row>
    <row r="104" spans="2:10" ht="13.5" customHeight="1" x14ac:dyDescent="0.25">
      <c r="B104" s="27"/>
      <c r="C104" s="27"/>
      <c r="D104" s="27"/>
      <c r="E104" s="27"/>
      <c r="F104" s="27"/>
      <c r="G104" s="27"/>
      <c r="H104" s="27"/>
      <c r="I104" s="27"/>
      <c r="J104" s="27"/>
    </row>
    <row r="105" spans="2:10" ht="13.5" customHeight="1" x14ac:dyDescent="0.25">
      <c r="B105" s="27"/>
      <c r="C105" s="27"/>
      <c r="D105" s="27"/>
      <c r="E105" s="27"/>
      <c r="F105" s="27"/>
      <c r="G105" s="27"/>
      <c r="H105" s="27"/>
      <c r="I105" s="27"/>
      <c r="J105" s="27"/>
    </row>
    <row r="106" spans="2:10" ht="13.5" customHeight="1" x14ac:dyDescent="0.25">
      <c r="B106" s="27"/>
      <c r="C106" s="27"/>
      <c r="D106" s="27"/>
      <c r="E106" s="27"/>
      <c r="F106" s="27"/>
      <c r="G106" s="27"/>
      <c r="H106" s="27"/>
      <c r="I106" s="27"/>
      <c r="J106" s="27"/>
    </row>
    <row r="107" spans="2:10" ht="13.5" customHeight="1" x14ac:dyDescent="0.25">
      <c r="B107" s="27"/>
      <c r="C107" s="27"/>
      <c r="D107" s="27"/>
      <c r="E107" s="27"/>
      <c r="F107" s="27"/>
      <c r="G107" s="27"/>
      <c r="H107" s="27"/>
      <c r="I107" s="27"/>
      <c r="J107" s="27"/>
    </row>
    <row r="108" spans="2:10" ht="13.5" customHeight="1" x14ac:dyDescent="0.25">
      <c r="B108" s="27"/>
      <c r="C108" s="27"/>
      <c r="D108" s="27"/>
      <c r="E108" s="27"/>
      <c r="F108" s="27"/>
      <c r="G108" s="27"/>
      <c r="H108" s="27"/>
      <c r="I108" s="27"/>
      <c r="J108" s="27"/>
    </row>
    <row r="109" spans="2:10" ht="13.5" customHeight="1" x14ac:dyDescent="0.25">
      <c r="B109" s="27"/>
      <c r="C109" s="27"/>
      <c r="D109" s="27"/>
      <c r="E109" s="27"/>
      <c r="F109" s="27"/>
      <c r="G109" s="27"/>
      <c r="H109" s="27"/>
      <c r="I109" s="27"/>
      <c r="J109" s="27"/>
    </row>
    <row r="110" spans="2:10" ht="13.5" customHeight="1" x14ac:dyDescent="0.25">
      <c r="B110" s="27"/>
      <c r="C110" s="27"/>
      <c r="D110" s="27"/>
      <c r="E110" s="27"/>
      <c r="F110" s="27"/>
      <c r="G110" s="27"/>
      <c r="H110" s="27"/>
      <c r="I110" s="27"/>
      <c r="J110" s="27"/>
    </row>
    <row r="111" spans="2:10" ht="13.5" customHeight="1" x14ac:dyDescent="0.25">
      <c r="B111" s="27"/>
      <c r="C111" s="27"/>
      <c r="D111" s="27"/>
      <c r="E111" s="27"/>
      <c r="F111" s="27"/>
      <c r="G111" s="27"/>
      <c r="H111" s="27"/>
      <c r="I111" s="27"/>
      <c r="J111" s="27"/>
    </row>
    <row r="112" spans="2:10" ht="13.5" customHeight="1" x14ac:dyDescent="0.25">
      <c r="B112" s="27"/>
      <c r="C112" s="27"/>
      <c r="D112" s="27"/>
      <c r="E112" s="27"/>
      <c r="F112" s="27"/>
      <c r="G112" s="27"/>
      <c r="H112" s="27"/>
      <c r="I112" s="27"/>
      <c r="J112" s="27"/>
    </row>
    <row r="113" spans="2:10" ht="13.5" customHeight="1" x14ac:dyDescent="0.25">
      <c r="B113" s="27"/>
      <c r="C113" s="27"/>
      <c r="D113" s="27"/>
      <c r="E113" s="27"/>
      <c r="F113" s="27"/>
      <c r="G113" s="27"/>
      <c r="H113" s="27"/>
      <c r="I113" s="27"/>
      <c r="J113" s="27"/>
    </row>
    <row r="114" spans="2:10" ht="13.5" customHeight="1" x14ac:dyDescent="0.25">
      <c r="B114" s="27"/>
      <c r="C114" s="27"/>
      <c r="D114" s="27"/>
      <c r="E114" s="27"/>
      <c r="F114" s="27"/>
      <c r="G114" s="27"/>
      <c r="H114" s="27"/>
      <c r="I114" s="27"/>
      <c r="J114" s="27"/>
    </row>
    <row r="115" spans="2:10" ht="13.5" customHeight="1" x14ac:dyDescent="0.25">
      <c r="B115" s="27"/>
      <c r="C115" s="27"/>
      <c r="D115" s="27"/>
      <c r="E115" s="27"/>
      <c r="F115" s="27"/>
      <c r="G115" s="27"/>
      <c r="H115" s="27"/>
      <c r="I115" s="27"/>
      <c r="J115" s="27"/>
    </row>
    <row r="116" spans="2:10" ht="13.5" customHeight="1" x14ac:dyDescent="0.25">
      <c r="B116" s="27"/>
      <c r="C116" s="27"/>
      <c r="D116" s="27"/>
      <c r="E116" s="27"/>
      <c r="F116" s="27"/>
      <c r="G116" s="27"/>
      <c r="H116" s="27"/>
      <c r="I116" s="27"/>
      <c r="J116" s="27"/>
    </row>
    <row r="117" spans="2:10" ht="13.5" customHeight="1" x14ac:dyDescent="0.25">
      <c r="B117" s="27"/>
      <c r="C117" s="27"/>
      <c r="D117" s="27"/>
      <c r="E117" s="27"/>
      <c r="F117" s="27"/>
      <c r="G117" s="27"/>
      <c r="H117" s="27"/>
      <c r="I117" s="27"/>
      <c r="J117" s="27"/>
    </row>
    <row r="118" spans="2:10" ht="13.5" customHeight="1" x14ac:dyDescent="0.25">
      <c r="B118" s="27"/>
      <c r="C118" s="27"/>
      <c r="D118" s="27"/>
      <c r="E118" s="27"/>
      <c r="F118" s="27"/>
      <c r="G118" s="27"/>
      <c r="H118" s="27"/>
      <c r="I118" s="27"/>
      <c r="J118" s="27"/>
    </row>
  </sheetData>
  <mergeCells count="4">
    <mergeCell ref="B2:I2"/>
    <mergeCell ref="B13:I13"/>
    <mergeCell ref="C26:D26"/>
    <mergeCell ref="D16:E16"/>
  </mergeCells>
  <pageMargins left="0.7" right="0.7" top="0.75" bottom="0.75" header="0.3" footer="0.3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080"/>
  </sheetPr>
  <dimension ref="B1:T32"/>
  <sheetViews>
    <sheetView zoomScaleNormal="100" workbookViewId="0"/>
  </sheetViews>
  <sheetFormatPr defaultRowHeight="13.5" customHeight="1" x14ac:dyDescent="0.2"/>
  <cols>
    <col min="1" max="1" width="2.5703125" customWidth="1"/>
  </cols>
  <sheetData>
    <row r="1" spans="2:20" ht="13.5" customHeight="1" thickBot="1" x14ac:dyDescent="0.25"/>
    <row r="2" spans="2:20" ht="111" customHeight="1" thickBot="1" x14ac:dyDescent="0.25">
      <c r="B2" s="263" t="s">
        <v>3203</v>
      </c>
      <c r="C2" s="264"/>
      <c r="D2" s="264"/>
      <c r="E2" s="264"/>
      <c r="F2" s="264"/>
      <c r="G2" s="264"/>
      <c r="H2" s="264"/>
      <c r="I2" s="264"/>
      <c r="J2" s="265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6" customHeight="1" thickBot="1" x14ac:dyDescent="0.25"/>
    <row r="4" spans="2:20" ht="13.5" customHeight="1" thickBot="1" x14ac:dyDescent="0.25">
      <c r="B4" s="263" t="s">
        <v>3202</v>
      </c>
      <c r="C4" s="264"/>
      <c r="D4" s="264"/>
      <c r="E4" s="264"/>
      <c r="F4" s="264"/>
      <c r="G4" s="264"/>
      <c r="H4" s="264"/>
      <c r="I4" s="264"/>
      <c r="J4" s="265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s="1" customFormat="1" ht="13.5" customHeight="1" thickBot="1" x14ac:dyDescent="0.25">
      <c r="B5" s="2"/>
      <c r="C5" s="2"/>
      <c r="D5" s="2"/>
      <c r="E5" s="2"/>
      <c r="F5" s="2"/>
      <c r="G5" s="2"/>
      <c r="H5" s="2"/>
      <c r="I5" s="2"/>
      <c r="J5" s="2"/>
    </row>
    <row r="6" spans="2:20" s="8" customFormat="1" ht="13.5" customHeight="1" thickBot="1" x14ac:dyDescent="0.25"/>
    <row r="7" spans="2:20" ht="13.5" customHeight="1" thickBot="1" x14ac:dyDescent="0.25">
      <c r="B7" s="25">
        <v>1977</v>
      </c>
      <c r="C7" s="9">
        <v>1995</v>
      </c>
      <c r="D7" s="3">
        <v>2010</v>
      </c>
    </row>
    <row r="8" spans="2:20" ht="13.5" customHeight="1" x14ac:dyDescent="0.2">
      <c r="B8" s="58">
        <v>4.5</v>
      </c>
      <c r="C8" s="58">
        <v>3.3</v>
      </c>
      <c r="D8" s="58">
        <v>1.8</v>
      </c>
    </row>
    <row r="9" spans="2:20" ht="13.5" customHeight="1" x14ac:dyDescent="0.2">
      <c r="B9" s="57">
        <v>6.3</v>
      </c>
      <c r="C9" s="57">
        <v>5</v>
      </c>
      <c r="D9" s="57">
        <v>4.2</v>
      </c>
    </row>
    <row r="10" spans="2:20" ht="13.5" customHeight="1" x14ac:dyDescent="0.2">
      <c r="B10" s="57">
        <v>7.3</v>
      </c>
      <c r="C10" s="57">
        <v>6.2</v>
      </c>
      <c r="D10" s="57">
        <v>5.8</v>
      </c>
      <c r="G10" s="5"/>
      <c r="H10" s="5"/>
    </row>
    <row r="11" spans="2:20" ht="13.5" customHeight="1" x14ac:dyDescent="0.2">
      <c r="B11" s="57">
        <v>8.1</v>
      </c>
      <c r="C11" s="57">
        <v>7.2</v>
      </c>
      <c r="D11" s="57">
        <v>7.1</v>
      </c>
    </row>
    <row r="12" spans="2:20" ht="13.5" customHeight="1" x14ac:dyDescent="0.2">
      <c r="B12" s="57">
        <v>8.9</v>
      </c>
      <c r="C12" s="57">
        <v>8.1999999999999993</v>
      </c>
      <c r="D12" s="57">
        <v>7.5</v>
      </c>
    </row>
    <row r="13" spans="2:20" ht="13.5" customHeight="1" x14ac:dyDescent="0.2">
      <c r="B13" s="57">
        <v>9.8000000000000007</v>
      </c>
      <c r="C13" s="57">
        <v>9.1</v>
      </c>
      <c r="D13" s="57">
        <v>8.1999999999999993</v>
      </c>
    </row>
    <row r="14" spans="2:20" ht="13.5" customHeight="1" x14ac:dyDescent="0.2">
      <c r="B14" s="57">
        <v>10.8</v>
      </c>
      <c r="C14" s="57">
        <v>10.199999999999999</v>
      </c>
      <c r="D14" s="57">
        <v>9.4</v>
      </c>
    </row>
    <row r="15" spans="2:20" ht="13.5" customHeight="1" x14ac:dyDescent="0.2">
      <c r="B15" s="57">
        <v>12</v>
      </c>
      <c r="C15" s="57">
        <v>11.7</v>
      </c>
      <c r="D15" s="57">
        <v>11.5</v>
      </c>
    </row>
    <row r="16" spans="2:20" ht="13.5" customHeight="1" x14ac:dyDescent="0.2">
      <c r="B16" s="57">
        <v>13.7</v>
      </c>
      <c r="C16" s="57">
        <v>14.1</v>
      </c>
      <c r="D16" s="57">
        <v>14.9</v>
      </c>
    </row>
    <row r="17" spans="2:16" ht="13.5" customHeight="1" thickBot="1" x14ac:dyDescent="0.25">
      <c r="B17" s="56">
        <v>18.600000000000001</v>
      </c>
      <c r="C17" s="56">
        <v>25</v>
      </c>
      <c r="D17" s="56">
        <v>29.6</v>
      </c>
    </row>
    <row r="18" spans="2:16" ht="13.5" customHeight="1" thickBot="1" x14ac:dyDescent="0.25">
      <c r="B18" s="55">
        <f>SUM(B8:B17)</f>
        <v>100</v>
      </c>
      <c r="C18" s="55">
        <f>SUM(C8:C17)</f>
        <v>100</v>
      </c>
      <c r="D18" s="55">
        <f>SUM(D8:D17)</f>
        <v>100</v>
      </c>
    </row>
    <row r="19" spans="2:16" ht="13.5" customHeight="1" thickBot="1" x14ac:dyDescent="0.25"/>
    <row r="20" spans="2:16" ht="13.5" customHeight="1" x14ac:dyDescent="0.2">
      <c r="B20" s="268" t="s">
        <v>3201</v>
      </c>
      <c r="C20" s="269"/>
      <c r="D20" s="269"/>
      <c r="E20" s="270"/>
    </row>
    <row r="21" spans="2:16" ht="13.5" customHeight="1" thickBot="1" x14ac:dyDescent="0.25">
      <c r="B21" s="54" t="s">
        <v>3200</v>
      </c>
      <c r="C21" s="21">
        <v>1977</v>
      </c>
      <c r="D21" s="21">
        <v>1995</v>
      </c>
      <c r="E21" s="7">
        <v>2010</v>
      </c>
    </row>
    <row r="22" spans="2:16" ht="13.5" customHeight="1" x14ac:dyDescent="0.2">
      <c r="B22" s="53">
        <v>0</v>
      </c>
      <c r="C22" s="52">
        <v>0</v>
      </c>
      <c r="D22" s="52">
        <v>0</v>
      </c>
      <c r="E22" s="52">
        <v>0</v>
      </c>
    </row>
    <row r="23" spans="2:16" ht="13.5" customHeight="1" x14ac:dyDescent="0.2">
      <c r="B23" s="51">
        <f t="shared" ref="B23:B32" si="0">B22+10</f>
        <v>10</v>
      </c>
      <c r="C23" s="50">
        <f>B8</f>
        <v>4.5</v>
      </c>
      <c r="D23" s="50">
        <f>C8</f>
        <v>3.3</v>
      </c>
      <c r="E23" s="50">
        <f>D8</f>
        <v>1.8</v>
      </c>
    </row>
    <row r="24" spans="2:16" ht="13.5" customHeight="1" x14ac:dyDescent="0.2">
      <c r="B24" s="51">
        <f t="shared" si="0"/>
        <v>20</v>
      </c>
      <c r="C24" s="50">
        <f t="shared" ref="C24:C32" si="1">C23+B9</f>
        <v>10.8</v>
      </c>
      <c r="D24" s="50">
        <f t="shared" ref="D24:D32" si="2">D23+C9</f>
        <v>8.3000000000000007</v>
      </c>
      <c r="E24" s="50">
        <f t="shared" ref="E24:E32" si="3">E23+D9</f>
        <v>6</v>
      </c>
    </row>
    <row r="25" spans="2:16" ht="13.5" customHeight="1" x14ac:dyDescent="0.2">
      <c r="B25" s="51">
        <f t="shared" si="0"/>
        <v>30</v>
      </c>
      <c r="C25" s="50">
        <f t="shared" si="1"/>
        <v>18.100000000000001</v>
      </c>
      <c r="D25" s="50">
        <f t="shared" si="2"/>
        <v>14.5</v>
      </c>
      <c r="E25" s="50">
        <f t="shared" si="3"/>
        <v>11.8</v>
      </c>
    </row>
    <row r="26" spans="2:16" ht="13.5" customHeight="1" x14ac:dyDescent="0.2">
      <c r="B26" s="51">
        <f t="shared" si="0"/>
        <v>40</v>
      </c>
      <c r="C26" s="50">
        <f t="shared" si="1"/>
        <v>26.200000000000003</v>
      </c>
      <c r="D26" s="50">
        <f t="shared" si="2"/>
        <v>21.7</v>
      </c>
      <c r="E26" s="50">
        <f t="shared" si="3"/>
        <v>18.899999999999999</v>
      </c>
    </row>
    <row r="27" spans="2:16" ht="13.5" customHeight="1" x14ac:dyDescent="0.2">
      <c r="B27" s="51">
        <f t="shared" si="0"/>
        <v>50</v>
      </c>
      <c r="C27" s="50">
        <f t="shared" si="1"/>
        <v>35.1</v>
      </c>
      <c r="D27" s="50">
        <f t="shared" si="2"/>
        <v>29.9</v>
      </c>
      <c r="E27" s="50">
        <f t="shared" si="3"/>
        <v>26.4</v>
      </c>
    </row>
    <row r="28" spans="2:16" ht="13.5" customHeight="1" x14ac:dyDescent="0.2">
      <c r="B28" s="51">
        <f t="shared" si="0"/>
        <v>60</v>
      </c>
      <c r="C28" s="50">
        <f t="shared" si="1"/>
        <v>44.900000000000006</v>
      </c>
      <c r="D28" s="50">
        <f t="shared" si="2"/>
        <v>39</v>
      </c>
      <c r="E28" s="50">
        <f t="shared" si="3"/>
        <v>34.599999999999994</v>
      </c>
    </row>
    <row r="29" spans="2:16" ht="13.5" customHeight="1" x14ac:dyDescent="0.2">
      <c r="B29" s="51">
        <f t="shared" si="0"/>
        <v>70</v>
      </c>
      <c r="C29" s="50">
        <f t="shared" si="1"/>
        <v>55.7</v>
      </c>
      <c r="D29" s="50">
        <f t="shared" si="2"/>
        <v>49.2</v>
      </c>
      <c r="E29" s="50">
        <f t="shared" si="3"/>
        <v>43.999999999999993</v>
      </c>
    </row>
    <row r="30" spans="2:16" ht="13.5" customHeight="1" x14ac:dyDescent="0.25">
      <c r="B30" s="51">
        <f t="shared" si="0"/>
        <v>80</v>
      </c>
      <c r="C30" s="50">
        <f t="shared" si="1"/>
        <v>67.7</v>
      </c>
      <c r="D30" s="50">
        <f t="shared" si="2"/>
        <v>60.900000000000006</v>
      </c>
      <c r="E30" s="50">
        <f t="shared" si="3"/>
        <v>55.499999999999993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2:16" ht="13.5" customHeight="1" x14ac:dyDescent="0.25">
      <c r="B31" s="51">
        <f t="shared" si="0"/>
        <v>90</v>
      </c>
      <c r="C31" s="50">
        <f t="shared" si="1"/>
        <v>81.400000000000006</v>
      </c>
      <c r="D31" s="50">
        <f t="shared" si="2"/>
        <v>75</v>
      </c>
      <c r="E31" s="50">
        <f t="shared" si="3"/>
        <v>70.399999999999991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3.5" customHeight="1" x14ac:dyDescent="0.25">
      <c r="B32" s="51">
        <f t="shared" si="0"/>
        <v>100</v>
      </c>
      <c r="C32" s="50">
        <f t="shared" si="1"/>
        <v>100</v>
      </c>
      <c r="D32" s="50">
        <f t="shared" si="2"/>
        <v>100</v>
      </c>
      <c r="E32" s="50">
        <f t="shared" si="3"/>
        <v>100</v>
      </c>
      <c r="F32" s="49"/>
    </row>
  </sheetData>
  <mergeCells count="3">
    <mergeCell ref="B20:E20"/>
    <mergeCell ref="B2:J2"/>
    <mergeCell ref="B4:J4"/>
  </mergeCells>
  <pageMargins left="0.75" right="0.75" top="1" bottom="1" header="0.5" footer="0.5"/>
  <pageSetup scale="7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80"/>
  </sheetPr>
  <dimension ref="B1:J27"/>
  <sheetViews>
    <sheetView zoomScaleNormal="100" workbookViewId="0"/>
  </sheetViews>
  <sheetFormatPr defaultRowHeight="13.5" customHeight="1" x14ac:dyDescent="0.2"/>
  <cols>
    <col min="1" max="1" width="2.5703125" customWidth="1"/>
    <col min="2" max="2" width="11.7109375" customWidth="1"/>
    <col min="3" max="4" width="12.140625" customWidth="1"/>
    <col min="5" max="5" width="11.7109375" customWidth="1"/>
    <col min="6" max="6" width="12.28515625" bestFit="1" customWidth="1"/>
    <col min="7" max="9" width="11.7109375" customWidth="1"/>
  </cols>
  <sheetData>
    <row r="1" spans="2:10" ht="13.5" customHeight="1" thickBot="1" x14ac:dyDescent="0.25"/>
    <row r="2" spans="2:10" ht="27" customHeight="1" thickBot="1" x14ac:dyDescent="0.25">
      <c r="B2" s="263" t="s">
        <v>3182</v>
      </c>
      <c r="C2" s="264"/>
      <c r="D2" s="264"/>
      <c r="E2" s="264"/>
      <c r="F2" s="264"/>
      <c r="G2" s="264"/>
      <c r="H2" s="264"/>
      <c r="I2" s="265"/>
      <c r="J2" s="4"/>
    </row>
    <row r="3" spans="2:10" ht="13.5" customHeight="1" thickBot="1" x14ac:dyDescent="0.25"/>
    <row r="4" spans="2:10" ht="13.5" customHeight="1" thickBot="1" x14ac:dyDescent="0.25">
      <c r="B4" s="25" t="s">
        <v>3181</v>
      </c>
      <c r="C4" s="9" t="s">
        <v>3170</v>
      </c>
      <c r="D4" s="3" t="s">
        <v>3169</v>
      </c>
    </row>
    <row r="5" spans="2:10" ht="13.5" customHeight="1" x14ac:dyDescent="0.2">
      <c r="B5" s="20" t="s">
        <v>3180</v>
      </c>
      <c r="C5" s="18">
        <v>0.52800000000000002</v>
      </c>
      <c r="D5" s="18">
        <v>0.28699999999999998</v>
      </c>
    </row>
    <row r="6" spans="2:10" ht="13.5" customHeight="1" x14ac:dyDescent="0.2">
      <c r="B6" s="19" t="s">
        <v>3179</v>
      </c>
      <c r="C6" s="18">
        <v>0.21299999999999999</v>
      </c>
      <c r="D6" s="18">
        <v>0.33500000000000002</v>
      </c>
    </row>
    <row r="7" spans="2:10" ht="13.5" customHeight="1" x14ac:dyDescent="0.2">
      <c r="B7" s="19" t="s">
        <v>3178</v>
      </c>
      <c r="C7" s="18">
        <v>8.7999999999999995E-2</v>
      </c>
      <c r="D7" s="18">
        <v>0.16700000000000001</v>
      </c>
    </row>
    <row r="8" spans="2:10" ht="13.5" customHeight="1" x14ac:dyDescent="0.2">
      <c r="B8" s="19" t="s">
        <v>3177</v>
      </c>
      <c r="C8" s="18">
        <v>8.6999999999999994E-2</v>
      </c>
      <c r="D8" s="18">
        <v>0.113</v>
      </c>
    </row>
    <row r="9" spans="2:10" ht="13.5" customHeight="1" x14ac:dyDescent="0.2">
      <c r="B9" s="19" t="s">
        <v>3176</v>
      </c>
      <c r="C9" s="18">
        <v>4.2000000000000003E-2</v>
      </c>
      <c r="D9" s="18">
        <v>4.2000000000000003E-2</v>
      </c>
    </row>
    <row r="10" spans="2:10" ht="13.5" customHeight="1" x14ac:dyDescent="0.2">
      <c r="B10" s="19" t="s">
        <v>3175</v>
      </c>
      <c r="C10" s="18">
        <v>4.1000000000000002E-2</v>
      </c>
      <c r="D10" s="18">
        <v>3.1E-2</v>
      </c>
    </row>
    <row r="11" spans="2:10" ht="13.5" customHeight="1" thickBot="1" x14ac:dyDescent="0.25">
      <c r="B11" s="24" t="s">
        <v>3174</v>
      </c>
      <c r="C11" s="18">
        <v>1E-3</v>
      </c>
      <c r="D11" s="18">
        <v>2.5000000000000001E-2</v>
      </c>
    </row>
    <row r="12" spans="2:10" ht="13.5" customHeight="1" thickBot="1" x14ac:dyDescent="0.25">
      <c r="B12" s="23" t="s">
        <v>4</v>
      </c>
      <c r="C12" s="22">
        <v>1</v>
      </c>
      <c r="D12" s="22">
        <v>1</v>
      </c>
    </row>
    <row r="13" spans="2:10" ht="13.5" customHeight="1" thickBot="1" x14ac:dyDescent="0.25"/>
    <row r="14" spans="2:10" ht="57.6" customHeight="1" thickBot="1" x14ac:dyDescent="0.25">
      <c r="B14" s="263" t="s">
        <v>3306</v>
      </c>
      <c r="C14" s="264"/>
      <c r="D14" s="264"/>
      <c r="E14" s="264"/>
      <c r="F14" s="264"/>
      <c r="G14" s="264"/>
      <c r="H14" s="264"/>
      <c r="I14" s="265"/>
      <c r="J14" s="4"/>
    </row>
    <row r="15" spans="2:10" s="1" customFormat="1" ht="13.5" customHeight="1" thickBot="1" x14ac:dyDescent="0.25">
      <c r="B15" s="2"/>
      <c r="C15" s="2"/>
      <c r="D15" s="2"/>
      <c r="E15" s="2"/>
      <c r="F15" s="2"/>
      <c r="G15" s="2"/>
      <c r="H15" s="2"/>
      <c r="I15" s="2"/>
    </row>
    <row r="16" spans="2:10" ht="13.5" customHeight="1" thickBot="1" x14ac:dyDescent="0.25"/>
    <row r="17" spans="2:9" s="13" customFormat="1" ht="13.15" customHeight="1" x14ac:dyDescent="0.25">
      <c r="B17" s="10" t="s">
        <v>3172</v>
      </c>
      <c r="C17" s="17" t="s">
        <v>3170</v>
      </c>
      <c r="D17" s="16" t="s">
        <v>3169</v>
      </c>
    </row>
    <row r="18" spans="2:9" s="13" customFormat="1" ht="13.15" customHeight="1" x14ac:dyDescent="0.25">
      <c r="B18" s="243" t="s">
        <v>3307</v>
      </c>
      <c r="C18" s="242">
        <f>MAX(C5:C11)+LARGE(C5:C11,2)+LARGE(C5:C11,3)+LARGE(C5:C11,4)</f>
        <v>0.91599999999999993</v>
      </c>
      <c r="D18" s="242">
        <f>MAX(D5:D11)+LARGE(D5:D11,2)+LARGE(D5:D11,3)+LARGE(D5:D11,4)</f>
        <v>0.90200000000000002</v>
      </c>
    </row>
    <row r="19" spans="2:9" s="13" customFormat="1" ht="13.15" customHeight="1" x14ac:dyDescent="0.25">
      <c r="B19" s="271" t="s">
        <v>3167</v>
      </c>
      <c r="C19" s="242" cm="1">
        <f t="array" ref="C19">SUM(C5:C11^2)</f>
        <v>0.34291199999999994</v>
      </c>
      <c r="D19" s="242" cm="1">
        <f t="array" ref="D19">SUM(D5:D11^2)</f>
        <v>0.23860199999999995</v>
      </c>
    </row>
    <row r="20" spans="2:9" s="13" customFormat="1" ht="13.15" customHeight="1" thickBot="1" x14ac:dyDescent="0.3">
      <c r="B20" s="272"/>
      <c r="C20" s="14">
        <f>((_xlfn.STDEV.P(C5:C11)/AVERAGE(C5:C11))^2+1)/7</f>
        <v>0.34291199999999983</v>
      </c>
      <c r="D20" s="14">
        <f>((_xlfn.STDEV.P(D5:D11)/AVERAGE(D5:D11))^2+1)/7</f>
        <v>0.23860199999999995</v>
      </c>
    </row>
    <row r="21" spans="2:9" s="13" customFormat="1" ht="13.5" customHeight="1" x14ac:dyDescent="0.25"/>
    <row r="22" spans="2:9" s="13" customFormat="1" ht="13.5" customHeight="1" x14ac:dyDescent="0.25"/>
    <row r="23" spans="2:9" s="13" customFormat="1" ht="13.5" customHeight="1" x14ac:dyDescent="0.25"/>
    <row r="24" spans="2:9" s="13" customFormat="1" ht="13.5" customHeight="1" x14ac:dyDescent="0.25"/>
    <row r="25" spans="2:9" s="13" customFormat="1" ht="13.5" customHeight="1" x14ac:dyDescent="0.25"/>
    <row r="26" spans="2:9" s="13" customFormat="1" ht="13.5" customHeight="1" x14ac:dyDescent="0.25">
      <c r="B26"/>
      <c r="C26"/>
      <c r="D26"/>
      <c r="E26"/>
      <c r="F26"/>
      <c r="G26"/>
      <c r="H26"/>
      <c r="I26"/>
    </row>
    <row r="27" spans="2:9" s="13" customFormat="1" ht="13.5" customHeight="1" x14ac:dyDescent="0.25">
      <c r="B27"/>
      <c r="C27"/>
      <c r="D27"/>
      <c r="E27"/>
      <c r="F27"/>
      <c r="G27"/>
      <c r="H27"/>
      <c r="I27"/>
    </row>
  </sheetData>
  <mergeCells count="3">
    <mergeCell ref="B2:I2"/>
    <mergeCell ref="B14:I14"/>
    <mergeCell ref="B19:B20"/>
  </mergeCells>
  <pageMargins left="0.75" right="0.75" top="1" bottom="1" header="0.5" footer="0.5"/>
  <pageSetup paperSize="9" scale="91" orientation="portrait" r:id="rId1"/>
  <headerFooter alignWithMargins="0"/>
  <colBreaks count="1" manualBreakCount="1">
    <brk id="9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AE69-2F6E-4139-85C9-80118BC576E7}">
  <sheetPr>
    <tabColor theme="0" tint="-0.499984740745262"/>
  </sheetPr>
  <dimension ref="A1:P52"/>
  <sheetViews>
    <sheetView zoomScaleNormal="100" workbookViewId="0"/>
  </sheetViews>
  <sheetFormatPr defaultColWidth="8.85546875" defaultRowHeight="13.5" customHeight="1" x14ac:dyDescent="0.2"/>
  <cols>
    <col min="1" max="1" width="2.7109375" style="168" bestFit="1" customWidth="1"/>
    <col min="2" max="14" width="13.140625" style="116" customWidth="1"/>
    <col min="15" max="16384" width="8.85546875" style="116"/>
  </cols>
  <sheetData>
    <row r="1" spans="1:16" ht="13.5" customHeight="1" thickBot="1" x14ac:dyDescent="0.25"/>
    <row r="2" spans="1:16" ht="28.9" customHeight="1" thickBot="1" x14ac:dyDescent="0.25">
      <c r="B2" s="279" t="s">
        <v>3272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1"/>
      <c r="O2" s="194"/>
      <c r="P2" s="194"/>
    </row>
    <row r="3" spans="1:16" ht="13.5" customHeight="1" thickBot="1" x14ac:dyDescent="0.25"/>
    <row r="4" spans="1:16" thickBot="1" x14ac:dyDescent="0.25">
      <c r="B4" s="279" t="s">
        <v>3280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1"/>
      <c r="O4" s="194"/>
      <c r="P4" s="194"/>
    </row>
    <row r="5" spans="1:16" s="191" customFormat="1" ht="13.9" customHeight="1" thickBot="1" x14ac:dyDescent="0.25">
      <c r="A5" s="193"/>
      <c r="B5" s="192"/>
      <c r="C5" s="192"/>
      <c r="D5" s="192"/>
      <c r="E5" s="192"/>
      <c r="F5" s="192"/>
      <c r="G5" s="192"/>
      <c r="H5" s="192"/>
      <c r="I5" s="192"/>
      <c r="J5" s="192"/>
      <c r="K5" s="192"/>
    </row>
    <row r="6" spans="1:16" ht="13.5" customHeight="1" thickBot="1" x14ac:dyDescent="0.25"/>
    <row r="7" spans="1:16" ht="16.149999999999999" customHeight="1" thickBot="1" x14ac:dyDescent="0.25">
      <c r="B7" s="282" t="s">
        <v>3255</v>
      </c>
      <c r="C7" s="283"/>
      <c r="D7" s="128" t="s">
        <v>3254</v>
      </c>
      <c r="E7" s="129" t="s">
        <v>3253</v>
      </c>
      <c r="F7" s="129" t="s">
        <v>3271</v>
      </c>
      <c r="G7" s="129" t="s">
        <v>3252</v>
      </c>
      <c r="H7" s="128" t="s">
        <v>3256</v>
      </c>
      <c r="I7" s="128" t="s">
        <v>3270</v>
      </c>
      <c r="J7" s="128" t="s">
        <v>3269</v>
      </c>
      <c r="K7" s="129" t="s">
        <v>3257</v>
      </c>
      <c r="L7" s="129" t="s">
        <v>3268</v>
      </c>
      <c r="M7" s="129" t="s">
        <v>3267</v>
      </c>
      <c r="N7" s="130" t="s">
        <v>3266</v>
      </c>
    </row>
    <row r="8" spans="1:16" ht="13.5" customHeight="1" x14ac:dyDescent="0.2">
      <c r="B8" s="188">
        <v>0</v>
      </c>
      <c r="C8" s="123">
        <v>39999</v>
      </c>
      <c r="D8" s="123">
        <v>18718</v>
      </c>
      <c r="E8" s="190">
        <f t="shared" ref="E8:E24" si="0">D8/D$25</f>
        <v>9.3585273943665847E-3</v>
      </c>
      <c r="F8" s="188">
        <f>D8</f>
        <v>18718</v>
      </c>
      <c r="G8" s="190">
        <f>E8</f>
        <v>9.3585273943665847E-3</v>
      </c>
      <c r="H8" s="189">
        <f t="shared" ref="H8:H24" si="1">(B8+C8+1)/2</f>
        <v>20000</v>
      </c>
      <c r="I8" s="180">
        <f t="shared" ref="I8:I24" si="2">C8-B8+1</f>
        <v>40000</v>
      </c>
      <c r="J8" s="197">
        <f t="shared" ref="J8:J24" si="3">D8/I8</f>
        <v>0.46794999999999998</v>
      </c>
      <c r="K8" s="188">
        <f t="shared" ref="K8:K24" si="4">D8*H8/1000000</f>
        <v>374.36</v>
      </c>
      <c r="L8" s="179">
        <f t="shared" ref="L8:L24" si="5">K8/K$25</f>
        <v>7.7720685401110967E-4</v>
      </c>
      <c r="M8" s="188">
        <f>K8</f>
        <v>374.36</v>
      </c>
      <c r="N8" s="179">
        <f>L8</f>
        <v>7.7720685401110967E-4</v>
      </c>
    </row>
    <row r="9" spans="1:16" ht="13.5" customHeight="1" x14ac:dyDescent="0.2">
      <c r="B9" s="124">
        <v>40000</v>
      </c>
      <c r="C9" s="124">
        <v>59999</v>
      </c>
      <c r="D9" s="124">
        <v>10775</v>
      </c>
      <c r="E9" s="182">
        <f t="shared" si="0"/>
        <v>5.3872279449887778E-3</v>
      </c>
      <c r="F9" s="178">
        <f t="shared" ref="F9:F24" si="6">F8+D9</f>
        <v>29493</v>
      </c>
      <c r="G9" s="182">
        <f t="shared" ref="G9:G24" si="7">G8+E9</f>
        <v>1.4745755339355363E-2</v>
      </c>
      <c r="H9" s="181">
        <f t="shared" si="1"/>
        <v>50000</v>
      </c>
      <c r="I9" s="180">
        <f t="shared" si="2"/>
        <v>20000</v>
      </c>
      <c r="J9" s="197">
        <f t="shared" si="3"/>
        <v>0.53874999999999995</v>
      </c>
      <c r="K9" s="178">
        <f t="shared" si="4"/>
        <v>538.75</v>
      </c>
      <c r="L9" s="179">
        <f t="shared" si="5"/>
        <v>1.1184960802395696E-3</v>
      </c>
      <c r="M9" s="178">
        <f t="shared" ref="M9:M24" si="8">M8+K9</f>
        <v>913.11</v>
      </c>
      <c r="N9" s="177">
        <f t="shared" ref="N9:N24" si="9">N8+L9</f>
        <v>1.8957029342506794E-3</v>
      </c>
    </row>
    <row r="10" spans="1:16" ht="13.5" customHeight="1" x14ac:dyDescent="0.2">
      <c r="B10" s="124">
        <v>60000</v>
      </c>
      <c r="C10" s="124">
        <v>79999</v>
      </c>
      <c r="D10" s="124">
        <v>17621</v>
      </c>
      <c r="E10" s="182">
        <f t="shared" si="0"/>
        <v>8.8100550922178434E-3</v>
      </c>
      <c r="F10" s="178">
        <f t="shared" si="6"/>
        <v>47114</v>
      </c>
      <c r="G10" s="182">
        <f t="shared" si="7"/>
        <v>2.3555810431573204E-2</v>
      </c>
      <c r="H10" s="181">
        <f t="shared" si="1"/>
        <v>70000</v>
      </c>
      <c r="I10" s="180">
        <f t="shared" si="2"/>
        <v>20000</v>
      </c>
      <c r="J10" s="197">
        <f t="shared" si="3"/>
        <v>0.88105</v>
      </c>
      <c r="K10" s="178">
        <f t="shared" si="4"/>
        <v>1233.47</v>
      </c>
      <c r="L10" s="179">
        <f t="shared" si="5"/>
        <v>2.5608006683862684E-3</v>
      </c>
      <c r="M10" s="178">
        <f t="shared" si="8"/>
        <v>2146.58</v>
      </c>
      <c r="N10" s="177">
        <f t="shared" si="9"/>
        <v>4.4565036026369478E-3</v>
      </c>
    </row>
    <row r="11" spans="1:16" ht="13.5" customHeight="1" x14ac:dyDescent="0.2">
      <c r="B11" s="124">
        <v>80000</v>
      </c>
      <c r="C11" s="124">
        <v>99999</v>
      </c>
      <c r="D11" s="124">
        <v>36349</v>
      </c>
      <c r="E11" s="182">
        <f t="shared" si="0"/>
        <v>1.817358223409718E-2</v>
      </c>
      <c r="F11" s="178">
        <f t="shared" si="6"/>
        <v>83463</v>
      </c>
      <c r="G11" s="182">
        <f t="shared" si="7"/>
        <v>4.1729392665670384E-2</v>
      </c>
      <c r="H11" s="181">
        <f t="shared" si="1"/>
        <v>90000</v>
      </c>
      <c r="I11" s="180">
        <f t="shared" si="2"/>
        <v>20000</v>
      </c>
      <c r="J11" s="197">
        <f t="shared" si="3"/>
        <v>1.81745</v>
      </c>
      <c r="K11" s="178">
        <f t="shared" si="4"/>
        <v>3271.41</v>
      </c>
      <c r="L11" s="179">
        <f t="shared" si="5"/>
        <v>6.7917573305921681E-3</v>
      </c>
      <c r="M11" s="178">
        <f t="shared" si="8"/>
        <v>5417.99</v>
      </c>
      <c r="N11" s="177">
        <f t="shared" si="9"/>
        <v>1.1248260933229115E-2</v>
      </c>
    </row>
    <row r="12" spans="1:16" ht="13.5" customHeight="1" x14ac:dyDescent="0.2">
      <c r="B12" s="124">
        <v>100000</v>
      </c>
      <c r="C12" s="124">
        <v>119999</v>
      </c>
      <c r="D12" s="124">
        <v>73643</v>
      </c>
      <c r="E12" s="182">
        <f t="shared" si="0"/>
        <v>3.6819640608149289E-2</v>
      </c>
      <c r="F12" s="178">
        <f t="shared" si="6"/>
        <v>157106</v>
      </c>
      <c r="G12" s="182">
        <f t="shared" si="7"/>
        <v>7.8549033273819679E-2</v>
      </c>
      <c r="H12" s="181">
        <f t="shared" si="1"/>
        <v>110000</v>
      </c>
      <c r="I12" s="180">
        <f t="shared" si="2"/>
        <v>20000</v>
      </c>
      <c r="J12" s="197">
        <f t="shared" si="3"/>
        <v>3.68215</v>
      </c>
      <c r="K12" s="178">
        <f t="shared" si="4"/>
        <v>8100.73</v>
      </c>
      <c r="L12" s="179">
        <f t="shared" si="5"/>
        <v>1.6817883530541231E-2</v>
      </c>
      <c r="M12" s="178">
        <f t="shared" si="8"/>
        <v>13518.72</v>
      </c>
      <c r="N12" s="177">
        <f t="shared" si="9"/>
        <v>2.8066144463770346E-2</v>
      </c>
    </row>
    <row r="13" spans="1:16" ht="13.5" customHeight="1" x14ac:dyDescent="0.2">
      <c r="B13" s="124">
        <v>120000</v>
      </c>
      <c r="C13" s="124">
        <v>139999</v>
      </c>
      <c r="D13" s="124">
        <v>136562</v>
      </c>
      <c r="E13" s="182">
        <f t="shared" si="0"/>
        <v>6.8277551983624826E-2</v>
      </c>
      <c r="F13" s="178">
        <f t="shared" si="6"/>
        <v>293668</v>
      </c>
      <c r="G13" s="182">
        <f t="shared" si="7"/>
        <v>0.14682658525744452</v>
      </c>
      <c r="H13" s="181">
        <f t="shared" si="1"/>
        <v>130000</v>
      </c>
      <c r="I13" s="180">
        <f t="shared" si="2"/>
        <v>20000</v>
      </c>
      <c r="J13" s="197">
        <f t="shared" si="3"/>
        <v>6.8281000000000001</v>
      </c>
      <c r="K13" s="178">
        <f t="shared" si="4"/>
        <v>17753.060000000001</v>
      </c>
      <c r="L13" s="179">
        <f t="shared" si="5"/>
        <v>3.6857035772172433E-2</v>
      </c>
      <c r="M13" s="178">
        <f t="shared" si="8"/>
        <v>31271.78</v>
      </c>
      <c r="N13" s="177">
        <f t="shared" si="9"/>
        <v>6.4923180235942776E-2</v>
      </c>
    </row>
    <row r="14" spans="1:16" ht="13.5" customHeight="1" x14ac:dyDescent="0.2">
      <c r="B14" s="124">
        <v>140000</v>
      </c>
      <c r="C14" s="124">
        <v>159999</v>
      </c>
      <c r="D14" s="124">
        <v>177991</v>
      </c>
      <c r="E14" s="182">
        <f t="shared" si="0"/>
        <v>8.8991005954199315E-2</v>
      </c>
      <c r="F14" s="178">
        <f t="shared" si="6"/>
        <v>471659</v>
      </c>
      <c r="G14" s="182">
        <f t="shared" si="7"/>
        <v>0.23581759121164383</v>
      </c>
      <c r="H14" s="181">
        <f t="shared" si="1"/>
        <v>150000</v>
      </c>
      <c r="I14" s="180">
        <f t="shared" si="2"/>
        <v>20000</v>
      </c>
      <c r="J14" s="197">
        <f t="shared" si="3"/>
        <v>8.8995499999999996</v>
      </c>
      <c r="K14" s="178">
        <f t="shared" si="4"/>
        <v>26698.65</v>
      </c>
      <c r="L14" s="179">
        <f t="shared" si="5"/>
        <v>5.5428928766010563E-2</v>
      </c>
      <c r="M14" s="178">
        <f t="shared" si="8"/>
        <v>57970.43</v>
      </c>
      <c r="N14" s="177">
        <f t="shared" si="9"/>
        <v>0.12035210900195334</v>
      </c>
    </row>
    <row r="15" spans="1:16" ht="13.5" customHeight="1" x14ac:dyDescent="0.2">
      <c r="B15" s="124">
        <v>160000</v>
      </c>
      <c r="C15" s="124">
        <v>179999</v>
      </c>
      <c r="D15" s="124">
        <v>198560</v>
      </c>
      <c r="E15" s="182">
        <f t="shared" si="0"/>
        <v>9.9274986613176033E-2</v>
      </c>
      <c r="F15" s="178">
        <f t="shared" si="6"/>
        <v>670219</v>
      </c>
      <c r="G15" s="182">
        <f t="shared" si="7"/>
        <v>0.33509257782481988</v>
      </c>
      <c r="H15" s="181">
        <f t="shared" si="1"/>
        <v>170000</v>
      </c>
      <c r="I15" s="180">
        <f t="shared" si="2"/>
        <v>20000</v>
      </c>
      <c r="J15" s="197">
        <f t="shared" si="3"/>
        <v>9.9280000000000008</v>
      </c>
      <c r="K15" s="178">
        <f t="shared" si="4"/>
        <v>33755.199999999997</v>
      </c>
      <c r="L15" s="179">
        <f t="shared" si="5"/>
        <v>7.0078995615225473E-2</v>
      </c>
      <c r="M15" s="178">
        <f t="shared" si="8"/>
        <v>91725.63</v>
      </c>
      <c r="N15" s="177">
        <f t="shared" si="9"/>
        <v>0.19043110461717883</v>
      </c>
    </row>
    <row r="16" spans="1:16" ht="13.5" customHeight="1" x14ac:dyDescent="0.2">
      <c r="B16" s="124">
        <v>180000</v>
      </c>
      <c r="C16" s="124">
        <v>199999</v>
      </c>
      <c r="D16" s="124">
        <v>204154</v>
      </c>
      <c r="E16" s="182">
        <f t="shared" si="0"/>
        <v>0.10207184537180872</v>
      </c>
      <c r="F16" s="178">
        <f t="shared" si="6"/>
        <v>874373</v>
      </c>
      <c r="G16" s="182">
        <f t="shared" si="7"/>
        <v>0.43716442319662863</v>
      </c>
      <c r="H16" s="181">
        <f t="shared" si="1"/>
        <v>190000</v>
      </c>
      <c r="I16" s="180">
        <f t="shared" si="2"/>
        <v>20000</v>
      </c>
      <c r="J16" s="197">
        <f t="shared" si="3"/>
        <v>10.207700000000001</v>
      </c>
      <c r="K16" s="178">
        <f t="shared" si="4"/>
        <v>38789.26</v>
      </c>
      <c r="L16" s="179">
        <f t="shared" si="5"/>
        <v>8.0530181467087764E-2</v>
      </c>
      <c r="M16" s="178">
        <f t="shared" si="8"/>
        <v>130514.89000000001</v>
      </c>
      <c r="N16" s="177">
        <f t="shared" si="9"/>
        <v>0.27096128608426662</v>
      </c>
    </row>
    <row r="17" spans="2:14" ht="13.5" customHeight="1" x14ac:dyDescent="0.2">
      <c r="B17" s="187">
        <v>200000</v>
      </c>
      <c r="C17" s="187">
        <v>219999</v>
      </c>
      <c r="D17" s="187">
        <v>172598</v>
      </c>
      <c r="E17" s="186">
        <f t="shared" si="0"/>
        <v>8.6294642120572917E-2</v>
      </c>
      <c r="F17" s="184">
        <f t="shared" si="6"/>
        <v>1046971</v>
      </c>
      <c r="G17" s="186">
        <f t="shared" si="7"/>
        <v>0.52345906531720154</v>
      </c>
      <c r="H17" s="181">
        <f t="shared" si="1"/>
        <v>210000</v>
      </c>
      <c r="I17" s="184">
        <f t="shared" si="2"/>
        <v>20000</v>
      </c>
      <c r="J17" s="198">
        <f t="shared" si="3"/>
        <v>8.6298999999999992</v>
      </c>
      <c r="K17" s="184">
        <f t="shared" si="4"/>
        <v>36245.58</v>
      </c>
      <c r="L17" s="185">
        <f t="shared" si="5"/>
        <v>7.5249260614403235E-2</v>
      </c>
      <c r="M17" s="184">
        <f t="shared" si="8"/>
        <v>166760.47000000003</v>
      </c>
      <c r="N17" s="183">
        <f t="shared" si="9"/>
        <v>0.34621054669866985</v>
      </c>
    </row>
    <row r="18" spans="2:14" ht="13.5" customHeight="1" x14ac:dyDescent="0.2">
      <c r="B18" s="124">
        <v>220000</v>
      </c>
      <c r="C18" s="124">
        <v>239999</v>
      </c>
      <c r="D18" s="124">
        <v>148217</v>
      </c>
      <c r="E18" s="182">
        <f t="shared" si="0"/>
        <v>7.4104757709735652E-2</v>
      </c>
      <c r="F18" s="178">
        <f t="shared" si="6"/>
        <v>1195188</v>
      </c>
      <c r="G18" s="182">
        <f t="shared" si="7"/>
        <v>0.59756382302693722</v>
      </c>
      <c r="H18" s="181">
        <f t="shared" si="1"/>
        <v>230000</v>
      </c>
      <c r="I18" s="180">
        <f t="shared" si="2"/>
        <v>20000</v>
      </c>
      <c r="J18" s="197">
        <f t="shared" si="3"/>
        <v>7.4108499999999999</v>
      </c>
      <c r="K18" s="178">
        <f t="shared" si="4"/>
        <v>34089.910000000003</v>
      </c>
      <c r="L18" s="179">
        <f t="shared" si="5"/>
        <v>7.0773885309920584E-2</v>
      </c>
      <c r="M18" s="178">
        <f t="shared" si="8"/>
        <v>200850.38000000003</v>
      </c>
      <c r="N18" s="177">
        <f t="shared" si="9"/>
        <v>0.41698443200859042</v>
      </c>
    </row>
    <row r="19" spans="2:14" ht="13.5" customHeight="1" x14ac:dyDescent="0.2">
      <c r="B19" s="124">
        <v>240000</v>
      </c>
      <c r="C19" s="124">
        <v>259999</v>
      </c>
      <c r="D19" s="124">
        <v>126806</v>
      </c>
      <c r="E19" s="182">
        <f t="shared" si="0"/>
        <v>6.3399798310185329E-2</v>
      </c>
      <c r="F19" s="178">
        <f t="shared" si="6"/>
        <v>1321994</v>
      </c>
      <c r="G19" s="182">
        <f t="shared" si="7"/>
        <v>0.66096362133712261</v>
      </c>
      <c r="H19" s="181">
        <f t="shared" si="1"/>
        <v>250000</v>
      </c>
      <c r="I19" s="180">
        <f t="shared" si="2"/>
        <v>20000</v>
      </c>
      <c r="J19" s="197">
        <f t="shared" si="3"/>
        <v>6.3403</v>
      </c>
      <c r="K19" s="178">
        <f t="shared" si="4"/>
        <v>31701.5</v>
      </c>
      <c r="L19" s="179">
        <f t="shared" si="5"/>
        <v>6.5815319698774424E-2</v>
      </c>
      <c r="M19" s="178">
        <f t="shared" si="8"/>
        <v>232551.88000000003</v>
      </c>
      <c r="N19" s="177">
        <f t="shared" si="9"/>
        <v>0.48279975170736483</v>
      </c>
    </row>
    <row r="20" spans="2:14" ht="13.5" customHeight="1" x14ac:dyDescent="0.2">
      <c r="B20" s="124">
        <v>260000</v>
      </c>
      <c r="C20" s="124">
        <v>279999</v>
      </c>
      <c r="D20" s="124">
        <v>108565</v>
      </c>
      <c r="E20" s="182">
        <f t="shared" si="0"/>
        <v>5.4279758872176953E-2</v>
      </c>
      <c r="F20" s="178">
        <f t="shared" si="6"/>
        <v>1430559</v>
      </c>
      <c r="G20" s="182">
        <f t="shared" si="7"/>
        <v>0.71524338020929956</v>
      </c>
      <c r="H20" s="181">
        <f t="shared" si="1"/>
        <v>270000</v>
      </c>
      <c r="I20" s="180">
        <f t="shared" si="2"/>
        <v>20000</v>
      </c>
      <c r="J20" s="197">
        <f t="shared" si="3"/>
        <v>5.4282500000000002</v>
      </c>
      <c r="K20" s="178">
        <f t="shared" si="4"/>
        <v>29312.55</v>
      </c>
      <c r="L20" s="179">
        <f t="shared" si="5"/>
        <v>6.0855632996429508E-2</v>
      </c>
      <c r="M20" s="178">
        <f t="shared" si="8"/>
        <v>261864.43000000002</v>
      </c>
      <c r="N20" s="177">
        <f t="shared" si="9"/>
        <v>0.54365538470379438</v>
      </c>
    </row>
    <row r="21" spans="2:14" ht="13.5" customHeight="1" x14ac:dyDescent="0.2">
      <c r="B21" s="124">
        <v>280000</v>
      </c>
      <c r="C21" s="124">
        <v>299999</v>
      </c>
      <c r="D21" s="124">
        <v>93146</v>
      </c>
      <c r="E21" s="182">
        <f t="shared" si="0"/>
        <v>4.6570648182266798E-2</v>
      </c>
      <c r="F21" s="178">
        <f t="shared" si="6"/>
        <v>1523705</v>
      </c>
      <c r="G21" s="182">
        <f t="shared" si="7"/>
        <v>0.76181402839156631</v>
      </c>
      <c r="H21" s="181">
        <f t="shared" si="1"/>
        <v>290000</v>
      </c>
      <c r="I21" s="180">
        <f t="shared" si="2"/>
        <v>20000</v>
      </c>
      <c r="J21" s="197">
        <f t="shared" si="3"/>
        <v>4.6573000000000002</v>
      </c>
      <c r="K21" s="178">
        <f t="shared" si="4"/>
        <v>27012.34</v>
      </c>
      <c r="L21" s="179">
        <f t="shared" si="5"/>
        <v>5.6080178947746709E-2</v>
      </c>
      <c r="M21" s="178">
        <f t="shared" si="8"/>
        <v>288876.77</v>
      </c>
      <c r="N21" s="177">
        <f t="shared" si="9"/>
        <v>0.59973556365154113</v>
      </c>
    </row>
    <row r="22" spans="2:14" ht="13.5" customHeight="1" x14ac:dyDescent="0.2">
      <c r="B22" s="124">
        <v>300000</v>
      </c>
      <c r="C22" s="124">
        <v>399999</v>
      </c>
      <c r="D22" s="124">
        <v>290323</v>
      </c>
      <c r="E22" s="182">
        <f t="shared" si="0"/>
        <v>0.14515416971442943</v>
      </c>
      <c r="F22" s="178">
        <f t="shared" si="6"/>
        <v>1814028</v>
      </c>
      <c r="G22" s="182">
        <f t="shared" si="7"/>
        <v>0.90696819810599572</v>
      </c>
      <c r="H22" s="181">
        <f t="shared" si="1"/>
        <v>350000</v>
      </c>
      <c r="I22" s="180">
        <f t="shared" si="2"/>
        <v>100000</v>
      </c>
      <c r="J22" s="197">
        <f t="shared" si="3"/>
        <v>2.9032300000000002</v>
      </c>
      <c r="K22" s="178">
        <f t="shared" si="4"/>
        <v>101613.05</v>
      </c>
      <c r="L22" s="179">
        <f t="shared" si="5"/>
        <v>0.2109583259882829</v>
      </c>
      <c r="M22" s="178">
        <f t="shared" si="8"/>
        <v>390489.82</v>
      </c>
      <c r="N22" s="177">
        <f t="shared" si="9"/>
        <v>0.81069388963982403</v>
      </c>
    </row>
    <row r="23" spans="2:14" ht="13.5" customHeight="1" x14ac:dyDescent="0.2">
      <c r="B23" s="124">
        <v>400000</v>
      </c>
      <c r="C23" s="124">
        <v>499999</v>
      </c>
      <c r="D23" s="124">
        <v>111564</v>
      </c>
      <c r="E23" s="182">
        <f t="shared" si="0"/>
        <v>5.5779183151250862E-2</v>
      </c>
      <c r="F23" s="178">
        <f t="shared" si="6"/>
        <v>1925592</v>
      </c>
      <c r="G23" s="182">
        <f t="shared" si="7"/>
        <v>0.96274738125724657</v>
      </c>
      <c r="H23" s="181">
        <f t="shared" si="1"/>
        <v>450000</v>
      </c>
      <c r="I23" s="180">
        <f t="shared" si="2"/>
        <v>100000</v>
      </c>
      <c r="J23" s="197">
        <f t="shared" si="3"/>
        <v>1.11564</v>
      </c>
      <c r="K23" s="178">
        <f t="shared" si="4"/>
        <v>50203.8</v>
      </c>
      <c r="L23" s="179">
        <f t="shared" si="5"/>
        <v>0.10422784874827158</v>
      </c>
      <c r="M23" s="178">
        <f t="shared" si="8"/>
        <v>440693.62</v>
      </c>
      <c r="N23" s="177">
        <f t="shared" si="9"/>
        <v>0.91492173838809565</v>
      </c>
    </row>
    <row r="24" spans="2:14" ht="13.5" customHeight="1" thickBot="1" x14ac:dyDescent="0.25">
      <c r="B24" s="124">
        <v>500000</v>
      </c>
      <c r="C24" s="178">
        <v>599999</v>
      </c>
      <c r="D24" s="124">
        <v>74509</v>
      </c>
      <c r="E24" s="182">
        <f t="shared" si="0"/>
        <v>3.7252618742753492E-2</v>
      </c>
      <c r="F24" s="178">
        <f t="shared" si="6"/>
        <v>2000101</v>
      </c>
      <c r="G24" s="182">
        <f t="shared" si="7"/>
        <v>1</v>
      </c>
      <c r="H24" s="181">
        <f t="shared" si="1"/>
        <v>550000</v>
      </c>
      <c r="I24" s="180">
        <f t="shared" si="2"/>
        <v>100000</v>
      </c>
      <c r="J24" s="197">
        <f t="shared" si="3"/>
        <v>0.74509000000000003</v>
      </c>
      <c r="K24" s="178">
        <f t="shared" si="4"/>
        <v>40979.949999999997</v>
      </c>
      <c r="L24" s="179">
        <f t="shared" si="5"/>
        <v>8.5078261611904502E-2</v>
      </c>
      <c r="M24" s="178">
        <f t="shared" si="8"/>
        <v>481673.57</v>
      </c>
      <c r="N24" s="177">
        <f t="shared" si="9"/>
        <v>1.0000000000000002</v>
      </c>
    </row>
    <row r="25" spans="2:14" ht="13.5" customHeight="1" thickBot="1" x14ac:dyDescent="0.25">
      <c r="B25" s="252" t="s">
        <v>4</v>
      </c>
      <c r="C25" s="284"/>
      <c r="D25" s="172">
        <f>SUM(D8:D24)</f>
        <v>2000101</v>
      </c>
      <c r="E25" s="176">
        <f>SUM(E8:E24)</f>
        <v>1</v>
      </c>
      <c r="F25" s="170" t="s">
        <v>5</v>
      </c>
      <c r="G25" s="175" t="s">
        <v>5</v>
      </c>
      <c r="H25" s="174" t="s">
        <v>5</v>
      </c>
      <c r="I25" s="173"/>
      <c r="J25" s="199"/>
      <c r="K25" s="172">
        <f>SUM(K8:K24)</f>
        <v>481673.57</v>
      </c>
      <c r="L25" s="171">
        <f>SUM(L8:L24)</f>
        <v>1.0000000000000002</v>
      </c>
      <c r="M25" s="170" t="s">
        <v>5</v>
      </c>
      <c r="N25" s="169" t="s">
        <v>5</v>
      </c>
    </row>
    <row r="27" spans="2:14" ht="13.5" customHeight="1" thickBot="1" x14ac:dyDescent="0.25"/>
    <row r="28" spans="2:14" ht="13.5" customHeight="1" thickBot="1" x14ac:dyDescent="0.25">
      <c r="B28" s="200" t="s">
        <v>3261</v>
      </c>
      <c r="C28" s="167" t="s">
        <v>3262</v>
      </c>
    </row>
    <row r="29" spans="2:14" ht="13.5" customHeight="1" x14ac:dyDescent="0.2">
      <c r="B29" s="138">
        <v>0</v>
      </c>
      <c r="C29" s="138">
        <v>0</v>
      </c>
    </row>
    <row r="30" spans="2:14" ht="13.5" customHeight="1" x14ac:dyDescent="0.2">
      <c r="B30" s="139">
        <f>G8</f>
        <v>9.3585273943665847E-3</v>
      </c>
      <c r="C30" s="139">
        <f>N8</f>
        <v>7.7720685401110967E-4</v>
      </c>
    </row>
    <row r="31" spans="2:14" ht="13.5" customHeight="1" x14ac:dyDescent="0.2">
      <c r="B31" s="139">
        <f t="shared" ref="B31:B44" si="10">G9</f>
        <v>1.4745755339355363E-2</v>
      </c>
      <c r="C31" s="139">
        <f t="shared" ref="C31:C46" si="11">N9</f>
        <v>1.8957029342506794E-3</v>
      </c>
    </row>
    <row r="32" spans="2:14" ht="13.5" customHeight="1" x14ac:dyDescent="0.2">
      <c r="B32" s="139">
        <f t="shared" si="10"/>
        <v>2.3555810431573204E-2</v>
      </c>
      <c r="C32" s="139">
        <f t="shared" si="11"/>
        <v>4.4565036026369478E-3</v>
      </c>
    </row>
    <row r="33" spans="2:3" ht="13.5" customHeight="1" x14ac:dyDescent="0.2">
      <c r="B33" s="139">
        <f t="shared" si="10"/>
        <v>4.1729392665670384E-2</v>
      </c>
      <c r="C33" s="139">
        <f t="shared" si="11"/>
        <v>1.1248260933229115E-2</v>
      </c>
    </row>
    <row r="34" spans="2:3" ht="13.5" customHeight="1" x14ac:dyDescent="0.2">
      <c r="B34" s="139">
        <f t="shared" si="10"/>
        <v>7.8549033273819679E-2</v>
      </c>
      <c r="C34" s="139">
        <f t="shared" si="11"/>
        <v>2.8066144463770346E-2</v>
      </c>
    </row>
    <row r="35" spans="2:3" ht="13.5" customHeight="1" x14ac:dyDescent="0.2">
      <c r="B35" s="139">
        <f t="shared" si="10"/>
        <v>0.14682658525744452</v>
      </c>
      <c r="C35" s="139">
        <f t="shared" si="11"/>
        <v>6.4923180235942776E-2</v>
      </c>
    </row>
    <row r="36" spans="2:3" ht="13.5" customHeight="1" x14ac:dyDescent="0.2">
      <c r="B36" s="139">
        <f t="shared" si="10"/>
        <v>0.23581759121164383</v>
      </c>
      <c r="C36" s="139">
        <f t="shared" si="11"/>
        <v>0.12035210900195334</v>
      </c>
    </row>
    <row r="37" spans="2:3" ht="13.5" customHeight="1" x14ac:dyDescent="0.2">
      <c r="B37" s="139">
        <f t="shared" si="10"/>
        <v>0.33509257782481988</v>
      </c>
      <c r="C37" s="139">
        <f t="shared" si="11"/>
        <v>0.19043110461717883</v>
      </c>
    </row>
    <row r="38" spans="2:3" ht="13.5" customHeight="1" x14ac:dyDescent="0.2">
      <c r="B38" s="139">
        <f t="shared" si="10"/>
        <v>0.43716442319662863</v>
      </c>
      <c r="C38" s="139">
        <f t="shared" si="11"/>
        <v>0.27096128608426662</v>
      </c>
    </row>
    <row r="39" spans="2:3" ht="13.5" customHeight="1" x14ac:dyDescent="0.2">
      <c r="B39" s="139">
        <f t="shared" si="10"/>
        <v>0.52345906531720154</v>
      </c>
      <c r="C39" s="139">
        <f t="shared" si="11"/>
        <v>0.34621054669866985</v>
      </c>
    </row>
    <row r="40" spans="2:3" ht="13.5" customHeight="1" x14ac:dyDescent="0.2">
      <c r="B40" s="139">
        <f t="shared" si="10"/>
        <v>0.59756382302693722</v>
      </c>
      <c r="C40" s="139">
        <f t="shared" si="11"/>
        <v>0.41698443200859042</v>
      </c>
    </row>
    <row r="41" spans="2:3" ht="13.5" customHeight="1" x14ac:dyDescent="0.2">
      <c r="B41" s="139">
        <f>G19</f>
        <v>0.66096362133712261</v>
      </c>
      <c r="C41" s="139">
        <f t="shared" si="11"/>
        <v>0.48279975170736483</v>
      </c>
    </row>
    <row r="42" spans="2:3" ht="13.5" customHeight="1" x14ac:dyDescent="0.2">
      <c r="B42" s="139">
        <f t="shared" si="10"/>
        <v>0.71524338020929956</v>
      </c>
      <c r="C42" s="139">
        <f t="shared" si="11"/>
        <v>0.54365538470379438</v>
      </c>
    </row>
    <row r="43" spans="2:3" ht="13.5" customHeight="1" x14ac:dyDescent="0.2">
      <c r="B43" s="139">
        <f>G21</f>
        <v>0.76181402839156631</v>
      </c>
      <c r="C43" s="139">
        <f t="shared" si="11"/>
        <v>0.59973556365154113</v>
      </c>
    </row>
    <row r="44" spans="2:3" ht="13.5" customHeight="1" x14ac:dyDescent="0.2">
      <c r="B44" s="139">
        <f t="shared" si="10"/>
        <v>0.90696819810599572</v>
      </c>
      <c r="C44" s="139">
        <f t="shared" si="11"/>
        <v>0.81069388963982403</v>
      </c>
    </row>
    <row r="45" spans="2:3" ht="13.5" customHeight="1" x14ac:dyDescent="0.2">
      <c r="B45" s="139">
        <f>G23</f>
        <v>0.96274738125724657</v>
      </c>
      <c r="C45" s="139">
        <f t="shared" si="11"/>
        <v>0.91492173838809565</v>
      </c>
    </row>
    <row r="46" spans="2:3" ht="13.5" customHeight="1" x14ac:dyDescent="0.2">
      <c r="B46" s="139">
        <f>G24</f>
        <v>1</v>
      </c>
      <c r="C46" s="139">
        <f t="shared" si="11"/>
        <v>1.0000000000000002</v>
      </c>
    </row>
    <row r="50" spans="2:14" ht="13.5" customHeight="1" thickBot="1" x14ac:dyDescent="0.25"/>
    <row r="51" spans="2:14" ht="13.5" customHeight="1" x14ac:dyDescent="0.2">
      <c r="B51" s="273" t="s">
        <v>3279</v>
      </c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5"/>
    </row>
    <row r="52" spans="2:14" ht="13.5" customHeight="1" thickBot="1" x14ac:dyDescent="0.25">
      <c r="B52" s="276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8"/>
    </row>
  </sheetData>
  <mergeCells count="5">
    <mergeCell ref="B51:N52"/>
    <mergeCell ref="B2:N2"/>
    <mergeCell ref="B4:N4"/>
    <mergeCell ref="B7:C7"/>
    <mergeCell ref="B25:C25"/>
  </mergeCells>
  <pageMargins left="0.75" right="0.75" top="1" bottom="1" header="0.5" footer="0.5"/>
  <pageSetup paperSize="9" scale="55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A2E9-6FB1-4770-9BEB-D6070671F93A}">
  <sheetPr>
    <tabColor theme="0" tint="-0.499984740745262"/>
  </sheetPr>
  <dimension ref="B1:Q1303"/>
  <sheetViews>
    <sheetView workbookViewId="0"/>
  </sheetViews>
  <sheetFormatPr defaultColWidth="8.85546875" defaultRowHeight="12.75" x14ac:dyDescent="0.2"/>
  <cols>
    <col min="1" max="1" width="2.7109375" style="201" customWidth="1"/>
    <col min="2" max="6" width="12.28515625" style="201" customWidth="1"/>
    <col min="7" max="7" width="6.28515625" style="201" customWidth="1"/>
    <col min="8" max="8" width="3.140625" style="202" customWidth="1"/>
    <col min="9" max="9" width="10.7109375" style="201" customWidth="1"/>
    <col min="10" max="17" width="11.140625" style="201" customWidth="1"/>
    <col min="18" max="16384" width="8.85546875" style="201"/>
  </cols>
  <sheetData>
    <row r="1" spans="2:17" s="223" customFormat="1" ht="14.45" customHeight="1" thickBot="1" x14ac:dyDescent="0.25">
      <c r="H1" s="224"/>
    </row>
    <row r="2" spans="2:17" s="223" customFormat="1" ht="31.9" customHeight="1" thickBot="1" x14ac:dyDescent="0.25">
      <c r="B2" s="244" t="s">
        <v>3276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6"/>
    </row>
    <row r="3" spans="2:17" s="223" customFormat="1" ht="14.45" customHeight="1" thickBot="1" x14ac:dyDescent="0.25">
      <c r="H3" s="224"/>
    </row>
    <row r="4" spans="2:17" s="223" customFormat="1" ht="29.45" customHeight="1" thickBot="1" x14ac:dyDescent="0.25">
      <c r="B4" s="244" t="s">
        <v>3305</v>
      </c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6"/>
    </row>
    <row r="5" spans="2:17" s="225" customFormat="1" ht="14.45" customHeight="1" thickBot="1" x14ac:dyDescent="0.25">
      <c r="B5" s="226"/>
      <c r="C5" s="226"/>
      <c r="D5" s="226"/>
      <c r="E5" s="226"/>
      <c r="F5" s="226"/>
      <c r="G5" s="226"/>
      <c r="H5" s="227"/>
      <c r="I5" s="226"/>
      <c r="J5" s="226"/>
      <c r="K5" s="226"/>
      <c r="L5" s="226"/>
      <c r="M5" s="226"/>
      <c r="N5" s="226"/>
    </row>
    <row r="6" spans="2:17" s="223" customFormat="1" ht="14.45" customHeight="1" thickBot="1" x14ac:dyDescent="0.25">
      <c r="H6" s="224"/>
    </row>
    <row r="7" spans="2:17" ht="15" thickBot="1" x14ac:dyDescent="0.25">
      <c r="B7" s="222" t="s">
        <v>3275</v>
      </c>
      <c r="C7" s="145" t="s">
        <v>3274</v>
      </c>
      <c r="D7" s="145" t="s">
        <v>3252</v>
      </c>
      <c r="E7" s="145" t="s">
        <v>3265</v>
      </c>
      <c r="F7" s="221" t="s">
        <v>3249</v>
      </c>
      <c r="H7" s="220"/>
      <c r="I7" s="219" t="s">
        <v>3166</v>
      </c>
      <c r="J7" s="250" t="s">
        <v>3273</v>
      </c>
      <c r="K7" s="251"/>
      <c r="L7" s="128" t="s">
        <v>3254</v>
      </c>
      <c r="M7" s="129" t="s">
        <v>3253</v>
      </c>
      <c r="N7" s="129" t="s">
        <v>3252</v>
      </c>
      <c r="O7" s="128" t="s">
        <v>3251</v>
      </c>
      <c r="P7" s="129" t="s">
        <v>3250</v>
      </c>
      <c r="Q7" s="130" t="s">
        <v>3249</v>
      </c>
    </row>
    <row r="8" spans="2:17" x14ac:dyDescent="0.2">
      <c r="B8" s="236"/>
      <c r="C8" s="121"/>
      <c r="D8" s="204">
        <v>0</v>
      </c>
      <c r="E8" s="204"/>
      <c r="F8" s="203">
        <v>0</v>
      </c>
      <c r="I8" s="131">
        <v>1</v>
      </c>
      <c r="J8" s="159">
        <f>MIN(C:C)</f>
        <v>110</v>
      </c>
      <c r="K8" s="159">
        <f t="shared" ref="K8:K16" si="0">_xlfn.PERCENTILE.EXC($C$9:$C$1303,I8/10)</f>
        <v>360</v>
      </c>
      <c r="L8" s="159">
        <f t="array" ref="L8:L17">FREQUENCY(C:C,K8:K17)</f>
        <v>130</v>
      </c>
      <c r="M8" s="160">
        <f t="shared" ref="M8:M18" si="1">L8/L$18</f>
        <v>0.10038610038610038</v>
      </c>
      <c r="N8" s="160">
        <f>M8</f>
        <v>0.10038610038610038</v>
      </c>
      <c r="O8" s="159">
        <f>SUMIFS($C$9:$C$1303,$C$9:$C$1303,CONCATENATE("&gt;=",J8),$C$9:$C$1303,CONCATENATE("&lt;=",K8))</f>
        <v>34312.19666666667</v>
      </c>
      <c r="P8" s="160">
        <f t="shared" ref="P8:P17" si="2">O8/O$18</f>
        <v>8.5190353512245177E-3</v>
      </c>
      <c r="Q8" s="160">
        <f>P8</f>
        <v>8.5190353512245177E-3</v>
      </c>
    </row>
    <row r="9" spans="2:17" x14ac:dyDescent="0.2">
      <c r="B9" s="237">
        <v>944</v>
      </c>
      <c r="C9" s="114">
        <v>110</v>
      </c>
      <c r="D9" s="204">
        <f t="shared" ref="D9:D72" si="3">D8+1/$L$18</f>
        <v>7.722007722007722E-4</v>
      </c>
      <c r="E9" s="203">
        <f t="shared" ref="E9:E72" si="4">C9/$O$18</f>
        <v>2.7310810139563495E-5</v>
      </c>
      <c r="F9" s="203">
        <f t="shared" ref="F9:F72" si="5">F8+E9</f>
        <v>2.7310810139563495E-5</v>
      </c>
      <c r="I9" s="132">
        <v>2</v>
      </c>
      <c r="J9" s="161">
        <f t="shared" ref="J9:J17" si="6">K8</f>
        <v>360</v>
      </c>
      <c r="K9" s="159">
        <f t="shared" si="0"/>
        <v>521.26319999999998</v>
      </c>
      <c r="L9" s="161">
        <v>129</v>
      </c>
      <c r="M9" s="162">
        <f t="shared" si="1"/>
        <v>9.9613899613899617E-2</v>
      </c>
      <c r="N9" s="162">
        <f t="shared" ref="N9:N17" si="7">N8+M9</f>
        <v>0.2</v>
      </c>
      <c r="O9" s="161">
        <f t="shared" ref="O9:O17" si="8">SUMIFS($C$9:$C$1303,$C$9:$C$1303,CONCATENATE("&gt;",J9),$C$9:$C$1303,CONCATENATE("&lt;=",K9))</f>
        <v>57493.401666666665</v>
      </c>
      <c r="P9" s="160">
        <f t="shared" si="2"/>
        <v>1.4274467065418153E-2</v>
      </c>
      <c r="Q9" s="162">
        <f t="shared" ref="Q9:Q17" si="9">Q8+P9</f>
        <v>2.2793502416642672E-2</v>
      </c>
    </row>
    <row r="10" spans="2:17" x14ac:dyDescent="0.2">
      <c r="B10" s="238">
        <v>1516</v>
      </c>
      <c r="C10" s="205">
        <v>115</v>
      </c>
      <c r="D10" s="204">
        <f t="shared" si="3"/>
        <v>1.5444015444015444E-3</v>
      </c>
      <c r="E10" s="203">
        <f t="shared" si="4"/>
        <v>2.8552210600452747E-5</v>
      </c>
      <c r="F10" s="203">
        <f t="shared" si="5"/>
        <v>5.5863020740016242E-5</v>
      </c>
      <c r="I10" s="132">
        <v>3</v>
      </c>
      <c r="J10" s="161">
        <f t="shared" si="6"/>
        <v>521.26319999999998</v>
      </c>
      <c r="K10" s="159">
        <f t="shared" si="0"/>
        <v>669.56000000000006</v>
      </c>
      <c r="L10" s="161">
        <v>129</v>
      </c>
      <c r="M10" s="162">
        <f t="shared" si="1"/>
        <v>9.9613899613899617E-2</v>
      </c>
      <c r="N10" s="162">
        <f t="shared" si="7"/>
        <v>0.29961389961389961</v>
      </c>
      <c r="O10" s="161">
        <f t="shared" si="8"/>
        <v>77749.603833333342</v>
      </c>
      <c r="P10" s="160">
        <f t="shared" si="2"/>
        <v>1.9303678806531319E-2</v>
      </c>
      <c r="Q10" s="162">
        <f t="shared" si="9"/>
        <v>4.2097181223173991E-2</v>
      </c>
    </row>
    <row r="11" spans="2:17" x14ac:dyDescent="0.2">
      <c r="B11" s="237">
        <v>566</v>
      </c>
      <c r="C11" s="114">
        <v>120</v>
      </c>
      <c r="D11" s="204">
        <f t="shared" si="3"/>
        <v>2.3166023166023165E-3</v>
      </c>
      <c r="E11" s="203">
        <f t="shared" si="4"/>
        <v>2.9793611061341996E-5</v>
      </c>
      <c r="F11" s="203">
        <f t="shared" si="5"/>
        <v>8.5656631801358241E-5</v>
      </c>
      <c r="I11" s="132">
        <v>4</v>
      </c>
      <c r="J11" s="161">
        <f t="shared" si="6"/>
        <v>669.56000000000006</v>
      </c>
      <c r="K11" s="159">
        <f t="shared" si="0"/>
        <v>850</v>
      </c>
      <c r="L11" s="161">
        <v>145</v>
      </c>
      <c r="M11" s="162">
        <f t="shared" si="1"/>
        <v>0.11196911196911197</v>
      </c>
      <c r="N11" s="162">
        <f t="shared" si="7"/>
        <v>0.41158301158301158</v>
      </c>
      <c r="O11" s="161">
        <f t="shared" si="8"/>
        <v>111552.07283333331</v>
      </c>
      <c r="P11" s="160">
        <f t="shared" si="2"/>
        <v>2.7696158925690228E-2</v>
      </c>
      <c r="Q11" s="162">
        <f t="shared" si="9"/>
        <v>6.9793340148864222E-2</v>
      </c>
    </row>
    <row r="12" spans="2:17" x14ac:dyDescent="0.2">
      <c r="B12" s="237">
        <v>2158</v>
      </c>
      <c r="C12" s="114">
        <v>125</v>
      </c>
      <c r="D12" s="204">
        <f t="shared" si="3"/>
        <v>3.0888030888030888E-3</v>
      </c>
      <c r="E12" s="203">
        <f t="shared" si="4"/>
        <v>3.1035011522231245E-5</v>
      </c>
      <c r="F12" s="203">
        <f t="shared" si="5"/>
        <v>1.1669164332358948E-4</v>
      </c>
      <c r="I12" s="132">
        <v>5</v>
      </c>
      <c r="J12" s="161">
        <f t="shared" si="6"/>
        <v>850</v>
      </c>
      <c r="K12" s="159">
        <f t="shared" si="0"/>
        <v>1166.666666666667</v>
      </c>
      <c r="L12" s="161">
        <v>116</v>
      </c>
      <c r="M12" s="162">
        <f t="shared" si="1"/>
        <v>8.9575289575289568E-2</v>
      </c>
      <c r="N12" s="162">
        <f t="shared" si="7"/>
        <v>0.50115830115830118</v>
      </c>
      <c r="O12" s="161">
        <f t="shared" si="8"/>
        <v>118048.96900000001</v>
      </c>
      <c r="P12" s="160">
        <f t="shared" si="2"/>
        <v>2.9309208904820156E-2</v>
      </c>
      <c r="Q12" s="162">
        <f t="shared" si="9"/>
        <v>9.9102549053684375E-2</v>
      </c>
    </row>
    <row r="13" spans="2:17" x14ac:dyDescent="0.2">
      <c r="B13" s="237">
        <v>590</v>
      </c>
      <c r="C13" s="114">
        <v>130</v>
      </c>
      <c r="D13" s="204">
        <f t="shared" si="3"/>
        <v>3.8610038610038611E-3</v>
      </c>
      <c r="E13" s="203">
        <f t="shared" si="4"/>
        <v>3.2276411983120498E-5</v>
      </c>
      <c r="F13" s="203">
        <f t="shared" si="5"/>
        <v>1.4896805530670998E-4</v>
      </c>
      <c r="I13" s="132">
        <v>6</v>
      </c>
      <c r="J13" s="161">
        <f t="shared" si="6"/>
        <v>1166.666666666667</v>
      </c>
      <c r="K13" s="159">
        <f t="shared" si="0"/>
        <v>1500</v>
      </c>
      <c r="L13" s="161">
        <v>140</v>
      </c>
      <c r="M13" s="162">
        <f t="shared" si="1"/>
        <v>0.10810810810810811</v>
      </c>
      <c r="N13" s="162">
        <f t="shared" si="7"/>
        <v>0.60926640926640929</v>
      </c>
      <c r="O13" s="161">
        <f t="shared" si="8"/>
        <v>185497.38125000001</v>
      </c>
      <c r="P13" s="160">
        <f t="shared" si="2"/>
        <v>4.6055306915499777E-2</v>
      </c>
      <c r="Q13" s="162">
        <f t="shared" si="9"/>
        <v>0.14515785596918415</v>
      </c>
    </row>
    <row r="14" spans="2:17" x14ac:dyDescent="0.2">
      <c r="B14" s="237">
        <v>1333</v>
      </c>
      <c r="C14" s="114">
        <v>130</v>
      </c>
      <c r="D14" s="204">
        <f t="shared" si="3"/>
        <v>4.633204633204633E-3</v>
      </c>
      <c r="E14" s="203">
        <f t="shared" si="4"/>
        <v>3.2276411983120498E-5</v>
      </c>
      <c r="F14" s="203">
        <f t="shared" si="5"/>
        <v>1.8124446728983048E-4</v>
      </c>
      <c r="I14" s="132">
        <v>7</v>
      </c>
      <c r="J14" s="161">
        <f t="shared" si="6"/>
        <v>1500</v>
      </c>
      <c r="K14" s="159">
        <f t="shared" si="0"/>
        <v>2872</v>
      </c>
      <c r="L14" s="161">
        <v>119</v>
      </c>
      <c r="M14" s="162">
        <f t="shared" si="1"/>
        <v>9.1891891891891897E-2</v>
      </c>
      <c r="N14" s="162">
        <f t="shared" si="7"/>
        <v>0.70115830115830113</v>
      </c>
      <c r="O14" s="161">
        <f t="shared" si="8"/>
        <v>240608.87333333332</v>
      </c>
      <c r="P14" s="160">
        <f t="shared" si="2"/>
        <v>5.9738393250008626E-2</v>
      </c>
      <c r="Q14" s="162">
        <f t="shared" si="9"/>
        <v>0.20489624921919278</v>
      </c>
    </row>
    <row r="15" spans="2:17" x14ac:dyDescent="0.2">
      <c r="B15" s="237">
        <v>1335</v>
      </c>
      <c r="C15" s="114">
        <v>130</v>
      </c>
      <c r="D15" s="204">
        <f t="shared" si="3"/>
        <v>5.4054054054054048E-3</v>
      </c>
      <c r="E15" s="203">
        <f t="shared" si="4"/>
        <v>3.2276411983120498E-5</v>
      </c>
      <c r="F15" s="203">
        <f t="shared" si="5"/>
        <v>2.1352087927295097E-4</v>
      </c>
      <c r="I15" s="132">
        <v>8</v>
      </c>
      <c r="J15" s="161">
        <f t="shared" si="6"/>
        <v>2872</v>
      </c>
      <c r="K15" s="159">
        <f t="shared" si="0"/>
        <v>6000</v>
      </c>
      <c r="L15" s="161">
        <v>175</v>
      </c>
      <c r="M15" s="162">
        <f t="shared" si="1"/>
        <v>0.13513513513513514</v>
      </c>
      <c r="N15" s="162">
        <f t="shared" si="7"/>
        <v>0.83629343629343622</v>
      </c>
      <c r="O15" s="161">
        <f t="shared" si="8"/>
        <v>821322.45</v>
      </c>
      <c r="P15" s="160">
        <f t="shared" si="2"/>
        <v>0.20391801359373757</v>
      </c>
      <c r="Q15" s="162">
        <f t="shared" si="9"/>
        <v>0.40881426281293032</v>
      </c>
    </row>
    <row r="16" spans="2:17" x14ac:dyDescent="0.2">
      <c r="B16" s="238">
        <v>860</v>
      </c>
      <c r="C16" s="205">
        <v>132.999</v>
      </c>
      <c r="D16" s="204">
        <f t="shared" si="3"/>
        <v>6.1776061776061767E-3</v>
      </c>
      <c r="E16" s="203">
        <f t="shared" si="4"/>
        <v>3.3021003979561866E-5</v>
      </c>
      <c r="F16" s="203">
        <f t="shared" si="5"/>
        <v>2.4654188325251282E-4</v>
      </c>
      <c r="I16" s="133">
        <v>9</v>
      </c>
      <c r="J16" s="161">
        <f t="shared" si="6"/>
        <v>6000</v>
      </c>
      <c r="K16" s="159">
        <f t="shared" si="0"/>
        <v>9000</v>
      </c>
      <c r="L16" s="161">
        <v>120</v>
      </c>
      <c r="M16" s="162">
        <f t="shared" si="1"/>
        <v>9.2664092664092659E-2</v>
      </c>
      <c r="N16" s="162">
        <f t="shared" si="7"/>
        <v>0.92895752895752892</v>
      </c>
      <c r="O16" s="161">
        <f t="shared" si="8"/>
        <v>968123.1333333333</v>
      </c>
      <c r="P16" s="160">
        <f t="shared" si="2"/>
        <v>0.24036570078350891</v>
      </c>
      <c r="Q16" s="162">
        <f t="shared" si="9"/>
        <v>0.64917996359643926</v>
      </c>
    </row>
    <row r="17" spans="2:17" ht="13.5" thickBot="1" x14ac:dyDescent="0.25">
      <c r="B17" s="238">
        <v>1134</v>
      </c>
      <c r="C17" s="205">
        <v>133</v>
      </c>
      <c r="D17" s="204">
        <f t="shared" si="3"/>
        <v>6.9498069498069486E-3</v>
      </c>
      <c r="E17" s="203">
        <f t="shared" si="4"/>
        <v>3.3021252259654044E-5</v>
      </c>
      <c r="F17" s="203">
        <f t="shared" si="5"/>
        <v>2.7956313551216684E-4</v>
      </c>
      <c r="I17" s="134">
        <v>10</v>
      </c>
      <c r="J17" s="161">
        <f t="shared" si="6"/>
        <v>9000</v>
      </c>
      <c r="K17" s="161">
        <f>MAX(C9:C1303)</f>
        <v>200000</v>
      </c>
      <c r="L17" s="161">
        <v>92</v>
      </c>
      <c r="M17" s="162">
        <f t="shared" si="1"/>
        <v>7.1042471042471037E-2</v>
      </c>
      <c r="N17" s="162">
        <f t="shared" si="7"/>
        <v>1</v>
      </c>
      <c r="O17" s="161">
        <f t="shared" si="8"/>
        <v>1413001.0719999999</v>
      </c>
      <c r="P17" s="160">
        <f t="shared" si="2"/>
        <v>0.3508200364035608</v>
      </c>
      <c r="Q17" s="162">
        <f t="shared" si="9"/>
        <v>1</v>
      </c>
    </row>
    <row r="18" spans="2:17" ht="13.5" thickBot="1" x14ac:dyDescent="0.25">
      <c r="B18" s="238">
        <v>2112</v>
      </c>
      <c r="C18" s="205">
        <v>140</v>
      </c>
      <c r="D18" s="204">
        <f t="shared" si="3"/>
        <v>7.7220077220077205E-3</v>
      </c>
      <c r="E18" s="203">
        <f t="shared" si="4"/>
        <v>3.4759212904898996E-5</v>
      </c>
      <c r="F18" s="203">
        <f t="shared" si="5"/>
        <v>3.1432234841706583E-4</v>
      </c>
      <c r="I18" s="12"/>
      <c r="J18" s="252" t="s">
        <v>4</v>
      </c>
      <c r="K18" s="284"/>
      <c r="L18" s="163">
        <f>SUM(L8:L17)</f>
        <v>1295</v>
      </c>
      <c r="M18" s="164">
        <f t="shared" si="1"/>
        <v>1</v>
      </c>
      <c r="N18" s="165" t="s">
        <v>5</v>
      </c>
      <c r="O18" s="163">
        <f>SUM(O8:O17)</f>
        <v>4027709.1539166663</v>
      </c>
      <c r="P18" s="164">
        <f>SUM(P8:P17)</f>
        <v>1</v>
      </c>
      <c r="Q18" s="166" t="s">
        <v>5</v>
      </c>
    </row>
    <row r="19" spans="2:17" ht="13.5" thickBot="1" x14ac:dyDescent="0.25">
      <c r="B19" s="238">
        <v>131</v>
      </c>
      <c r="C19" s="205">
        <v>145</v>
      </c>
      <c r="D19" s="204">
        <f t="shared" si="3"/>
        <v>8.4942084942084932E-3</v>
      </c>
      <c r="E19" s="203">
        <f t="shared" si="4"/>
        <v>3.6000613365788242E-5</v>
      </c>
      <c r="F19" s="203">
        <f t="shared" si="5"/>
        <v>3.5032296178285407E-4</v>
      </c>
      <c r="J19" s="117"/>
      <c r="K19" s="116"/>
      <c r="L19" s="116"/>
    </row>
    <row r="20" spans="2:17" ht="15" customHeight="1" thickBot="1" x14ac:dyDescent="0.25">
      <c r="B20" s="237">
        <v>1710</v>
      </c>
      <c r="C20" s="114">
        <v>145</v>
      </c>
      <c r="D20" s="204">
        <f t="shared" si="3"/>
        <v>9.2664092664092659E-3</v>
      </c>
      <c r="E20" s="203">
        <f t="shared" si="4"/>
        <v>3.6000613365788242E-5</v>
      </c>
      <c r="F20" s="203">
        <f t="shared" si="5"/>
        <v>3.863235751486423E-4</v>
      </c>
      <c r="H20" s="202" t="s">
        <v>0</v>
      </c>
      <c r="I20" s="214" t="s">
        <v>3261</v>
      </c>
      <c r="J20" s="129" t="s">
        <v>3262</v>
      </c>
      <c r="K20" s="130" t="s">
        <v>3259</v>
      </c>
    </row>
    <row r="21" spans="2:17" x14ac:dyDescent="0.2">
      <c r="B21" s="237">
        <v>1733</v>
      </c>
      <c r="C21" s="114">
        <v>147</v>
      </c>
      <c r="D21" s="204">
        <f t="shared" si="3"/>
        <v>1.0038610038610039E-2</v>
      </c>
      <c r="E21" s="203">
        <f t="shared" si="4"/>
        <v>3.6497173550143948E-5</v>
      </c>
      <c r="F21" s="203">
        <f t="shared" si="5"/>
        <v>4.2282074869878626E-4</v>
      </c>
      <c r="I21" s="218">
        <v>0</v>
      </c>
      <c r="J21" s="218">
        <v>0</v>
      </c>
      <c r="K21" s="217"/>
    </row>
    <row r="22" spans="2:17" x14ac:dyDescent="0.2">
      <c r="B22" s="238">
        <v>134</v>
      </c>
      <c r="C22" s="205">
        <v>150</v>
      </c>
      <c r="D22" s="204">
        <f t="shared" si="3"/>
        <v>1.0810810810810811E-2</v>
      </c>
      <c r="E22" s="203">
        <f t="shared" si="4"/>
        <v>3.7242013826677494E-5</v>
      </c>
      <c r="F22" s="203">
        <f t="shared" si="5"/>
        <v>4.6006276252546374E-4</v>
      </c>
      <c r="I22" s="216">
        <f t="shared" ref="I22:I31" si="10">N8</f>
        <v>0.10038610038610038</v>
      </c>
      <c r="J22" s="216">
        <f t="shared" ref="J22:J31" si="11">Q8</f>
        <v>8.5190353512245177E-3</v>
      </c>
      <c r="K22" s="215">
        <f t="shared" ref="K22:K31" si="12">(I22-I21)*(J22+J21)/2</f>
        <v>4.2759636898038116E-4</v>
      </c>
    </row>
    <row r="23" spans="2:17" x14ac:dyDescent="0.2">
      <c r="B23" s="238">
        <v>163</v>
      </c>
      <c r="C23" s="205">
        <v>150</v>
      </c>
      <c r="D23" s="204">
        <f t="shared" si="3"/>
        <v>1.1583011583011584E-2</v>
      </c>
      <c r="E23" s="203">
        <f t="shared" si="4"/>
        <v>3.7242013826677494E-5</v>
      </c>
      <c r="F23" s="203">
        <f t="shared" si="5"/>
        <v>4.9730477635214127E-4</v>
      </c>
      <c r="I23" s="216">
        <f t="shared" si="10"/>
        <v>0.2</v>
      </c>
      <c r="J23" s="216">
        <f t="shared" si="11"/>
        <v>2.2793502416642672E-2</v>
      </c>
      <c r="K23" s="215">
        <f t="shared" si="12"/>
        <v>1.5595819969323815E-3</v>
      </c>
    </row>
    <row r="24" spans="2:17" x14ac:dyDescent="0.2">
      <c r="B24" s="237">
        <v>231</v>
      </c>
      <c r="C24" s="114">
        <v>150</v>
      </c>
      <c r="D24" s="204">
        <f t="shared" si="3"/>
        <v>1.2355212355212357E-2</v>
      </c>
      <c r="E24" s="203">
        <f t="shared" si="4"/>
        <v>3.7242013826677494E-5</v>
      </c>
      <c r="F24" s="203">
        <f t="shared" si="5"/>
        <v>5.3454679017881875E-4</v>
      </c>
      <c r="I24" s="216">
        <f t="shared" si="10"/>
        <v>0.29961389961389961</v>
      </c>
      <c r="J24" s="216">
        <f t="shared" si="11"/>
        <v>4.2097181223173991E-2</v>
      </c>
      <c r="K24" s="215">
        <f t="shared" si="12"/>
        <v>3.2320070229870071E-3</v>
      </c>
    </row>
    <row r="25" spans="2:17" x14ac:dyDescent="0.2">
      <c r="B25" s="237">
        <v>764</v>
      </c>
      <c r="C25" s="114">
        <v>150</v>
      </c>
      <c r="D25" s="204">
        <f t="shared" si="3"/>
        <v>1.312741312741313E-2</v>
      </c>
      <c r="E25" s="203">
        <f t="shared" si="4"/>
        <v>3.7242013826677494E-5</v>
      </c>
      <c r="F25" s="203">
        <f t="shared" si="5"/>
        <v>5.7178880400549623E-4</v>
      </c>
      <c r="I25" s="216">
        <f t="shared" si="10"/>
        <v>0.41158301158301158</v>
      </c>
      <c r="J25" s="216">
        <f t="shared" si="11"/>
        <v>6.9793340148864222E-2</v>
      </c>
      <c r="K25" s="215">
        <f t="shared" si="12"/>
        <v>6.2641411578940312E-3</v>
      </c>
    </row>
    <row r="26" spans="2:17" x14ac:dyDescent="0.2">
      <c r="B26" s="238">
        <v>1172</v>
      </c>
      <c r="C26" s="205">
        <v>150</v>
      </c>
      <c r="D26" s="204">
        <f t="shared" si="3"/>
        <v>1.3899613899613902E-2</v>
      </c>
      <c r="E26" s="203">
        <f t="shared" si="4"/>
        <v>3.7242013826677494E-5</v>
      </c>
      <c r="F26" s="203">
        <f t="shared" si="5"/>
        <v>6.0903081783217372E-4</v>
      </c>
      <c r="I26" s="216">
        <f t="shared" si="10"/>
        <v>0.50115830115830118</v>
      </c>
      <c r="J26" s="216">
        <f t="shared" si="11"/>
        <v>9.9102549053684375E-2</v>
      </c>
      <c r="K26" s="215">
        <f t="shared" si="12"/>
        <v>7.5644490916971594E-3</v>
      </c>
    </row>
    <row r="27" spans="2:17" x14ac:dyDescent="0.2">
      <c r="B27" s="237">
        <v>1179</v>
      </c>
      <c r="C27" s="114">
        <v>150</v>
      </c>
      <c r="D27" s="204">
        <f t="shared" si="3"/>
        <v>1.4671814671814675E-2</v>
      </c>
      <c r="E27" s="203">
        <f t="shared" si="4"/>
        <v>3.7242013826677494E-5</v>
      </c>
      <c r="F27" s="203">
        <f t="shared" si="5"/>
        <v>6.462728316588512E-4</v>
      </c>
      <c r="I27" s="216">
        <f t="shared" si="10"/>
        <v>0.60926640926640929</v>
      </c>
      <c r="J27" s="216">
        <f t="shared" si="11"/>
        <v>0.14515785596918415</v>
      </c>
      <c r="K27" s="215">
        <f t="shared" si="12"/>
        <v>1.3203265136371272E-2</v>
      </c>
    </row>
    <row r="28" spans="2:17" x14ac:dyDescent="0.2">
      <c r="B28" s="237">
        <v>1293</v>
      </c>
      <c r="C28" s="114">
        <v>150</v>
      </c>
      <c r="D28" s="204">
        <f t="shared" si="3"/>
        <v>1.5444015444015448E-2</v>
      </c>
      <c r="E28" s="203">
        <f t="shared" si="4"/>
        <v>3.7242013826677494E-5</v>
      </c>
      <c r="F28" s="203">
        <f t="shared" si="5"/>
        <v>6.8351484548552868E-4</v>
      </c>
      <c r="I28" s="216">
        <f t="shared" si="10"/>
        <v>0.70115830115830113</v>
      </c>
      <c r="J28" s="216">
        <f t="shared" si="11"/>
        <v>0.20489624921919278</v>
      </c>
      <c r="K28" s="215">
        <f t="shared" si="12"/>
        <v>1.6083566995141633E-2</v>
      </c>
    </row>
    <row r="29" spans="2:17" x14ac:dyDescent="0.2">
      <c r="B29" s="238">
        <v>847</v>
      </c>
      <c r="C29" s="205">
        <v>160</v>
      </c>
      <c r="D29" s="204">
        <f t="shared" si="3"/>
        <v>1.6216216216216221E-2</v>
      </c>
      <c r="E29" s="203">
        <f t="shared" si="4"/>
        <v>3.9724814748455993E-5</v>
      </c>
      <c r="F29" s="203">
        <f t="shared" si="5"/>
        <v>7.2323966023398465E-4</v>
      </c>
      <c r="I29" s="216">
        <f t="shared" si="10"/>
        <v>0.83629343629343622</v>
      </c>
      <c r="J29" s="216">
        <f t="shared" si="11"/>
        <v>0.40881426281293032</v>
      </c>
      <c r="K29" s="215">
        <f t="shared" si="12"/>
        <v>4.1466926488656956E-2</v>
      </c>
    </row>
    <row r="30" spans="2:17" x14ac:dyDescent="0.2">
      <c r="B30" s="238">
        <v>970</v>
      </c>
      <c r="C30" s="205">
        <v>160</v>
      </c>
      <c r="D30" s="204">
        <f t="shared" si="3"/>
        <v>1.6988416988416993E-2</v>
      </c>
      <c r="E30" s="203">
        <f t="shared" si="4"/>
        <v>3.9724814748455993E-5</v>
      </c>
      <c r="F30" s="203">
        <f t="shared" si="5"/>
        <v>7.6296447498244062E-4</v>
      </c>
      <c r="I30" s="216">
        <f t="shared" si="10"/>
        <v>0.92895752895752892</v>
      </c>
      <c r="J30" s="216">
        <f t="shared" si="11"/>
        <v>0.64917996359643926</v>
      </c>
      <c r="K30" s="215">
        <f t="shared" si="12"/>
        <v>4.901903751703645E-2</v>
      </c>
    </row>
    <row r="31" spans="2:17" x14ac:dyDescent="0.2">
      <c r="B31" s="238">
        <v>1287</v>
      </c>
      <c r="C31" s="205">
        <v>160</v>
      </c>
      <c r="D31" s="204">
        <f t="shared" si="3"/>
        <v>1.7760617760617766E-2</v>
      </c>
      <c r="E31" s="203">
        <f t="shared" si="4"/>
        <v>3.9724814748455993E-5</v>
      </c>
      <c r="F31" s="203">
        <f t="shared" si="5"/>
        <v>8.0268928973089659E-4</v>
      </c>
      <c r="I31" s="216">
        <f t="shared" si="10"/>
        <v>1</v>
      </c>
      <c r="J31" s="216">
        <f t="shared" si="11"/>
        <v>1</v>
      </c>
      <c r="K31" s="215">
        <f t="shared" si="12"/>
        <v>5.8580909903811769E-2</v>
      </c>
    </row>
    <row r="32" spans="2:17" ht="13.5" thickBot="1" x14ac:dyDescent="0.25">
      <c r="B32" s="237">
        <v>827</v>
      </c>
      <c r="C32" s="114">
        <v>170</v>
      </c>
      <c r="D32" s="204">
        <f t="shared" si="3"/>
        <v>1.8532818532818539E-2</v>
      </c>
      <c r="E32" s="203">
        <f t="shared" si="4"/>
        <v>4.2207615670234491E-5</v>
      </c>
      <c r="F32" s="203">
        <f t="shared" si="5"/>
        <v>8.4489690540113106E-4</v>
      </c>
      <c r="L32" s="116"/>
    </row>
    <row r="33" spans="2:12" ht="13.5" thickBot="1" x14ac:dyDescent="0.25">
      <c r="B33" s="238">
        <v>517</v>
      </c>
      <c r="C33" s="205">
        <v>180</v>
      </c>
      <c r="D33" s="204">
        <f t="shared" si="3"/>
        <v>1.9305019305019312E-2</v>
      </c>
      <c r="E33" s="203">
        <f t="shared" si="4"/>
        <v>4.4690416592012996E-5</v>
      </c>
      <c r="F33" s="203">
        <f t="shared" si="5"/>
        <v>8.8958732199314401E-4</v>
      </c>
      <c r="I33" s="214" t="s">
        <v>3260</v>
      </c>
      <c r="J33" s="209">
        <f>1-SUM(K22:K31)/0.5</f>
        <v>0.6051970366409819</v>
      </c>
      <c r="K33" s="141"/>
    </row>
    <row r="34" spans="2:12" x14ac:dyDescent="0.2">
      <c r="B34" s="237">
        <v>602</v>
      </c>
      <c r="C34" s="114">
        <v>180</v>
      </c>
      <c r="D34" s="204">
        <f t="shared" si="3"/>
        <v>2.0077220077220084E-2</v>
      </c>
      <c r="E34" s="203">
        <f t="shared" si="4"/>
        <v>4.4690416592012996E-5</v>
      </c>
      <c r="F34" s="203">
        <f t="shared" si="5"/>
        <v>9.3427773858515697E-4</v>
      </c>
      <c r="K34" s="116"/>
      <c r="L34" s="116"/>
    </row>
    <row r="35" spans="2:12" x14ac:dyDescent="0.2">
      <c r="B35" s="238">
        <v>832</v>
      </c>
      <c r="C35" s="205">
        <v>180</v>
      </c>
      <c r="D35" s="204">
        <f t="shared" si="3"/>
        <v>2.0849420849420857E-2</v>
      </c>
      <c r="E35" s="203">
        <f t="shared" si="4"/>
        <v>4.4690416592012996E-5</v>
      </c>
      <c r="F35" s="203">
        <f t="shared" si="5"/>
        <v>9.7896815517716992E-4</v>
      </c>
      <c r="K35" s="141"/>
      <c r="L35" s="116"/>
    </row>
    <row r="36" spans="2:12" x14ac:dyDescent="0.2">
      <c r="B36" s="237">
        <v>1246</v>
      </c>
      <c r="C36" s="114">
        <v>180</v>
      </c>
      <c r="D36" s="204">
        <f t="shared" si="3"/>
        <v>2.162162162162163E-2</v>
      </c>
      <c r="E36" s="203">
        <f t="shared" si="4"/>
        <v>4.4690416592012996E-5</v>
      </c>
      <c r="F36" s="203">
        <f t="shared" si="5"/>
        <v>1.023658571769183E-3</v>
      </c>
      <c r="K36" s="116"/>
      <c r="L36" s="116"/>
    </row>
    <row r="37" spans="2:12" x14ac:dyDescent="0.2">
      <c r="B37" s="237">
        <v>182</v>
      </c>
      <c r="C37" s="114">
        <v>190</v>
      </c>
      <c r="D37" s="204">
        <f t="shared" si="3"/>
        <v>2.2393822393822403E-2</v>
      </c>
      <c r="E37" s="203">
        <f t="shared" si="4"/>
        <v>4.7173217513791494E-5</v>
      </c>
      <c r="F37" s="203">
        <f t="shared" si="5"/>
        <v>1.0708317892829744E-3</v>
      </c>
      <c r="K37" s="116"/>
      <c r="L37" s="116"/>
    </row>
    <row r="38" spans="2:12" x14ac:dyDescent="0.2">
      <c r="B38" s="237">
        <v>843</v>
      </c>
      <c r="C38" s="114">
        <v>195</v>
      </c>
      <c r="D38" s="204">
        <f t="shared" si="3"/>
        <v>2.3166023166023175E-2</v>
      </c>
      <c r="E38" s="203">
        <f t="shared" si="4"/>
        <v>4.841461797468074E-5</v>
      </c>
      <c r="F38" s="203">
        <f t="shared" si="5"/>
        <v>1.1192464072576551E-3</v>
      </c>
      <c r="K38" s="116"/>
      <c r="L38" s="116"/>
    </row>
    <row r="39" spans="2:12" x14ac:dyDescent="0.2">
      <c r="B39" s="237">
        <v>504</v>
      </c>
      <c r="C39" s="114">
        <v>200</v>
      </c>
      <c r="D39" s="204">
        <f t="shared" si="3"/>
        <v>2.3938223938223948E-2</v>
      </c>
      <c r="E39" s="203">
        <f t="shared" si="4"/>
        <v>4.9656018435569993E-5</v>
      </c>
      <c r="F39" s="203">
        <f t="shared" si="5"/>
        <v>1.1689024256932251E-3</v>
      </c>
      <c r="K39" s="116"/>
      <c r="L39" s="116"/>
    </row>
    <row r="40" spans="2:12" x14ac:dyDescent="0.2">
      <c r="B40" s="238">
        <v>2152</v>
      </c>
      <c r="C40" s="205">
        <v>208.33333333333331</v>
      </c>
      <c r="D40" s="204">
        <f t="shared" si="3"/>
        <v>2.4710424710424721E-2</v>
      </c>
      <c r="E40" s="203">
        <f t="shared" si="4"/>
        <v>5.1725019203718738E-5</v>
      </c>
      <c r="F40" s="203">
        <f t="shared" si="5"/>
        <v>1.2206274448969439E-3</v>
      </c>
      <c r="K40" s="116"/>
      <c r="L40" s="116"/>
    </row>
    <row r="41" spans="2:12" x14ac:dyDescent="0.2">
      <c r="B41" s="237">
        <v>793</v>
      </c>
      <c r="C41" s="114">
        <v>210</v>
      </c>
      <c r="D41" s="204">
        <f t="shared" si="3"/>
        <v>2.5482625482625493E-2</v>
      </c>
      <c r="E41" s="203">
        <f t="shared" si="4"/>
        <v>5.2138819357348491E-5</v>
      </c>
      <c r="F41" s="203">
        <f t="shared" si="5"/>
        <v>1.2727662642542923E-3</v>
      </c>
      <c r="K41" s="116"/>
      <c r="L41" s="116"/>
    </row>
    <row r="42" spans="2:12" ht="13.5" thickBot="1" x14ac:dyDescent="0.25">
      <c r="B42" s="237">
        <v>2188</v>
      </c>
      <c r="C42" s="114">
        <v>210</v>
      </c>
      <c r="D42" s="204">
        <f t="shared" si="3"/>
        <v>2.6254826254826266E-2</v>
      </c>
      <c r="E42" s="203">
        <f t="shared" si="4"/>
        <v>5.2138819357348491E-5</v>
      </c>
      <c r="F42" s="203">
        <f t="shared" si="5"/>
        <v>1.3249050836116408E-3</v>
      </c>
      <c r="K42" s="116"/>
      <c r="L42" s="116"/>
    </row>
    <row r="43" spans="2:12" ht="13.5" thickBot="1" x14ac:dyDescent="0.25">
      <c r="B43" s="237">
        <v>385</v>
      </c>
      <c r="C43" s="114">
        <v>210.6</v>
      </c>
      <c r="D43" s="204">
        <f t="shared" si="3"/>
        <v>2.7027027027027039E-2</v>
      </c>
      <c r="E43" s="203">
        <f t="shared" si="4"/>
        <v>5.2287787412655203E-5</v>
      </c>
      <c r="F43" s="203">
        <f t="shared" si="5"/>
        <v>1.377192871024296E-3</v>
      </c>
      <c r="H43" s="202" t="s">
        <v>1</v>
      </c>
      <c r="I43" s="213" t="s">
        <v>3</v>
      </c>
      <c r="J43" s="212">
        <f>AVERAGE(C:C)</f>
        <v>3110.2001188545687</v>
      </c>
      <c r="K43" s="116"/>
      <c r="L43" s="116"/>
    </row>
    <row r="44" spans="2:12" ht="13.5" thickBot="1" x14ac:dyDescent="0.25">
      <c r="B44" s="238">
        <v>1306</v>
      </c>
      <c r="C44" s="205">
        <v>217</v>
      </c>
      <c r="D44" s="204">
        <f t="shared" si="3"/>
        <v>2.7799227799227812E-2</v>
      </c>
      <c r="E44" s="203">
        <f t="shared" si="4"/>
        <v>5.3876780002593443E-5</v>
      </c>
      <c r="F44" s="203">
        <f t="shared" si="5"/>
        <v>1.4310696510268894E-3</v>
      </c>
      <c r="I44" s="211" t="s">
        <v>3263</v>
      </c>
      <c r="J44" s="210">
        <f>D946</f>
        <v>0.7243243243243106</v>
      </c>
      <c r="K44" s="209">
        <f>F946</f>
        <v>0.22729527222517867</v>
      </c>
      <c r="L44" s="116"/>
    </row>
    <row r="45" spans="2:12" ht="13.5" thickBot="1" x14ac:dyDescent="0.25">
      <c r="B45" s="238">
        <v>880</v>
      </c>
      <c r="C45" s="205">
        <v>225</v>
      </c>
      <c r="D45" s="204">
        <f t="shared" si="3"/>
        <v>2.8571428571428584E-2</v>
      </c>
      <c r="E45" s="203">
        <f t="shared" si="4"/>
        <v>5.5863020740016242E-5</v>
      </c>
      <c r="F45" s="203">
        <f t="shared" si="5"/>
        <v>1.4869326717669056E-3</v>
      </c>
      <c r="K45" s="116"/>
      <c r="L45" s="116"/>
    </row>
    <row r="46" spans="2:12" ht="13.5" thickBot="1" x14ac:dyDescent="0.25">
      <c r="B46" s="237">
        <v>1228</v>
      </c>
      <c r="C46" s="114">
        <v>227</v>
      </c>
      <c r="D46" s="204">
        <f t="shared" si="3"/>
        <v>2.9343629343629357E-2</v>
      </c>
      <c r="E46" s="203">
        <f t="shared" si="4"/>
        <v>5.6359580924371941E-5</v>
      </c>
      <c r="F46" s="203">
        <f t="shared" si="5"/>
        <v>1.5432922526912776E-3</v>
      </c>
      <c r="I46" s="208" t="s">
        <v>3264</v>
      </c>
      <c r="J46" s="207">
        <f>K12</f>
        <v>1166.666666666667</v>
      </c>
      <c r="K46" s="116"/>
      <c r="L46" s="116"/>
    </row>
    <row r="47" spans="2:12" ht="13.5" thickBot="1" x14ac:dyDescent="0.25">
      <c r="B47" s="238">
        <v>730</v>
      </c>
      <c r="C47" s="205">
        <v>230</v>
      </c>
      <c r="D47" s="204">
        <f t="shared" si="3"/>
        <v>3.011583011583013E-2</v>
      </c>
      <c r="E47" s="203">
        <f t="shared" si="4"/>
        <v>5.7104421200905494E-5</v>
      </c>
      <c r="F47" s="203">
        <f t="shared" si="5"/>
        <v>1.600396673892183E-3</v>
      </c>
      <c r="K47" s="116"/>
      <c r="L47" s="116"/>
    </row>
    <row r="48" spans="2:12" ht="13.9" customHeight="1" x14ac:dyDescent="0.2">
      <c r="B48" s="237">
        <v>1295</v>
      </c>
      <c r="C48" s="114">
        <v>230</v>
      </c>
      <c r="D48" s="204">
        <f t="shared" si="3"/>
        <v>3.0888030888030903E-2</v>
      </c>
      <c r="E48" s="203">
        <f t="shared" si="4"/>
        <v>5.7104421200905494E-5</v>
      </c>
      <c r="F48" s="203">
        <f t="shared" si="5"/>
        <v>1.6575010950930884E-3</v>
      </c>
      <c r="I48" s="285" t="s">
        <v>3277</v>
      </c>
      <c r="J48" s="285"/>
      <c r="K48" s="285"/>
    </row>
    <row r="49" spans="2:12" x14ac:dyDescent="0.2">
      <c r="B49" s="237">
        <v>545</v>
      </c>
      <c r="C49" s="114">
        <v>237</v>
      </c>
      <c r="D49" s="204">
        <f t="shared" si="3"/>
        <v>3.1660231660231672E-2</v>
      </c>
      <c r="E49" s="203">
        <f t="shared" si="4"/>
        <v>5.884238184615044E-5</v>
      </c>
      <c r="F49" s="203">
        <f t="shared" si="5"/>
        <v>1.7163434769392389E-3</v>
      </c>
      <c r="I49" s="286"/>
      <c r="J49" s="286"/>
      <c r="K49" s="286"/>
    </row>
    <row r="50" spans="2:12" x14ac:dyDescent="0.2">
      <c r="B50" s="237">
        <v>516</v>
      </c>
      <c r="C50" s="114">
        <v>240</v>
      </c>
      <c r="D50" s="204">
        <f t="shared" si="3"/>
        <v>3.2432432432432441E-2</v>
      </c>
      <c r="E50" s="203">
        <f t="shared" si="4"/>
        <v>5.9587222122683992E-5</v>
      </c>
      <c r="F50" s="203">
        <f t="shared" si="5"/>
        <v>1.7759306990619229E-3</v>
      </c>
      <c r="I50" s="286"/>
      <c r="J50" s="286"/>
      <c r="K50" s="286"/>
      <c r="L50" s="116"/>
    </row>
    <row r="51" spans="2:12" x14ac:dyDescent="0.2">
      <c r="B51" s="237">
        <v>522</v>
      </c>
      <c r="C51" s="114">
        <v>240</v>
      </c>
      <c r="D51" s="204">
        <f t="shared" si="3"/>
        <v>3.320463320463321E-2</v>
      </c>
      <c r="E51" s="203">
        <f t="shared" si="4"/>
        <v>5.9587222122683992E-5</v>
      </c>
      <c r="F51" s="203">
        <f t="shared" si="5"/>
        <v>1.8355179211846069E-3</v>
      </c>
      <c r="I51" s="286"/>
      <c r="J51" s="286"/>
      <c r="K51" s="286"/>
      <c r="L51" s="116"/>
    </row>
    <row r="52" spans="2:12" x14ac:dyDescent="0.2">
      <c r="B52" s="238">
        <v>314</v>
      </c>
      <c r="C52" s="205">
        <v>243</v>
      </c>
      <c r="D52" s="204">
        <f t="shared" si="3"/>
        <v>3.397683397683398E-2</v>
      </c>
      <c r="E52" s="203">
        <f t="shared" si="4"/>
        <v>6.0332062399217538E-5</v>
      </c>
      <c r="F52" s="203">
        <f t="shared" si="5"/>
        <v>1.8958499835838244E-3</v>
      </c>
      <c r="I52" s="286"/>
      <c r="J52" s="286"/>
      <c r="K52" s="286"/>
    </row>
    <row r="53" spans="2:12" x14ac:dyDescent="0.2">
      <c r="B53" s="237">
        <v>232</v>
      </c>
      <c r="C53" s="114">
        <v>250</v>
      </c>
      <c r="D53" s="204">
        <f t="shared" si="3"/>
        <v>3.4749034749034749E-2</v>
      </c>
      <c r="E53" s="203">
        <f t="shared" si="4"/>
        <v>6.2070023044462491E-5</v>
      </c>
      <c r="F53" s="203">
        <f t="shared" si="5"/>
        <v>1.957920006628287E-3</v>
      </c>
      <c r="I53" s="286"/>
      <c r="J53" s="286"/>
      <c r="K53" s="286"/>
    </row>
    <row r="54" spans="2:12" x14ac:dyDescent="0.2">
      <c r="B54" s="238">
        <v>255</v>
      </c>
      <c r="C54" s="205">
        <v>250</v>
      </c>
      <c r="D54" s="204">
        <f t="shared" si="3"/>
        <v>3.5521235521235518E-2</v>
      </c>
      <c r="E54" s="203">
        <f t="shared" si="4"/>
        <v>6.2070023044462491E-5</v>
      </c>
      <c r="F54" s="203">
        <f t="shared" si="5"/>
        <v>2.0199900296727497E-3</v>
      </c>
      <c r="I54" s="286"/>
      <c r="J54" s="286"/>
      <c r="K54" s="286"/>
    </row>
    <row r="55" spans="2:12" ht="13.5" thickBot="1" x14ac:dyDescent="0.25">
      <c r="B55" s="237">
        <v>611</v>
      </c>
      <c r="C55" s="114">
        <v>250</v>
      </c>
      <c r="D55" s="204">
        <f t="shared" si="3"/>
        <v>3.6293436293436288E-2</v>
      </c>
      <c r="E55" s="203">
        <f t="shared" si="4"/>
        <v>6.2070023044462491E-5</v>
      </c>
      <c r="F55" s="203">
        <f t="shared" si="5"/>
        <v>2.0820600527172123E-3</v>
      </c>
      <c r="I55" s="287"/>
      <c r="J55" s="287"/>
      <c r="K55" s="287"/>
    </row>
    <row r="56" spans="2:12" x14ac:dyDescent="0.2">
      <c r="B56" s="237">
        <v>785</v>
      </c>
      <c r="C56" s="114">
        <v>250</v>
      </c>
      <c r="D56" s="204">
        <f t="shared" si="3"/>
        <v>3.7065637065637057E-2</v>
      </c>
      <c r="E56" s="203">
        <f t="shared" si="4"/>
        <v>6.2070023044462491E-5</v>
      </c>
      <c r="F56" s="203">
        <f t="shared" si="5"/>
        <v>2.1441300757616749E-3</v>
      </c>
    </row>
    <row r="57" spans="2:12" x14ac:dyDescent="0.2">
      <c r="B57" s="237">
        <v>799</v>
      </c>
      <c r="C57" s="114">
        <v>250</v>
      </c>
      <c r="D57" s="204">
        <f t="shared" si="3"/>
        <v>3.7837837837837826E-2</v>
      </c>
      <c r="E57" s="203">
        <f t="shared" si="4"/>
        <v>6.2070023044462491E-5</v>
      </c>
      <c r="F57" s="203">
        <f t="shared" si="5"/>
        <v>2.2062000988061375E-3</v>
      </c>
    </row>
    <row r="58" spans="2:12" x14ac:dyDescent="0.2">
      <c r="B58" s="237">
        <v>826</v>
      </c>
      <c r="C58" s="114">
        <v>250</v>
      </c>
      <c r="D58" s="204">
        <f t="shared" si="3"/>
        <v>3.8610038610038595E-2</v>
      </c>
      <c r="E58" s="203">
        <f t="shared" si="4"/>
        <v>6.2070023044462491E-5</v>
      </c>
      <c r="F58" s="203">
        <f t="shared" si="5"/>
        <v>2.2682701218506001E-3</v>
      </c>
    </row>
    <row r="59" spans="2:12" x14ac:dyDescent="0.2">
      <c r="B59" s="238">
        <v>866</v>
      </c>
      <c r="C59" s="205">
        <v>250</v>
      </c>
      <c r="D59" s="204">
        <f t="shared" si="3"/>
        <v>3.9382239382239365E-2</v>
      </c>
      <c r="E59" s="203">
        <f t="shared" si="4"/>
        <v>6.2070023044462491E-5</v>
      </c>
      <c r="F59" s="203">
        <f t="shared" si="5"/>
        <v>2.3303401448950627E-3</v>
      </c>
    </row>
    <row r="60" spans="2:12" x14ac:dyDescent="0.2">
      <c r="B60" s="238">
        <v>1022</v>
      </c>
      <c r="C60" s="205">
        <v>250</v>
      </c>
      <c r="D60" s="204">
        <f t="shared" si="3"/>
        <v>4.0154440154440134E-2</v>
      </c>
      <c r="E60" s="203">
        <f t="shared" si="4"/>
        <v>6.2070023044462491E-5</v>
      </c>
      <c r="F60" s="203">
        <f t="shared" si="5"/>
        <v>2.3924101679395253E-3</v>
      </c>
    </row>
    <row r="61" spans="2:12" x14ac:dyDescent="0.2">
      <c r="B61" s="238">
        <v>1508</v>
      </c>
      <c r="C61" s="205">
        <v>250</v>
      </c>
      <c r="D61" s="204">
        <f t="shared" si="3"/>
        <v>4.0926640926640903E-2</v>
      </c>
      <c r="E61" s="203">
        <f t="shared" si="4"/>
        <v>6.2070023044462491E-5</v>
      </c>
      <c r="F61" s="203">
        <f t="shared" si="5"/>
        <v>2.4544801909839879E-3</v>
      </c>
    </row>
    <row r="62" spans="2:12" x14ac:dyDescent="0.2">
      <c r="B62" s="237">
        <v>1565</v>
      </c>
      <c r="C62" s="114">
        <v>250</v>
      </c>
      <c r="D62" s="204">
        <f t="shared" si="3"/>
        <v>4.1698841698841672E-2</v>
      </c>
      <c r="E62" s="203">
        <f t="shared" si="4"/>
        <v>6.2070023044462491E-5</v>
      </c>
      <c r="F62" s="203">
        <f t="shared" si="5"/>
        <v>2.5165502140284506E-3</v>
      </c>
    </row>
    <row r="63" spans="2:12" x14ac:dyDescent="0.2">
      <c r="B63" s="237">
        <v>1587</v>
      </c>
      <c r="C63" s="114">
        <v>250</v>
      </c>
      <c r="D63" s="204">
        <f t="shared" si="3"/>
        <v>4.2471042471042442E-2</v>
      </c>
      <c r="E63" s="203">
        <f t="shared" si="4"/>
        <v>6.2070023044462491E-5</v>
      </c>
      <c r="F63" s="203">
        <f t="shared" si="5"/>
        <v>2.5786202370729132E-3</v>
      </c>
    </row>
    <row r="64" spans="2:12" x14ac:dyDescent="0.2">
      <c r="B64" s="237">
        <v>1608</v>
      </c>
      <c r="C64" s="114">
        <v>250</v>
      </c>
      <c r="D64" s="204">
        <f t="shared" si="3"/>
        <v>4.3243243243243211E-2</v>
      </c>
      <c r="E64" s="203">
        <f t="shared" si="4"/>
        <v>6.2070023044462491E-5</v>
      </c>
      <c r="F64" s="203">
        <f t="shared" si="5"/>
        <v>2.6406902601173758E-3</v>
      </c>
    </row>
    <row r="65" spans="2:11" x14ac:dyDescent="0.2">
      <c r="B65" s="237">
        <v>1730</v>
      </c>
      <c r="C65" s="114">
        <v>250</v>
      </c>
      <c r="D65" s="204">
        <f t="shared" si="3"/>
        <v>4.401544401544398E-2</v>
      </c>
      <c r="E65" s="203">
        <f t="shared" si="4"/>
        <v>6.2070023044462491E-5</v>
      </c>
      <c r="F65" s="203">
        <f t="shared" si="5"/>
        <v>2.7027602831618384E-3</v>
      </c>
    </row>
    <row r="66" spans="2:11" x14ac:dyDescent="0.2">
      <c r="B66" s="237">
        <v>154</v>
      </c>
      <c r="C66" s="114">
        <v>256.62599999999998</v>
      </c>
      <c r="D66" s="204">
        <f t="shared" si="3"/>
        <v>4.4787644787644749E-2</v>
      </c>
      <c r="E66" s="203">
        <f t="shared" si="4"/>
        <v>6.3715126935232923E-5</v>
      </c>
      <c r="F66" s="203">
        <f t="shared" si="5"/>
        <v>2.7664754100970713E-3</v>
      </c>
      <c r="J66" s="116"/>
      <c r="K66" s="116"/>
    </row>
    <row r="67" spans="2:11" x14ac:dyDescent="0.2">
      <c r="B67" s="237">
        <v>85</v>
      </c>
      <c r="C67" s="114">
        <v>260</v>
      </c>
      <c r="D67" s="204">
        <f t="shared" si="3"/>
        <v>4.5559845559845519E-2</v>
      </c>
      <c r="E67" s="203">
        <f t="shared" si="4"/>
        <v>6.4552823966240996E-5</v>
      </c>
      <c r="F67" s="203">
        <f t="shared" si="5"/>
        <v>2.8310282340633123E-3</v>
      </c>
      <c r="J67" s="116"/>
      <c r="K67" s="116"/>
    </row>
    <row r="68" spans="2:11" x14ac:dyDescent="0.2">
      <c r="B68" s="237">
        <v>2245</v>
      </c>
      <c r="C68" s="114">
        <v>260</v>
      </c>
      <c r="D68" s="204">
        <f t="shared" si="3"/>
        <v>4.6332046332046288E-2</v>
      </c>
      <c r="E68" s="203">
        <f t="shared" si="4"/>
        <v>6.4552823966240996E-5</v>
      </c>
      <c r="F68" s="203">
        <f t="shared" si="5"/>
        <v>2.8955810580295533E-3</v>
      </c>
      <c r="J68" s="116"/>
      <c r="K68" s="116"/>
    </row>
    <row r="69" spans="2:11" x14ac:dyDescent="0.2">
      <c r="B69" s="238">
        <v>1658</v>
      </c>
      <c r="C69" s="205">
        <v>262.01</v>
      </c>
      <c r="D69" s="204">
        <f t="shared" si="3"/>
        <v>4.7104247104247057E-2</v>
      </c>
      <c r="E69" s="203">
        <f t="shared" si="4"/>
        <v>6.5051866951518466E-5</v>
      </c>
      <c r="F69" s="203">
        <f t="shared" si="5"/>
        <v>2.9606329249810717E-3</v>
      </c>
      <c r="J69" s="116"/>
      <c r="K69" s="116"/>
    </row>
    <row r="70" spans="2:11" x14ac:dyDescent="0.2">
      <c r="B70" s="237">
        <v>663</v>
      </c>
      <c r="C70" s="114">
        <v>265</v>
      </c>
      <c r="D70" s="204">
        <f t="shared" si="3"/>
        <v>4.7876447876447827E-2</v>
      </c>
      <c r="E70" s="203">
        <f t="shared" si="4"/>
        <v>6.5794224427130241E-5</v>
      </c>
      <c r="F70" s="203">
        <f t="shared" si="5"/>
        <v>3.0264271494082019E-3</v>
      </c>
      <c r="J70" s="116"/>
      <c r="K70" s="116"/>
    </row>
    <row r="71" spans="2:11" x14ac:dyDescent="0.2">
      <c r="B71" s="237">
        <v>36</v>
      </c>
      <c r="C71" s="114">
        <v>270</v>
      </c>
      <c r="D71" s="204">
        <f t="shared" si="3"/>
        <v>4.8648648648648596E-2</v>
      </c>
      <c r="E71" s="203">
        <f t="shared" si="4"/>
        <v>6.7035624888019487E-5</v>
      </c>
      <c r="F71" s="203">
        <f t="shared" si="5"/>
        <v>3.0934627742962213E-3</v>
      </c>
      <c r="J71" s="116"/>
      <c r="K71" s="116"/>
    </row>
    <row r="72" spans="2:11" x14ac:dyDescent="0.2">
      <c r="B72" s="238">
        <v>523</v>
      </c>
      <c r="C72" s="205">
        <v>270</v>
      </c>
      <c r="D72" s="204">
        <f t="shared" si="3"/>
        <v>4.9420849420849365E-2</v>
      </c>
      <c r="E72" s="203">
        <f t="shared" si="4"/>
        <v>6.7035624888019487E-5</v>
      </c>
      <c r="F72" s="203">
        <f t="shared" si="5"/>
        <v>3.1604983991842407E-3</v>
      </c>
      <c r="J72" s="116"/>
      <c r="K72" s="116"/>
    </row>
    <row r="73" spans="2:11" x14ac:dyDescent="0.2">
      <c r="B73" s="238">
        <v>525</v>
      </c>
      <c r="C73" s="205">
        <v>270</v>
      </c>
      <c r="D73" s="204">
        <f t="shared" ref="D73:D136" si="13">D72+1/$L$18</f>
        <v>5.0193050193050134E-2</v>
      </c>
      <c r="E73" s="203">
        <f t="shared" ref="E73:E136" si="14">C73/$O$18</f>
        <v>6.7035624888019487E-5</v>
      </c>
      <c r="F73" s="203">
        <f t="shared" ref="F73:F136" si="15">F72+E73</f>
        <v>3.22753402407226E-3</v>
      </c>
      <c r="J73" s="116"/>
      <c r="K73" s="116"/>
    </row>
    <row r="74" spans="2:11" x14ac:dyDescent="0.2">
      <c r="B74" s="238">
        <v>665</v>
      </c>
      <c r="C74" s="205">
        <v>270</v>
      </c>
      <c r="D74" s="204">
        <f t="shared" si="13"/>
        <v>5.0965250965250904E-2</v>
      </c>
      <c r="E74" s="203">
        <f t="shared" si="14"/>
        <v>6.7035624888019487E-5</v>
      </c>
      <c r="F74" s="203">
        <f t="shared" si="15"/>
        <v>3.2945696489602794E-3</v>
      </c>
      <c r="J74" s="116"/>
      <c r="K74" s="116"/>
    </row>
    <row r="75" spans="2:11" x14ac:dyDescent="0.2">
      <c r="B75" s="237">
        <v>282</v>
      </c>
      <c r="C75" s="114">
        <v>275</v>
      </c>
      <c r="D75" s="204">
        <f t="shared" si="13"/>
        <v>5.1737451737451673E-2</v>
      </c>
      <c r="E75" s="203">
        <f t="shared" si="14"/>
        <v>6.8277025348908746E-5</v>
      </c>
      <c r="F75" s="203">
        <f t="shared" si="15"/>
        <v>3.362846674309188E-3</v>
      </c>
      <c r="J75" s="116"/>
      <c r="K75" s="116"/>
    </row>
    <row r="76" spans="2:11" x14ac:dyDescent="0.2">
      <c r="B76" s="238">
        <v>668</v>
      </c>
      <c r="C76" s="205">
        <v>280</v>
      </c>
      <c r="D76" s="204">
        <f t="shared" si="13"/>
        <v>5.2509652509652442E-2</v>
      </c>
      <c r="E76" s="203">
        <f t="shared" si="14"/>
        <v>6.9518425809797992E-5</v>
      </c>
      <c r="F76" s="203">
        <f t="shared" si="15"/>
        <v>3.4323651001189862E-3</v>
      </c>
      <c r="J76" s="116"/>
      <c r="K76" s="116"/>
    </row>
    <row r="77" spans="2:11" x14ac:dyDescent="0.2">
      <c r="B77" s="238">
        <v>702</v>
      </c>
      <c r="C77" s="205">
        <v>280</v>
      </c>
      <c r="D77" s="204">
        <f t="shared" si="13"/>
        <v>5.3281853281853211E-2</v>
      </c>
      <c r="E77" s="203">
        <f t="shared" si="14"/>
        <v>6.9518425809797992E-5</v>
      </c>
      <c r="F77" s="203">
        <f t="shared" si="15"/>
        <v>3.5018835259287844E-3</v>
      </c>
      <c r="J77" s="116"/>
      <c r="K77" s="116"/>
    </row>
    <row r="78" spans="2:11" x14ac:dyDescent="0.2">
      <c r="B78" s="238">
        <v>918</v>
      </c>
      <c r="C78" s="205">
        <v>280</v>
      </c>
      <c r="D78" s="204">
        <f t="shared" si="13"/>
        <v>5.4054054054053981E-2</v>
      </c>
      <c r="E78" s="203">
        <f t="shared" si="14"/>
        <v>6.9518425809797992E-5</v>
      </c>
      <c r="F78" s="203">
        <f t="shared" si="15"/>
        <v>3.5714019517385826E-3</v>
      </c>
      <c r="J78" s="116"/>
      <c r="K78" s="116"/>
    </row>
    <row r="79" spans="2:11" x14ac:dyDescent="0.2">
      <c r="B79" s="238">
        <v>1598</v>
      </c>
      <c r="C79" s="205">
        <v>280</v>
      </c>
      <c r="D79" s="204">
        <f t="shared" si="13"/>
        <v>5.482625482625475E-2</v>
      </c>
      <c r="E79" s="203">
        <f t="shared" si="14"/>
        <v>6.9518425809797992E-5</v>
      </c>
      <c r="F79" s="203">
        <f t="shared" si="15"/>
        <v>3.6409203775483808E-3</v>
      </c>
      <c r="J79" s="116"/>
      <c r="K79" s="116"/>
    </row>
    <row r="80" spans="2:11" x14ac:dyDescent="0.2">
      <c r="B80" s="237">
        <v>179</v>
      </c>
      <c r="C80" s="114">
        <v>282.02</v>
      </c>
      <c r="D80" s="204">
        <f t="shared" si="13"/>
        <v>5.5598455598455519E-2</v>
      </c>
      <c r="E80" s="203">
        <f t="shared" si="14"/>
        <v>7.001995159599724E-5</v>
      </c>
      <c r="F80" s="203">
        <f t="shared" si="15"/>
        <v>3.7109403291443778E-3</v>
      </c>
      <c r="J80" s="116"/>
      <c r="K80" s="116"/>
    </row>
    <row r="81" spans="2:11" x14ac:dyDescent="0.2">
      <c r="B81" s="237">
        <v>790</v>
      </c>
      <c r="C81" s="114">
        <v>283</v>
      </c>
      <c r="D81" s="204">
        <f t="shared" si="13"/>
        <v>5.6370656370656289E-2</v>
      </c>
      <c r="E81" s="203">
        <f t="shared" si="14"/>
        <v>7.0263266086331545E-5</v>
      </c>
      <c r="F81" s="203">
        <f t="shared" si="15"/>
        <v>3.7812035952307092E-3</v>
      </c>
      <c r="J81" s="116"/>
      <c r="K81" s="116"/>
    </row>
    <row r="82" spans="2:11" x14ac:dyDescent="0.2">
      <c r="B82" s="238">
        <v>23</v>
      </c>
      <c r="C82" s="205">
        <v>295</v>
      </c>
      <c r="D82" s="204">
        <f t="shared" si="13"/>
        <v>5.7142857142857058E-2</v>
      </c>
      <c r="E82" s="203">
        <f t="shared" si="14"/>
        <v>7.3242627192465743E-5</v>
      </c>
      <c r="F82" s="203">
        <f t="shared" si="15"/>
        <v>3.854446222423175E-3</v>
      </c>
      <c r="J82" s="116"/>
      <c r="K82" s="116"/>
    </row>
    <row r="83" spans="2:11" x14ac:dyDescent="0.2">
      <c r="B83" s="238">
        <v>854</v>
      </c>
      <c r="C83" s="205">
        <v>297.375</v>
      </c>
      <c r="D83" s="204">
        <f t="shared" si="13"/>
        <v>5.7915057915057827E-2</v>
      </c>
      <c r="E83" s="203">
        <f t="shared" si="14"/>
        <v>7.3832292411388133E-5</v>
      </c>
      <c r="F83" s="203">
        <f t="shared" si="15"/>
        <v>3.9282785148345633E-3</v>
      </c>
      <c r="J83" s="116"/>
      <c r="K83" s="116"/>
    </row>
    <row r="84" spans="2:11" x14ac:dyDescent="0.2">
      <c r="B84" s="238">
        <v>383</v>
      </c>
      <c r="C84" s="205">
        <v>310</v>
      </c>
      <c r="D84" s="204">
        <f t="shared" si="13"/>
        <v>5.8687258687258596E-2</v>
      </c>
      <c r="E84" s="203">
        <f t="shared" si="14"/>
        <v>7.6966828575133494E-5</v>
      </c>
      <c r="F84" s="203">
        <f t="shared" si="15"/>
        <v>4.0052453434096967E-3</v>
      </c>
      <c r="J84" s="116"/>
      <c r="K84" s="116"/>
    </row>
    <row r="85" spans="2:11" x14ac:dyDescent="0.2">
      <c r="B85" s="237">
        <v>950</v>
      </c>
      <c r="C85" s="114">
        <v>310</v>
      </c>
      <c r="D85" s="204">
        <f t="shared" si="13"/>
        <v>5.9459459459459366E-2</v>
      </c>
      <c r="E85" s="203">
        <f t="shared" si="14"/>
        <v>7.6966828575133494E-5</v>
      </c>
      <c r="F85" s="203">
        <f t="shared" si="15"/>
        <v>4.08221217198483E-3</v>
      </c>
      <c r="J85" s="116"/>
      <c r="K85" s="116"/>
    </row>
    <row r="86" spans="2:11" x14ac:dyDescent="0.2">
      <c r="B86" s="238">
        <v>822</v>
      </c>
      <c r="C86" s="205">
        <v>312</v>
      </c>
      <c r="D86" s="204">
        <f t="shared" si="13"/>
        <v>6.0231660231660135E-2</v>
      </c>
      <c r="E86" s="203">
        <f t="shared" si="14"/>
        <v>7.7463388759489187E-5</v>
      </c>
      <c r="F86" s="203">
        <f t="shared" si="15"/>
        <v>4.1596755607443189E-3</v>
      </c>
      <c r="J86" s="116"/>
      <c r="K86" s="116"/>
    </row>
    <row r="87" spans="2:11" x14ac:dyDescent="0.2">
      <c r="B87" s="237">
        <v>1602</v>
      </c>
      <c r="C87" s="114">
        <v>313</v>
      </c>
      <c r="D87" s="204">
        <f t="shared" si="13"/>
        <v>6.1003861003860904E-2</v>
      </c>
      <c r="E87" s="203">
        <f t="shared" si="14"/>
        <v>7.7711668851667033E-5</v>
      </c>
      <c r="F87" s="203">
        <f t="shared" si="15"/>
        <v>4.2373872295959859E-3</v>
      </c>
      <c r="J87" s="116"/>
      <c r="K87" s="116"/>
    </row>
    <row r="88" spans="2:11" x14ac:dyDescent="0.2">
      <c r="B88" s="237">
        <v>725</v>
      </c>
      <c r="C88" s="114">
        <v>316</v>
      </c>
      <c r="D88" s="204">
        <f t="shared" si="13"/>
        <v>6.1776061776061673E-2</v>
      </c>
      <c r="E88" s="203">
        <f t="shared" si="14"/>
        <v>7.8456509128200586E-5</v>
      </c>
      <c r="F88" s="203">
        <f t="shared" si="15"/>
        <v>4.3158437387241866E-3</v>
      </c>
      <c r="J88" s="116"/>
      <c r="K88" s="116"/>
    </row>
    <row r="89" spans="2:11" x14ac:dyDescent="0.2">
      <c r="B89" s="237">
        <v>158</v>
      </c>
      <c r="C89" s="114">
        <v>318</v>
      </c>
      <c r="D89" s="204">
        <f t="shared" si="13"/>
        <v>6.2548262548262443E-2</v>
      </c>
      <c r="E89" s="203">
        <f t="shared" si="14"/>
        <v>7.8953069312556292E-5</v>
      </c>
      <c r="F89" s="203">
        <f t="shared" si="15"/>
        <v>4.3947968080367428E-3</v>
      </c>
      <c r="J89" s="116"/>
      <c r="K89" s="116"/>
    </row>
    <row r="90" spans="2:11" x14ac:dyDescent="0.2">
      <c r="B90" s="238">
        <v>369</v>
      </c>
      <c r="C90" s="205">
        <v>318</v>
      </c>
      <c r="D90" s="204">
        <f t="shared" si="13"/>
        <v>6.3320463320463219E-2</v>
      </c>
      <c r="E90" s="203">
        <f t="shared" si="14"/>
        <v>7.8953069312556292E-5</v>
      </c>
      <c r="F90" s="203">
        <f t="shared" si="15"/>
        <v>4.4737498773492991E-3</v>
      </c>
      <c r="J90" s="116"/>
      <c r="K90" s="116"/>
    </row>
    <row r="91" spans="2:11" x14ac:dyDescent="0.2">
      <c r="B91" s="237">
        <v>1867</v>
      </c>
      <c r="C91" s="114">
        <v>318</v>
      </c>
      <c r="D91" s="204">
        <f t="shared" si="13"/>
        <v>6.4092664092663995E-2</v>
      </c>
      <c r="E91" s="203">
        <f t="shared" si="14"/>
        <v>7.8953069312556292E-5</v>
      </c>
      <c r="F91" s="203">
        <f t="shared" si="15"/>
        <v>4.5527029466618553E-3</v>
      </c>
      <c r="J91" s="116"/>
      <c r="K91" s="116"/>
    </row>
    <row r="92" spans="2:11" x14ac:dyDescent="0.2">
      <c r="B92" s="237">
        <v>1064</v>
      </c>
      <c r="C92" s="114">
        <v>320</v>
      </c>
      <c r="D92" s="204">
        <f t="shared" si="13"/>
        <v>6.4864864864864771E-2</v>
      </c>
      <c r="E92" s="203">
        <f t="shared" si="14"/>
        <v>7.9449629496911985E-5</v>
      </c>
      <c r="F92" s="203">
        <f t="shared" si="15"/>
        <v>4.632152576158767E-3</v>
      </c>
      <c r="J92" s="116"/>
      <c r="K92" s="116"/>
    </row>
    <row r="93" spans="2:11" x14ac:dyDescent="0.2">
      <c r="B93" s="237">
        <v>1101</v>
      </c>
      <c r="C93" s="114">
        <v>320</v>
      </c>
      <c r="D93" s="204">
        <f t="shared" si="13"/>
        <v>6.5637065637065548E-2</v>
      </c>
      <c r="E93" s="203">
        <f t="shared" si="14"/>
        <v>7.9449629496911985E-5</v>
      </c>
      <c r="F93" s="203">
        <f t="shared" si="15"/>
        <v>4.7116022056556787E-3</v>
      </c>
      <c r="J93" s="116"/>
      <c r="K93" s="116"/>
    </row>
    <row r="94" spans="2:11" x14ac:dyDescent="0.2">
      <c r="B94" s="237">
        <v>1164</v>
      </c>
      <c r="C94" s="114">
        <v>320</v>
      </c>
      <c r="D94" s="204">
        <f t="shared" si="13"/>
        <v>6.6409266409266324E-2</v>
      </c>
      <c r="E94" s="203">
        <f t="shared" si="14"/>
        <v>7.9449629496911985E-5</v>
      </c>
      <c r="F94" s="203">
        <f t="shared" si="15"/>
        <v>4.7910518351525905E-3</v>
      </c>
      <c r="J94" s="116"/>
      <c r="K94" s="116"/>
    </row>
    <row r="95" spans="2:11" x14ac:dyDescent="0.2">
      <c r="B95" s="237">
        <v>1186</v>
      </c>
      <c r="C95" s="114">
        <v>320</v>
      </c>
      <c r="D95" s="204">
        <f t="shared" si="13"/>
        <v>6.71814671814671E-2</v>
      </c>
      <c r="E95" s="203">
        <f t="shared" si="14"/>
        <v>7.9449629496911985E-5</v>
      </c>
      <c r="F95" s="203">
        <f t="shared" si="15"/>
        <v>4.8705014646495022E-3</v>
      </c>
      <c r="J95" s="116"/>
      <c r="K95" s="116"/>
    </row>
    <row r="96" spans="2:11" x14ac:dyDescent="0.2">
      <c r="B96" s="238">
        <v>1313</v>
      </c>
      <c r="C96" s="205">
        <v>320</v>
      </c>
      <c r="D96" s="204">
        <f t="shared" si="13"/>
        <v>6.7953667953667876E-2</v>
      </c>
      <c r="E96" s="203">
        <f t="shared" si="14"/>
        <v>7.9449629496911985E-5</v>
      </c>
      <c r="F96" s="203">
        <f t="shared" si="15"/>
        <v>4.9499510941464139E-3</v>
      </c>
      <c r="J96" s="116"/>
      <c r="K96" s="116"/>
    </row>
    <row r="97" spans="2:11" x14ac:dyDescent="0.2">
      <c r="B97" s="238">
        <v>1323</v>
      </c>
      <c r="C97" s="205">
        <v>320</v>
      </c>
      <c r="D97" s="204">
        <f t="shared" si="13"/>
        <v>6.8725868725868652E-2</v>
      </c>
      <c r="E97" s="203">
        <f t="shared" si="14"/>
        <v>7.9449629496911985E-5</v>
      </c>
      <c r="F97" s="203">
        <f t="shared" si="15"/>
        <v>5.0294007236433257E-3</v>
      </c>
      <c r="J97" s="116"/>
      <c r="K97" s="116"/>
    </row>
    <row r="98" spans="2:11" x14ac:dyDescent="0.2">
      <c r="B98" s="238">
        <v>343</v>
      </c>
      <c r="C98" s="205">
        <v>325</v>
      </c>
      <c r="D98" s="204">
        <f t="shared" si="13"/>
        <v>6.9498069498069429E-2</v>
      </c>
      <c r="E98" s="203">
        <f t="shared" si="14"/>
        <v>8.0691029957801245E-5</v>
      </c>
      <c r="F98" s="203">
        <f t="shared" si="15"/>
        <v>5.1100917536011266E-3</v>
      </c>
      <c r="J98" s="116"/>
      <c r="K98" s="116"/>
    </row>
    <row r="99" spans="2:11" x14ac:dyDescent="0.2">
      <c r="B99" s="238">
        <v>637</v>
      </c>
      <c r="C99" s="205">
        <v>325</v>
      </c>
      <c r="D99" s="204">
        <f t="shared" si="13"/>
        <v>7.0270270270270205E-2</v>
      </c>
      <c r="E99" s="203">
        <f t="shared" si="14"/>
        <v>8.0691029957801245E-5</v>
      </c>
      <c r="F99" s="203">
        <f t="shared" si="15"/>
        <v>5.1907827835589275E-3</v>
      </c>
      <c r="J99" s="116"/>
      <c r="K99" s="116"/>
    </row>
    <row r="100" spans="2:11" x14ac:dyDescent="0.2">
      <c r="B100" s="238">
        <v>736</v>
      </c>
      <c r="C100" s="205">
        <v>327</v>
      </c>
      <c r="D100" s="204">
        <f t="shared" si="13"/>
        <v>7.1042471042470981E-2</v>
      </c>
      <c r="E100" s="203">
        <f t="shared" si="14"/>
        <v>8.1187590142156937E-5</v>
      </c>
      <c r="F100" s="203">
        <f t="shared" si="15"/>
        <v>5.2719703737010848E-3</v>
      </c>
      <c r="J100" s="116"/>
      <c r="K100" s="116"/>
    </row>
    <row r="101" spans="2:11" x14ac:dyDescent="0.2">
      <c r="B101" s="237">
        <v>41</v>
      </c>
      <c r="C101" s="114">
        <v>330</v>
      </c>
      <c r="D101" s="204">
        <f t="shared" si="13"/>
        <v>7.1814671814671757E-2</v>
      </c>
      <c r="E101" s="203">
        <f t="shared" si="14"/>
        <v>8.193243041869049E-5</v>
      </c>
      <c r="F101" s="203">
        <f t="shared" si="15"/>
        <v>5.3539028041197749E-3</v>
      </c>
      <c r="J101" s="116"/>
      <c r="K101" s="116"/>
    </row>
    <row r="102" spans="2:11" x14ac:dyDescent="0.2">
      <c r="B102" s="237">
        <v>222</v>
      </c>
      <c r="C102" s="114">
        <v>330</v>
      </c>
      <c r="D102" s="204">
        <f t="shared" si="13"/>
        <v>7.2586872586872533E-2</v>
      </c>
      <c r="E102" s="203">
        <f t="shared" si="14"/>
        <v>8.193243041869049E-5</v>
      </c>
      <c r="F102" s="203">
        <f t="shared" si="15"/>
        <v>5.435835234538465E-3</v>
      </c>
      <c r="J102" s="116"/>
      <c r="K102" s="116"/>
    </row>
    <row r="103" spans="2:11" x14ac:dyDescent="0.2">
      <c r="B103" s="237">
        <v>531</v>
      </c>
      <c r="C103" s="114">
        <v>330</v>
      </c>
      <c r="D103" s="204">
        <f t="shared" si="13"/>
        <v>7.335907335907331E-2</v>
      </c>
      <c r="E103" s="203">
        <f t="shared" si="14"/>
        <v>8.193243041869049E-5</v>
      </c>
      <c r="F103" s="203">
        <f t="shared" si="15"/>
        <v>5.5177676649571551E-3</v>
      </c>
      <c r="J103" s="116"/>
      <c r="K103" s="116"/>
    </row>
    <row r="104" spans="2:11" x14ac:dyDescent="0.2">
      <c r="B104" s="237">
        <v>712</v>
      </c>
      <c r="C104" s="114">
        <v>330</v>
      </c>
      <c r="D104" s="204">
        <f t="shared" si="13"/>
        <v>7.4131274131274086E-2</v>
      </c>
      <c r="E104" s="203">
        <f t="shared" si="14"/>
        <v>8.193243041869049E-5</v>
      </c>
      <c r="F104" s="203">
        <f t="shared" si="15"/>
        <v>5.5997000953758452E-3</v>
      </c>
      <c r="J104" s="116"/>
      <c r="K104" s="116"/>
    </row>
    <row r="105" spans="2:11" x14ac:dyDescent="0.2">
      <c r="B105" s="237">
        <v>863</v>
      </c>
      <c r="C105" s="114">
        <v>330</v>
      </c>
      <c r="D105" s="204">
        <f t="shared" si="13"/>
        <v>7.4903474903474862E-2</v>
      </c>
      <c r="E105" s="203">
        <f t="shared" si="14"/>
        <v>8.193243041869049E-5</v>
      </c>
      <c r="F105" s="203">
        <f t="shared" si="15"/>
        <v>5.6816325257945353E-3</v>
      </c>
      <c r="J105" s="116"/>
      <c r="K105" s="116"/>
    </row>
    <row r="106" spans="2:11" x14ac:dyDescent="0.2">
      <c r="B106" s="237">
        <v>894</v>
      </c>
      <c r="C106" s="114">
        <v>330</v>
      </c>
      <c r="D106" s="204">
        <f t="shared" si="13"/>
        <v>7.5675675675675638E-2</v>
      </c>
      <c r="E106" s="203">
        <f t="shared" si="14"/>
        <v>8.193243041869049E-5</v>
      </c>
      <c r="F106" s="203">
        <f t="shared" si="15"/>
        <v>5.7635649562132255E-3</v>
      </c>
      <c r="J106" s="116"/>
      <c r="K106" s="116"/>
    </row>
    <row r="107" spans="2:11" x14ac:dyDescent="0.2">
      <c r="B107" s="237">
        <v>995</v>
      </c>
      <c r="C107" s="114">
        <v>330</v>
      </c>
      <c r="D107" s="204">
        <f t="shared" si="13"/>
        <v>7.6447876447876414E-2</v>
      </c>
      <c r="E107" s="203">
        <f t="shared" si="14"/>
        <v>8.193243041869049E-5</v>
      </c>
      <c r="F107" s="203">
        <f t="shared" si="15"/>
        <v>5.8454973866319156E-3</v>
      </c>
      <c r="J107" s="116"/>
      <c r="K107" s="116"/>
    </row>
    <row r="108" spans="2:11" x14ac:dyDescent="0.2">
      <c r="B108" s="238">
        <v>1592</v>
      </c>
      <c r="C108" s="205">
        <v>330</v>
      </c>
      <c r="D108" s="204">
        <f t="shared" si="13"/>
        <v>7.7220077220077191E-2</v>
      </c>
      <c r="E108" s="203">
        <f t="shared" si="14"/>
        <v>8.193243041869049E-5</v>
      </c>
      <c r="F108" s="203">
        <f t="shared" si="15"/>
        <v>5.9274298170506057E-3</v>
      </c>
      <c r="J108" s="116"/>
      <c r="K108" s="116"/>
    </row>
    <row r="109" spans="2:11" x14ac:dyDescent="0.2">
      <c r="B109" s="238">
        <v>876</v>
      </c>
      <c r="C109" s="205">
        <v>333.33333333333331</v>
      </c>
      <c r="D109" s="204">
        <f t="shared" si="13"/>
        <v>7.7992277992277967E-2</v>
      </c>
      <c r="E109" s="203">
        <f t="shared" si="14"/>
        <v>8.2760030725949983E-5</v>
      </c>
      <c r="F109" s="203">
        <f t="shared" si="15"/>
        <v>6.0101898477765555E-3</v>
      </c>
      <c r="J109" s="116"/>
      <c r="K109" s="116"/>
    </row>
    <row r="110" spans="2:11" x14ac:dyDescent="0.2">
      <c r="B110" s="237">
        <v>126</v>
      </c>
      <c r="C110" s="114">
        <v>333.9</v>
      </c>
      <c r="D110" s="204">
        <f t="shared" si="13"/>
        <v>7.8764478764478743E-2</v>
      </c>
      <c r="E110" s="203">
        <f t="shared" si="14"/>
        <v>8.2900722778184101E-5</v>
      </c>
      <c r="F110" s="203">
        <f t="shared" si="15"/>
        <v>6.0930905705547395E-3</v>
      </c>
      <c r="J110" s="116"/>
      <c r="K110" s="116"/>
    </row>
    <row r="111" spans="2:11" x14ac:dyDescent="0.2">
      <c r="B111" s="237">
        <v>3</v>
      </c>
      <c r="C111" s="114">
        <v>340</v>
      </c>
      <c r="D111" s="204">
        <f t="shared" si="13"/>
        <v>7.9536679536679519E-2</v>
      </c>
      <c r="E111" s="203">
        <f t="shared" si="14"/>
        <v>8.4415231340468982E-5</v>
      </c>
      <c r="F111" s="203">
        <f t="shared" si="15"/>
        <v>6.1775058018952089E-3</v>
      </c>
      <c r="J111" s="116"/>
      <c r="K111" s="116"/>
    </row>
    <row r="112" spans="2:11" x14ac:dyDescent="0.2">
      <c r="B112" s="238">
        <v>283</v>
      </c>
      <c r="C112" s="205">
        <v>340</v>
      </c>
      <c r="D112" s="204">
        <f t="shared" si="13"/>
        <v>8.0308880308880295E-2</v>
      </c>
      <c r="E112" s="203">
        <f t="shared" si="14"/>
        <v>8.4415231340468982E-5</v>
      </c>
      <c r="F112" s="203">
        <f t="shared" si="15"/>
        <v>6.2619210332356783E-3</v>
      </c>
      <c r="J112" s="116"/>
      <c r="K112" s="116"/>
    </row>
    <row r="113" spans="2:11" x14ac:dyDescent="0.2">
      <c r="B113" s="238">
        <v>502</v>
      </c>
      <c r="C113" s="205">
        <v>340</v>
      </c>
      <c r="D113" s="204">
        <f t="shared" si="13"/>
        <v>8.1081081081081072E-2</v>
      </c>
      <c r="E113" s="203">
        <f t="shared" si="14"/>
        <v>8.4415231340468982E-5</v>
      </c>
      <c r="F113" s="203">
        <f t="shared" si="15"/>
        <v>6.3463362645761476E-3</v>
      </c>
      <c r="J113" s="116"/>
      <c r="K113" s="116"/>
    </row>
    <row r="114" spans="2:11" x14ac:dyDescent="0.2">
      <c r="B114" s="237">
        <v>955</v>
      </c>
      <c r="C114" s="114">
        <v>340</v>
      </c>
      <c r="D114" s="204">
        <f t="shared" si="13"/>
        <v>8.1853281853281848E-2</v>
      </c>
      <c r="E114" s="203">
        <f t="shared" si="14"/>
        <v>8.4415231340468982E-5</v>
      </c>
      <c r="F114" s="203">
        <f t="shared" si="15"/>
        <v>6.430751495916617E-3</v>
      </c>
      <c r="J114" s="116"/>
      <c r="K114" s="116"/>
    </row>
    <row r="115" spans="2:11" x14ac:dyDescent="0.2">
      <c r="B115" s="237">
        <v>1170</v>
      </c>
      <c r="C115" s="114">
        <v>340</v>
      </c>
      <c r="D115" s="204">
        <f t="shared" si="13"/>
        <v>8.2625482625482624E-2</v>
      </c>
      <c r="E115" s="203">
        <f t="shared" si="14"/>
        <v>8.4415231340468982E-5</v>
      </c>
      <c r="F115" s="203">
        <f t="shared" si="15"/>
        <v>6.5151667272570863E-3</v>
      </c>
      <c r="J115" s="116"/>
      <c r="K115" s="116"/>
    </row>
    <row r="116" spans="2:11" x14ac:dyDescent="0.2">
      <c r="B116" s="237">
        <v>59</v>
      </c>
      <c r="C116" s="114">
        <v>350</v>
      </c>
      <c r="D116" s="204">
        <f t="shared" si="13"/>
        <v>8.33976833976834E-2</v>
      </c>
      <c r="E116" s="203">
        <f t="shared" si="14"/>
        <v>8.6898032262247487E-5</v>
      </c>
      <c r="F116" s="203">
        <f t="shared" si="15"/>
        <v>6.6020647595193341E-3</v>
      </c>
      <c r="J116" s="116"/>
      <c r="K116" s="116"/>
    </row>
    <row r="117" spans="2:11" x14ac:dyDescent="0.2">
      <c r="B117" s="238">
        <v>74</v>
      </c>
      <c r="C117" s="205">
        <v>350</v>
      </c>
      <c r="D117" s="204">
        <f t="shared" si="13"/>
        <v>8.4169884169884177E-2</v>
      </c>
      <c r="E117" s="203">
        <f t="shared" si="14"/>
        <v>8.6898032262247487E-5</v>
      </c>
      <c r="F117" s="203">
        <f t="shared" si="15"/>
        <v>6.6889627917815818E-3</v>
      </c>
      <c r="J117" s="116"/>
      <c r="K117" s="116"/>
    </row>
    <row r="118" spans="2:11" x14ac:dyDescent="0.2">
      <c r="B118" s="237">
        <v>181</v>
      </c>
      <c r="C118" s="114">
        <v>350</v>
      </c>
      <c r="D118" s="204">
        <f t="shared" si="13"/>
        <v>8.4942084942084953E-2</v>
      </c>
      <c r="E118" s="203">
        <f t="shared" si="14"/>
        <v>8.6898032262247487E-5</v>
      </c>
      <c r="F118" s="203">
        <f t="shared" si="15"/>
        <v>6.7758608240438296E-3</v>
      </c>
      <c r="J118" s="116"/>
      <c r="K118" s="116"/>
    </row>
    <row r="119" spans="2:11" x14ac:dyDescent="0.2">
      <c r="B119" s="237">
        <v>224</v>
      </c>
      <c r="C119" s="114">
        <v>350</v>
      </c>
      <c r="D119" s="204">
        <f t="shared" si="13"/>
        <v>8.5714285714285729E-2</v>
      </c>
      <c r="E119" s="203">
        <f t="shared" si="14"/>
        <v>8.6898032262247487E-5</v>
      </c>
      <c r="F119" s="203">
        <f t="shared" si="15"/>
        <v>6.8627588563060773E-3</v>
      </c>
      <c r="J119" s="116"/>
      <c r="K119" s="116"/>
    </row>
    <row r="120" spans="2:11" x14ac:dyDescent="0.2">
      <c r="B120" s="237">
        <v>238</v>
      </c>
      <c r="C120" s="114">
        <v>350</v>
      </c>
      <c r="D120" s="204">
        <f t="shared" si="13"/>
        <v>8.6486486486486505E-2</v>
      </c>
      <c r="E120" s="203">
        <f t="shared" si="14"/>
        <v>8.6898032262247487E-5</v>
      </c>
      <c r="F120" s="203">
        <f t="shared" si="15"/>
        <v>6.9496568885683251E-3</v>
      </c>
      <c r="J120" s="116"/>
      <c r="K120" s="116"/>
    </row>
    <row r="121" spans="2:11" x14ac:dyDescent="0.2">
      <c r="B121" s="237">
        <v>313</v>
      </c>
      <c r="C121" s="114">
        <v>350</v>
      </c>
      <c r="D121" s="204">
        <f t="shared" si="13"/>
        <v>8.7258687258687281E-2</v>
      </c>
      <c r="E121" s="203">
        <f t="shared" si="14"/>
        <v>8.6898032262247487E-5</v>
      </c>
      <c r="F121" s="203">
        <f t="shared" si="15"/>
        <v>7.0365549208305728E-3</v>
      </c>
      <c r="J121" s="116"/>
      <c r="K121" s="116"/>
    </row>
    <row r="122" spans="2:11" x14ac:dyDescent="0.2">
      <c r="B122" s="237">
        <v>321</v>
      </c>
      <c r="C122" s="114">
        <v>350</v>
      </c>
      <c r="D122" s="204">
        <f t="shared" si="13"/>
        <v>8.8030888030888058E-2</v>
      </c>
      <c r="E122" s="203">
        <f t="shared" si="14"/>
        <v>8.6898032262247487E-5</v>
      </c>
      <c r="F122" s="203">
        <f t="shared" si="15"/>
        <v>7.1234529530928205E-3</v>
      </c>
      <c r="J122" s="116"/>
      <c r="K122" s="116"/>
    </row>
    <row r="123" spans="2:11" x14ac:dyDescent="0.2">
      <c r="B123" s="237">
        <v>542</v>
      </c>
      <c r="C123" s="114">
        <v>350</v>
      </c>
      <c r="D123" s="204">
        <f t="shared" si="13"/>
        <v>8.8803088803088834E-2</v>
      </c>
      <c r="E123" s="203">
        <f t="shared" si="14"/>
        <v>8.6898032262247487E-5</v>
      </c>
      <c r="F123" s="203">
        <f t="shared" si="15"/>
        <v>7.2103509853550683E-3</v>
      </c>
      <c r="J123" s="116"/>
      <c r="K123" s="116"/>
    </row>
    <row r="124" spans="2:11" x14ac:dyDescent="0.2">
      <c r="B124" s="238">
        <v>548</v>
      </c>
      <c r="C124" s="205">
        <v>350</v>
      </c>
      <c r="D124" s="204">
        <f t="shared" si="13"/>
        <v>8.957528957528961E-2</v>
      </c>
      <c r="E124" s="203">
        <f t="shared" si="14"/>
        <v>8.6898032262247487E-5</v>
      </c>
      <c r="F124" s="203">
        <f t="shared" si="15"/>
        <v>7.297249017617316E-3</v>
      </c>
      <c r="J124" s="116"/>
      <c r="K124" s="116"/>
    </row>
    <row r="125" spans="2:11" x14ac:dyDescent="0.2">
      <c r="B125" s="237">
        <v>560</v>
      </c>
      <c r="C125" s="114">
        <v>350</v>
      </c>
      <c r="D125" s="204">
        <f t="shared" si="13"/>
        <v>9.0347490347490386E-2</v>
      </c>
      <c r="E125" s="203">
        <f t="shared" si="14"/>
        <v>8.6898032262247487E-5</v>
      </c>
      <c r="F125" s="203">
        <f t="shared" si="15"/>
        <v>7.3841470498795638E-3</v>
      </c>
      <c r="J125" s="116"/>
      <c r="K125" s="116"/>
    </row>
    <row r="126" spans="2:11" x14ac:dyDescent="0.2">
      <c r="B126" s="237">
        <v>643</v>
      </c>
      <c r="C126" s="114">
        <v>350</v>
      </c>
      <c r="D126" s="204">
        <f t="shared" si="13"/>
        <v>9.1119691119691162E-2</v>
      </c>
      <c r="E126" s="203">
        <f t="shared" si="14"/>
        <v>8.6898032262247487E-5</v>
      </c>
      <c r="F126" s="203">
        <f t="shared" si="15"/>
        <v>7.4710450821418115E-3</v>
      </c>
      <c r="J126" s="116"/>
      <c r="K126" s="116"/>
    </row>
    <row r="127" spans="2:11" x14ac:dyDescent="0.2">
      <c r="B127" s="237">
        <v>787</v>
      </c>
      <c r="C127" s="114">
        <v>350</v>
      </c>
      <c r="D127" s="204">
        <f t="shared" si="13"/>
        <v>9.1891891891891939E-2</v>
      </c>
      <c r="E127" s="203">
        <f t="shared" si="14"/>
        <v>8.6898032262247487E-5</v>
      </c>
      <c r="F127" s="203">
        <f t="shared" si="15"/>
        <v>7.5579431144040593E-3</v>
      </c>
      <c r="J127" s="116"/>
      <c r="K127" s="116"/>
    </row>
    <row r="128" spans="2:11" x14ac:dyDescent="0.2">
      <c r="B128" s="237">
        <v>839</v>
      </c>
      <c r="C128" s="114">
        <v>350</v>
      </c>
      <c r="D128" s="204">
        <f t="shared" si="13"/>
        <v>9.2664092664092715E-2</v>
      </c>
      <c r="E128" s="203">
        <f t="shared" si="14"/>
        <v>8.6898032262247487E-5</v>
      </c>
      <c r="F128" s="203">
        <f t="shared" si="15"/>
        <v>7.644841146666307E-3</v>
      </c>
      <c r="J128" s="116"/>
      <c r="K128" s="116"/>
    </row>
    <row r="129" spans="2:11" x14ac:dyDescent="0.2">
      <c r="B129" s="237">
        <v>1089</v>
      </c>
      <c r="C129" s="114">
        <v>350</v>
      </c>
      <c r="D129" s="204">
        <f t="shared" si="13"/>
        <v>9.3436293436293491E-2</v>
      </c>
      <c r="E129" s="203">
        <f t="shared" si="14"/>
        <v>8.6898032262247487E-5</v>
      </c>
      <c r="F129" s="203">
        <f t="shared" si="15"/>
        <v>7.7317391789285548E-3</v>
      </c>
      <c r="J129" s="116"/>
      <c r="K129" s="116"/>
    </row>
    <row r="130" spans="2:11" x14ac:dyDescent="0.2">
      <c r="B130" s="237">
        <v>1120</v>
      </c>
      <c r="C130" s="114">
        <v>350</v>
      </c>
      <c r="D130" s="204">
        <f t="shared" si="13"/>
        <v>9.4208494208494267E-2</v>
      </c>
      <c r="E130" s="203">
        <f t="shared" si="14"/>
        <v>8.6898032262247487E-5</v>
      </c>
      <c r="F130" s="203">
        <f t="shared" si="15"/>
        <v>7.8186372111908025E-3</v>
      </c>
      <c r="J130" s="116"/>
      <c r="K130" s="116"/>
    </row>
    <row r="131" spans="2:11" x14ac:dyDescent="0.2">
      <c r="B131" s="237">
        <v>1271</v>
      </c>
      <c r="C131" s="114">
        <v>350</v>
      </c>
      <c r="D131" s="204">
        <f t="shared" si="13"/>
        <v>9.4980694980695043E-2</v>
      </c>
      <c r="E131" s="203">
        <f t="shared" si="14"/>
        <v>8.6898032262247487E-5</v>
      </c>
      <c r="F131" s="203">
        <f t="shared" si="15"/>
        <v>7.9055352434530494E-3</v>
      </c>
      <c r="J131" s="116"/>
      <c r="K131" s="116"/>
    </row>
    <row r="132" spans="2:11" x14ac:dyDescent="0.2">
      <c r="B132" s="237">
        <v>1290</v>
      </c>
      <c r="C132" s="114">
        <v>350</v>
      </c>
      <c r="D132" s="204">
        <f t="shared" si="13"/>
        <v>9.575289575289582E-2</v>
      </c>
      <c r="E132" s="203">
        <f t="shared" si="14"/>
        <v>8.6898032262247487E-5</v>
      </c>
      <c r="F132" s="203">
        <f t="shared" si="15"/>
        <v>7.9924332757152963E-3</v>
      </c>
      <c r="J132" s="116"/>
      <c r="K132" s="116"/>
    </row>
    <row r="133" spans="2:11" x14ac:dyDescent="0.2">
      <c r="B133" s="238">
        <v>1309</v>
      </c>
      <c r="C133" s="205">
        <v>350</v>
      </c>
      <c r="D133" s="204">
        <f t="shared" si="13"/>
        <v>9.6525096525096596E-2</v>
      </c>
      <c r="E133" s="203">
        <f t="shared" si="14"/>
        <v>8.6898032262247487E-5</v>
      </c>
      <c r="F133" s="203">
        <f t="shared" si="15"/>
        <v>8.0793313079775431E-3</v>
      </c>
      <c r="J133" s="116"/>
      <c r="K133" s="116"/>
    </row>
    <row r="134" spans="2:11" x14ac:dyDescent="0.2">
      <c r="B134" s="237">
        <v>1716</v>
      </c>
      <c r="C134" s="114">
        <v>350</v>
      </c>
      <c r="D134" s="204">
        <f t="shared" si="13"/>
        <v>9.7297297297297372E-2</v>
      </c>
      <c r="E134" s="203">
        <f t="shared" si="14"/>
        <v>8.6898032262247487E-5</v>
      </c>
      <c r="F134" s="203">
        <f t="shared" si="15"/>
        <v>8.16622934023979E-3</v>
      </c>
      <c r="J134" s="116"/>
      <c r="K134" s="116"/>
    </row>
    <row r="135" spans="2:11" x14ac:dyDescent="0.2">
      <c r="B135" s="237">
        <v>2062</v>
      </c>
      <c r="C135" s="114">
        <v>350</v>
      </c>
      <c r="D135" s="204">
        <f t="shared" si="13"/>
        <v>9.8069498069498148E-2</v>
      </c>
      <c r="E135" s="203">
        <f t="shared" si="14"/>
        <v>8.6898032262247487E-5</v>
      </c>
      <c r="F135" s="203">
        <f t="shared" si="15"/>
        <v>8.2531273725020369E-3</v>
      </c>
      <c r="J135" s="116"/>
      <c r="K135" s="116"/>
    </row>
    <row r="136" spans="2:11" x14ac:dyDescent="0.2">
      <c r="B136" s="238">
        <v>1158</v>
      </c>
      <c r="C136" s="205">
        <v>351</v>
      </c>
      <c r="D136" s="204">
        <f t="shared" si="13"/>
        <v>9.8841698841698925E-2</v>
      </c>
      <c r="E136" s="203">
        <f t="shared" si="14"/>
        <v>8.7146312354425333E-5</v>
      </c>
      <c r="F136" s="203">
        <f t="shared" si="15"/>
        <v>8.3402736848564619E-3</v>
      </c>
      <c r="J136" s="116"/>
      <c r="K136" s="116"/>
    </row>
    <row r="137" spans="2:11" x14ac:dyDescent="0.2">
      <c r="B137" s="237">
        <v>1601</v>
      </c>
      <c r="C137" s="114">
        <v>360</v>
      </c>
      <c r="D137" s="204">
        <f t="shared" ref="D137:D200" si="16">D136+1/$L$18</f>
        <v>9.9613899613899701E-2</v>
      </c>
      <c r="E137" s="203">
        <f t="shared" ref="E137:E200" si="17">C137/$O$18</f>
        <v>8.9380833184025992E-5</v>
      </c>
      <c r="F137" s="203">
        <f t="shared" ref="F137:F200" si="18">F136+E137</f>
        <v>8.4296545180404872E-3</v>
      </c>
      <c r="J137" s="116"/>
      <c r="K137" s="116"/>
    </row>
    <row r="138" spans="2:11" x14ac:dyDescent="0.2">
      <c r="B138" s="237">
        <v>1611</v>
      </c>
      <c r="C138" s="114">
        <v>360</v>
      </c>
      <c r="D138" s="204">
        <f t="shared" si="16"/>
        <v>0.10038610038610048</v>
      </c>
      <c r="E138" s="203">
        <f t="shared" si="17"/>
        <v>8.9380833184025992E-5</v>
      </c>
      <c r="F138" s="203">
        <f t="shared" si="18"/>
        <v>8.5190353512245125E-3</v>
      </c>
      <c r="J138" s="116"/>
      <c r="K138" s="116"/>
    </row>
    <row r="139" spans="2:11" x14ac:dyDescent="0.2">
      <c r="B139" s="237">
        <v>1493</v>
      </c>
      <c r="C139" s="114">
        <v>363.6</v>
      </c>
      <c r="D139" s="204">
        <f t="shared" si="16"/>
        <v>0.10115830115830125</v>
      </c>
      <c r="E139" s="203">
        <f t="shared" si="17"/>
        <v>9.027464151586625E-5</v>
      </c>
      <c r="F139" s="203">
        <f t="shared" si="18"/>
        <v>8.6093099927403785E-3</v>
      </c>
      <c r="J139" s="116"/>
      <c r="K139" s="116"/>
    </row>
    <row r="140" spans="2:11" x14ac:dyDescent="0.2">
      <c r="B140" s="237">
        <v>1775</v>
      </c>
      <c r="C140" s="114">
        <v>363.6</v>
      </c>
      <c r="D140" s="204">
        <f t="shared" si="16"/>
        <v>0.10193050193050203</v>
      </c>
      <c r="E140" s="203">
        <f t="shared" si="17"/>
        <v>9.027464151586625E-5</v>
      </c>
      <c r="F140" s="203">
        <f t="shared" si="18"/>
        <v>8.6995846342562445E-3</v>
      </c>
      <c r="J140" s="116"/>
      <c r="K140" s="116"/>
    </row>
    <row r="141" spans="2:11" x14ac:dyDescent="0.2">
      <c r="B141" s="237">
        <v>1321</v>
      </c>
      <c r="C141" s="114">
        <v>365</v>
      </c>
      <c r="D141" s="204">
        <f t="shared" si="16"/>
        <v>0.10270270270270281</v>
      </c>
      <c r="E141" s="203">
        <f t="shared" si="17"/>
        <v>9.0622233644915238E-5</v>
      </c>
      <c r="F141" s="203">
        <f t="shared" si="18"/>
        <v>8.790206867901159E-3</v>
      </c>
      <c r="J141" s="116"/>
      <c r="K141" s="116"/>
    </row>
    <row r="142" spans="2:11" x14ac:dyDescent="0.2">
      <c r="B142" s="237">
        <v>2089</v>
      </c>
      <c r="C142" s="114">
        <v>365</v>
      </c>
      <c r="D142" s="204">
        <f t="shared" si="16"/>
        <v>0.10347490347490358</v>
      </c>
      <c r="E142" s="203">
        <f t="shared" si="17"/>
        <v>9.0622233644915238E-5</v>
      </c>
      <c r="F142" s="203">
        <f t="shared" si="18"/>
        <v>8.8808291015460734E-3</v>
      </c>
      <c r="J142" s="116"/>
      <c r="K142" s="116"/>
    </row>
    <row r="143" spans="2:11" x14ac:dyDescent="0.2">
      <c r="B143" s="237">
        <v>670</v>
      </c>
      <c r="C143" s="114">
        <v>370</v>
      </c>
      <c r="D143" s="204">
        <f t="shared" si="16"/>
        <v>0.10424710424710436</v>
      </c>
      <c r="E143" s="203">
        <f t="shared" si="17"/>
        <v>9.1863634105804483E-5</v>
      </c>
      <c r="F143" s="203">
        <f t="shared" si="18"/>
        <v>8.9726927356518771E-3</v>
      </c>
      <c r="J143" s="116"/>
      <c r="K143" s="116"/>
    </row>
    <row r="144" spans="2:11" x14ac:dyDescent="0.2">
      <c r="B144" s="237">
        <v>2075</v>
      </c>
      <c r="C144" s="114">
        <v>370</v>
      </c>
      <c r="D144" s="204">
        <f t="shared" si="16"/>
        <v>0.10501930501930513</v>
      </c>
      <c r="E144" s="203">
        <f t="shared" si="17"/>
        <v>9.1863634105804483E-5</v>
      </c>
      <c r="F144" s="203">
        <f t="shared" si="18"/>
        <v>9.0645563697576807E-3</v>
      </c>
      <c r="J144" s="116"/>
      <c r="K144" s="116"/>
    </row>
    <row r="145" spans="2:11" x14ac:dyDescent="0.2">
      <c r="B145" s="237">
        <v>896</v>
      </c>
      <c r="C145" s="114">
        <v>375</v>
      </c>
      <c r="D145" s="204">
        <f t="shared" si="16"/>
        <v>0.10579150579150591</v>
      </c>
      <c r="E145" s="203">
        <f t="shared" si="17"/>
        <v>9.3105034566693743E-5</v>
      </c>
      <c r="F145" s="203">
        <f t="shared" si="18"/>
        <v>9.1576614043243753E-3</v>
      </c>
      <c r="J145" s="116"/>
      <c r="K145" s="116"/>
    </row>
    <row r="146" spans="2:11" x14ac:dyDescent="0.2">
      <c r="B146" s="237">
        <v>1023</v>
      </c>
      <c r="C146" s="114">
        <v>375</v>
      </c>
      <c r="D146" s="204">
        <f t="shared" si="16"/>
        <v>0.10656370656370669</v>
      </c>
      <c r="E146" s="203">
        <f t="shared" si="17"/>
        <v>9.3105034566693743E-5</v>
      </c>
      <c r="F146" s="203">
        <f t="shared" si="18"/>
        <v>9.2507664388910699E-3</v>
      </c>
      <c r="J146" s="116"/>
      <c r="K146" s="116"/>
    </row>
    <row r="147" spans="2:11" x14ac:dyDescent="0.2">
      <c r="B147" s="238">
        <v>1763</v>
      </c>
      <c r="C147" s="205">
        <v>375</v>
      </c>
      <c r="D147" s="204">
        <f t="shared" si="16"/>
        <v>0.10733590733590746</v>
      </c>
      <c r="E147" s="203">
        <f t="shared" si="17"/>
        <v>9.3105034566693743E-5</v>
      </c>
      <c r="F147" s="203">
        <f t="shared" si="18"/>
        <v>9.3438714734577644E-3</v>
      </c>
      <c r="J147" s="116"/>
      <c r="K147" s="116"/>
    </row>
    <row r="148" spans="2:11" x14ac:dyDescent="0.2">
      <c r="B148" s="237">
        <v>1000</v>
      </c>
      <c r="C148" s="114">
        <v>376</v>
      </c>
      <c r="D148" s="204">
        <f t="shared" si="16"/>
        <v>0.10810810810810824</v>
      </c>
      <c r="E148" s="203">
        <f t="shared" si="17"/>
        <v>9.3353314658871589E-5</v>
      </c>
      <c r="F148" s="203">
        <f t="shared" si="18"/>
        <v>9.4372247881166355E-3</v>
      </c>
      <c r="J148" s="116"/>
      <c r="K148" s="116"/>
    </row>
    <row r="149" spans="2:11" x14ac:dyDescent="0.2">
      <c r="B149" s="237">
        <v>2190</v>
      </c>
      <c r="C149" s="114">
        <v>376</v>
      </c>
      <c r="D149" s="204">
        <f t="shared" si="16"/>
        <v>0.10888030888030902</v>
      </c>
      <c r="E149" s="203">
        <f t="shared" si="17"/>
        <v>9.3353314658871589E-5</v>
      </c>
      <c r="F149" s="203">
        <f t="shared" si="18"/>
        <v>9.5305781027755065E-3</v>
      </c>
      <c r="J149" s="116"/>
      <c r="K149" s="116"/>
    </row>
    <row r="150" spans="2:11" x14ac:dyDescent="0.2">
      <c r="B150" s="237">
        <v>514</v>
      </c>
      <c r="C150" s="114">
        <v>380</v>
      </c>
      <c r="D150" s="204">
        <f t="shared" si="16"/>
        <v>0.10965250965250979</v>
      </c>
      <c r="E150" s="203">
        <f t="shared" si="17"/>
        <v>9.4346435027582988E-5</v>
      </c>
      <c r="F150" s="203">
        <f t="shared" si="18"/>
        <v>9.6249245378030902E-3</v>
      </c>
      <c r="J150" s="116"/>
      <c r="K150" s="116"/>
    </row>
    <row r="151" spans="2:11" x14ac:dyDescent="0.2">
      <c r="B151" s="238">
        <v>664</v>
      </c>
      <c r="C151" s="205">
        <v>380</v>
      </c>
      <c r="D151" s="204">
        <f t="shared" si="16"/>
        <v>0.11042471042471057</v>
      </c>
      <c r="E151" s="203">
        <f t="shared" si="17"/>
        <v>9.4346435027582988E-5</v>
      </c>
      <c r="F151" s="203">
        <f t="shared" si="18"/>
        <v>9.719270972830674E-3</v>
      </c>
      <c r="J151" s="116"/>
      <c r="K151" s="116"/>
    </row>
    <row r="152" spans="2:11" x14ac:dyDescent="0.2">
      <c r="B152" s="238">
        <v>928</v>
      </c>
      <c r="C152" s="205">
        <v>380</v>
      </c>
      <c r="D152" s="204">
        <f t="shared" si="16"/>
        <v>0.11119691119691134</v>
      </c>
      <c r="E152" s="203">
        <f t="shared" si="17"/>
        <v>9.4346435027582988E-5</v>
      </c>
      <c r="F152" s="203">
        <f t="shared" si="18"/>
        <v>9.8136174078582578E-3</v>
      </c>
      <c r="J152" s="116"/>
      <c r="K152" s="116"/>
    </row>
    <row r="153" spans="2:11" x14ac:dyDescent="0.2">
      <c r="B153" s="237">
        <v>1274</v>
      </c>
      <c r="C153" s="114">
        <v>380</v>
      </c>
      <c r="D153" s="204">
        <f t="shared" si="16"/>
        <v>0.11196911196911212</v>
      </c>
      <c r="E153" s="203">
        <f t="shared" si="17"/>
        <v>9.4346435027582988E-5</v>
      </c>
      <c r="F153" s="203">
        <f t="shared" si="18"/>
        <v>9.9079638428858415E-3</v>
      </c>
      <c r="J153" s="116"/>
      <c r="K153" s="116"/>
    </row>
    <row r="154" spans="2:11" x14ac:dyDescent="0.2">
      <c r="B154" s="237">
        <v>1544</v>
      </c>
      <c r="C154" s="114">
        <v>382.22300000000001</v>
      </c>
      <c r="D154" s="204">
        <f t="shared" si="16"/>
        <v>0.1127413127413129</v>
      </c>
      <c r="E154" s="203">
        <f t="shared" si="17"/>
        <v>9.4898361672494347E-5</v>
      </c>
      <c r="F154" s="203">
        <f t="shared" si="18"/>
        <v>1.0002862204558335E-2</v>
      </c>
      <c r="J154" s="116"/>
      <c r="K154" s="116"/>
    </row>
    <row r="155" spans="2:11" x14ac:dyDescent="0.2">
      <c r="B155" s="237">
        <v>307</v>
      </c>
      <c r="C155" s="114">
        <v>384</v>
      </c>
      <c r="D155" s="204">
        <f t="shared" si="16"/>
        <v>0.11351351351351367</v>
      </c>
      <c r="E155" s="203">
        <f t="shared" si="17"/>
        <v>9.5339555396294388E-5</v>
      </c>
      <c r="F155" s="203">
        <f t="shared" si="18"/>
        <v>1.009820175995463E-2</v>
      </c>
    </row>
    <row r="156" spans="2:11" x14ac:dyDescent="0.2">
      <c r="B156" s="237">
        <v>858</v>
      </c>
      <c r="C156" s="114">
        <v>385</v>
      </c>
      <c r="D156" s="204">
        <f t="shared" si="16"/>
        <v>0.11428571428571445</v>
      </c>
      <c r="E156" s="203">
        <f t="shared" si="17"/>
        <v>9.5587835488472234E-5</v>
      </c>
      <c r="F156" s="203">
        <f t="shared" si="18"/>
        <v>1.0193789595443103E-2</v>
      </c>
    </row>
    <row r="157" spans="2:11" x14ac:dyDescent="0.2">
      <c r="B157" s="238">
        <v>488</v>
      </c>
      <c r="C157" s="205">
        <v>390</v>
      </c>
      <c r="D157" s="204">
        <f t="shared" si="16"/>
        <v>0.11505791505791522</v>
      </c>
      <c r="E157" s="203">
        <f t="shared" si="17"/>
        <v>9.682923594936148E-5</v>
      </c>
      <c r="F157" s="203">
        <f t="shared" si="18"/>
        <v>1.0290618831392465E-2</v>
      </c>
    </row>
    <row r="158" spans="2:11" x14ac:dyDescent="0.2">
      <c r="B158" s="238">
        <v>1798</v>
      </c>
      <c r="C158" s="205">
        <v>390</v>
      </c>
      <c r="D158" s="204">
        <f t="shared" si="16"/>
        <v>0.115830115830116</v>
      </c>
      <c r="E158" s="203">
        <f t="shared" si="17"/>
        <v>9.682923594936148E-5</v>
      </c>
      <c r="F158" s="203">
        <f t="shared" si="18"/>
        <v>1.0387448067341827E-2</v>
      </c>
    </row>
    <row r="159" spans="2:11" x14ac:dyDescent="0.2">
      <c r="B159" s="238">
        <v>245</v>
      </c>
      <c r="C159" s="205">
        <v>405</v>
      </c>
      <c r="D159" s="204">
        <f t="shared" si="16"/>
        <v>0.11660231660231678</v>
      </c>
      <c r="E159" s="203">
        <f t="shared" si="17"/>
        <v>1.0055343733202923E-4</v>
      </c>
      <c r="F159" s="203">
        <f t="shared" si="18"/>
        <v>1.0488001504673857E-2</v>
      </c>
    </row>
    <row r="160" spans="2:11" x14ac:dyDescent="0.2">
      <c r="B160" s="238">
        <v>824</v>
      </c>
      <c r="C160" s="205">
        <v>405</v>
      </c>
      <c r="D160" s="204">
        <f t="shared" si="16"/>
        <v>0.11737451737451755</v>
      </c>
      <c r="E160" s="203">
        <f t="shared" si="17"/>
        <v>1.0055343733202923E-4</v>
      </c>
      <c r="F160" s="203">
        <f t="shared" si="18"/>
        <v>1.0588554942005887E-2</v>
      </c>
    </row>
    <row r="161" spans="2:6" x14ac:dyDescent="0.2">
      <c r="B161" s="238">
        <v>1163</v>
      </c>
      <c r="C161" s="205">
        <v>406</v>
      </c>
      <c r="D161" s="204">
        <f t="shared" si="16"/>
        <v>0.11814671814671833</v>
      </c>
      <c r="E161" s="203">
        <f t="shared" si="17"/>
        <v>1.0080171742420709E-4</v>
      </c>
      <c r="F161" s="203">
        <f t="shared" si="18"/>
        <v>1.0689356659430094E-2</v>
      </c>
    </row>
    <row r="162" spans="2:6" x14ac:dyDescent="0.2">
      <c r="B162" s="237">
        <v>480</v>
      </c>
      <c r="C162" s="114">
        <v>410</v>
      </c>
      <c r="D162" s="204">
        <f t="shared" si="16"/>
        <v>0.11891891891891911</v>
      </c>
      <c r="E162" s="203">
        <f t="shared" si="17"/>
        <v>1.0179483779291849E-4</v>
      </c>
      <c r="F162" s="203">
        <f t="shared" si="18"/>
        <v>1.0791151497223013E-2</v>
      </c>
    </row>
    <row r="163" spans="2:6" x14ac:dyDescent="0.2">
      <c r="B163" s="237">
        <v>912</v>
      </c>
      <c r="C163" s="114">
        <v>410</v>
      </c>
      <c r="D163" s="204">
        <f t="shared" si="16"/>
        <v>0.11969111969111988</v>
      </c>
      <c r="E163" s="203">
        <f t="shared" si="17"/>
        <v>1.0179483779291849E-4</v>
      </c>
      <c r="F163" s="203">
        <f t="shared" si="18"/>
        <v>1.0892946335015932E-2</v>
      </c>
    </row>
    <row r="164" spans="2:6" x14ac:dyDescent="0.2">
      <c r="B164" s="237">
        <v>331</v>
      </c>
      <c r="C164" s="114">
        <v>414</v>
      </c>
      <c r="D164" s="204">
        <f t="shared" si="16"/>
        <v>0.12046332046332066</v>
      </c>
      <c r="E164" s="203">
        <f t="shared" si="17"/>
        <v>1.0278795816162989E-4</v>
      </c>
      <c r="F164" s="203">
        <f t="shared" si="18"/>
        <v>1.0995734293177562E-2</v>
      </c>
    </row>
    <row r="165" spans="2:6" x14ac:dyDescent="0.2">
      <c r="B165" s="237">
        <v>1165</v>
      </c>
      <c r="C165" s="114">
        <v>414</v>
      </c>
      <c r="D165" s="204">
        <f t="shared" si="16"/>
        <v>0.12123552123552143</v>
      </c>
      <c r="E165" s="203">
        <f t="shared" si="17"/>
        <v>1.0278795816162989E-4</v>
      </c>
      <c r="F165" s="203">
        <f t="shared" si="18"/>
        <v>1.1098522251339192E-2</v>
      </c>
    </row>
    <row r="166" spans="2:6" x14ac:dyDescent="0.2">
      <c r="B166" s="237">
        <v>981</v>
      </c>
      <c r="C166" s="114">
        <v>415</v>
      </c>
      <c r="D166" s="204">
        <f t="shared" si="16"/>
        <v>0.12200772200772221</v>
      </c>
      <c r="E166" s="203">
        <f t="shared" si="17"/>
        <v>1.0303623825380774E-4</v>
      </c>
      <c r="F166" s="203">
        <f t="shared" si="18"/>
        <v>1.1201558489593E-2</v>
      </c>
    </row>
    <row r="167" spans="2:6" x14ac:dyDescent="0.2">
      <c r="B167" s="237">
        <v>1311</v>
      </c>
      <c r="C167" s="114">
        <v>416.66666666666669</v>
      </c>
      <c r="D167" s="204">
        <f t="shared" si="16"/>
        <v>0.12277992277992299</v>
      </c>
      <c r="E167" s="203">
        <f t="shared" si="17"/>
        <v>1.0345003840743749E-4</v>
      </c>
      <c r="F167" s="203">
        <f t="shared" si="18"/>
        <v>1.1305008528000437E-2</v>
      </c>
    </row>
    <row r="168" spans="2:6" x14ac:dyDescent="0.2">
      <c r="B168" s="238">
        <v>241</v>
      </c>
      <c r="C168" s="205">
        <v>420</v>
      </c>
      <c r="D168" s="204">
        <f t="shared" si="16"/>
        <v>0.12355212355212376</v>
      </c>
      <c r="E168" s="203">
        <f t="shared" si="17"/>
        <v>1.0427763871469698E-4</v>
      </c>
      <c r="F168" s="203">
        <f t="shared" si="18"/>
        <v>1.1409286166715134E-2</v>
      </c>
    </row>
    <row r="169" spans="2:6" x14ac:dyDescent="0.2">
      <c r="B169" s="238">
        <v>653</v>
      </c>
      <c r="C169" s="205">
        <v>420</v>
      </c>
      <c r="D169" s="204">
        <f t="shared" si="16"/>
        <v>0.12432432432432454</v>
      </c>
      <c r="E169" s="203">
        <f t="shared" si="17"/>
        <v>1.0427763871469698E-4</v>
      </c>
      <c r="F169" s="203">
        <f t="shared" si="18"/>
        <v>1.1513563805429831E-2</v>
      </c>
    </row>
    <row r="170" spans="2:6" x14ac:dyDescent="0.2">
      <c r="B170" s="238">
        <v>881</v>
      </c>
      <c r="C170" s="205">
        <v>420</v>
      </c>
      <c r="D170" s="204">
        <f t="shared" si="16"/>
        <v>0.1250965250965253</v>
      </c>
      <c r="E170" s="203">
        <f t="shared" si="17"/>
        <v>1.0427763871469698E-4</v>
      </c>
      <c r="F170" s="203">
        <f t="shared" si="18"/>
        <v>1.1617841444144529E-2</v>
      </c>
    </row>
    <row r="171" spans="2:6" x14ac:dyDescent="0.2">
      <c r="B171" s="237">
        <v>1182</v>
      </c>
      <c r="C171" s="114">
        <v>420</v>
      </c>
      <c r="D171" s="204">
        <f t="shared" si="16"/>
        <v>0.12586872586872608</v>
      </c>
      <c r="E171" s="203">
        <f t="shared" si="17"/>
        <v>1.0427763871469698E-4</v>
      </c>
      <c r="F171" s="203">
        <f t="shared" si="18"/>
        <v>1.1722119082859226E-2</v>
      </c>
    </row>
    <row r="172" spans="2:6" x14ac:dyDescent="0.2">
      <c r="B172" s="238">
        <v>1627</v>
      </c>
      <c r="C172" s="205">
        <v>420</v>
      </c>
      <c r="D172" s="204">
        <f t="shared" si="16"/>
        <v>0.12664092664092685</v>
      </c>
      <c r="E172" s="203">
        <f t="shared" si="17"/>
        <v>1.0427763871469698E-4</v>
      </c>
      <c r="F172" s="203">
        <f t="shared" si="18"/>
        <v>1.1826396721573923E-2</v>
      </c>
    </row>
    <row r="173" spans="2:6" x14ac:dyDescent="0.2">
      <c r="B173" s="238">
        <v>947</v>
      </c>
      <c r="C173" s="205">
        <v>422.5</v>
      </c>
      <c r="D173" s="204">
        <f t="shared" si="16"/>
        <v>0.12741312741312763</v>
      </c>
      <c r="E173" s="203">
        <f t="shared" si="17"/>
        <v>1.048983389451416E-4</v>
      </c>
      <c r="F173" s="203">
        <f t="shared" si="18"/>
        <v>1.1931295060519065E-2</v>
      </c>
    </row>
    <row r="174" spans="2:6" x14ac:dyDescent="0.2">
      <c r="B174" s="237">
        <v>739</v>
      </c>
      <c r="C174" s="114">
        <v>427.5</v>
      </c>
      <c r="D174" s="204">
        <f t="shared" si="16"/>
        <v>0.12818532818532841</v>
      </c>
      <c r="E174" s="203">
        <f t="shared" si="17"/>
        <v>1.0613973940603086E-4</v>
      </c>
      <c r="F174" s="203">
        <f t="shared" si="18"/>
        <v>1.2037434799925096E-2</v>
      </c>
    </row>
    <row r="175" spans="2:6" x14ac:dyDescent="0.2">
      <c r="B175" s="237">
        <v>284</v>
      </c>
      <c r="C175" s="114">
        <v>430</v>
      </c>
      <c r="D175" s="204">
        <f t="shared" si="16"/>
        <v>0.12895752895752918</v>
      </c>
      <c r="E175" s="203">
        <f t="shared" si="17"/>
        <v>1.0676043963647549E-4</v>
      </c>
      <c r="F175" s="203">
        <f t="shared" si="18"/>
        <v>1.2144195239561572E-2</v>
      </c>
    </row>
    <row r="176" spans="2:6" x14ac:dyDescent="0.2">
      <c r="B176" s="237">
        <v>499</v>
      </c>
      <c r="C176" s="114">
        <v>430</v>
      </c>
      <c r="D176" s="204">
        <f t="shared" si="16"/>
        <v>0.12972972972972996</v>
      </c>
      <c r="E176" s="203">
        <f t="shared" si="17"/>
        <v>1.0676043963647549E-4</v>
      </c>
      <c r="F176" s="203">
        <f t="shared" si="18"/>
        <v>1.2250955679198048E-2</v>
      </c>
    </row>
    <row r="177" spans="2:6" x14ac:dyDescent="0.2">
      <c r="B177" s="238">
        <v>615</v>
      </c>
      <c r="C177" s="205">
        <v>430</v>
      </c>
      <c r="D177" s="204">
        <f t="shared" si="16"/>
        <v>0.13050193050193074</v>
      </c>
      <c r="E177" s="203">
        <f t="shared" si="17"/>
        <v>1.0676043963647549E-4</v>
      </c>
      <c r="F177" s="203">
        <f t="shared" si="18"/>
        <v>1.2357716118834523E-2</v>
      </c>
    </row>
    <row r="178" spans="2:6" x14ac:dyDescent="0.2">
      <c r="B178" s="238">
        <v>897</v>
      </c>
      <c r="C178" s="205">
        <v>430</v>
      </c>
      <c r="D178" s="204">
        <f t="shared" si="16"/>
        <v>0.13127413127413151</v>
      </c>
      <c r="E178" s="203">
        <f t="shared" si="17"/>
        <v>1.0676043963647549E-4</v>
      </c>
      <c r="F178" s="203">
        <f t="shared" si="18"/>
        <v>1.2464476558470999E-2</v>
      </c>
    </row>
    <row r="179" spans="2:6" x14ac:dyDescent="0.2">
      <c r="B179" s="238">
        <v>1173</v>
      </c>
      <c r="C179" s="205">
        <v>430</v>
      </c>
      <c r="D179" s="204">
        <f t="shared" si="16"/>
        <v>0.13204633204633229</v>
      </c>
      <c r="E179" s="203">
        <f t="shared" si="17"/>
        <v>1.0676043963647549E-4</v>
      </c>
      <c r="F179" s="203">
        <f t="shared" si="18"/>
        <v>1.2571236998107475E-2</v>
      </c>
    </row>
    <row r="180" spans="2:6" x14ac:dyDescent="0.2">
      <c r="B180" s="237">
        <v>1406</v>
      </c>
      <c r="C180" s="114">
        <v>430</v>
      </c>
      <c r="D180" s="204">
        <f t="shared" si="16"/>
        <v>0.13281853281853306</v>
      </c>
      <c r="E180" s="203">
        <f t="shared" si="17"/>
        <v>1.0676043963647549E-4</v>
      </c>
      <c r="F180" s="203">
        <f t="shared" si="18"/>
        <v>1.267799743774395E-2</v>
      </c>
    </row>
    <row r="181" spans="2:6" x14ac:dyDescent="0.2">
      <c r="B181" s="237">
        <v>2212</v>
      </c>
      <c r="C181" s="114">
        <v>430</v>
      </c>
      <c r="D181" s="204">
        <f t="shared" si="16"/>
        <v>0.13359073359073384</v>
      </c>
      <c r="E181" s="203">
        <f t="shared" si="17"/>
        <v>1.0676043963647549E-4</v>
      </c>
      <c r="F181" s="203">
        <f t="shared" si="18"/>
        <v>1.2784757877380426E-2</v>
      </c>
    </row>
    <row r="182" spans="2:6" x14ac:dyDescent="0.2">
      <c r="B182" s="237">
        <v>1285</v>
      </c>
      <c r="C182" s="114">
        <v>431.2</v>
      </c>
      <c r="D182" s="204">
        <f t="shared" si="16"/>
        <v>0.13436293436293462</v>
      </c>
      <c r="E182" s="203">
        <f t="shared" si="17"/>
        <v>1.070583757470889E-4</v>
      </c>
      <c r="F182" s="203">
        <f t="shared" si="18"/>
        <v>1.2891816253127514E-2</v>
      </c>
    </row>
    <row r="183" spans="2:6" x14ac:dyDescent="0.2">
      <c r="B183" s="237">
        <v>1576</v>
      </c>
      <c r="C183" s="114">
        <v>432</v>
      </c>
      <c r="D183" s="204">
        <f t="shared" si="16"/>
        <v>0.13513513513513539</v>
      </c>
      <c r="E183" s="203">
        <f t="shared" si="17"/>
        <v>1.0725699982083118E-4</v>
      </c>
      <c r="F183" s="203">
        <f t="shared" si="18"/>
        <v>1.2999073252948346E-2</v>
      </c>
    </row>
    <row r="184" spans="2:6" x14ac:dyDescent="0.2">
      <c r="B184" s="238">
        <v>1427</v>
      </c>
      <c r="C184" s="205">
        <v>435</v>
      </c>
      <c r="D184" s="204">
        <f t="shared" si="16"/>
        <v>0.13590733590733617</v>
      </c>
      <c r="E184" s="203">
        <f t="shared" si="17"/>
        <v>1.0800184009736473E-4</v>
      </c>
      <c r="F184" s="203">
        <f t="shared" si="18"/>
        <v>1.3107075093045711E-2</v>
      </c>
    </row>
    <row r="185" spans="2:6" x14ac:dyDescent="0.2">
      <c r="B185" s="238">
        <v>213</v>
      </c>
      <c r="C185" s="205">
        <v>440</v>
      </c>
      <c r="D185" s="204">
        <f t="shared" si="16"/>
        <v>0.13667953667953694</v>
      </c>
      <c r="E185" s="203">
        <f t="shared" si="17"/>
        <v>1.0924324055825398E-4</v>
      </c>
      <c r="F185" s="203">
        <f t="shared" si="18"/>
        <v>1.3216318333603965E-2</v>
      </c>
    </row>
    <row r="186" spans="2:6" x14ac:dyDescent="0.2">
      <c r="B186" s="238">
        <v>768</v>
      </c>
      <c r="C186" s="205">
        <v>440</v>
      </c>
      <c r="D186" s="204">
        <f t="shared" si="16"/>
        <v>0.13745173745173772</v>
      </c>
      <c r="E186" s="203">
        <f t="shared" si="17"/>
        <v>1.0924324055825398E-4</v>
      </c>
      <c r="F186" s="203">
        <f t="shared" si="18"/>
        <v>1.3325561574162219E-2</v>
      </c>
    </row>
    <row r="187" spans="2:6" x14ac:dyDescent="0.2">
      <c r="B187" s="238">
        <v>959</v>
      </c>
      <c r="C187" s="205">
        <v>440</v>
      </c>
      <c r="D187" s="204">
        <f t="shared" si="16"/>
        <v>0.1382239382239385</v>
      </c>
      <c r="E187" s="203">
        <f t="shared" si="17"/>
        <v>1.0924324055825398E-4</v>
      </c>
      <c r="F187" s="203">
        <f t="shared" si="18"/>
        <v>1.3434804814720473E-2</v>
      </c>
    </row>
    <row r="188" spans="2:6" x14ac:dyDescent="0.2">
      <c r="B188" s="238">
        <v>1449</v>
      </c>
      <c r="C188" s="205">
        <v>440</v>
      </c>
      <c r="D188" s="204">
        <f t="shared" si="16"/>
        <v>0.13899613899613927</v>
      </c>
      <c r="E188" s="203">
        <f t="shared" si="17"/>
        <v>1.0924324055825398E-4</v>
      </c>
      <c r="F188" s="203">
        <f t="shared" si="18"/>
        <v>1.3544048055278727E-2</v>
      </c>
    </row>
    <row r="189" spans="2:6" x14ac:dyDescent="0.2">
      <c r="B189" s="237">
        <v>2090</v>
      </c>
      <c r="C189" s="114">
        <v>440</v>
      </c>
      <c r="D189" s="204">
        <f t="shared" si="16"/>
        <v>0.13976833976834005</v>
      </c>
      <c r="E189" s="203">
        <f t="shared" si="17"/>
        <v>1.0924324055825398E-4</v>
      </c>
      <c r="F189" s="203">
        <f t="shared" si="18"/>
        <v>1.3653291295836981E-2</v>
      </c>
    </row>
    <row r="190" spans="2:6" x14ac:dyDescent="0.2">
      <c r="B190" s="237">
        <v>312</v>
      </c>
      <c r="C190" s="114">
        <v>443.75</v>
      </c>
      <c r="D190" s="204">
        <f t="shared" si="16"/>
        <v>0.14054054054054083</v>
      </c>
      <c r="E190" s="203">
        <f t="shared" si="17"/>
        <v>1.1017429090392093E-4</v>
      </c>
      <c r="F190" s="203">
        <f t="shared" si="18"/>
        <v>1.3763465586740901E-2</v>
      </c>
    </row>
    <row r="191" spans="2:6" x14ac:dyDescent="0.2">
      <c r="B191" s="237">
        <v>76</v>
      </c>
      <c r="C191" s="114">
        <v>450</v>
      </c>
      <c r="D191" s="204">
        <f t="shared" si="16"/>
        <v>0.1413127413127416</v>
      </c>
      <c r="E191" s="203">
        <f t="shared" si="17"/>
        <v>1.1172604148003248E-4</v>
      </c>
      <c r="F191" s="203">
        <f t="shared" si="18"/>
        <v>1.3875191628220934E-2</v>
      </c>
    </row>
    <row r="192" spans="2:6" x14ac:dyDescent="0.2">
      <c r="B192" s="238">
        <v>110</v>
      </c>
      <c r="C192" s="205">
        <v>450</v>
      </c>
      <c r="D192" s="204">
        <f t="shared" si="16"/>
        <v>0.14208494208494238</v>
      </c>
      <c r="E192" s="203">
        <f t="shared" si="17"/>
        <v>1.1172604148003248E-4</v>
      </c>
      <c r="F192" s="203">
        <f t="shared" si="18"/>
        <v>1.3986917669700966E-2</v>
      </c>
    </row>
    <row r="193" spans="2:6" x14ac:dyDescent="0.2">
      <c r="B193" s="238">
        <v>136</v>
      </c>
      <c r="C193" s="205">
        <v>450</v>
      </c>
      <c r="D193" s="204">
        <f t="shared" si="16"/>
        <v>0.14285714285714315</v>
      </c>
      <c r="E193" s="203">
        <f t="shared" si="17"/>
        <v>1.1172604148003248E-4</v>
      </c>
      <c r="F193" s="203">
        <f t="shared" si="18"/>
        <v>1.4098643711180999E-2</v>
      </c>
    </row>
    <row r="194" spans="2:6" x14ac:dyDescent="0.2">
      <c r="B194" s="238">
        <v>266</v>
      </c>
      <c r="C194" s="205">
        <v>450</v>
      </c>
      <c r="D194" s="204">
        <f t="shared" si="16"/>
        <v>0.14362934362934393</v>
      </c>
      <c r="E194" s="203">
        <f t="shared" si="17"/>
        <v>1.1172604148003248E-4</v>
      </c>
      <c r="F194" s="203">
        <f t="shared" si="18"/>
        <v>1.4210369752661031E-2</v>
      </c>
    </row>
    <row r="195" spans="2:6" x14ac:dyDescent="0.2">
      <c r="B195" s="237">
        <v>287</v>
      </c>
      <c r="C195" s="114">
        <v>450</v>
      </c>
      <c r="D195" s="204">
        <f t="shared" si="16"/>
        <v>0.14440154440154471</v>
      </c>
      <c r="E195" s="203">
        <f t="shared" si="17"/>
        <v>1.1172604148003248E-4</v>
      </c>
      <c r="F195" s="203">
        <f t="shared" si="18"/>
        <v>1.4322095794141064E-2</v>
      </c>
    </row>
    <row r="196" spans="2:6" x14ac:dyDescent="0.2">
      <c r="B196" s="238">
        <v>491</v>
      </c>
      <c r="C196" s="205">
        <v>450</v>
      </c>
      <c r="D196" s="204">
        <f t="shared" si="16"/>
        <v>0.14517374517374548</v>
      </c>
      <c r="E196" s="203">
        <f t="shared" si="17"/>
        <v>1.1172604148003248E-4</v>
      </c>
      <c r="F196" s="203">
        <f t="shared" si="18"/>
        <v>1.4433821835621096E-2</v>
      </c>
    </row>
    <row r="197" spans="2:6" x14ac:dyDescent="0.2">
      <c r="B197" s="238">
        <v>605</v>
      </c>
      <c r="C197" s="205">
        <v>450</v>
      </c>
      <c r="D197" s="204">
        <f t="shared" si="16"/>
        <v>0.14594594594594626</v>
      </c>
      <c r="E197" s="203">
        <f t="shared" si="17"/>
        <v>1.1172604148003248E-4</v>
      </c>
      <c r="F197" s="203">
        <f t="shared" si="18"/>
        <v>1.4545547877101129E-2</v>
      </c>
    </row>
    <row r="198" spans="2:6" x14ac:dyDescent="0.2">
      <c r="B198" s="237">
        <v>660</v>
      </c>
      <c r="C198" s="114">
        <v>450</v>
      </c>
      <c r="D198" s="204">
        <f t="shared" si="16"/>
        <v>0.14671814671814704</v>
      </c>
      <c r="E198" s="203">
        <f t="shared" si="17"/>
        <v>1.1172604148003248E-4</v>
      </c>
      <c r="F198" s="203">
        <f t="shared" si="18"/>
        <v>1.4657273918581161E-2</v>
      </c>
    </row>
    <row r="199" spans="2:6" x14ac:dyDescent="0.2">
      <c r="B199" s="238">
        <v>758</v>
      </c>
      <c r="C199" s="205">
        <v>450</v>
      </c>
      <c r="D199" s="204">
        <f t="shared" si="16"/>
        <v>0.14749034749034781</v>
      </c>
      <c r="E199" s="203">
        <f t="shared" si="17"/>
        <v>1.1172604148003248E-4</v>
      </c>
      <c r="F199" s="203">
        <f t="shared" si="18"/>
        <v>1.4768999960061193E-2</v>
      </c>
    </row>
    <row r="200" spans="2:6" x14ac:dyDescent="0.2">
      <c r="B200" s="237">
        <v>783</v>
      </c>
      <c r="C200" s="114">
        <v>450</v>
      </c>
      <c r="D200" s="204">
        <f t="shared" si="16"/>
        <v>0.14826254826254859</v>
      </c>
      <c r="E200" s="203">
        <f t="shared" si="17"/>
        <v>1.1172604148003248E-4</v>
      </c>
      <c r="F200" s="203">
        <f t="shared" si="18"/>
        <v>1.4880726001541226E-2</v>
      </c>
    </row>
    <row r="201" spans="2:6" x14ac:dyDescent="0.2">
      <c r="B201" s="238">
        <v>806</v>
      </c>
      <c r="C201" s="205">
        <v>450</v>
      </c>
      <c r="D201" s="204">
        <f t="shared" ref="D201:D264" si="19">D200+1/$L$18</f>
        <v>0.14903474903474936</v>
      </c>
      <c r="E201" s="203">
        <f t="shared" ref="E201:E264" si="20">C201/$O$18</f>
        <v>1.1172604148003248E-4</v>
      </c>
      <c r="F201" s="203">
        <f t="shared" ref="F201:F264" si="21">F200+E201</f>
        <v>1.4992452043021258E-2</v>
      </c>
    </row>
    <row r="202" spans="2:6" x14ac:dyDescent="0.2">
      <c r="B202" s="238">
        <v>821</v>
      </c>
      <c r="C202" s="205">
        <v>450</v>
      </c>
      <c r="D202" s="204">
        <f t="shared" si="19"/>
        <v>0.14980694980695014</v>
      </c>
      <c r="E202" s="203">
        <f t="shared" si="20"/>
        <v>1.1172604148003248E-4</v>
      </c>
      <c r="F202" s="203">
        <f t="shared" si="21"/>
        <v>1.5104178084501291E-2</v>
      </c>
    </row>
    <row r="203" spans="2:6" x14ac:dyDescent="0.2">
      <c r="B203" s="238">
        <v>925</v>
      </c>
      <c r="C203" s="205">
        <v>450</v>
      </c>
      <c r="D203" s="204">
        <f t="shared" si="19"/>
        <v>0.15057915057915092</v>
      </c>
      <c r="E203" s="203">
        <f t="shared" si="20"/>
        <v>1.1172604148003248E-4</v>
      </c>
      <c r="F203" s="203">
        <f t="shared" si="21"/>
        <v>1.5215904125981323E-2</v>
      </c>
    </row>
    <row r="204" spans="2:6" x14ac:dyDescent="0.2">
      <c r="B204" s="237">
        <v>1068</v>
      </c>
      <c r="C204" s="114">
        <v>450</v>
      </c>
      <c r="D204" s="204">
        <f t="shared" si="19"/>
        <v>0.15135135135135169</v>
      </c>
      <c r="E204" s="203">
        <f t="shared" si="20"/>
        <v>1.1172604148003248E-4</v>
      </c>
      <c r="F204" s="203">
        <f t="shared" si="21"/>
        <v>1.5327630167461356E-2</v>
      </c>
    </row>
    <row r="205" spans="2:6" x14ac:dyDescent="0.2">
      <c r="B205" s="238">
        <v>1071</v>
      </c>
      <c r="C205" s="205">
        <v>450</v>
      </c>
      <c r="D205" s="204">
        <f t="shared" si="19"/>
        <v>0.15212355212355247</v>
      </c>
      <c r="E205" s="203">
        <f t="shared" si="20"/>
        <v>1.1172604148003248E-4</v>
      </c>
      <c r="F205" s="203">
        <f t="shared" si="21"/>
        <v>1.5439356208941388E-2</v>
      </c>
    </row>
    <row r="206" spans="2:6" x14ac:dyDescent="0.2">
      <c r="B206" s="237">
        <v>1111</v>
      </c>
      <c r="C206" s="114">
        <v>450</v>
      </c>
      <c r="D206" s="204">
        <f t="shared" si="19"/>
        <v>0.15289575289575325</v>
      </c>
      <c r="E206" s="203">
        <f t="shared" si="20"/>
        <v>1.1172604148003248E-4</v>
      </c>
      <c r="F206" s="203">
        <f t="shared" si="21"/>
        <v>1.5551082250421421E-2</v>
      </c>
    </row>
    <row r="207" spans="2:6" x14ac:dyDescent="0.2">
      <c r="B207" s="238">
        <v>1241</v>
      </c>
      <c r="C207" s="205">
        <v>450</v>
      </c>
      <c r="D207" s="204">
        <f t="shared" si="19"/>
        <v>0.15366795366795402</v>
      </c>
      <c r="E207" s="203">
        <f t="shared" si="20"/>
        <v>1.1172604148003248E-4</v>
      </c>
      <c r="F207" s="203">
        <f t="shared" si="21"/>
        <v>1.5662808291901455E-2</v>
      </c>
    </row>
    <row r="208" spans="2:6" x14ac:dyDescent="0.2">
      <c r="B208" s="238">
        <v>1247</v>
      </c>
      <c r="C208" s="205">
        <v>450</v>
      </c>
      <c r="D208" s="204">
        <f t="shared" si="19"/>
        <v>0.1544401544401548</v>
      </c>
      <c r="E208" s="203">
        <f t="shared" si="20"/>
        <v>1.1172604148003248E-4</v>
      </c>
      <c r="F208" s="203">
        <f t="shared" si="21"/>
        <v>1.5774534333381489E-2</v>
      </c>
    </row>
    <row r="209" spans="2:6" x14ac:dyDescent="0.2">
      <c r="B209" s="238">
        <v>1500</v>
      </c>
      <c r="C209" s="205">
        <v>450</v>
      </c>
      <c r="D209" s="204">
        <f t="shared" si="19"/>
        <v>0.15521235521235557</v>
      </c>
      <c r="E209" s="203">
        <f t="shared" si="20"/>
        <v>1.1172604148003248E-4</v>
      </c>
      <c r="F209" s="203">
        <f t="shared" si="21"/>
        <v>1.5886260374861523E-2</v>
      </c>
    </row>
    <row r="210" spans="2:6" x14ac:dyDescent="0.2">
      <c r="B210" s="237">
        <v>1540</v>
      </c>
      <c r="C210" s="114">
        <v>450</v>
      </c>
      <c r="D210" s="204">
        <f t="shared" si="19"/>
        <v>0.15598455598455635</v>
      </c>
      <c r="E210" s="203">
        <f t="shared" si="20"/>
        <v>1.1172604148003248E-4</v>
      </c>
      <c r="F210" s="203">
        <f t="shared" si="21"/>
        <v>1.5997986416341557E-2</v>
      </c>
    </row>
    <row r="211" spans="2:6" x14ac:dyDescent="0.2">
      <c r="B211" s="237">
        <v>1570</v>
      </c>
      <c r="C211" s="114">
        <v>450</v>
      </c>
      <c r="D211" s="204">
        <f t="shared" si="19"/>
        <v>0.15675675675675713</v>
      </c>
      <c r="E211" s="203">
        <f t="shared" si="20"/>
        <v>1.1172604148003248E-4</v>
      </c>
      <c r="F211" s="203">
        <f t="shared" si="21"/>
        <v>1.6109712457821591E-2</v>
      </c>
    </row>
    <row r="212" spans="2:6" x14ac:dyDescent="0.2">
      <c r="B212" s="237">
        <v>1578</v>
      </c>
      <c r="C212" s="114">
        <v>450</v>
      </c>
      <c r="D212" s="204">
        <f t="shared" si="19"/>
        <v>0.1575289575289579</v>
      </c>
      <c r="E212" s="203">
        <f t="shared" si="20"/>
        <v>1.1172604148003248E-4</v>
      </c>
      <c r="F212" s="203">
        <f t="shared" si="21"/>
        <v>1.6221438499301626E-2</v>
      </c>
    </row>
    <row r="213" spans="2:6" x14ac:dyDescent="0.2">
      <c r="B213" s="238">
        <v>1758</v>
      </c>
      <c r="C213" s="205">
        <v>450</v>
      </c>
      <c r="D213" s="204">
        <f t="shared" si="19"/>
        <v>0.15830115830115868</v>
      </c>
      <c r="E213" s="203">
        <f t="shared" si="20"/>
        <v>1.1172604148003248E-4</v>
      </c>
      <c r="F213" s="203">
        <f t="shared" si="21"/>
        <v>1.633316454078166E-2</v>
      </c>
    </row>
    <row r="214" spans="2:6" x14ac:dyDescent="0.2">
      <c r="B214" s="237">
        <v>1861</v>
      </c>
      <c r="C214" s="114">
        <v>450</v>
      </c>
      <c r="D214" s="204">
        <f t="shared" si="19"/>
        <v>0.15907335907335945</v>
      </c>
      <c r="E214" s="203">
        <f t="shared" si="20"/>
        <v>1.1172604148003248E-4</v>
      </c>
      <c r="F214" s="203">
        <f t="shared" si="21"/>
        <v>1.6444890582261694E-2</v>
      </c>
    </row>
    <row r="215" spans="2:6" x14ac:dyDescent="0.2">
      <c r="B215" s="237">
        <v>1935</v>
      </c>
      <c r="C215" s="114">
        <v>450</v>
      </c>
      <c r="D215" s="204">
        <f t="shared" si="19"/>
        <v>0.15984555984556023</v>
      </c>
      <c r="E215" s="203">
        <f t="shared" si="20"/>
        <v>1.1172604148003248E-4</v>
      </c>
      <c r="F215" s="203">
        <f t="shared" si="21"/>
        <v>1.6556616623741728E-2</v>
      </c>
    </row>
    <row r="216" spans="2:6" x14ac:dyDescent="0.2">
      <c r="B216" s="237">
        <v>1951</v>
      </c>
      <c r="C216" s="114">
        <v>450</v>
      </c>
      <c r="D216" s="204">
        <f t="shared" si="19"/>
        <v>0.16061776061776101</v>
      </c>
      <c r="E216" s="203">
        <f t="shared" si="20"/>
        <v>1.1172604148003248E-4</v>
      </c>
      <c r="F216" s="203">
        <f t="shared" si="21"/>
        <v>1.6668342665221762E-2</v>
      </c>
    </row>
    <row r="217" spans="2:6" x14ac:dyDescent="0.2">
      <c r="B217" s="237">
        <v>2057</v>
      </c>
      <c r="C217" s="114">
        <v>450</v>
      </c>
      <c r="D217" s="204">
        <f t="shared" si="19"/>
        <v>0.16138996138996178</v>
      </c>
      <c r="E217" s="203">
        <f t="shared" si="20"/>
        <v>1.1172604148003248E-4</v>
      </c>
      <c r="F217" s="203">
        <f t="shared" si="21"/>
        <v>1.6780068706701796E-2</v>
      </c>
    </row>
    <row r="218" spans="2:6" x14ac:dyDescent="0.2">
      <c r="B218" s="238">
        <v>2146</v>
      </c>
      <c r="C218" s="205">
        <v>450</v>
      </c>
      <c r="D218" s="204">
        <f t="shared" si="19"/>
        <v>0.16216216216216256</v>
      </c>
      <c r="E218" s="203">
        <f t="shared" si="20"/>
        <v>1.1172604148003248E-4</v>
      </c>
      <c r="F218" s="203">
        <f t="shared" si="21"/>
        <v>1.6891794748181831E-2</v>
      </c>
    </row>
    <row r="219" spans="2:6" x14ac:dyDescent="0.2">
      <c r="B219" s="238">
        <v>2285</v>
      </c>
      <c r="C219" s="205">
        <v>450</v>
      </c>
      <c r="D219" s="204">
        <f t="shared" si="19"/>
        <v>0.16293436293436334</v>
      </c>
      <c r="E219" s="203">
        <f t="shared" si="20"/>
        <v>1.1172604148003248E-4</v>
      </c>
      <c r="F219" s="203">
        <f t="shared" si="21"/>
        <v>1.7003520789661865E-2</v>
      </c>
    </row>
    <row r="220" spans="2:6" x14ac:dyDescent="0.2">
      <c r="B220" s="237">
        <v>215</v>
      </c>
      <c r="C220" s="114">
        <v>460</v>
      </c>
      <c r="D220" s="204">
        <f t="shared" si="19"/>
        <v>0.16370656370656411</v>
      </c>
      <c r="E220" s="203">
        <f t="shared" si="20"/>
        <v>1.1420884240181099E-4</v>
      </c>
      <c r="F220" s="203">
        <f t="shared" si="21"/>
        <v>1.7117729632063677E-2</v>
      </c>
    </row>
    <row r="221" spans="2:6" x14ac:dyDescent="0.2">
      <c r="B221" s="238">
        <v>270</v>
      </c>
      <c r="C221" s="205">
        <v>460</v>
      </c>
      <c r="D221" s="204">
        <f t="shared" si="19"/>
        <v>0.16447876447876489</v>
      </c>
      <c r="E221" s="203">
        <f t="shared" si="20"/>
        <v>1.1420884240181099E-4</v>
      </c>
      <c r="F221" s="203">
        <f t="shared" si="21"/>
        <v>1.723193847446549E-2</v>
      </c>
    </row>
    <row r="222" spans="2:6" x14ac:dyDescent="0.2">
      <c r="B222" s="237">
        <v>492</v>
      </c>
      <c r="C222" s="114">
        <v>460</v>
      </c>
      <c r="D222" s="204">
        <f t="shared" si="19"/>
        <v>0.16525096525096566</v>
      </c>
      <c r="E222" s="203">
        <f t="shared" si="20"/>
        <v>1.1420884240181099E-4</v>
      </c>
      <c r="F222" s="203">
        <f t="shared" si="21"/>
        <v>1.7346147316867302E-2</v>
      </c>
    </row>
    <row r="223" spans="2:6" x14ac:dyDescent="0.2">
      <c r="B223" s="238">
        <v>515</v>
      </c>
      <c r="C223" s="205">
        <v>460</v>
      </c>
      <c r="D223" s="204">
        <f t="shared" si="19"/>
        <v>0.16602316602316644</v>
      </c>
      <c r="E223" s="203">
        <f t="shared" si="20"/>
        <v>1.1420884240181099E-4</v>
      </c>
      <c r="F223" s="203">
        <f t="shared" si="21"/>
        <v>1.7460356159269115E-2</v>
      </c>
    </row>
    <row r="224" spans="2:6" x14ac:dyDescent="0.2">
      <c r="B224" s="238">
        <v>750</v>
      </c>
      <c r="C224" s="205">
        <v>460</v>
      </c>
      <c r="D224" s="204">
        <f t="shared" si="19"/>
        <v>0.16679536679536722</v>
      </c>
      <c r="E224" s="203">
        <f t="shared" si="20"/>
        <v>1.1420884240181099E-4</v>
      </c>
      <c r="F224" s="203">
        <f t="shared" si="21"/>
        <v>1.7574565001670928E-2</v>
      </c>
    </row>
    <row r="225" spans="2:6" x14ac:dyDescent="0.2">
      <c r="B225" s="238">
        <v>842</v>
      </c>
      <c r="C225" s="205">
        <v>460</v>
      </c>
      <c r="D225" s="204">
        <f t="shared" si="19"/>
        <v>0.16756756756756799</v>
      </c>
      <c r="E225" s="203">
        <f t="shared" si="20"/>
        <v>1.1420884240181099E-4</v>
      </c>
      <c r="F225" s="203">
        <f t="shared" si="21"/>
        <v>1.768877384407274E-2</v>
      </c>
    </row>
    <row r="226" spans="2:6" x14ac:dyDescent="0.2">
      <c r="B226" s="238">
        <v>157</v>
      </c>
      <c r="C226" s="205">
        <v>462.8</v>
      </c>
      <c r="D226" s="204">
        <f t="shared" si="19"/>
        <v>0.16833976833976877</v>
      </c>
      <c r="E226" s="203">
        <f t="shared" si="20"/>
        <v>1.1490402665990896E-4</v>
      </c>
      <c r="F226" s="203">
        <f t="shared" si="21"/>
        <v>1.780367787073265E-2</v>
      </c>
    </row>
    <row r="227" spans="2:6" x14ac:dyDescent="0.2">
      <c r="B227" s="238">
        <v>484</v>
      </c>
      <c r="C227" s="205">
        <v>465</v>
      </c>
      <c r="D227" s="204">
        <f t="shared" si="19"/>
        <v>0.16911196911196955</v>
      </c>
      <c r="E227" s="203">
        <f t="shared" si="20"/>
        <v>1.1545024286270023E-4</v>
      </c>
      <c r="F227" s="203">
        <f t="shared" si="21"/>
        <v>1.7919128113595351E-2</v>
      </c>
    </row>
    <row r="228" spans="2:6" x14ac:dyDescent="0.2">
      <c r="B228" s="237">
        <v>1655</v>
      </c>
      <c r="C228" s="114">
        <v>465</v>
      </c>
      <c r="D228" s="204">
        <f t="shared" si="19"/>
        <v>0.16988416988417032</v>
      </c>
      <c r="E228" s="203">
        <f t="shared" si="20"/>
        <v>1.1545024286270023E-4</v>
      </c>
      <c r="F228" s="203">
        <f t="shared" si="21"/>
        <v>1.8034578356458053E-2</v>
      </c>
    </row>
    <row r="229" spans="2:6" x14ac:dyDescent="0.2">
      <c r="B229" s="237">
        <v>1361</v>
      </c>
      <c r="C229" s="114">
        <v>466.7</v>
      </c>
      <c r="D229" s="204">
        <f t="shared" si="19"/>
        <v>0.1706563706563711</v>
      </c>
      <c r="E229" s="203">
        <f t="shared" si="20"/>
        <v>1.1587231901940257E-4</v>
      </c>
      <c r="F229" s="203">
        <f t="shared" si="21"/>
        <v>1.8150450675477457E-2</v>
      </c>
    </row>
    <row r="230" spans="2:6" x14ac:dyDescent="0.2">
      <c r="B230" s="237">
        <v>496</v>
      </c>
      <c r="C230" s="114">
        <v>470</v>
      </c>
      <c r="D230" s="204">
        <f t="shared" si="19"/>
        <v>0.17142857142857187</v>
      </c>
      <c r="E230" s="203">
        <f t="shared" si="20"/>
        <v>1.1669164332358948E-4</v>
      </c>
      <c r="F230" s="203">
        <f t="shared" si="21"/>
        <v>1.8267142318801048E-2</v>
      </c>
    </row>
    <row r="231" spans="2:6" x14ac:dyDescent="0.2">
      <c r="B231" s="238">
        <v>704</v>
      </c>
      <c r="C231" s="205">
        <v>470</v>
      </c>
      <c r="D231" s="204">
        <f t="shared" si="19"/>
        <v>0.17220077220077265</v>
      </c>
      <c r="E231" s="203">
        <f t="shared" si="20"/>
        <v>1.1669164332358948E-4</v>
      </c>
      <c r="F231" s="203">
        <f t="shared" si="21"/>
        <v>1.8383833962124639E-2</v>
      </c>
    </row>
    <row r="232" spans="2:6" x14ac:dyDescent="0.2">
      <c r="B232" s="237">
        <v>845</v>
      </c>
      <c r="C232" s="114">
        <v>470</v>
      </c>
      <c r="D232" s="204">
        <f t="shared" si="19"/>
        <v>0.17297297297297343</v>
      </c>
      <c r="E232" s="203">
        <f t="shared" si="20"/>
        <v>1.1669164332358948E-4</v>
      </c>
      <c r="F232" s="203">
        <f t="shared" si="21"/>
        <v>1.850052560544823E-2</v>
      </c>
    </row>
    <row r="233" spans="2:6" x14ac:dyDescent="0.2">
      <c r="B233" s="237">
        <v>851</v>
      </c>
      <c r="C233" s="114">
        <v>470</v>
      </c>
      <c r="D233" s="204">
        <f t="shared" si="19"/>
        <v>0.1737451737451742</v>
      </c>
      <c r="E233" s="203">
        <f t="shared" si="20"/>
        <v>1.1669164332358948E-4</v>
      </c>
      <c r="F233" s="203">
        <f t="shared" si="21"/>
        <v>1.8617217248771821E-2</v>
      </c>
    </row>
    <row r="234" spans="2:6" x14ac:dyDescent="0.2">
      <c r="B234" s="237">
        <v>1021</v>
      </c>
      <c r="C234" s="114">
        <v>470</v>
      </c>
      <c r="D234" s="204">
        <f t="shared" si="19"/>
        <v>0.17451737451737498</v>
      </c>
      <c r="E234" s="203">
        <f t="shared" si="20"/>
        <v>1.1669164332358948E-4</v>
      </c>
      <c r="F234" s="203">
        <f t="shared" si="21"/>
        <v>1.8733908892095412E-2</v>
      </c>
    </row>
    <row r="235" spans="2:6" x14ac:dyDescent="0.2">
      <c r="B235" s="237">
        <v>1088</v>
      </c>
      <c r="C235" s="114">
        <v>470</v>
      </c>
      <c r="D235" s="204">
        <f t="shared" si="19"/>
        <v>0.17528957528957576</v>
      </c>
      <c r="E235" s="203">
        <f t="shared" si="20"/>
        <v>1.1669164332358948E-4</v>
      </c>
      <c r="F235" s="203">
        <f t="shared" si="21"/>
        <v>1.8850600535419003E-2</v>
      </c>
    </row>
    <row r="236" spans="2:6" x14ac:dyDescent="0.2">
      <c r="B236" s="237">
        <v>1718</v>
      </c>
      <c r="C236" s="114">
        <v>470</v>
      </c>
      <c r="D236" s="204">
        <f t="shared" si="19"/>
        <v>0.17606177606177653</v>
      </c>
      <c r="E236" s="203">
        <f t="shared" si="20"/>
        <v>1.1669164332358948E-4</v>
      </c>
      <c r="F236" s="203">
        <f t="shared" si="21"/>
        <v>1.8967292178742594E-2</v>
      </c>
    </row>
    <row r="237" spans="2:6" x14ac:dyDescent="0.2">
      <c r="B237" s="237">
        <v>729</v>
      </c>
      <c r="C237" s="114">
        <v>475</v>
      </c>
      <c r="D237" s="204">
        <f t="shared" si="19"/>
        <v>0.17683397683397731</v>
      </c>
      <c r="E237" s="203">
        <f t="shared" si="20"/>
        <v>1.1793304378447874E-4</v>
      </c>
      <c r="F237" s="203">
        <f t="shared" si="21"/>
        <v>1.9085225222527074E-2</v>
      </c>
    </row>
    <row r="238" spans="2:6" x14ac:dyDescent="0.2">
      <c r="B238" s="238">
        <v>130</v>
      </c>
      <c r="C238" s="205">
        <v>477</v>
      </c>
      <c r="D238" s="204">
        <f t="shared" si="19"/>
        <v>0.17760617760617808</v>
      </c>
      <c r="E238" s="203">
        <f t="shared" si="20"/>
        <v>1.1842960396883443E-4</v>
      </c>
      <c r="F238" s="203">
        <f t="shared" si="21"/>
        <v>1.9203654826495907E-2</v>
      </c>
    </row>
    <row r="239" spans="2:6" x14ac:dyDescent="0.2">
      <c r="B239" s="237">
        <v>190</v>
      </c>
      <c r="C239" s="114">
        <v>480</v>
      </c>
      <c r="D239" s="204">
        <f t="shared" si="19"/>
        <v>0.17837837837837886</v>
      </c>
      <c r="E239" s="203">
        <f t="shared" si="20"/>
        <v>1.1917444424536798E-4</v>
      </c>
      <c r="F239" s="203">
        <f t="shared" si="21"/>
        <v>1.9322829270741276E-2</v>
      </c>
    </row>
    <row r="240" spans="2:6" x14ac:dyDescent="0.2">
      <c r="B240" s="238">
        <v>497</v>
      </c>
      <c r="C240" s="205">
        <v>480</v>
      </c>
      <c r="D240" s="204">
        <f t="shared" si="19"/>
        <v>0.17915057915057964</v>
      </c>
      <c r="E240" s="203">
        <f t="shared" si="20"/>
        <v>1.1917444424536798E-4</v>
      </c>
      <c r="F240" s="203">
        <f t="shared" si="21"/>
        <v>1.9442003714986646E-2</v>
      </c>
    </row>
    <row r="241" spans="2:6" x14ac:dyDescent="0.2">
      <c r="B241" s="237">
        <v>535</v>
      </c>
      <c r="C241" s="114">
        <v>480</v>
      </c>
      <c r="D241" s="204">
        <f t="shared" si="19"/>
        <v>0.17992277992278041</v>
      </c>
      <c r="E241" s="203">
        <f t="shared" si="20"/>
        <v>1.1917444424536798E-4</v>
      </c>
      <c r="F241" s="203">
        <f t="shared" si="21"/>
        <v>1.9561178159232015E-2</v>
      </c>
    </row>
    <row r="242" spans="2:6" x14ac:dyDescent="0.2">
      <c r="B242" s="238">
        <v>538</v>
      </c>
      <c r="C242" s="205">
        <v>480</v>
      </c>
      <c r="D242" s="204">
        <f t="shared" si="19"/>
        <v>0.18069498069498119</v>
      </c>
      <c r="E242" s="203">
        <f t="shared" si="20"/>
        <v>1.1917444424536798E-4</v>
      </c>
      <c r="F242" s="203">
        <f t="shared" si="21"/>
        <v>1.9680352603477384E-2</v>
      </c>
    </row>
    <row r="243" spans="2:6" x14ac:dyDescent="0.2">
      <c r="B243" s="237">
        <v>655</v>
      </c>
      <c r="C243" s="114">
        <v>480</v>
      </c>
      <c r="D243" s="204">
        <f t="shared" si="19"/>
        <v>0.18146718146718196</v>
      </c>
      <c r="E243" s="203">
        <f t="shared" si="20"/>
        <v>1.1917444424536798E-4</v>
      </c>
      <c r="F243" s="203">
        <f t="shared" si="21"/>
        <v>1.9799527047722754E-2</v>
      </c>
    </row>
    <row r="244" spans="2:6" x14ac:dyDescent="0.2">
      <c r="B244" s="237">
        <v>697</v>
      </c>
      <c r="C244" s="114">
        <v>480</v>
      </c>
      <c r="D244" s="204">
        <f t="shared" si="19"/>
        <v>0.18223938223938274</v>
      </c>
      <c r="E244" s="203">
        <f t="shared" si="20"/>
        <v>1.1917444424536798E-4</v>
      </c>
      <c r="F244" s="203">
        <f t="shared" si="21"/>
        <v>1.9918701491968123E-2</v>
      </c>
    </row>
    <row r="245" spans="2:6" x14ac:dyDescent="0.2">
      <c r="B245" s="237">
        <v>1292</v>
      </c>
      <c r="C245" s="114">
        <v>480</v>
      </c>
      <c r="D245" s="204">
        <f t="shared" si="19"/>
        <v>0.18301158301158352</v>
      </c>
      <c r="E245" s="203">
        <f t="shared" si="20"/>
        <v>1.1917444424536798E-4</v>
      </c>
      <c r="F245" s="203">
        <f t="shared" si="21"/>
        <v>2.0037875936213492E-2</v>
      </c>
    </row>
    <row r="246" spans="2:6" x14ac:dyDescent="0.2">
      <c r="B246" s="238">
        <v>1151</v>
      </c>
      <c r="C246" s="205">
        <v>481.06200000000001</v>
      </c>
      <c r="D246" s="204">
        <f t="shared" si="19"/>
        <v>0.18378378378378429</v>
      </c>
      <c r="E246" s="203">
        <f t="shared" si="20"/>
        <v>1.1943811770326087E-4</v>
      </c>
      <c r="F246" s="203">
        <f t="shared" si="21"/>
        <v>2.0157314053916752E-2</v>
      </c>
    </row>
    <row r="247" spans="2:6" x14ac:dyDescent="0.2">
      <c r="B247" s="238">
        <v>946</v>
      </c>
      <c r="C247" s="205">
        <v>483.33333333333331</v>
      </c>
      <c r="D247" s="204">
        <f t="shared" si="19"/>
        <v>0.18455598455598507</v>
      </c>
      <c r="E247" s="203">
        <f t="shared" si="20"/>
        <v>1.2000204455262748E-4</v>
      </c>
      <c r="F247" s="203">
        <f t="shared" si="21"/>
        <v>2.0277316098469379E-2</v>
      </c>
    </row>
    <row r="248" spans="2:6" x14ac:dyDescent="0.2">
      <c r="B248" s="237">
        <v>1988</v>
      </c>
      <c r="C248" s="114">
        <v>485</v>
      </c>
      <c r="D248" s="204">
        <f t="shared" si="19"/>
        <v>0.18532818532818585</v>
      </c>
      <c r="E248" s="203">
        <f t="shared" si="20"/>
        <v>1.2041584470625723E-4</v>
      </c>
      <c r="F248" s="203">
        <f t="shared" si="21"/>
        <v>2.0397731943175637E-2</v>
      </c>
    </row>
    <row r="249" spans="2:6" x14ac:dyDescent="0.2">
      <c r="B249" s="238">
        <v>2290</v>
      </c>
      <c r="C249" s="205">
        <v>485</v>
      </c>
      <c r="D249" s="204">
        <f t="shared" si="19"/>
        <v>0.18610038610038662</v>
      </c>
      <c r="E249" s="203">
        <f t="shared" si="20"/>
        <v>1.2041584470625723E-4</v>
      </c>
      <c r="F249" s="203">
        <f t="shared" si="21"/>
        <v>2.0518147787881896E-2</v>
      </c>
    </row>
    <row r="250" spans="2:6" x14ac:dyDescent="0.2">
      <c r="B250" s="238">
        <v>12</v>
      </c>
      <c r="C250" s="205">
        <v>490</v>
      </c>
      <c r="D250" s="204">
        <f t="shared" si="19"/>
        <v>0.1868725868725874</v>
      </c>
      <c r="E250" s="203">
        <f t="shared" si="20"/>
        <v>1.2165724516714649E-4</v>
      </c>
      <c r="F250" s="203">
        <f t="shared" si="21"/>
        <v>2.0639805033049043E-2</v>
      </c>
    </row>
    <row r="251" spans="2:6" x14ac:dyDescent="0.2">
      <c r="B251" s="237">
        <v>1110</v>
      </c>
      <c r="C251" s="114">
        <v>490</v>
      </c>
      <c r="D251" s="204">
        <f t="shared" si="19"/>
        <v>0.18764478764478817</v>
      </c>
      <c r="E251" s="203">
        <f t="shared" si="20"/>
        <v>1.2165724516714649E-4</v>
      </c>
      <c r="F251" s="203">
        <f t="shared" si="21"/>
        <v>2.0761462278216191E-2</v>
      </c>
    </row>
    <row r="252" spans="2:6" x14ac:dyDescent="0.2">
      <c r="B252" s="238">
        <v>1305</v>
      </c>
      <c r="C252" s="205">
        <v>490</v>
      </c>
      <c r="D252" s="204">
        <f t="shared" si="19"/>
        <v>0.18841698841698895</v>
      </c>
      <c r="E252" s="203">
        <f t="shared" si="20"/>
        <v>1.2165724516714649E-4</v>
      </c>
      <c r="F252" s="203">
        <f t="shared" si="21"/>
        <v>2.0883119523383339E-2</v>
      </c>
    </row>
    <row r="253" spans="2:6" x14ac:dyDescent="0.2">
      <c r="B253" s="237">
        <v>2030</v>
      </c>
      <c r="C253" s="114">
        <v>490</v>
      </c>
      <c r="D253" s="204">
        <f t="shared" si="19"/>
        <v>0.18918918918918973</v>
      </c>
      <c r="E253" s="203">
        <f t="shared" si="20"/>
        <v>1.2165724516714649E-4</v>
      </c>
      <c r="F253" s="203">
        <f t="shared" si="21"/>
        <v>2.1004776768550486E-2</v>
      </c>
    </row>
    <row r="254" spans="2:6" x14ac:dyDescent="0.2">
      <c r="B254" s="238">
        <v>966</v>
      </c>
      <c r="C254" s="205">
        <v>505</v>
      </c>
      <c r="D254" s="204">
        <f t="shared" si="19"/>
        <v>0.1899613899613905</v>
      </c>
      <c r="E254" s="203">
        <f t="shared" si="20"/>
        <v>1.2538144654981423E-4</v>
      </c>
      <c r="F254" s="203">
        <f t="shared" si="21"/>
        <v>2.1130158215100302E-2</v>
      </c>
    </row>
    <row r="255" spans="2:6" x14ac:dyDescent="0.2">
      <c r="B255" s="238">
        <v>289</v>
      </c>
      <c r="C255" s="205">
        <v>508.8</v>
      </c>
      <c r="D255" s="204">
        <f t="shared" si="19"/>
        <v>0.19073359073359128</v>
      </c>
      <c r="E255" s="203">
        <f t="shared" si="20"/>
        <v>1.2632491090009006E-4</v>
      </c>
      <c r="F255" s="203">
        <f t="shared" si="21"/>
        <v>2.125648312600039E-2</v>
      </c>
    </row>
    <row r="256" spans="2:6" x14ac:dyDescent="0.2">
      <c r="B256" s="238">
        <v>498</v>
      </c>
      <c r="C256" s="205">
        <v>510</v>
      </c>
      <c r="D256" s="204">
        <f t="shared" si="19"/>
        <v>0.19150579150579206</v>
      </c>
      <c r="E256" s="203">
        <f t="shared" si="20"/>
        <v>1.2662284701070347E-4</v>
      </c>
      <c r="F256" s="203">
        <f t="shared" si="21"/>
        <v>2.1383105973011095E-2</v>
      </c>
    </row>
    <row r="257" spans="2:6" x14ac:dyDescent="0.2">
      <c r="B257" s="237">
        <v>505</v>
      </c>
      <c r="C257" s="114">
        <v>510</v>
      </c>
      <c r="D257" s="204">
        <f t="shared" si="19"/>
        <v>0.19227799227799283</v>
      </c>
      <c r="E257" s="203">
        <f t="shared" si="20"/>
        <v>1.2662284701070347E-4</v>
      </c>
      <c r="F257" s="203">
        <f t="shared" si="21"/>
        <v>2.1509728820021799E-2</v>
      </c>
    </row>
    <row r="258" spans="2:6" x14ac:dyDescent="0.2">
      <c r="B258" s="238">
        <v>1004</v>
      </c>
      <c r="C258" s="205">
        <v>510</v>
      </c>
      <c r="D258" s="204">
        <f t="shared" si="19"/>
        <v>0.19305019305019361</v>
      </c>
      <c r="E258" s="203">
        <f t="shared" si="20"/>
        <v>1.2662284701070347E-4</v>
      </c>
      <c r="F258" s="203">
        <f t="shared" si="21"/>
        <v>2.1636351667032504E-2</v>
      </c>
    </row>
    <row r="259" spans="2:6" x14ac:dyDescent="0.2">
      <c r="B259" s="237">
        <v>1015</v>
      </c>
      <c r="C259" s="114">
        <v>510</v>
      </c>
      <c r="D259" s="204">
        <f t="shared" si="19"/>
        <v>0.19382239382239438</v>
      </c>
      <c r="E259" s="203">
        <f t="shared" si="20"/>
        <v>1.2662284701070347E-4</v>
      </c>
      <c r="F259" s="203">
        <f t="shared" si="21"/>
        <v>2.1762974514043208E-2</v>
      </c>
    </row>
    <row r="260" spans="2:6" x14ac:dyDescent="0.2">
      <c r="B260" s="238">
        <v>939</v>
      </c>
      <c r="C260" s="205">
        <v>516</v>
      </c>
      <c r="D260" s="204">
        <f t="shared" si="19"/>
        <v>0.19459459459459516</v>
      </c>
      <c r="E260" s="203">
        <f t="shared" si="20"/>
        <v>1.2811252756377058E-4</v>
      </c>
      <c r="F260" s="203">
        <f t="shared" si="21"/>
        <v>2.1891087041606978E-2</v>
      </c>
    </row>
    <row r="261" spans="2:6" x14ac:dyDescent="0.2">
      <c r="B261" s="238">
        <v>927</v>
      </c>
      <c r="C261" s="205">
        <v>516.66666666666674</v>
      </c>
      <c r="D261" s="204">
        <f t="shared" si="19"/>
        <v>0.19536679536679594</v>
      </c>
      <c r="E261" s="203">
        <f t="shared" si="20"/>
        <v>1.2827804762522251E-4</v>
      </c>
      <c r="F261" s="203">
        <f t="shared" si="21"/>
        <v>2.2019365089232201E-2</v>
      </c>
    </row>
    <row r="262" spans="2:6" x14ac:dyDescent="0.2">
      <c r="B262" s="237">
        <v>1334</v>
      </c>
      <c r="C262" s="114">
        <v>518</v>
      </c>
      <c r="D262" s="204">
        <f t="shared" si="19"/>
        <v>0.19613899613899671</v>
      </c>
      <c r="E262" s="203">
        <f t="shared" si="20"/>
        <v>1.2860908774812627E-4</v>
      </c>
      <c r="F262" s="203">
        <f t="shared" si="21"/>
        <v>2.2147974176980327E-2</v>
      </c>
    </row>
    <row r="263" spans="2:6" x14ac:dyDescent="0.2">
      <c r="B263" s="237">
        <v>709</v>
      </c>
      <c r="C263" s="114">
        <v>520</v>
      </c>
      <c r="D263" s="204">
        <f t="shared" si="19"/>
        <v>0.19691119691119749</v>
      </c>
      <c r="E263" s="203">
        <f t="shared" si="20"/>
        <v>1.2910564793248199E-4</v>
      </c>
      <c r="F263" s="203">
        <f t="shared" si="21"/>
        <v>2.227707982491281E-2</v>
      </c>
    </row>
    <row r="264" spans="2:6" x14ac:dyDescent="0.2">
      <c r="B264" s="237">
        <v>1040</v>
      </c>
      <c r="C264" s="114">
        <v>520</v>
      </c>
      <c r="D264" s="204">
        <f t="shared" si="19"/>
        <v>0.19768339768339827</v>
      </c>
      <c r="E264" s="203">
        <f t="shared" si="20"/>
        <v>1.2910564793248199E-4</v>
      </c>
      <c r="F264" s="203">
        <f t="shared" si="21"/>
        <v>2.2406185472845293E-2</v>
      </c>
    </row>
    <row r="265" spans="2:6" x14ac:dyDescent="0.2">
      <c r="B265" s="237">
        <v>1346</v>
      </c>
      <c r="C265" s="114">
        <v>520</v>
      </c>
      <c r="D265" s="204">
        <f t="shared" ref="D265:D328" si="22">D264+1/$L$18</f>
        <v>0.19845559845559904</v>
      </c>
      <c r="E265" s="203">
        <f t="shared" ref="E265:E328" si="23">C265/$O$18</f>
        <v>1.2910564793248199E-4</v>
      </c>
      <c r="F265" s="203">
        <f t="shared" ref="F265:F328" si="24">F264+E265</f>
        <v>2.2535291120777776E-2</v>
      </c>
    </row>
    <row r="266" spans="2:6" x14ac:dyDescent="0.2">
      <c r="B266" s="238">
        <v>2141</v>
      </c>
      <c r="C266" s="205">
        <v>520</v>
      </c>
      <c r="D266" s="204">
        <f t="shared" si="22"/>
        <v>0.19922779922779982</v>
      </c>
      <c r="E266" s="203">
        <f t="shared" si="23"/>
        <v>1.2910564793248199E-4</v>
      </c>
      <c r="F266" s="203">
        <f t="shared" si="24"/>
        <v>2.2664396768710258E-2</v>
      </c>
    </row>
    <row r="267" spans="2:6" x14ac:dyDescent="0.2">
      <c r="B267" s="238">
        <v>2293</v>
      </c>
      <c r="C267" s="205">
        <v>520</v>
      </c>
      <c r="D267" s="204">
        <f t="shared" si="22"/>
        <v>0.20000000000000059</v>
      </c>
      <c r="E267" s="203">
        <f t="shared" si="23"/>
        <v>1.2910564793248199E-4</v>
      </c>
      <c r="F267" s="203">
        <f t="shared" si="24"/>
        <v>2.2793502416642741E-2</v>
      </c>
    </row>
    <row r="268" spans="2:6" x14ac:dyDescent="0.2">
      <c r="B268" s="237">
        <v>117</v>
      </c>
      <c r="C268" s="114">
        <v>526.31600000000003</v>
      </c>
      <c r="D268" s="204">
        <f t="shared" si="22"/>
        <v>0.20077220077220137</v>
      </c>
      <c r="E268" s="203">
        <f t="shared" si="23"/>
        <v>1.3067378499467729E-4</v>
      </c>
      <c r="F268" s="203">
        <f t="shared" si="24"/>
        <v>2.292417620163742E-2</v>
      </c>
    </row>
    <row r="269" spans="2:6" x14ac:dyDescent="0.2">
      <c r="B269" s="237">
        <v>16</v>
      </c>
      <c r="C269" s="114">
        <v>530</v>
      </c>
      <c r="D269" s="204">
        <f t="shared" si="22"/>
        <v>0.20154440154440215</v>
      </c>
      <c r="E269" s="203">
        <f t="shared" si="23"/>
        <v>1.3158844885426048E-4</v>
      </c>
      <c r="F269" s="203">
        <f t="shared" si="24"/>
        <v>2.3055764650491681E-2</v>
      </c>
    </row>
    <row r="270" spans="2:6" x14ac:dyDescent="0.2">
      <c r="B270" s="238">
        <v>646</v>
      </c>
      <c r="C270" s="205">
        <v>530</v>
      </c>
      <c r="D270" s="204">
        <f t="shared" si="22"/>
        <v>0.20231660231660292</v>
      </c>
      <c r="E270" s="203">
        <f t="shared" si="23"/>
        <v>1.3158844885426048E-4</v>
      </c>
      <c r="F270" s="203">
        <f t="shared" si="24"/>
        <v>2.3187353099345942E-2</v>
      </c>
    </row>
    <row r="271" spans="2:6" x14ac:dyDescent="0.2">
      <c r="B271" s="238">
        <v>782</v>
      </c>
      <c r="C271" s="205">
        <v>530</v>
      </c>
      <c r="D271" s="204">
        <f t="shared" si="22"/>
        <v>0.2030888030888037</v>
      </c>
      <c r="E271" s="203">
        <f t="shared" si="23"/>
        <v>1.3158844885426048E-4</v>
      </c>
      <c r="F271" s="203">
        <f t="shared" si="24"/>
        <v>2.3318941548200203E-2</v>
      </c>
    </row>
    <row r="272" spans="2:6" x14ac:dyDescent="0.2">
      <c r="B272" s="237">
        <v>1530</v>
      </c>
      <c r="C272" s="114">
        <v>530</v>
      </c>
      <c r="D272" s="204">
        <f t="shared" si="22"/>
        <v>0.20386100386100448</v>
      </c>
      <c r="E272" s="203">
        <f t="shared" si="23"/>
        <v>1.3158844885426048E-4</v>
      </c>
      <c r="F272" s="203">
        <f t="shared" si="24"/>
        <v>2.3450529997054465E-2</v>
      </c>
    </row>
    <row r="273" spans="2:6" x14ac:dyDescent="0.2">
      <c r="B273" s="237">
        <v>1505</v>
      </c>
      <c r="C273" s="114">
        <v>538.5</v>
      </c>
      <c r="D273" s="204">
        <f t="shared" si="22"/>
        <v>0.20463320463320525</v>
      </c>
      <c r="E273" s="203">
        <f t="shared" si="23"/>
        <v>1.3369882963777221E-4</v>
      </c>
      <c r="F273" s="203">
        <f t="shared" si="24"/>
        <v>2.3584228826692238E-2</v>
      </c>
    </row>
    <row r="274" spans="2:6" x14ac:dyDescent="0.2">
      <c r="B274" s="237">
        <v>211</v>
      </c>
      <c r="C274" s="114">
        <v>540</v>
      </c>
      <c r="D274" s="204">
        <f t="shared" si="22"/>
        <v>0.20540540540540603</v>
      </c>
      <c r="E274" s="203">
        <f t="shared" si="23"/>
        <v>1.3407124977603897E-4</v>
      </c>
      <c r="F274" s="203">
        <f t="shared" si="24"/>
        <v>2.3718300076468277E-2</v>
      </c>
    </row>
    <row r="275" spans="2:6" x14ac:dyDescent="0.2">
      <c r="B275" s="238">
        <v>1126</v>
      </c>
      <c r="C275" s="205">
        <v>540</v>
      </c>
      <c r="D275" s="204">
        <f t="shared" si="22"/>
        <v>0.2061776061776068</v>
      </c>
      <c r="E275" s="203">
        <f t="shared" si="23"/>
        <v>1.3407124977603897E-4</v>
      </c>
      <c r="F275" s="203">
        <f t="shared" si="24"/>
        <v>2.3852371326244317E-2</v>
      </c>
    </row>
    <row r="276" spans="2:6" x14ac:dyDescent="0.2">
      <c r="B276" s="238">
        <v>2014</v>
      </c>
      <c r="C276" s="205">
        <v>540</v>
      </c>
      <c r="D276" s="204">
        <f t="shared" si="22"/>
        <v>0.20694980694980758</v>
      </c>
      <c r="E276" s="203">
        <f t="shared" si="23"/>
        <v>1.3407124977603897E-4</v>
      </c>
      <c r="F276" s="203">
        <f t="shared" si="24"/>
        <v>2.3986442576020357E-2</v>
      </c>
    </row>
    <row r="277" spans="2:6" x14ac:dyDescent="0.2">
      <c r="B277" s="237">
        <v>58</v>
      </c>
      <c r="C277" s="114">
        <v>541.35</v>
      </c>
      <c r="D277" s="204">
        <f t="shared" si="22"/>
        <v>0.20772200772200836</v>
      </c>
      <c r="E277" s="203">
        <f t="shared" si="23"/>
        <v>1.3440642790047907E-4</v>
      </c>
      <c r="F277" s="203">
        <f t="shared" si="24"/>
        <v>2.4120849003920836E-2</v>
      </c>
    </row>
    <row r="278" spans="2:6" x14ac:dyDescent="0.2">
      <c r="B278" s="237">
        <v>675</v>
      </c>
      <c r="C278" s="114">
        <v>542</v>
      </c>
      <c r="D278" s="204">
        <f t="shared" si="22"/>
        <v>0.20849420849420913</v>
      </c>
      <c r="E278" s="203">
        <f t="shared" si="23"/>
        <v>1.3456780996039469E-4</v>
      </c>
      <c r="F278" s="203">
        <f t="shared" si="24"/>
        <v>2.4255416813881232E-2</v>
      </c>
    </row>
    <row r="279" spans="2:6" x14ac:dyDescent="0.2">
      <c r="B279" s="237">
        <v>1497</v>
      </c>
      <c r="C279" s="114">
        <v>542</v>
      </c>
      <c r="D279" s="204">
        <f t="shared" si="22"/>
        <v>0.20926640926640991</v>
      </c>
      <c r="E279" s="203">
        <f t="shared" si="23"/>
        <v>1.3456780996039469E-4</v>
      </c>
      <c r="F279" s="203">
        <f t="shared" si="24"/>
        <v>2.4389984623841628E-2</v>
      </c>
    </row>
    <row r="280" spans="2:6" x14ac:dyDescent="0.2">
      <c r="B280" s="237">
        <v>64</v>
      </c>
      <c r="C280" s="114">
        <v>550</v>
      </c>
      <c r="D280" s="204">
        <f t="shared" si="22"/>
        <v>0.21003861003861068</v>
      </c>
      <c r="E280" s="203">
        <f t="shared" si="23"/>
        <v>1.3655405069781749E-4</v>
      </c>
      <c r="F280" s="203">
        <f t="shared" si="24"/>
        <v>2.4526538674539446E-2</v>
      </c>
    </row>
    <row r="281" spans="2:6" x14ac:dyDescent="0.2">
      <c r="B281" s="238">
        <v>100</v>
      </c>
      <c r="C281" s="205">
        <v>550</v>
      </c>
      <c r="D281" s="204">
        <f t="shared" si="22"/>
        <v>0.21081081081081146</v>
      </c>
      <c r="E281" s="203">
        <f t="shared" si="23"/>
        <v>1.3655405069781749E-4</v>
      </c>
      <c r="F281" s="203">
        <f t="shared" si="24"/>
        <v>2.4663092725237264E-2</v>
      </c>
    </row>
    <row r="282" spans="2:6" x14ac:dyDescent="0.2">
      <c r="B282" s="238">
        <v>124</v>
      </c>
      <c r="C282" s="205">
        <v>550</v>
      </c>
      <c r="D282" s="204">
        <f t="shared" si="22"/>
        <v>0.21158301158301224</v>
      </c>
      <c r="E282" s="203">
        <f t="shared" si="23"/>
        <v>1.3655405069781749E-4</v>
      </c>
      <c r="F282" s="203">
        <f t="shared" si="24"/>
        <v>2.4799646775935082E-2</v>
      </c>
    </row>
    <row r="283" spans="2:6" x14ac:dyDescent="0.2">
      <c r="B283" s="237">
        <v>214</v>
      </c>
      <c r="C283" s="114">
        <v>550</v>
      </c>
      <c r="D283" s="204">
        <f t="shared" si="22"/>
        <v>0.21235521235521301</v>
      </c>
      <c r="E283" s="203">
        <f t="shared" si="23"/>
        <v>1.3655405069781749E-4</v>
      </c>
      <c r="F283" s="203">
        <f t="shared" si="24"/>
        <v>2.49362008266329E-2</v>
      </c>
    </row>
    <row r="284" spans="2:6" x14ac:dyDescent="0.2">
      <c r="B284" s="238">
        <v>272</v>
      </c>
      <c r="C284" s="205">
        <v>550</v>
      </c>
      <c r="D284" s="204">
        <f t="shared" si="22"/>
        <v>0.21312741312741379</v>
      </c>
      <c r="E284" s="203">
        <f t="shared" si="23"/>
        <v>1.3655405069781749E-4</v>
      </c>
      <c r="F284" s="203">
        <f t="shared" si="24"/>
        <v>2.5072754877330718E-2</v>
      </c>
    </row>
    <row r="285" spans="2:6" x14ac:dyDescent="0.2">
      <c r="B285" s="237">
        <v>652</v>
      </c>
      <c r="C285" s="114">
        <v>550</v>
      </c>
      <c r="D285" s="204">
        <f t="shared" si="22"/>
        <v>0.21389961389961457</v>
      </c>
      <c r="E285" s="203">
        <f t="shared" si="23"/>
        <v>1.3655405069781749E-4</v>
      </c>
      <c r="F285" s="203">
        <f t="shared" si="24"/>
        <v>2.5209308928028536E-2</v>
      </c>
    </row>
    <row r="286" spans="2:6" x14ac:dyDescent="0.2">
      <c r="B286" s="237">
        <v>667</v>
      </c>
      <c r="C286" s="114">
        <v>550</v>
      </c>
      <c r="D286" s="204">
        <f t="shared" si="22"/>
        <v>0.21467181467181534</v>
      </c>
      <c r="E286" s="203">
        <f t="shared" si="23"/>
        <v>1.3655405069781749E-4</v>
      </c>
      <c r="F286" s="203">
        <f t="shared" si="24"/>
        <v>2.5345862978726354E-2</v>
      </c>
    </row>
    <row r="287" spans="2:6" x14ac:dyDescent="0.2">
      <c r="B287" s="238">
        <v>865</v>
      </c>
      <c r="C287" s="205">
        <v>550</v>
      </c>
      <c r="D287" s="204">
        <f t="shared" si="22"/>
        <v>0.21544401544401612</v>
      </c>
      <c r="E287" s="203">
        <f t="shared" si="23"/>
        <v>1.3655405069781749E-4</v>
      </c>
      <c r="F287" s="203">
        <f t="shared" si="24"/>
        <v>2.5482417029424172E-2</v>
      </c>
    </row>
    <row r="288" spans="2:6" x14ac:dyDescent="0.2">
      <c r="B288" s="238">
        <v>949</v>
      </c>
      <c r="C288" s="205">
        <v>550</v>
      </c>
      <c r="D288" s="204">
        <f t="shared" si="22"/>
        <v>0.21621621621621689</v>
      </c>
      <c r="E288" s="203">
        <f t="shared" si="23"/>
        <v>1.3655405069781749E-4</v>
      </c>
      <c r="F288" s="203">
        <f t="shared" si="24"/>
        <v>2.561897108012199E-2</v>
      </c>
    </row>
    <row r="289" spans="2:6" x14ac:dyDescent="0.2">
      <c r="B289" s="238">
        <v>1060</v>
      </c>
      <c r="C289" s="205">
        <v>550</v>
      </c>
      <c r="D289" s="204">
        <f t="shared" si="22"/>
        <v>0.21698841698841767</v>
      </c>
      <c r="E289" s="203">
        <f t="shared" si="23"/>
        <v>1.3655405069781749E-4</v>
      </c>
      <c r="F289" s="203">
        <f t="shared" si="24"/>
        <v>2.5755525130819808E-2</v>
      </c>
    </row>
    <row r="290" spans="2:6" x14ac:dyDescent="0.2">
      <c r="B290" s="238">
        <v>1103</v>
      </c>
      <c r="C290" s="205">
        <v>550</v>
      </c>
      <c r="D290" s="204">
        <f t="shared" si="22"/>
        <v>0.21776061776061845</v>
      </c>
      <c r="E290" s="203">
        <f t="shared" si="23"/>
        <v>1.3655405069781749E-4</v>
      </c>
      <c r="F290" s="203">
        <f t="shared" si="24"/>
        <v>2.5892079181517626E-2</v>
      </c>
    </row>
    <row r="291" spans="2:6" x14ac:dyDescent="0.2">
      <c r="B291" s="238">
        <v>1145</v>
      </c>
      <c r="C291" s="205">
        <v>550</v>
      </c>
      <c r="D291" s="204">
        <f t="shared" si="22"/>
        <v>0.21853281853281922</v>
      </c>
      <c r="E291" s="203">
        <f t="shared" si="23"/>
        <v>1.3655405069781749E-4</v>
      </c>
      <c r="F291" s="203">
        <f t="shared" si="24"/>
        <v>2.6028633232215444E-2</v>
      </c>
    </row>
    <row r="292" spans="2:6" x14ac:dyDescent="0.2">
      <c r="B292" s="238">
        <v>1229</v>
      </c>
      <c r="C292" s="205">
        <v>550</v>
      </c>
      <c r="D292" s="204">
        <f t="shared" si="22"/>
        <v>0.21930501930502</v>
      </c>
      <c r="E292" s="203">
        <f t="shared" si="23"/>
        <v>1.3655405069781749E-4</v>
      </c>
      <c r="F292" s="203">
        <f t="shared" si="24"/>
        <v>2.6165187282913262E-2</v>
      </c>
    </row>
    <row r="293" spans="2:6" x14ac:dyDescent="0.2">
      <c r="B293" s="237">
        <v>1233</v>
      </c>
      <c r="C293" s="114">
        <v>550</v>
      </c>
      <c r="D293" s="204">
        <f t="shared" si="22"/>
        <v>0.22007722007722078</v>
      </c>
      <c r="E293" s="203">
        <f t="shared" si="23"/>
        <v>1.3655405069781749E-4</v>
      </c>
      <c r="F293" s="203">
        <f t="shared" si="24"/>
        <v>2.630174133361108E-2</v>
      </c>
    </row>
    <row r="294" spans="2:6" x14ac:dyDescent="0.2">
      <c r="B294" s="237">
        <v>1259</v>
      </c>
      <c r="C294" s="114">
        <v>550</v>
      </c>
      <c r="D294" s="204">
        <f t="shared" si="22"/>
        <v>0.22084942084942155</v>
      </c>
      <c r="E294" s="203">
        <f t="shared" si="23"/>
        <v>1.3655405069781749E-4</v>
      </c>
      <c r="F294" s="203">
        <f t="shared" si="24"/>
        <v>2.6438295384308898E-2</v>
      </c>
    </row>
    <row r="295" spans="2:6" x14ac:dyDescent="0.2">
      <c r="B295" s="238">
        <v>1273</v>
      </c>
      <c r="C295" s="205">
        <v>550</v>
      </c>
      <c r="D295" s="204">
        <f t="shared" si="22"/>
        <v>0.22162162162162233</v>
      </c>
      <c r="E295" s="203">
        <f t="shared" si="23"/>
        <v>1.3655405069781749E-4</v>
      </c>
      <c r="F295" s="203">
        <f t="shared" si="24"/>
        <v>2.6574849435006716E-2</v>
      </c>
    </row>
    <row r="296" spans="2:6" x14ac:dyDescent="0.2">
      <c r="B296" s="237">
        <v>1291</v>
      </c>
      <c r="C296" s="114">
        <v>550</v>
      </c>
      <c r="D296" s="204">
        <f t="shared" si="22"/>
        <v>0.2223938223938231</v>
      </c>
      <c r="E296" s="203">
        <f t="shared" si="23"/>
        <v>1.3655405069781749E-4</v>
      </c>
      <c r="F296" s="203">
        <f t="shared" si="24"/>
        <v>2.6711403485704534E-2</v>
      </c>
    </row>
    <row r="297" spans="2:6" x14ac:dyDescent="0.2">
      <c r="B297" s="237">
        <v>1482</v>
      </c>
      <c r="C297" s="114">
        <v>550</v>
      </c>
      <c r="D297" s="204">
        <f t="shared" si="22"/>
        <v>0.22316602316602388</v>
      </c>
      <c r="E297" s="203">
        <f t="shared" si="23"/>
        <v>1.3655405069781749E-4</v>
      </c>
      <c r="F297" s="203">
        <f t="shared" si="24"/>
        <v>2.6847957536402352E-2</v>
      </c>
    </row>
    <row r="298" spans="2:6" x14ac:dyDescent="0.2">
      <c r="B298" s="238">
        <v>1582</v>
      </c>
      <c r="C298" s="205">
        <v>550</v>
      </c>
      <c r="D298" s="204">
        <f t="shared" si="22"/>
        <v>0.22393822393822466</v>
      </c>
      <c r="E298" s="203">
        <f t="shared" si="23"/>
        <v>1.3655405069781749E-4</v>
      </c>
      <c r="F298" s="203">
        <f t="shared" si="24"/>
        <v>2.698451158710017E-2</v>
      </c>
    </row>
    <row r="299" spans="2:6" x14ac:dyDescent="0.2">
      <c r="B299" s="238">
        <v>1584</v>
      </c>
      <c r="C299" s="205">
        <v>550</v>
      </c>
      <c r="D299" s="204">
        <f t="shared" si="22"/>
        <v>0.22471042471042543</v>
      </c>
      <c r="E299" s="203">
        <f t="shared" si="23"/>
        <v>1.3655405069781749E-4</v>
      </c>
      <c r="F299" s="203">
        <f t="shared" si="24"/>
        <v>2.7121065637797988E-2</v>
      </c>
    </row>
    <row r="300" spans="2:6" x14ac:dyDescent="0.2">
      <c r="B300" s="237">
        <v>1865</v>
      </c>
      <c r="C300" s="114">
        <v>551</v>
      </c>
      <c r="D300" s="204">
        <f t="shared" si="22"/>
        <v>0.22548262548262621</v>
      </c>
      <c r="E300" s="203">
        <f t="shared" si="23"/>
        <v>1.3680233078999533E-4</v>
      </c>
      <c r="F300" s="203">
        <f t="shared" si="24"/>
        <v>2.7257867968587982E-2</v>
      </c>
    </row>
    <row r="301" spans="2:6" x14ac:dyDescent="0.2">
      <c r="B301" s="237">
        <v>532</v>
      </c>
      <c r="C301" s="114">
        <v>560</v>
      </c>
      <c r="D301" s="204">
        <f t="shared" si="22"/>
        <v>0.22625482625482699</v>
      </c>
      <c r="E301" s="203">
        <f t="shared" si="23"/>
        <v>1.3903685161959598E-4</v>
      </c>
      <c r="F301" s="203">
        <f t="shared" si="24"/>
        <v>2.7396904820207579E-2</v>
      </c>
    </row>
    <row r="302" spans="2:6" x14ac:dyDescent="0.2">
      <c r="B302" s="237">
        <v>1289</v>
      </c>
      <c r="C302" s="114">
        <v>560</v>
      </c>
      <c r="D302" s="204">
        <f t="shared" si="22"/>
        <v>0.22702702702702776</v>
      </c>
      <c r="E302" s="203">
        <f t="shared" si="23"/>
        <v>1.3903685161959598E-4</v>
      </c>
      <c r="F302" s="203">
        <f t="shared" si="24"/>
        <v>2.7535941671827175E-2</v>
      </c>
    </row>
    <row r="303" spans="2:6" x14ac:dyDescent="0.2">
      <c r="B303" s="238">
        <v>1483</v>
      </c>
      <c r="C303" s="205">
        <v>560</v>
      </c>
      <c r="D303" s="204">
        <f t="shared" si="22"/>
        <v>0.22779922779922854</v>
      </c>
      <c r="E303" s="203">
        <f t="shared" si="23"/>
        <v>1.3903685161959598E-4</v>
      </c>
      <c r="F303" s="203">
        <f t="shared" si="24"/>
        <v>2.7674978523446771E-2</v>
      </c>
    </row>
    <row r="304" spans="2:6" x14ac:dyDescent="0.2">
      <c r="B304" s="237">
        <v>1550</v>
      </c>
      <c r="C304" s="114">
        <v>560</v>
      </c>
      <c r="D304" s="204">
        <f t="shared" si="22"/>
        <v>0.22857142857142931</v>
      </c>
      <c r="E304" s="203">
        <f t="shared" si="23"/>
        <v>1.3903685161959598E-4</v>
      </c>
      <c r="F304" s="203">
        <f t="shared" si="24"/>
        <v>2.7814015375066368E-2</v>
      </c>
    </row>
    <row r="305" spans="2:6" x14ac:dyDescent="0.2">
      <c r="B305" s="237">
        <v>1589</v>
      </c>
      <c r="C305" s="114">
        <v>560</v>
      </c>
      <c r="D305" s="204">
        <f t="shared" si="22"/>
        <v>0.22934362934363009</v>
      </c>
      <c r="E305" s="203">
        <f t="shared" si="23"/>
        <v>1.3903685161959598E-4</v>
      </c>
      <c r="F305" s="203">
        <f t="shared" si="24"/>
        <v>2.7953052226685964E-2</v>
      </c>
    </row>
    <row r="306" spans="2:6" x14ac:dyDescent="0.2">
      <c r="B306" s="237">
        <v>2214</v>
      </c>
      <c r="C306" s="114">
        <v>560</v>
      </c>
      <c r="D306" s="204">
        <f t="shared" si="22"/>
        <v>0.23011583011583087</v>
      </c>
      <c r="E306" s="203">
        <f t="shared" si="23"/>
        <v>1.3903685161959598E-4</v>
      </c>
      <c r="F306" s="203">
        <f t="shared" si="24"/>
        <v>2.8092089078305561E-2</v>
      </c>
    </row>
    <row r="307" spans="2:6" x14ac:dyDescent="0.2">
      <c r="B307" s="238">
        <v>175</v>
      </c>
      <c r="C307" s="205">
        <v>570</v>
      </c>
      <c r="D307" s="204">
        <f t="shared" si="22"/>
        <v>0.23088803088803164</v>
      </c>
      <c r="E307" s="203">
        <f t="shared" si="23"/>
        <v>1.4151965254137448E-4</v>
      </c>
      <c r="F307" s="203">
        <f t="shared" si="24"/>
        <v>2.8233608730846935E-2</v>
      </c>
    </row>
    <row r="308" spans="2:6" x14ac:dyDescent="0.2">
      <c r="B308" s="238">
        <v>919</v>
      </c>
      <c r="C308" s="205">
        <v>570</v>
      </c>
      <c r="D308" s="204">
        <f t="shared" si="22"/>
        <v>0.23166023166023242</v>
      </c>
      <c r="E308" s="203">
        <f t="shared" si="23"/>
        <v>1.4151965254137448E-4</v>
      </c>
      <c r="F308" s="203">
        <f t="shared" si="24"/>
        <v>2.837512838338831E-2</v>
      </c>
    </row>
    <row r="309" spans="2:6" x14ac:dyDescent="0.2">
      <c r="B309" s="238">
        <v>2063</v>
      </c>
      <c r="C309" s="205">
        <v>570</v>
      </c>
      <c r="D309" s="204">
        <f t="shared" si="22"/>
        <v>0.23243243243243319</v>
      </c>
      <c r="E309" s="203">
        <f t="shared" si="23"/>
        <v>1.4151965254137448E-4</v>
      </c>
      <c r="F309" s="203">
        <f t="shared" si="24"/>
        <v>2.8516648035929685E-2</v>
      </c>
    </row>
    <row r="310" spans="2:6" x14ac:dyDescent="0.2">
      <c r="B310" s="237">
        <v>73</v>
      </c>
      <c r="C310" s="114">
        <v>572.4</v>
      </c>
      <c r="D310" s="204">
        <f t="shared" si="22"/>
        <v>0.23320463320463397</v>
      </c>
      <c r="E310" s="203">
        <f t="shared" si="23"/>
        <v>1.4211552476260132E-4</v>
      </c>
      <c r="F310" s="203">
        <f t="shared" si="24"/>
        <v>2.8658763560692285E-2</v>
      </c>
    </row>
    <row r="311" spans="2:6" x14ac:dyDescent="0.2">
      <c r="B311" s="237">
        <v>123</v>
      </c>
      <c r="C311" s="114">
        <v>575</v>
      </c>
      <c r="D311" s="204">
        <f t="shared" si="22"/>
        <v>0.23397683397683475</v>
      </c>
      <c r="E311" s="203">
        <f t="shared" si="23"/>
        <v>1.4276105300226372E-4</v>
      </c>
      <c r="F311" s="203">
        <f t="shared" si="24"/>
        <v>2.8801524613694549E-2</v>
      </c>
    </row>
    <row r="312" spans="2:6" x14ac:dyDescent="0.2">
      <c r="B312" s="237">
        <v>1065</v>
      </c>
      <c r="C312" s="114">
        <v>576</v>
      </c>
      <c r="D312" s="204">
        <f t="shared" si="22"/>
        <v>0.23474903474903552</v>
      </c>
      <c r="E312" s="203">
        <f t="shared" si="23"/>
        <v>1.4300933309444158E-4</v>
      </c>
      <c r="F312" s="203">
        <f t="shared" si="24"/>
        <v>2.8944533946788989E-2</v>
      </c>
    </row>
    <row r="313" spans="2:6" x14ac:dyDescent="0.2">
      <c r="B313" s="237">
        <v>96</v>
      </c>
      <c r="C313" s="114">
        <v>580</v>
      </c>
      <c r="D313" s="204">
        <f t="shared" si="22"/>
        <v>0.2355212355212363</v>
      </c>
      <c r="E313" s="203">
        <f t="shared" si="23"/>
        <v>1.4400245346315297E-4</v>
      </c>
      <c r="F313" s="203">
        <f t="shared" si="24"/>
        <v>2.9088536400252142E-2</v>
      </c>
    </row>
    <row r="314" spans="2:6" x14ac:dyDescent="0.2">
      <c r="B314" s="238">
        <v>849</v>
      </c>
      <c r="C314" s="205">
        <v>580</v>
      </c>
      <c r="D314" s="204">
        <f t="shared" si="22"/>
        <v>0.23629343629343708</v>
      </c>
      <c r="E314" s="203">
        <f t="shared" si="23"/>
        <v>1.4400245346315297E-4</v>
      </c>
      <c r="F314" s="203">
        <f t="shared" si="24"/>
        <v>2.9232538853715295E-2</v>
      </c>
    </row>
    <row r="315" spans="2:6" x14ac:dyDescent="0.2">
      <c r="B315" s="238">
        <v>1184</v>
      </c>
      <c r="C315" s="205">
        <v>580</v>
      </c>
      <c r="D315" s="204">
        <f t="shared" si="22"/>
        <v>0.23706563706563785</v>
      </c>
      <c r="E315" s="203">
        <f t="shared" si="23"/>
        <v>1.4400245346315297E-4</v>
      </c>
      <c r="F315" s="203">
        <f t="shared" si="24"/>
        <v>2.9376541307178448E-2</v>
      </c>
    </row>
    <row r="316" spans="2:6" x14ac:dyDescent="0.2">
      <c r="B316" s="237">
        <v>1244</v>
      </c>
      <c r="C316" s="114">
        <v>580</v>
      </c>
      <c r="D316" s="204">
        <f t="shared" si="22"/>
        <v>0.23783783783783863</v>
      </c>
      <c r="E316" s="203">
        <f t="shared" si="23"/>
        <v>1.4400245346315297E-4</v>
      </c>
      <c r="F316" s="203">
        <f t="shared" si="24"/>
        <v>2.9520543760641602E-2</v>
      </c>
    </row>
    <row r="317" spans="2:6" x14ac:dyDescent="0.2">
      <c r="B317" s="237">
        <v>1727</v>
      </c>
      <c r="C317" s="114">
        <v>580</v>
      </c>
      <c r="D317" s="204">
        <f t="shared" si="22"/>
        <v>0.2386100386100394</v>
      </c>
      <c r="E317" s="203">
        <f t="shared" si="23"/>
        <v>1.4400245346315297E-4</v>
      </c>
      <c r="F317" s="203">
        <f t="shared" si="24"/>
        <v>2.9664546214104755E-2</v>
      </c>
    </row>
    <row r="318" spans="2:6" x14ac:dyDescent="0.2">
      <c r="B318" s="237">
        <v>603</v>
      </c>
      <c r="C318" s="114">
        <v>580.72500000000002</v>
      </c>
      <c r="D318" s="204">
        <f t="shared" si="22"/>
        <v>0.23938223938224018</v>
      </c>
      <c r="E318" s="203">
        <f t="shared" si="23"/>
        <v>1.4418245652998192E-4</v>
      </c>
      <c r="F318" s="203">
        <f t="shared" si="24"/>
        <v>2.9808728670634738E-2</v>
      </c>
    </row>
    <row r="319" spans="2:6" x14ac:dyDescent="0.2">
      <c r="B319" s="238">
        <v>798</v>
      </c>
      <c r="C319" s="205">
        <v>582.5</v>
      </c>
      <c r="D319" s="204">
        <f t="shared" si="22"/>
        <v>0.24015444015444096</v>
      </c>
      <c r="E319" s="203">
        <f t="shared" si="23"/>
        <v>1.4462315369359762E-4</v>
      </c>
      <c r="F319" s="203">
        <f t="shared" si="24"/>
        <v>2.9953351824328334E-2</v>
      </c>
    </row>
    <row r="320" spans="2:6" x14ac:dyDescent="0.2">
      <c r="B320" s="237">
        <v>2286</v>
      </c>
      <c r="C320" s="114">
        <v>583.33333333333337</v>
      </c>
      <c r="D320" s="204">
        <f t="shared" si="22"/>
        <v>0.24092664092664173</v>
      </c>
      <c r="E320" s="203">
        <f t="shared" si="23"/>
        <v>1.448300537704125E-4</v>
      </c>
      <c r="F320" s="203">
        <f t="shared" si="24"/>
        <v>3.0098181878098748E-2</v>
      </c>
    </row>
    <row r="321" spans="2:6" x14ac:dyDescent="0.2">
      <c r="B321" s="237">
        <v>306</v>
      </c>
      <c r="C321" s="114">
        <v>590</v>
      </c>
      <c r="D321" s="204">
        <f t="shared" si="22"/>
        <v>0.24169884169884251</v>
      </c>
      <c r="E321" s="203">
        <f t="shared" si="23"/>
        <v>1.4648525438493149E-4</v>
      </c>
      <c r="F321" s="203">
        <f t="shared" si="24"/>
        <v>3.024466713248368E-2</v>
      </c>
    </row>
    <row r="322" spans="2:6" x14ac:dyDescent="0.2">
      <c r="B322" s="237">
        <v>671</v>
      </c>
      <c r="C322" s="114">
        <v>590</v>
      </c>
      <c r="D322" s="204">
        <f t="shared" si="22"/>
        <v>0.24247104247104329</v>
      </c>
      <c r="E322" s="203">
        <f t="shared" si="23"/>
        <v>1.4648525438493149E-4</v>
      </c>
      <c r="F322" s="203">
        <f t="shared" si="24"/>
        <v>3.0391152386868611E-2</v>
      </c>
    </row>
    <row r="323" spans="2:6" x14ac:dyDescent="0.2">
      <c r="B323" s="238">
        <v>700</v>
      </c>
      <c r="C323" s="205">
        <v>590</v>
      </c>
      <c r="D323" s="204">
        <f t="shared" si="22"/>
        <v>0.24324324324324406</v>
      </c>
      <c r="E323" s="203">
        <f t="shared" si="23"/>
        <v>1.4648525438493149E-4</v>
      </c>
      <c r="F323" s="203">
        <f t="shared" si="24"/>
        <v>3.0537637641253543E-2</v>
      </c>
    </row>
    <row r="324" spans="2:6" x14ac:dyDescent="0.2">
      <c r="B324" s="237">
        <v>745</v>
      </c>
      <c r="C324" s="114">
        <v>590</v>
      </c>
      <c r="D324" s="204">
        <f t="shared" si="22"/>
        <v>0.24401544401544484</v>
      </c>
      <c r="E324" s="203">
        <f t="shared" si="23"/>
        <v>1.4648525438493149E-4</v>
      </c>
      <c r="F324" s="203">
        <f t="shared" si="24"/>
        <v>3.0684122895638474E-2</v>
      </c>
    </row>
    <row r="325" spans="2:6" x14ac:dyDescent="0.2">
      <c r="B325" s="237">
        <v>2006</v>
      </c>
      <c r="C325" s="114">
        <v>590</v>
      </c>
      <c r="D325" s="204">
        <f t="shared" si="22"/>
        <v>0.24478764478764561</v>
      </c>
      <c r="E325" s="203">
        <f t="shared" si="23"/>
        <v>1.4648525438493149E-4</v>
      </c>
      <c r="F325" s="203">
        <f t="shared" si="24"/>
        <v>3.0830608150023406E-2</v>
      </c>
    </row>
    <row r="326" spans="2:6" x14ac:dyDescent="0.2">
      <c r="B326" s="238">
        <v>756</v>
      </c>
      <c r="C326" s="205">
        <v>593</v>
      </c>
      <c r="D326" s="204">
        <f t="shared" si="22"/>
        <v>0.24555984555984639</v>
      </c>
      <c r="E326" s="203">
        <f t="shared" si="23"/>
        <v>1.4723009466146504E-4</v>
      </c>
      <c r="F326" s="203">
        <f t="shared" si="24"/>
        <v>3.097783824468487E-2</v>
      </c>
    </row>
    <row r="327" spans="2:6" x14ac:dyDescent="0.2">
      <c r="B327" s="237">
        <v>1160</v>
      </c>
      <c r="C327" s="114">
        <v>600</v>
      </c>
      <c r="D327" s="204">
        <f t="shared" si="22"/>
        <v>0.24633204633204717</v>
      </c>
      <c r="E327" s="203">
        <f t="shared" si="23"/>
        <v>1.4896805530670998E-4</v>
      </c>
      <c r="F327" s="203">
        <f t="shared" si="24"/>
        <v>3.112680629999158E-2</v>
      </c>
    </row>
    <row r="328" spans="2:6" x14ac:dyDescent="0.2">
      <c r="B328" s="237">
        <v>106</v>
      </c>
      <c r="C328" s="114">
        <v>601.04650000000004</v>
      </c>
      <c r="D328" s="204">
        <f t="shared" si="22"/>
        <v>0.24710424710424794</v>
      </c>
      <c r="E328" s="203">
        <f t="shared" si="23"/>
        <v>1.492278804231741E-4</v>
      </c>
      <c r="F328" s="203">
        <f t="shared" si="24"/>
        <v>3.1276034180414754E-2</v>
      </c>
    </row>
    <row r="329" spans="2:6" x14ac:dyDescent="0.2">
      <c r="B329" s="237">
        <v>1076</v>
      </c>
      <c r="C329" s="114">
        <v>603.33299999999997</v>
      </c>
      <c r="D329" s="204">
        <f t="shared" ref="D329:D392" si="25">D328+1/$L$18</f>
        <v>0.24787644787644872</v>
      </c>
      <c r="E329" s="203">
        <f t="shared" ref="E329:E392" si="26">C329/$O$18</f>
        <v>1.4979557285393875E-4</v>
      </c>
      <c r="F329" s="203">
        <f t="shared" ref="F329:F392" si="27">F328+E329</f>
        <v>3.1425829753268693E-2</v>
      </c>
    </row>
    <row r="330" spans="2:6" x14ac:dyDescent="0.2">
      <c r="B330" s="237">
        <v>332</v>
      </c>
      <c r="C330" s="114">
        <v>605</v>
      </c>
      <c r="D330" s="204">
        <f t="shared" si="25"/>
        <v>0.2486486486486495</v>
      </c>
      <c r="E330" s="203">
        <f t="shared" si="26"/>
        <v>1.5020945576759922E-4</v>
      </c>
      <c r="F330" s="203">
        <f t="shared" si="27"/>
        <v>3.1576039209036295E-2</v>
      </c>
    </row>
    <row r="331" spans="2:6" x14ac:dyDescent="0.2">
      <c r="B331" s="238">
        <v>579</v>
      </c>
      <c r="C331" s="205">
        <v>610</v>
      </c>
      <c r="D331" s="204">
        <f t="shared" si="25"/>
        <v>0.24942084942085027</v>
      </c>
      <c r="E331" s="203">
        <f t="shared" si="26"/>
        <v>1.5145085622848847E-4</v>
      </c>
      <c r="F331" s="203">
        <f t="shared" si="27"/>
        <v>3.1727490065264784E-2</v>
      </c>
    </row>
    <row r="332" spans="2:6" x14ac:dyDescent="0.2">
      <c r="B332" s="238">
        <v>916</v>
      </c>
      <c r="C332" s="205">
        <v>610</v>
      </c>
      <c r="D332" s="204">
        <f t="shared" si="25"/>
        <v>0.25019305019305105</v>
      </c>
      <c r="E332" s="203">
        <f t="shared" si="26"/>
        <v>1.5145085622848847E-4</v>
      </c>
      <c r="F332" s="203">
        <f t="shared" si="27"/>
        <v>3.1878940921493272E-2</v>
      </c>
    </row>
    <row r="333" spans="2:6" x14ac:dyDescent="0.2">
      <c r="B333" s="237">
        <v>1411</v>
      </c>
      <c r="C333" s="114">
        <v>610</v>
      </c>
      <c r="D333" s="204">
        <f t="shared" si="25"/>
        <v>0.2509652509652518</v>
      </c>
      <c r="E333" s="203">
        <f t="shared" si="26"/>
        <v>1.5145085622848847E-4</v>
      </c>
      <c r="F333" s="203">
        <f t="shared" si="27"/>
        <v>3.203039177772176E-2</v>
      </c>
    </row>
    <row r="334" spans="2:6" x14ac:dyDescent="0.2">
      <c r="B334" s="237">
        <v>820</v>
      </c>
      <c r="C334" s="114">
        <v>610.5</v>
      </c>
      <c r="D334" s="204">
        <f t="shared" si="25"/>
        <v>0.25173745173745254</v>
      </c>
      <c r="E334" s="203">
        <f t="shared" si="26"/>
        <v>1.515749962745774E-4</v>
      </c>
      <c r="F334" s="203">
        <f t="shared" si="27"/>
        <v>3.2181966773996339E-2</v>
      </c>
    </row>
    <row r="335" spans="2:6" x14ac:dyDescent="0.2">
      <c r="B335" s="237">
        <v>1490</v>
      </c>
      <c r="C335" s="114">
        <v>616.66666666666663</v>
      </c>
      <c r="D335" s="204">
        <f t="shared" si="25"/>
        <v>0.25250965250965329</v>
      </c>
      <c r="E335" s="203">
        <f t="shared" si="26"/>
        <v>1.5310605684300748E-4</v>
      </c>
      <c r="F335" s="203">
        <f t="shared" si="27"/>
        <v>3.2335072830839348E-2</v>
      </c>
    </row>
    <row r="336" spans="2:6" x14ac:dyDescent="0.2">
      <c r="B336" s="238">
        <v>69</v>
      </c>
      <c r="C336" s="205">
        <v>620</v>
      </c>
      <c r="D336" s="204">
        <f t="shared" si="25"/>
        <v>0.25328185328185404</v>
      </c>
      <c r="E336" s="203">
        <f t="shared" si="26"/>
        <v>1.5393365715026699E-4</v>
      </c>
      <c r="F336" s="203">
        <f t="shared" si="27"/>
        <v>3.2489006487989615E-2</v>
      </c>
    </row>
    <row r="337" spans="2:6" x14ac:dyDescent="0.2">
      <c r="B337" s="237">
        <v>622</v>
      </c>
      <c r="C337" s="114">
        <v>620</v>
      </c>
      <c r="D337" s="204">
        <f t="shared" si="25"/>
        <v>0.25405405405405479</v>
      </c>
      <c r="E337" s="203">
        <f t="shared" si="26"/>
        <v>1.5393365715026699E-4</v>
      </c>
      <c r="F337" s="203">
        <f t="shared" si="27"/>
        <v>3.2642940145139882E-2</v>
      </c>
    </row>
    <row r="338" spans="2:6" x14ac:dyDescent="0.2">
      <c r="B338" s="238">
        <v>682</v>
      </c>
      <c r="C338" s="205">
        <v>620</v>
      </c>
      <c r="D338" s="204">
        <f t="shared" si="25"/>
        <v>0.25482625482625554</v>
      </c>
      <c r="E338" s="203">
        <f t="shared" si="26"/>
        <v>1.5393365715026699E-4</v>
      </c>
      <c r="F338" s="203">
        <f t="shared" si="27"/>
        <v>3.2796873802290148E-2</v>
      </c>
    </row>
    <row r="339" spans="2:6" x14ac:dyDescent="0.2">
      <c r="B339" s="237">
        <v>835</v>
      </c>
      <c r="C339" s="114">
        <v>620</v>
      </c>
      <c r="D339" s="204">
        <f t="shared" si="25"/>
        <v>0.25559845559845629</v>
      </c>
      <c r="E339" s="203">
        <f t="shared" si="26"/>
        <v>1.5393365715026699E-4</v>
      </c>
      <c r="F339" s="203">
        <f t="shared" si="27"/>
        <v>3.2950807459440415E-2</v>
      </c>
    </row>
    <row r="340" spans="2:6" x14ac:dyDescent="0.2">
      <c r="B340" s="238">
        <v>924</v>
      </c>
      <c r="C340" s="205">
        <v>620</v>
      </c>
      <c r="D340" s="204">
        <f t="shared" si="25"/>
        <v>0.25637065637065704</v>
      </c>
      <c r="E340" s="203">
        <f t="shared" si="26"/>
        <v>1.5393365715026699E-4</v>
      </c>
      <c r="F340" s="203">
        <f t="shared" si="27"/>
        <v>3.3104741116590682E-2</v>
      </c>
    </row>
    <row r="341" spans="2:6" x14ac:dyDescent="0.2">
      <c r="B341" s="238">
        <v>1619</v>
      </c>
      <c r="C341" s="205">
        <v>620</v>
      </c>
      <c r="D341" s="204">
        <f t="shared" si="25"/>
        <v>0.25714285714285778</v>
      </c>
      <c r="E341" s="203">
        <f t="shared" si="26"/>
        <v>1.5393365715026699E-4</v>
      </c>
      <c r="F341" s="203">
        <f t="shared" si="27"/>
        <v>3.3258674773740948E-2</v>
      </c>
    </row>
    <row r="342" spans="2:6" x14ac:dyDescent="0.2">
      <c r="B342" s="238">
        <v>1812</v>
      </c>
      <c r="C342" s="205">
        <v>620</v>
      </c>
      <c r="D342" s="204">
        <f t="shared" si="25"/>
        <v>0.25791505791505853</v>
      </c>
      <c r="E342" s="203">
        <f t="shared" si="26"/>
        <v>1.5393365715026699E-4</v>
      </c>
      <c r="F342" s="203">
        <f t="shared" si="27"/>
        <v>3.3412608430891215E-2</v>
      </c>
    </row>
    <row r="343" spans="2:6" x14ac:dyDescent="0.2">
      <c r="B343" s="237">
        <v>137</v>
      </c>
      <c r="C343" s="114">
        <v>625</v>
      </c>
      <c r="D343" s="204">
        <f t="shared" si="25"/>
        <v>0.25868725868725928</v>
      </c>
      <c r="E343" s="203">
        <f t="shared" si="26"/>
        <v>1.5517505761115623E-4</v>
      </c>
      <c r="F343" s="203">
        <f t="shared" si="27"/>
        <v>3.3567783488502374E-2</v>
      </c>
    </row>
    <row r="344" spans="2:6" x14ac:dyDescent="0.2">
      <c r="B344" s="237">
        <v>1196</v>
      </c>
      <c r="C344" s="114">
        <v>625</v>
      </c>
      <c r="D344" s="204">
        <f t="shared" si="25"/>
        <v>0.25945945945946003</v>
      </c>
      <c r="E344" s="203">
        <f t="shared" si="26"/>
        <v>1.5517505761115623E-4</v>
      </c>
      <c r="F344" s="203">
        <f t="shared" si="27"/>
        <v>3.3722958546113534E-2</v>
      </c>
    </row>
    <row r="345" spans="2:6" x14ac:dyDescent="0.2">
      <c r="B345" s="237">
        <v>789</v>
      </c>
      <c r="C345" s="114">
        <v>627</v>
      </c>
      <c r="D345" s="204">
        <f t="shared" si="25"/>
        <v>0.26023166023166078</v>
      </c>
      <c r="E345" s="203">
        <f t="shared" si="26"/>
        <v>1.5567161779551193E-4</v>
      </c>
      <c r="F345" s="203">
        <f t="shared" si="27"/>
        <v>3.3878630163909046E-2</v>
      </c>
    </row>
    <row r="346" spans="2:6" x14ac:dyDescent="0.2">
      <c r="B346" s="238">
        <v>791</v>
      </c>
      <c r="C346" s="205">
        <v>630</v>
      </c>
      <c r="D346" s="204">
        <f t="shared" si="25"/>
        <v>0.26100386100386153</v>
      </c>
      <c r="E346" s="203">
        <f t="shared" si="26"/>
        <v>1.5641645807204548E-4</v>
      </c>
      <c r="F346" s="203">
        <f t="shared" si="27"/>
        <v>3.4035046621981091E-2</v>
      </c>
    </row>
    <row r="347" spans="2:6" x14ac:dyDescent="0.2">
      <c r="B347" s="237">
        <v>833</v>
      </c>
      <c r="C347" s="114">
        <v>630</v>
      </c>
      <c r="D347" s="204">
        <f t="shared" si="25"/>
        <v>0.26177606177606227</v>
      </c>
      <c r="E347" s="203">
        <f t="shared" si="26"/>
        <v>1.5641645807204548E-4</v>
      </c>
      <c r="F347" s="203">
        <f t="shared" si="27"/>
        <v>3.4191463080053136E-2</v>
      </c>
    </row>
    <row r="348" spans="2:6" x14ac:dyDescent="0.2">
      <c r="B348" s="237">
        <v>2237</v>
      </c>
      <c r="C348" s="114">
        <v>630</v>
      </c>
      <c r="D348" s="204">
        <f t="shared" si="25"/>
        <v>0.26254826254826302</v>
      </c>
      <c r="E348" s="203">
        <f t="shared" si="26"/>
        <v>1.5641645807204548E-4</v>
      </c>
      <c r="F348" s="203">
        <f t="shared" si="27"/>
        <v>3.4347879538125181E-2</v>
      </c>
    </row>
    <row r="349" spans="2:6" x14ac:dyDescent="0.2">
      <c r="B349" s="237">
        <v>7</v>
      </c>
      <c r="C349" s="114">
        <v>636</v>
      </c>
      <c r="D349" s="204">
        <f t="shared" si="25"/>
        <v>0.26332046332046377</v>
      </c>
      <c r="E349" s="203">
        <f t="shared" si="26"/>
        <v>1.5790613862511258E-4</v>
      </c>
      <c r="F349" s="203">
        <f t="shared" si="27"/>
        <v>3.4505785676750292E-2</v>
      </c>
    </row>
    <row r="350" spans="2:6" x14ac:dyDescent="0.2">
      <c r="B350" s="237">
        <v>220</v>
      </c>
      <c r="C350" s="114">
        <v>636</v>
      </c>
      <c r="D350" s="204">
        <f t="shared" si="25"/>
        <v>0.26409266409266452</v>
      </c>
      <c r="E350" s="203">
        <f t="shared" si="26"/>
        <v>1.5790613862511258E-4</v>
      </c>
      <c r="F350" s="203">
        <f t="shared" si="27"/>
        <v>3.4663691815375403E-2</v>
      </c>
    </row>
    <row r="351" spans="2:6" x14ac:dyDescent="0.2">
      <c r="B351" s="238">
        <v>348</v>
      </c>
      <c r="C351" s="205">
        <v>636</v>
      </c>
      <c r="D351" s="204">
        <f t="shared" si="25"/>
        <v>0.26486486486486527</v>
      </c>
      <c r="E351" s="203">
        <f t="shared" si="26"/>
        <v>1.5790613862511258E-4</v>
      </c>
      <c r="F351" s="203">
        <f t="shared" si="27"/>
        <v>3.4821597954000513E-2</v>
      </c>
    </row>
    <row r="352" spans="2:6" x14ac:dyDescent="0.2">
      <c r="B352" s="237">
        <v>932</v>
      </c>
      <c r="C352" s="114">
        <v>640</v>
      </c>
      <c r="D352" s="204">
        <f t="shared" si="25"/>
        <v>0.26563706563706602</v>
      </c>
      <c r="E352" s="203">
        <f t="shared" si="26"/>
        <v>1.5889925899382397E-4</v>
      </c>
      <c r="F352" s="203">
        <f t="shared" si="27"/>
        <v>3.4980497212994337E-2</v>
      </c>
    </row>
    <row r="353" spans="2:6" x14ac:dyDescent="0.2">
      <c r="B353" s="237">
        <v>1769</v>
      </c>
      <c r="C353" s="114">
        <v>640</v>
      </c>
      <c r="D353" s="204">
        <f t="shared" si="25"/>
        <v>0.26640926640926677</v>
      </c>
      <c r="E353" s="203">
        <f t="shared" si="26"/>
        <v>1.5889925899382397E-4</v>
      </c>
      <c r="F353" s="203">
        <f t="shared" si="27"/>
        <v>3.513939647198816E-2</v>
      </c>
    </row>
    <row r="354" spans="2:6" x14ac:dyDescent="0.2">
      <c r="B354" s="237">
        <v>1855</v>
      </c>
      <c r="C354" s="114">
        <v>640</v>
      </c>
      <c r="D354" s="204">
        <f t="shared" si="25"/>
        <v>0.26718146718146751</v>
      </c>
      <c r="E354" s="203">
        <f t="shared" si="26"/>
        <v>1.5889925899382397E-4</v>
      </c>
      <c r="F354" s="203">
        <f t="shared" si="27"/>
        <v>3.5298295730981984E-2</v>
      </c>
    </row>
    <row r="355" spans="2:6" x14ac:dyDescent="0.2">
      <c r="B355" s="238">
        <v>2229</v>
      </c>
      <c r="C355" s="205">
        <v>640</v>
      </c>
      <c r="D355" s="204">
        <f t="shared" si="25"/>
        <v>0.26795366795366826</v>
      </c>
      <c r="E355" s="203">
        <f t="shared" si="26"/>
        <v>1.5889925899382397E-4</v>
      </c>
      <c r="F355" s="203">
        <f t="shared" si="27"/>
        <v>3.5457194989975807E-2</v>
      </c>
    </row>
    <row r="356" spans="2:6" x14ac:dyDescent="0.2">
      <c r="B356" s="237">
        <v>2</v>
      </c>
      <c r="C356" s="114">
        <v>645</v>
      </c>
      <c r="D356" s="204">
        <f t="shared" si="25"/>
        <v>0.26872586872586901</v>
      </c>
      <c r="E356" s="203">
        <f t="shared" si="26"/>
        <v>1.6014065945471322E-4</v>
      </c>
      <c r="F356" s="203">
        <f t="shared" si="27"/>
        <v>3.5617335649430523E-2</v>
      </c>
    </row>
    <row r="357" spans="2:6" x14ac:dyDescent="0.2">
      <c r="B357" s="237">
        <v>21</v>
      </c>
      <c r="C357" s="114">
        <v>650</v>
      </c>
      <c r="D357" s="204">
        <f t="shared" si="25"/>
        <v>0.26949806949806976</v>
      </c>
      <c r="E357" s="203">
        <f t="shared" si="26"/>
        <v>1.6138205991560249E-4</v>
      </c>
      <c r="F357" s="203">
        <f t="shared" si="27"/>
        <v>3.5778717709346125E-2</v>
      </c>
    </row>
    <row r="358" spans="2:6" x14ac:dyDescent="0.2">
      <c r="B358" s="237">
        <v>108</v>
      </c>
      <c r="C358" s="114">
        <v>650</v>
      </c>
      <c r="D358" s="204">
        <f t="shared" si="25"/>
        <v>0.27027027027027051</v>
      </c>
      <c r="E358" s="203">
        <f t="shared" si="26"/>
        <v>1.6138205991560249E-4</v>
      </c>
      <c r="F358" s="203">
        <f t="shared" si="27"/>
        <v>3.5940099769261727E-2</v>
      </c>
    </row>
    <row r="359" spans="2:6" x14ac:dyDescent="0.2">
      <c r="B359" s="238">
        <v>160</v>
      </c>
      <c r="C359" s="205">
        <v>650</v>
      </c>
      <c r="D359" s="204">
        <f t="shared" si="25"/>
        <v>0.27104247104247126</v>
      </c>
      <c r="E359" s="203">
        <f t="shared" si="26"/>
        <v>1.6138205991560249E-4</v>
      </c>
      <c r="F359" s="203">
        <f t="shared" si="27"/>
        <v>3.6101481829177329E-2</v>
      </c>
    </row>
    <row r="360" spans="2:6" x14ac:dyDescent="0.2">
      <c r="B360" s="237">
        <v>174</v>
      </c>
      <c r="C360" s="114">
        <v>650</v>
      </c>
      <c r="D360" s="204">
        <f t="shared" si="25"/>
        <v>0.271814671814672</v>
      </c>
      <c r="E360" s="203">
        <f t="shared" si="26"/>
        <v>1.6138205991560249E-4</v>
      </c>
      <c r="F360" s="203">
        <f t="shared" si="27"/>
        <v>3.6262863889092931E-2</v>
      </c>
    </row>
    <row r="361" spans="2:6" x14ac:dyDescent="0.2">
      <c r="B361" s="237">
        <v>243</v>
      </c>
      <c r="C361" s="114">
        <v>650</v>
      </c>
      <c r="D361" s="204">
        <f t="shared" si="25"/>
        <v>0.27258687258687275</v>
      </c>
      <c r="E361" s="203">
        <f t="shared" si="26"/>
        <v>1.6138205991560249E-4</v>
      </c>
      <c r="F361" s="203">
        <f t="shared" si="27"/>
        <v>3.6424245949008532E-2</v>
      </c>
    </row>
    <row r="362" spans="2:6" x14ac:dyDescent="0.2">
      <c r="B362" s="237">
        <v>297</v>
      </c>
      <c r="C362" s="114">
        <v>650</v>
      </c>
      <c r="D362" s="204">
        <f t="shared" si="25"/>
        <v>0.2733590733590735</v>
      </c>
      <c r="E362" s="203">
        <f t="shared" si="26"/>
        <v>1.6138205991560249E-4</v>
      </c>
      <c r="F362" s="203">
        <f t="shared" si="27"/>
        <v>3.6585628008924134E-2</v>
      </c>
    </row>
    <row r="363" spans="2:6" x14ac:dyDescent="0.2">
      <c r="B363" s="237">
        <v>530</v>
      </c>
      <c r="C363" s="114">
        <v>650</v>
      </c>
      <c r="D363" s="204">
        <f t="shared" si="25"/>
        <v>0.27413127413127425</v>
      </c>
      <c r="E363" s="203">
        <f t="shared" si="26"/>
        <v>1.6138205991560249E-4</v>
      </c>
      <c r="F363" s="203">
        <f t="shared" si="27"/>
        <v>3.6747010068839736E-2</v>
      </c>
    </row>
    <row r="364" spans="2:6" x14ac:dyDescent="0.2">
      <c r="B364" s="237">
        <v>561</v>
      </c>
      <c r="C364" s="114">
        <v>650</v>
      </c>
      <c r="D364" s="204">
        <f t="shared" si="25"/>
        <v>0.274903474903475</v>
      </c>
      <c r="E364" s="203">
        <f t="shared" si="26"/>
        <v>1.6138205991560249E-4</v>
      </c>
      <c r="F364" s="203">
        <f t="shared" si="27"/>
        <v>3.6908392128755338E-2</v>
      </c>
    </row>
    <row r="365" spans="2:6" x14ac:dyDescent="0.2">
      <c r="B365" s="238">
        <v>564</v>
      </c>
      <c r="C365" s="205">
        <v>650</v>
      </c>
      <c r="D365" s="204">
        <f t="shared" si="25"/>
        <v>0.27567567567567575</v>
      </c>
      <c r="E365" s="203">
        <f t="shared" si="26"/>
        <v>1.6138205991560249E-4</v>
      </c>
      <c r="F365" s="203">
        <f t="shared" si="27"/>
        <v>3.706977418867094E-2</v>
      </c>
    </row>
    <row r="366" spans="2:6" x14ac:dyDescent="0.2">
      <c r="B366" s="237">
        <v>582</v>
      </c>
      <c r="C366" s="114">
        <v>650</v>
      </c>
      <c r="D366" s="204">
        <f t="shared" si="25"/>
        <v>0.27644787644787649</v>
      </c>
      <c r="E366" s="203">
        <f t="shared" si="26"/>
        <v>1.6138205991560249E-4</v>
      </c>
      <c r="F366" s="203">
        <f t="shared" si="27"/>
        <v>3.7231156248586542E-2</v>
      </c>
    </row>
    <row r="367" spans="2:6" x14ac:dyDescent="0.2">
      <c r="B367" s="237">
        <v>627</v>
      </c>
      <c r="C367" s="114">
        <v>650</v>
      </c>
      <c r="D367" s="204">
        <f t="shared" si="25"/>
        <v>0.27722007722007724</v>
      </c>
      <c r="E367" s="203">
        <f t="shared" si="26"/>
        <v>1.6138205991560249E-4</v>
      </c>
      <c r="F367" s="203">
        <f t="shared" si="27"/>
        <v>3.7392538308502143E-2</v>
      </c>
    </row>
    <row r="368" spans="2:6" x14ac:dyDescent="0.2">
      <c r="B368" s="237">
        <v>678</v>
      </c>
      <c r="C368" s="114">
        <v>650</v>
      </c>
      <c r="D368" s="204">
        <f t="shared" si="25"/>
        <v>0.27799227799227799</v>
      </c>
      <c r="E368" s="203">
        <f t="shared" si="26"/>
        <v>1.6138205991560249E-4</v>
      </c>
      <c r="F368" s="203">
        <f t="shared" si="27"/>
        <v>3.7553920368417745E-2</v>
      </c>
    </row>
    <row r="369" spans="2:6" x14ac:dyDescent="0.2">
      <c r="B369" s="237">
        <v>680</v>
      </c>
      <c r="C369" s="114">
        <v>650</v>
      </c>
      <c r="D369" s="204">
        <f t="shared" si="25"/>
        <v>0.27876447876447874</v>
      </c>
      <c r="E369" s="203">
        <f t="shared" si="26"/>
        <v>1.6138205991560249E-4</v>
      </c>
      <c r="F369" s="203">
        <f t="shared" si="27"/>
        <v>3.7715302428333347E-2</v>
      </c>
    </row>
    <row r="370" spans="2:6" x14ac:dyDescent="0.2">
      <c r="B370" s="238">
        <v>694</v>
      </c>
      <c r="C370" s="205">
        <v>650</v>
      </c>
      <c r="D370" s="204">
        <f t="shared" si="25"/>
        <v>0.27953667953667949</v>
      </c>
      <c r="E370" s="203">
        <f t="shared" si="26"/>
        <v>1.6138205991560249E-4</v>
      </c>
      <c r="F370" s="203">
        <f t="shared" si="27"/>
        <v>3.7876684488248949E-2</v>
      </c>
    </row>
    <row r="371" spans="2:6" x14ac:dyDescent="0.2">
      <c r="B371" s="238">
        <v>883</v>
      </c>
      <c r="C371" s="205">
        <v>650</v>
      </c>
      <c r="D371" s="204">
        <f t="shared" si="25"/>
        <v>0.28030888030888024</v>
      </c>
      <c r="E371" s="203">
        <f t="shared" si="26"/>
        <v>1.6138205991560249E-4</v>
      </c>
      <c r="F371" s="203">
        <f t="shared" si="27"/>
        <v>3.8038066548164551E-2</v>
      </c>
    </row>
    <row r="372" spans="2:6" x14ac:dyDescent="0.2">
      <c r="B372" s="237">
        <v>973</v>
      </c>
      <c r="C372" s="114">
        <v>650</v>
      </c>
      <c r="D372" s="204">
        <f t="shared" si="25"/>
        <v>0.28108108108108099</v>
      </c>
      <c r="E372" s="203">
        <f t="shared" si="26"/>
        <v>1.6138205991560249E-4</v>
      </c>
      <c r="F372" s="203">
        <f t="shared" si="27"/>
        <v>3.8199448608080153E-2</v>
      </c>
    </row>
    <row r="373" spans="2:6" x14ac:dyDescent="0.2">
      <c r="B373" s="238">
        <v>1033</v>
      </c>
      <c r="C373" s="205">
        <v>650</v>
      </c>
      <c r="D373" s="204">
        <f t="shared" si="25"/>
        <v>0.28185328185328173</v>
      </c>
      <c r="E373" s="203">
        <f t="shared" si="26"/>
        <v>1.6138205991560249E-4</v>
      </c>
      <c r="F373" s="203">
        <f t="shared" si="27"/>
        <v>3.8360830667995754E-2</v>
      </c>
    </row>
    <row r="374" spans="2:6" x14ac:dyDescent="0.2">
      <c r="B374" s="237">
        <v>1147</v>
      </c>
      <c r="C374" s="114">
        <v>650</v>
      </c>
      <c r="D374" s="204">
        <f t="shared" si="25"/>
        <v>0.28262548262548248</v>
      </c>
      <c r="E374" s="203">
        <f t="shared" si="26"/>
        <v>1.6138205991560249E-4</v>
      </c>
      <c r="F374" s="203">
        <f t="shared" si="27"/>
        <v>3.8522212727911356E-2</v>
      </c>
    </row>
    <row r="375" spans="2:6" x14ac:dyDescent="0.2">
      <c r="B375" s="238">
        <v>1176</v>
      </c>
      <c r="C375" s="205">
        <v>650</v>
      </c>
      <c r="D375" s="204">
        <f t="shared" si="25"/>
        <v>0.28339768339768323</v>
      </c>
      <c r="E375" s="203">
        <f t="shared" si="26"/>
        <v>1.6138205991560249E-4</v>
      </c>
      <c r="F375" s="203">
        <f t="shared" si="27"/>
        <v>3.8683594787826958E-2</v>
      </c>
    </row>
    <row r="376" spans="2:6" x14ac:dyDescent="0.2">
      <c r="B376" s="238">
        <v>1296</v>
      </c>
      <c r="C376" s="205">
        <v>650</v>
      </c>
      <c r="D376" s="204">
        <f t="shared" si="25"/>
        <v>0.28416988416988398</v>
      </c>
      <c r="E376" s="203">
        <f t="shared" si="26"/>
        <v>1.6138205991560249E-4</v>
      </c>
      <c r="F376" s="203">
        <f t="shared" si="27"/>
        <v>3.884497684774256E-2</v>
      </c>
    </row>
    <row r="377" spans="2:6" x14ac:dyDescent="0.2">
      <c r="B377" s="237">
        <v>1331</v>
      </c>
      <c r="C377" s="114">
        <v>650</v>
      </c>
      <c r="D377" s="204">
        <f t="shared" si="25"/>
        <v>0.28494208494208473</v>
      </c>
      <c r="E377" s="203">
        <f t="shared" si="26"/>
        <v>1.6138205991560249E-4</v>
      </c>
      <c r="F377" s="203">
        <f t="shared" si="27"/>
        <v>3.9006358907658162E-2</v>
      </c>
    </row>
    <row r="378" spans="2:6" x14ac:dyDescent="0.2">
      <c r="B378" s="237">
        <v>1414</v>
      </c>
      <c r="C378" s="114">
        <v>650</v>
      </c>
      <c r="D378" s="204">
        <f t="shared" si="25"/>
        <v>0.28571428571428548</v>
      </c>
      <c r="E378" s="203">
        <f t="shared" si="26"/>
        <v>1.6138205991560249E-4</v>
      </c>
      <c r="F378" s="203">
        <f t="shared" si="27"/>
        <v>3.9167740967573764E-2</v>
      </c>
    </row>
    <row r="379" spans="2:6" x14ac:dyDescent="0.2">
      <c r="B379" s="237">
        <v>1457</v>
      </c>
      <c r="C379" s="114">
        <v>650</v>
      </c>
      <c r="D379" s="204">
        <f t="shared" si="25"/>
        <v>0.28648648648648622</v>
      </c>
      <c r="E379" s="203">
        <f t="shared" si="26"/>
        <v>1.6138205991560249E-4</v>
      </c>
      <c r="F379" s="203">
        <f t="shared" si="27"/>
        <v>3.9329123027489366E-2</v>
      </c>
    </row>
    <row r="380" spans="2:6" x14ac:dyDescent="0.2">
      <c r="B380" s="237">
        <v>1489</v>
      </c>
      <c r="C380" s="114">
        <v>650</v>
      </c>
      <c r="D380" s="204">
        <f t="shared" si="25"/>
        <v>0.28725868725868697</v>
      </c>
      <c r="E380" s="203">
        <f t="shared" si="26"/>
        <v>1.6138205991560249E-4</v>
      </c>
      <c r="F380" s="203">
        <f t="shared" si="27"/>
        <v>3.9490505087404967E-2</v>
      </c>
    </row>
    <row r="381" spans="2:6" x14ac:dyDescent="0.2">
      <c r="B381" s="238">
        <v>1614</v>
      </c>
      <c r="C381" s="205">
        <v>650</v>
      </c>
      <c r="D381" s="204">
        <f t="shared" si="25"/>
        <v>0.28803088803088772</v>
      </c>
      <c r="E381" s="203">
        <f t="shared" si="26"/>
        <v>1.6138205991560249E-4</v>
      </c>
      <c r="F381" s="203">
        <f t="shared" si="27"/>
        <v>3.9651887147320569E-2</v>
      </c>
    </row>
    <row r="382" spans="2:6" x14ac:dyDescent="0.2">
      <c r="B382" s="237">
        <v>1620</v>
      </c>
      <c r="C382" s="114">
        <v>650</v>
      </c>
      <c r="D382" s="204">
        <f t="shared" si="25"/>
        <v>0.28880308880308847</v>
      </c>
      <c r="E382" s="203">
        <f t="shared" si="26"/>
        <v>1.6138205991560249E-4</v>
      </c>
      <c r="F382" s="203">
        <f t="shared" si="27"/>
        <v>3.9813269207236171E-2</v>
      </c>
    </row>
    <row r="383" spans="2:6" x14ac:dyDescent="0.2">
      <c r="B383" s="238">
        <v>1623</v>
      </c>
      <c r="C383" s="205">
        <v>650</v>
      </c>
      <c r="D383" s="204">
        <f t="shared" si="25"/>
        <v>0.28957528957528922</v>
      </c>
      <c r="E383" s="203">
        <f t="shared" si="26"/>
        <v>1.6138205991560249E-4</v>
      </c>
      <c r="F383" s="203">
        <f t="shared" si="27"/>
        <v>3.9974651267151773E-2</v>
      </c>
    </row>
    <row r="384" spans="2:6" x14ac:dyDescent="0.2">
      <c r="B384" s="237">
        <v>1778</v>
      </c>
      <c r="C384" s="114">
        <v>650</v>
      </c>
      <c r="D384" s="204">
        <f t="shared" si="25"/>
        <v>0.29034749034748997</v>
      </c>
      <c r="E384" s="203">
        <f t="shared" si="26"/>
        <v>1.6138205991560249E-4</v>
      </c>
      <c r="F384" s="203">
        <f t="shared" si="27"/>
        <v>4.0136033327067375E-2</v>
      </c>
    </row>
    <row r="385" spans="2:11" x14ac:dyDescent="0.2">
      <c r="B385" s="237">
        <v>1785</v>
      </c>
      <c r="C385" s="114">
        <v>650</v>
      </c>
      <c r="D385" s="204">
        <f t="shared" si="25"/>
        <v>0.29111969111969072</v>
      </c>
      <c r="E385" s="203">
        <f t="shared" si="26"/>
        <v>1.6138205991560249E-4</v>
      </c>
      <c r="F385" s="203">
        <f t="shared" si="27"/>
        <v>4.0297415386982977E-2</v>
      </c>
    </row>
    <row r="386" spans="2:11" x14ac:dyDescent="0.2">
      <c r="B386" s="237">
        <v>2007</v>
      </c>
      <c r="C386" s="114">
        <v>650</v>
      </c>
      <c r="D386" s="204">
        <f t="shared" si="25"/>
        <v>0.29189189189189146</v>
      </c>
      <c r="E386" s="203">
        <f t="shared" si="26"/>
        <v>1.6138205991560249E-4</v>
      </c>
      <c r="F386" s="203">
        <f t="shared" si="27"/>
        <v>4.0458797446898578E-2</v>
      </c>
    </row>
    <row r="387" spans="2:11" x14ac:dyDescent="0.2">
      <c r="B387" s="237">
        <v>2149</v>
      </c>
      <c r="C387" s="114">
        <v>650</v>
      </c>
      <c r="D387" s="204">
        <f t="shared" si="25"/>
        <v>0.29266409266409221</v>
      </c>
      <c r="E387" s="203">
        <f t="shared" si="26"/>
        <v>1.6138205991560249E-4</v>
      </c>
      <c r="F387" s="203">
        <f t="shared" si="27"/>
        <v>4.062017950681418E-2</v>
      </c>
      <c r="J387" s="116"/>
      <c r="K387" s="116"/>
    </row>
    <row r="388" spans="2:11" x14ac:dyDescent="0.2">
      <c r="B388" s="237">
        <v>2288</v>
      </c>
      <c r="C388" s="114">
        <v>650</v>
      </c>
      <c r="D388" s="204">
        <f t="shared" si="25"/>
        <v>0.29343629343629296</v>
      </c>
      <c r="E388" s="203">
        <f t="shared" si="26"/>
        <v>1.6138205991560249E-4</v>
      </c>
      <c r="F388" s="203">
        <f t="shared" si="27"/>
        <v>4.0781561566729782E-2</v>
      </c>
      <c r="J388" s="116"/>
      <c r="K388" s="116"/>
    </row>
    <row r="389" spans="2:11" x14ac:dyDescent="0.2">
      <c r="B389" s="238">
        <v>2295</v>
      </c>
      <c r="C389" s="205">
        <v>650</v>
      </c>
      <c r="D389" s="204">
        <f t="shared" si="25"/>
        <v>0.29420849420849371</v>
      </c>
      <c r="E389" s="203">
        <f t="shared" si="26"/>
        <v>1.6138205991560249E-4</v>
      </c>
      <c r="F389" s="203">
        <f t="shared" si="27"/>
        <v>4.0942943626645384E-2</v>
      </c>
      <c r="J389" s="116"/>
      <c r="K389" s="116"/>
    </row>
    <row r="390" spans="2:11" x14ac:dyDescent="0.2">
      <c r="B390" s="238">
        <v>247</v>
      </c>
      <c r="C390" s="205">
        <v>660</v>
      </c>
      <c r="D390" s="204">
        <f t="shared" si="25"/>
        <v>0.29498069498069446</v>
      </c>
      <c r="E390" s="203">
        <f t="shared" si="26"/>
        <v>1.6386486083738098E-4</v>
      </c>
      <c r="F390" s="203">
        <f t="shared" si="27"/>
        <v>4.1106808487482764E-2</v>
      </c>
      <c r="J390" s="116"/>
      <c r="K390" s="116"/>
    </row>
    <row r="391" spans="2:11" x14ac:dyDescent="0.2">
      <c r="B391" s="238">
        <v>620</v>
      </c>
      <c r="C391" s="205">
        <v>660</v>
      </c>
      <c r="D391" s="204">
        <f t="shared" si="25"/>
        <v>0.29575289575289521</v>
      </c>
      <c r="E391" s="203">
        <f t="shared" si="26"/>
        <v>1.6386486083738098E-4</v>
      </c>
      <c r="F391" s="203">
        <f t="shared" si="27"/>
        <v>4.1270673348320144E-2</v>
      </c>
      <c r="J391" s="116"/>
      <c r="K391" s="116"/>
    </row>
    <row r="392" spans="2:11" x14ac:dyDescent="0.2">
      <c r="B392" s="238">
        <v>1024</v>
      </c>
      <c r="C392" s="205">
        <v>660</v>
      </c>
      <c r="D392" s="204">
        <f t="shared" si="25"/>
        <v>0.29652509652509595</v>
      </c>
      <c r="E392" s="203">
        <f t="shared" si="26"/>
        <v>1.6386486083738098E-4</v>
      </c>
      <c r="F392" s="203">
        <f t="shared" si="27"/>
        <v>4.1434538209157525E-2</v>
      </c>
      <c r="J392" s="116"/>
      <c r="K392" s="116"/>
    </row>
    <row r="393" spans="2:11" x14ac:dyDescent="0.2">
      <c r="B393" s="238">
        <v>1252</v>
      </c>
      <c r="C393" s="205">
        <v>666.66666666666663</v>
      </c>
      <c r="D393" s="204">
        <f t="shared" ref="D393:D456" si="28">D392+1/$L$18</f>
        <v>0.2972972972972967</v>
      </c>
      <c r="E393" s="203">
        <f t="shared" ref="E393:E456" si="29">C393/$O$18</f>
        <v>1.6552006145189997E-4</v>
      </c>
      <c r="F393" s="203">
        <f t="shared" ref="F393:F456" si="30">F392+E393</f>
        <v>4.1600058270609426E-2</v>
      </c>
      <c r="J393" s="116"/>
      <c r="K393" s="116"/>
    </row>
    <row r="394" spans="2:11" x14ac:dyDescent="0.2">
      <c r="B394" s="237">
        <v>1389</v>
      </c>
      <c r="C394" s="114">
        <v>666.66666666666663</v>
      </c>
      <c r="D394" s="204">
        <f t="shared" si="28"/>
        <v>0.29806949806949745</v>
      </c>
      <c r="E394" s="203">
        <f t="shared" si="29"/>
        <v>1.6552006145189997E-4</v>
      </c>
      <c r="F394" s="203">
        <f t="shared" si="30"/>
        <v>4.1765578332061327E-2</v>
      </c>
      <c r="J394" s="116"/>
      <c r="K394" s="116"/>
    </row>
    <row r="395" spans="2:11" x14ac:dyDescent="0.2">
      <c r="B395" s="237">
        <v>42</v>
      </c>
      <c r="C395" s="114">
        <v>667.8</v>
      </c>
      <c r="D395" s="204">
        <f t="shared" si="28"/>
        <v>0.2988416988416982</v>
      </c>
      <c r="E395" s="203">
        <f t="shared" si="29"/>
        <v>1.658014455563682E-4</v>
      </c>
      <c r="F395" s="203">
        <f t="shared" si="30"/>
        <v>4.1931379777617697E-2</v>
      </c>
      <c r="J395" s="116"/>
      <c r="K395" s="116"/>
    </row>
    <row r="396" spans="2:11" x14ac:dyDescent="0.2">
      <c r="B396" s="237">
        <v>257</v>
      </c>
      <c r="C396" s="114">
        <v>667.8</v>
      </c>
      <c r="D396" s="204">
        <f t="shared" si="28"/>
        <v>0.29961389961389895</v>
      </c>
      <c r="E396" s="203">
        <f t="shared" si="29"/>
        <v>1.658014455563682E-4</v>
      </c>
      <c r="F396" s="203">
        <f t="shared" si="30"/>
        <v>4.2097181223174067E-2</v>
      </c>
      <c r="J396" s="116"/>
      <c r="K396" s="116"/>
    </row>
    <row r="397" spans="2:11" x14ac:dyDescent="0.2">
      <c r="B397" s="237">
        <v>1390</v>
      </c>
      <c r="C397" s="114">
        <v>670</v>
      </c>
      <c r="D397" s="204">
        <f t="shared" si="28"/>
        <v>0.3003861003860997</v>
      </c>
      <c r="E397" s="203">
        <f t="shared" si="29"/>
        <v>1.6634766175915947E-4</v>
      </c>
      <c r="F397" s="203">
        <f t="shared" si="30"/>
        <v>4.2263528884933226E-2</v>
      </c>
      <c r="J397" s="116"/>
      <c r="K397" s="116"/>
    </row>
    <row r="398" spans="2:11" x14ac:dyDescent="0.2">
      <c r="B398" s="237">
        <v>1905</v>
      </c>
      <c r="C398" s="114">
        <v>670</v>
      </c>
      <c r="D398" s="204">
        <f t="shared" si="28"/>
        <v>0.30115830115830045</v>
      </c>
      <c r="E398" s="203">
        <f t="shared" si="29"/>
        <v>1.6634766175915947E-4</v>
      </c>
      <c r="F398" s="203">
        <f t="shared" si="30"/>
        <v>4.2429876546692384E-2</v>
      </c>
      <c r="J398" s="116"/>
      <c r="K398" s="116"/>
    </row>
    <row r="399" spans="2:11" x14ac:dyDescent="0.2">
      <c r="B399" s="238">
        <v>15</v>
      </c>
      <c r="C399" s="205">
        <v>675</v>
      </c>
      <c r="D399" s="204">
        <f t="shared" si="28"/>
        <v>0.30193050193050119</v>
      </c>
      <c r="E399" s="203">
        <f t="shared" si="29"/>
        <v>1.6758906222004872E-4</v>
      </c>
      <c r="F399" s="203">
        <f t="shared" si="30"/>
        <v>4.2597465608912435E-2</v>
      </c>
      <c r="J399" s="116"/>
      <c r="K399" s="116"/>
    </row>
    <row r="400" spans="2:11" x14ac:dyDescent="0.2">
      <c r="B400" s="238">
        <v>559</v>
      </c>
      <c r="C400" s="205">
        <v>676</v>
      </c>
      <c r="D400" s="204">
        <f t="shared" si="28"/>
        <v>0.30270270270270194</v>
      </c>
      <c r="E400" s="203">
        <f t="shared" si="29"/>
        <v>1.6783734231222658E-4</v>
      </c>
      <c r="F400" s="203">
        <f t="shared" si="30"/>
        <v>4.276530295122466E-2</v>
      </c>
      <c r="J400" s="116"/>
      <c r="K400" s="116"/>
    </row>
    <row r="401" spans="2:11" x14ac:dyDescent="0.2">
      <c r="B401" s="237">
        <v>233</v>
      </c>
      <c r="C401" s="114">
        <v>680</v>
      </c>
      <c r="D401" s="204">
        <f t="shared" si="28"/>
        <v>0.30347490347490269</v>
      </c>
      <c r="E401" s="203">
        <f t="shared" si="29"/>
        <v>1.6883046268093796E-4</v>
      </c>
      <c r="F401" s="203">
        <f t="shared" si="30"/>
        <v>4.2934133413905597E-2</v>
      </c>
      <c r="J401" s="116"/>
      <c r="K401" s="116"/>
    </row>
    <row r="402" spans="2:11" x14ac:dyDescent="0.2">
      <c r="B402" s="237">
        <v>672</v>
      </c>
      <c r="C402" s="114">
        <v>680</v>
      </c>
      <c r="D402" s="204">
        <f t="shared" si="28"/>
        <v>0.30424710424710344</v>
      </c>
      <c r="E402" s="203">
        <f t="shared" si="29"/>
        <v>1.6883046268093796E-4</v>
      </c>
      <c r="F402" s="203">
        <f t="shared" si="30"/>
        <v>4.3102963876586534E-2</v>
      </c>
      <c r="J402" s="116"/>
      <c r="K402" s="116"/>
    </row>
    <row r="403" spans="2:11" x14ac:dyDescent="0.2">
      <c r="B403" s="237">
        <v>693</v>
      </c>
      <c r="C403" s="114">
        <v>680</v>
      </c>
      <c r="D403" s="204">
        <f t="shared" si="28"/>
        <v>0.30501930501930419</v>
      </c>
      <c r="E403" s="203">
        <f t="shared" si="29"/>
        <v>1.6883046268093796E-4</v>
      </c>
      <c r="F403" s="203">
        <f t="shared" si="30"/>
        <v>4.3271794339267471E-2</v>
      </c>
      <c r="J403" s="116"/>
      <c r="K403" s="116"/>
    </row>
    <row r="404" spans="2:11" x14ac:dyDescent="0.2">
      <c r="B404" s="237">
        <v>737</v>
      </c>
      <c r="C404" s="114">
        <v>680</v>
      </c>
      <c r="D404" s="204">
        <f t="shared" si="28"/>
        <v>0.30579150579150494</v>
      </c>
      <c r="E404" s="203">
        <f t="shared" si="29"/>
        <v>1.6883046268093796E-4</v>
      </c>
      <c r="F404" s="203">
        <f t="shared" si="30"/>
        <v>4.3440624801948408E-2</v>
      </c>
      <c r="J404" s="116"/>
      <c r="K404" s="116"/>
    </row>
    <row r="405" spans="2:11" x14ac:dyDescent="0.2">
      <c r="B405" s="237">
        <v>1171</v>
      </c>
      <c r="C405" s="114">
        <v>680</v>
      </c>
      <c r="D405" s="204">
        <f t="shared" si="28"/>
        <v>0.30656370656370568</v>
      </c>
      <c r="E405" s="203">
        <f t="shared" si="29"/>
        <v>1.6883046268093796E-4</v>
      </c>
      <c r="F405" s="203">
        <f t="shared" si="30"/>
        <v>4.3609455264629345E-2</v>
      </c>
      <c r="J405" s="116"/>
      <c r="K405" s="116"/>
    </row>
    <row r="406" spans="2:11" x14ac:dyDescent="0.2">
      <c r="B406" s="238">
        <v>1871</v>
      </c>
      <c r="C406" s="205">
        <v>680</v>
      </c>
      <c r="D406" s="204">
        <f t="shared" si="28"/>
        <v>0.30733590733590643</v>
      </c>
      <c r="E406" s="203">
        <f t="shared" si="29"/>
        <v>1.6883046268093796E-4</v>
      </c>
      <c r="F406" s="203">
        <f t="shared" si="30"/>
        <v>4.3778285727310282E-2</v>
      </c>
      <c r="J406" s="116"/>
      <c r="K406" s="116"/>
    </row>
    <row r="407" spans="2:11" x14ac:dyDescent="0.2">
      <c r="B407" s="237">
        <v>2114</v>
      </c>
      <c r="C407" s="114">
        <v>680</v>
      </c>
      <c r="D407" s="204">
        <f t="shared" si="28"/>
        <v>0.30810810810810718</v>
      </c>
      <c r="E407" s="203">
        <f t="shared" si="29"/>
        <v>1.6883046268093796E-4</v>
      </c>
      <c r="F407" s="203">
        <f t="shared" si="30"/>
        <v>4.3947116189991219E-2</v>
      </c>
      <c r="J407" s="116"/>
      <c r="K407" s="116"/>
    </row>
    <row r="408" spans="2:11" x14ac:dyDescent="0.2">
      <c r="B408" s="238">
        <v>1507</v>
      </c>
      <c r="C408" s="205">
        <v>683.33333333333337</v>
      </c>
      <c r="D408" s="204">
        <f t="shared" si="28"/>
        <v>0.30888030888030793</v>
      </c>
      <c r="E408" s="203">
        <f t="shared" si="29"/>
        <v>1.696580629881975E-4</v>
      </c>
      <c r="F408" s="203">
        <f t="shared" si="30"/>
        <v>4.4116774252979413E-2</v>
      </c>
      <c r="J408" s="116"/>
      <c r="K408" s="116"/>
    </row>
    <row r="409" spans="2:11" x14ac:dyDescent="0.2">
      <c r="B409" s="238">
        <v>1862</v>
      </c>
      <c r="C409" s="205">
        <v>685</v>
      </c>
      <c r="D409" s="204">
        <f t="shared" si="28"/>
        <v>0.30965250965250868</v>
      </c>
      <c r="E409" s="203">
        <f t="shared" si="29"/>
        <v>1.7007186314182724E-4</v>
      </c>
      <c r="F409" s="203">
        <f t="shared" si="30"/>
        <v>4.4286846116121242E-2</v>
      </c>
      <c r="J409" s="116"/>
      <c r="K409" s="116"/>
    </row>
    <row r="410" spans="2:11" x14ac:dyDescent="0.2">
      <c r="B410" s="237">
        <v>1825</v>
      </c>
      <c r="C410" s="114">
        <v>690</v>
      </c>
      <c r="D410" s="204">
        <f t="shared" si="28"/>
        <v>0.31042471042470943</v>
      </c>
      <c r="E410" s="203">
        <f t="shared" si="29"/>
        <v>1.7131326360271648E-4</v>
      </c>
      <c r="F410" s="203">
        <f t="shared" si="30"/>
        <v>4.4458159379723958E-2</v>
      </c>
    </row>
    <row r="411" spans="2:11" x14ac:dyDescent="0.2">
      <c r="B411" s="237">
        <v>2068</v>
      </c>
      <c r="C411" s="114">
        <v>690</v>
      </c>
      <c r="D411" s="204">
        <f t="shared" si="28"/>
        <v>0.31119691119691018</v>
      </c>
      <c r="E411" s="203">
        <f t="shared" si="29"/>
        <v>1.7131326360271648E-4</v>
      </c>
      <c r="F411" s="203">
        <f t="shared" si="30"/>
        <v>4.4629472643326673E-2</v>
      </c>
    </row>
    <row r="412" spans="2:11" x14ac:dyDescent="0.2">
      <c r="B412" s="237">
        <v>969</v>
      </c>
      <c r="C412" s="114">
        <v>691.66666666666663</v>
      </c>
      <c r="D412" s="204">
        <f t="shared" si="28"/>
        <v>0.31196911196911092</v>
      </c>
      <c r="E412" s="203">
        <f t="shared" si="29"/>
        <v>1.7172706375634622E-4</v>
      </c>
      <c r="F412" s="203">
        <f t="shared" si="30"/>
        <v>4.4801199707083017E-2</v>
      </c>
    </row>
    <row r="413" spans="2:11" x14ac:dyDescent="0.2">
      <c r="B413" s="237">
        <v>319</v>
      </c>
      <c r="C413" s="114">
        <v>699.6</v>
      </c>
      <c r="D413" s="204">
        <f t="shared" si="28"/>
        <v>0.31274131274131167</v>
      </c>
      <c r="E413" s="203">
        <f t="shared" si="29"/>
        <v>1.7369675248762385E-4</v>
      </c>
      <c r="F413" s="203">
        <f t="shared" si="30"/>
        <v>4.4974896459570639E-2</v>
      </c>
    </row>
    <row r="414" spans="2:11" x14ac:dyDescent="0.2">
      <c r="B414" s="238">
        <v>374</v>
      </c>
      <c r="C414" s="205">
        <v>699.6</v>
      </c>
      <c r="D414" s="204">
        <f t="shared" si="28"/>
        <v>0.31351351351351242</v>
      </c>
      <c r="E414" s="203">
        <f t="shared" si="29"/>
        <v>1.7369675248762385E-4</v>
      </c>
      <c r="F414" s="203">
        <f t="shared" si="30"/>
        <v>4.5148593212058261E-2</v>
      </c>
    </row>
    <row r="415" spans="2:11" x14ac:dyDescent="0.2">
      <c r="B415" s="237">
        <v>1251</v>
      </c>
      <c r="C415" s="114">
        <v>702</v>
      </c>
      <c r="D415" s="204">
        <f t="shared" si="28"/>
        <v>0.31428571428571317</v>
      </c>
      <c r="E415" s="203">
        <f t="shared" si="29"/>
        <v>1.7429262470885067E-4</v>
      </c>
      <c r="F415" s="203">
        <f t="shared" si="30"/>
        <v>4.5322885836767114E-2</v>
      </c>
    </row>
    <row r="416" spans="2:11" x14ac:dyDescent="0.2">
      <c r="B416" s="237">
        <v>1511</v>
      </c>
      <c r="C416" s="114">
        <v>706.76700000000005</v>
      </c>
      <c r="D416" s="204">
        <f t="shared" si="28"/>
        <v>0.31505791505791392</v>
      </c>
      <c r="E416" s="203">
        <f t="shared" si="29"/>
        <v>1.754761759082625E-4</v>
      </c>
      <c r="F416" s="203">
        <f t="shared" si="30"/>
        <v>4.5498362012675375E-2</v>
      </c>
    </row>
    <row r="417" spans="2:6" x14ac:dyDescent="0.2">
      <c r="B417" s="237">
        <v>716</v>
      </c>
      <c r="C417" s="114">
        <v>707</v>
      </c>
      <c r="D417" s="204">
        <f t="shared" si="28"/>
        <v>0.31583011583011467</v>
      </c>
      <c r="E417" s="203">
        <f t="shared" si="29"/>
        <v>1.7553402516973991E-4</v>
      </c>
      <c r="F417" s="203">
        <f t="shared" si="30"/>
        <v>4.5673896037845114E-2</v>
      </c>
    </row>
    <row r="418" spans="2:6" x14ac:dyDescent="0.2">
      <c r="B418" s="238">
        <v>747</v>
      </c>
      <c r="C418" s="205">
        <v>710</v>
      </c>
      <c r="D418" s="204">
        <f t="shared" si="28"/>
        <v>0.31660231660231541</v>
      </c>
      <c r="E418" s="203">
        <f t="shared" si="29"/>
        <v>1.7627886544627347E-4</v>
      </c>
      <c r="F418" s="203">
        <f t="shared" si="30"/>
        <v>4.5850174903291387E-2</v>
      </c>
    </row>
    <row r="419" spans="2:6" x14ac:dyDescent="0.2">
      <c r="B419" s="238">
        <v>778</v>
      </c>
      <c r="C419" s="205">
        <v>716</v>
      </c>
      <c r="D419" s="204">
        <f t="shared" si="28"/>
        <v>0.31737451737451616</v>
      </c>
      <c r="E419" s="203">
        <f t="shared" si="29"/>
        <v>1.7776854599934057E-4</v>
      </c>
      <c r="F419" s="203">
        <f t="shared" si="30"/>
        <v>4.6027943449290724E-2</v>
      </c>
    </row>
    <row r="420" spans="2:6" x14ac:dyDescent="0.2">
      <c r="B420" s="237">
        <v>1492</v>
      </c>
      <c r="C420" s="114">
        <v>718</v>
      </c>
      <c r="D420" s="204">
        <f t="shared" si="28"/>
        <v>0.31814671814671691</v>
      </c>
      <c r="E420" s="203">
        <f t="shared" si="29"/>
        <v>1.7826510618369626E-4</v>
      </c>
      <c r="F420" s="203">
        <f t="shared" si="30"/>
        <v>4.6206208555474422E-2</v>
      </c>
    </row>
    <row r="421" spans="2:6" x14ac:dyDescent="0.2">
      <c r="B421" s="237">
        <v>79</v>
      </c>
      <c r="C421" s="114">
        <v>720</v>
      </c>
      <c r="D421" s="204">
        <f t="shared" si="28"/>
        <v>0.31891891891891766</v>
      </c>
      <c r="E421" s="203">
        <f t="shared" si="29"/>
        <v>1.7876166636805198E-4</v>
      </c>
      <c r="F421" s="203">
        <f t="shared" si="30"/>
        <v>4.6384970221842473E-2</v>
      </c>
    </row>
    <row r="422" spans="2:6" x14ac:dyDescent="0.2">
      <c r="B422" s="237">
        <v>93</v>
      </c>
      <c r="C422" s="114">
        <v>720</v>
      </c>
      <c r="D422" s="204">
        <f t="shared" si="28"/>
        <v>0.31969111969111841</v>
      </c>
      <c r="E422" s="203">
        <f t="shared" si="29"/>
        <v>1.7876166636805198E-4</v>
      </c>
      <c r="F422" s="203">
        <f t="shared" si="30"/>
        <v>4.6563731888210523E-2</v>
      </c>
    </row>
    <row r="423" spans="2:6" x14ac:dyDescent="0.2">
      <c r="B423" s="237">
        <v>244</v>
      </c>
      <c r="C423" s="114">
        <v>720</v>
      </c>
      <c r="D423" s="204">
        <f t="shared" si="28"/>
        <v>0.32046332046331916</v>
      </c>
      <c r="E423" s="203">
        <f t="shared" si="29"/>
        <v>1.7876166636805198E-4</v>
      </c>
      <c r="F423" s="203">
        <f t="shared" si="30"/>
        <v>4.6742493554578574E-2</v>
      </c>
    </row>
    <row r="424" spans="2:6" x14ac:dyDescent="0.2">
      <c r="B424" s="237">
        <v>669</v>
      </c>
      <c r="C424" s="114">
        <v>720</v>
      </c>
      <c r="D424" s="204">
        <f t="shared" si="28"/>
        <v>0.32123552123551991</v>
      </c>
      <c r="E424" s="203">
        <f t="shared" si="29"/>
        <v>1.7876166636805198E-4</v>
      </c>
      <c r="F424" s="203">
        <f t="shared" si="30"/>
        <v>4.6921255220946624E-2</v>
      </c>
    </row>
    <row r="425" spans="2:6" x14ac:dyDescent="0.2">
      <c r="B425" s="237">
        <v>1036</v>
      </c>
      <c r="C425" s="114">
        <v>720</v>
      </c>
      <c r="D425" s="204">
        <f t="shared" si="28"/>
        <v>0.32200772200772065</v>
      </c>
      <c r="E425" s="203">
        <f t="shared" si="29"/>
        <v>1.7876166636805198E-4</v>
      </c>
      <c r="F425" s="203">
        <f t="shared" si="30"/>
        <v>4.7100016887314675E-2</v>
      </c>
    </row>
    <row r="426" spans="2:6" x14ac:dyDescent="0.2">
      <c r="B426" s="238">
        <v>1128</v>
      </c>
      <c r="C426" s="205">
        <v>720</v>
      </c>
      <c r="D426" s="204">
        <f t="shared" si="28"/>
        <v>0.3227799227799214</v>
      </c>
      <c r="E426" s="203">
        <f t="shared" si="29"/>
        <v>1.7876166636805198E-4</v>
      </c>
      <c r="F426" s="203">
        <f t="shared" si="30"/>
        <v>4.7278778553682725E-2</v>
      </c>
    </row>
    <row r="427" spans="2:6" x14ac:dyDescent="0.2">
      <c r="B427" s="237">
        <v>1242</v>
      </c>
      <c r="C427" s="114">
        <v>720</v>
      </c>
      <c r="D427" s="204">
        <f t="shared" si="28"/>
        <v>0.32355212355212215</v>
      </c>
      <c r="E427" s="203">
        <f t="shared" si="29"/>
        <v>1.7876166636805198E-4</v>
      </c>
      <c r="F427" s="203">
        <f t="shared" si="30"/>
        <v>4.7457540220050776E-2</v>
      </c>
    </row>
    <row r="428" spans="2:6" x14ac:dyDescent="0.2">
      <c r="B428" s="237">
        <v>1673</v>
      </c>
      <c r="C428" s="114">
        <v>720</v>
      </c>
      <c r="D428" s="204">
        <f t="shared" si="28"/>
        <v>0.3243243243243229</v>
      </c>
      <c r="E428" s="203">
        <f t="shared" si="29"/>
        <v>1.7876166636805198E-4</v>
      </c>
      <c r="F428" s="203">
        <f t="shared" si="30"/>
        <v>4.7636301886418826E-2</v>
      </c>
    </row>
    <row r="429" spans="2:6" x14ac:dyDescent="0.2">
      <c r="B429" s="237">
        <v>2111</v>
      </c>
      <c r="C429" s="114">
        <v>724</v>
      </c>
      <c r="D429" s="204">
        <f t="shared" si="28"/>
        <v>0.32509652509652365</v>
      </c>
      <c r="E429" s="203">
        <f t="shared" si="29"/>
        <v>1.7975478673676337E-4</v>
      </c>
      <c r="F429" s="203">
        <f t="shared" si="30"/>
        <v>4.7816056673155589E-2</v>
      </c>
    </row>
    <row r="430" spans="2:6" x14ac:dyDescent="0.2">
      <c r="B430" s="238">
        <v>252</v>
      </c>
      <c r="C430" s="205">
        <v>725</v>
      </c>
      <c r="D430" s="204">
        <f t="shared" si="28"/>
        <v>0.3258687258687244</v>
      </c>
      <c r="E430" s="203">
        <f t="shared" si="29"/>
        <v>1.8000306682894123E-4</v>
      </c>
      <c r="F430" s="203">
        <f t="shared" si="30"/>
        <v>4.7996059739984533E-2</v>
      </c>
    </row>
    <row r="431" spans="2:6" x14ac:dyDescent="0.2">
      <c r="B431" s="237">
        <v>318</v>
      </c>
      <c r="C431" s="114">
        <v>725</v>
      </c>
      <c r="D431" s="204">
        <f t="shared" si="28"/>
        <v>0.32664092664092514</v>
      </c>
      <c r="E431" s="203">
        <f t="shared" si="29"/>
        <v>1.8000306682894123E-4</v>
      </c>
      <c r="F431" s="203">
        <f t="shared" si="30"/>
        <v>4.8176062806813476E-2</v>
      </c>
    </row>
    <row r="432" spans="2:6" x14ac:dyDescent="0.2">
      <c r="B432" s="238">
        <v>1644</v>
      </c>
      <c r="C432" s="205">
        <v>727.2</v>
      </c>
      <c r="D432" s="204">
        <f t="shared" si="28"/>
        <v>0.32741312741312589</v>
      </c>
      <c r="E432" s="203">
        <f t="shared" si="29"/>
        <v>1.805492830317325E-4</v>
      </c>
      <c r="F432" s="203">
        <f t="shared" si="30"/>
        <v>4.8356612089845208E-2</v>
      </c>
    </row>
    <row r="433" spans="2:6" x14ac:dyDescent="0.2">
      <c r="B433" s="238">
        <v>541</v>
      </c>
      <c r="C433" s="205">
        <v>730</v>
      </c>
      <c r="D433" s="204">
        <f t="shared" si="28"/>
        <v>0.32818532818532664</v>
      </c>
      <c r="E433" s="203">
        <f t="shared" si="29"/>
        <v>1.8124446728983048E-4</v>
      </c>
      <c r="F433" s="203">
        <f t="shared" si="30"/>
        <v>4.8537856557135037E-2</v>
      </c>
    </row>
    <row r="434" spans="2:6" x14ac:dyDescent="0.2">
      <c r="B434" s="237">
        <v>2055</v>
      </c>
      <c r="C434" s="114">
        <v>730</v>
      </c>
      <c r="D434" s="204">
        <f t="shared" si="28"/>
        <v>0.32895752895752739</v>
      </c>
      <c r="E434" s="203">
        <f t="shared" si="29"/>
        <v>1.8124446728983048E-4</v>
      </c>
      <c r="F434" s="203">
        <f t="shared" si="30"/>
        <v>4.8719101024424866E-2</v>
      </c>
    </row>
    <row r="435" spans="2:6" x14ac:dyDescent="0.2">
      <c r="B435" s="237">
        <v>264</v>
      </c>
      <c r="C435" s="114">
        <v>740</v>
      </c>
      <c r="D435" s="204">
        <f t="shared" si="28"/>
        <v>0.32972972972972814</v>
      </c>
      <c r="E435" s="203">
        <f t="shared" si="29"/>
        <v>1.8372726821160897E-4</v>
      </c>
      <c r="F435" s="203">
        <f t="shared" si="30"/>
        <v>4.8902828292636473E-2</v>
      </c>
    </row>
    <row r="436" spans="2:6" x14ac:dyDescent="0.2">
      <c r="B436" s="237">
        <v>335</v>
      </c>
      <c r="C436" s="114">
        <v>740</v>
      </c>
      <c r="D436" s="204">
        <f t="shared" si="28"/>
        <v>0.33050193050192889</v>
      </c>
      <c r="E436" s="203">
        <f t="shared" si="29"/>
        <v>1.8372726821160897E-4</v>
      </c>
      <c r="F436" s="203">
        <f t="shared" si="30"/>
        <v>4.908655556084808E-2</v>
      </c>
    </row>
    <row r="437" spans="2:6" x14ac:dyDescent="0.2">
      <c r="B437" s="238">
        <v>1090</v>
      </c>
      <c r="C437" s="205">
        <v>740</v>
      </c>
      <c r="D437" s="204">
        <f t="shared" si="28"/>
        <v>0.33127413127412964</v>
      </c>
      <c r="E437" s="203">
        <f t="shared" si="29"/>
        <v>1.8372726821160897E-4</v>
      </c>
      <c r="F437" s="203">
        <f t="shared" si="30"/>
        <v>4.9270282829059688E-2</v>
      </c>
    </row>
    <row r="438" spans="2:6" x14ac:dyDescent="0.2">
      <c r="B438" s="238">
        <v>1116</v>
      </c>
      <c r="C438" s="205">
        <v>740</v>
      </c>
      <c r="D438" s="204">
        <f t="shared" si="28"/>
        <v>0.33204633204633038</v>
      </c>
      <c r="E438" s="203">
        <f t="shared" si="29"/>
        <v>1.8372726821160897E-4</v>
      </c>
      <c r="F438" s="203">
        <f t="shared" si="30"/>
        <v>4.9454010097271295E-2</v>
      </c>
    </row>
    <row r="439" spans="2:6" x14ac:dyDescent="0.2">
      <c r="B439" s="237">
        <v>1653</v>
      </c>
      <c r="C439" s="114">
        <v>740</v>
      </c>
      <c r="D439" s="204">
        <f t="shared" si="28"/>
        <v>0.33281853281853113</v>
      </c>
      <c r="E439" s="203">
        <f t="shared" si="29"/>
        <v>1.8372726821160897E-4</v>
      </c>
      <c r="F439" s="203">
        <f t="shared" si="30"/>
        <v>4.9637737365482902E-2</v>
      </c>
    </row>
    <row r="440" spans="2:6" x14ac:dyDescent="0.2">
      <c r="B440" s="237">
        <v>954</v>
      </c>
      <c r="C440" s="114">
        <v>745.09833333333336</v>
      </c>
      <c r="D440" s="204">
        <f t="shared" si="28"/>
        <v>0.33359073359073188</v>
      </c>
      <c r="E440" s="203">
        <f t="shared" si="29"/>
        <v>1.8499308288156239E-4</v>
      </c>
      <c r="F440" s="203">
        <f t="shared" si="30"/>
        <v>4.9822730448364466E-2</v>
      </c>
    </row>
    <row r="441" spans="2:6" x14ac:dyDescent="0.2">
      <c r="B441" s="238">
        <v>260</v>
      </c>
      <c r="C441" s="205">
        <v>747.3</v>
      </c>
      <c r="D441" s="204">
        <f t="shared" si="28"/>
        <v>0.33436293436293263</v>
      </c>
      <c r="E441" s="203">
        <f t="shared" si="29"/>
        <v>1.8553971288450726E-4</v>
      </c>
      <c r="F441" s="203">
        <f t="shared" si="30"/>
        <v>5.0008270161248973E-2</v>
      </c>
    </row>
    <row r="442" spans="2:6" x14ac:dyDescent="0.2">
      <c r="B442" s="237">
        <v>88</v>
      </c>
      <c r="C442" s="114">
        <v>750</v>
      </c>
      <c r="D442" s="204">
        <f t="shared" si="28"/>
        <v>0.33513513513513338</v>
      </c>
      <c r="E442" s="203">
        <f t="shared" si="29"/>
        <v>1.8621006913338749E-4</v>
      </c>
      <c r="F442" s="203">
        <f t="shared" si="30"/>
        <v>5.0194480230382359E-2</v>
      </c>
    </row>
    <row r="443" spans="2:6" x14ac:dyDescent="0.2">
      <c r="B443" s="237">
        <v>132</v>
      </c>
      <c r="C443" s="114">
        <v>750</v>
      </c>
      <c r="D443" s="204">
        <f t="shared" si="28"/>
        <v>0.33590733590733413</v>
      </c>
      <c r="E443" s="203">
        <f t="shared" si="29"/>
        <v>1.8621006913338749E-4</v>
      </c>
      <c r="F443" s="203">
        <f t="shared" si="30"/>
        <v>5.0380690299515744E-2</v>
      </c>
    </row>
    <row r="444" spans="2:6" x14ac:dyDescent="0.2">
      <c r="B444" s="237">
        <v>172</v>
      </c>
      <c r="C444" s="114">
        <v>750</v>
      </c>
      <c r="D444" s="204">
        <f t="shared" si="28"/>
        <v>0.33667953667953487</v>
      </c>
      <c r="E444" s="203">
        <f t="shared" si="29"/>
        <v>1.8621006913338749E-4</v>
      </c>
      <c r="F444" s="203">
        <f t="shared" si="30"/>
        <v>5.056690036864913E-2</v>
      </c>
    </row>
    <row r="445" spans="2:6" x14ac:dyDescent="0.2">
      <c r="B445" s="238">
        <v>402</v>
      </c>
      <c r="C445" s="205">
        <v>750</v>
      </c>
      <c r="D445" s="204">
        <f t="shared" si="28"/>
        <v>0.33745173745173562</v>
      </c>
      <c r="E445" s="203">
        <f t="shared" si="29"/>
        <v>1.8621006913338749E-4</v>
      </c>
      <c r="F445" s="203">
        <f t="shared" si="30"/>
        <v>5.0753110437782516E-2</v>
      </c>
    </row>
    <row r="446" spans="2:6" x14ac:dyDescent="0.2">
      <c r="B446" s="237">
        <v>594</v>
      </c>
      <c r="C446" s="114">
        <v>750</v>
      </c>
      <c r="D446" s="204">
        <f t="shared" si="28"/>
        <v>0.33822393822393637</v>
      </c>
      <c r="E446" s="203">
        <f t="shared" si="29"/>
        <v>1.8621006913338749E-4</v>
      </c>
      <c r="F446" s="203">
        <f t="shared" si="30"/>
        <v>5.0939320506915901E-2</v>
      </c>
    </row>
    <row r="447" spans="2:6" x14ac:dyDescent="0.2">
      <c r="B447" s="238">
        <v>874</v>
      </c>
      <c r="C447" s="205">
        <v>750</v>
      </c>
      <c r="D447" s="204">
        <f t="shared" si="28"/>
        <v>0.33899613899613712</v>
      </c>
      <c r="E447" s="203">
        <f t="shared" si="29"/>
        <v>1.8621006913338749E-4</v>
      </c>
      <c r="F447" s="203">
        <f t="shared" si="30"/>
        <v>5.1125530576049287E-2</v>
      </c>
    </row>
    <row r="448" spans="2:6" x14ac:dyDescent="0.2">
      <c r="B448" s="237">
        <v>926</v>
      </c>
      <c r="C448" s="114">
        <v>750</v>
      </c>
      <c r="D448" s="204">
        <f t="shared" si="28"/>
        <v>0.33976833976833787</v>
      </c>
      <c r="E448" s="203">
        <f t="shared" si="29"/>
        <v>1.8621006913338749E-4</v>
      </c>
      <c r="F448" s="203">
        <f t="shared" si="30"/>
        <v>5.1311740645182673E-2</v>
      </c>
    </row>
    <row r="449" spans="2:6" x14ac:dyDescent="0.2">
      <c r="B449" s="238">
        <v>974</v>
      </c>
      <c r="C449" s="205">
        <v>750</v>
      </c>
      <c r="D449" s="204">
        <f t="shared" si="28"/>
        <v>0.34054054054053862</v>
      </c>
      <c r="E449" s="203">
        <f t="shared" si="29"/>
        <v>1.8621006913338749E-4</v>
      </c>
      <c r="F449" s="203">
        <f t="shared" si="30"/>
        <v>5.1497950714316058E-2</v>
      </c>
    </row>
    <row r="450" spans="2:6" x14ac:dyDescent="0.2">
      <c r="B450" s="238">
        <v>1044</v>
      </c>
      <c r="C450" s="205">
        <v>750</v>
      </c>
      <c r="D450" s="204">
        <f t="shared" si="28"/>
        <v>0.34131274131273937</v>
      </c>
      <c r="E450" s="203">
        <f t="shared" si="29"/>
        <v>1.8621006913338749E-4</v>
      </c>
      <c r="F450" s="203">
        <f t="shared" si="30"/>
        <v>5.1684160783449444E-2</v>
      </c>
    </row>
    <row r="451" spans="2:6" x14ac:dyDescent="0.2">
      <c r="B451" s="237">
        <v>1133</v>
      </c>
      <c r="C451" s="114">
        <v>750</v>
      </c>
      <c r="D451" s="204">
        <f t="shared" si="28"/>
        <v>0.34208494208494011</v>
      </c>
      <c r="E451" s="203">
        <f t="shared" si="29"/>
        <v>1.8621006913338749E-4</v>
      </c>
      <c r="F451" s="203">
        <f t="shared" si="30"/>
        <v>5.187037085258283E-2</v>
      </c>
    </row>
    <row r="452" spans="2:6" x14ac:dyDescent="0.2">
      <c r="B452" s="238">
        <v>1187</v>
      </c>
      <c r="C452" s="205">
        <v>750</v>
      </c>
      <c r="D452" s="204">
        <f t="shared" si="28"/>
        <v>0.34285714285714086</v>
      </c>
      <c r="E452" s="203">
        <f t="shared" si="29"/>
        <v>1.8621006913338749E-4</v>
      </c>
      <c r="F452" s="203">
        <f t="shared" si="30"/>
        <v>5.2056580921716215E-2</v>
      </c>
    </row>
    <row r="453" spans="2:6" x14ac:dyDescent="0.2">
      <c r="B453" s="238">
        <v>1194</v>
      </c>
      <c r="C453" s="205">
        <v>750</v>
      </c>
      <c r="D453" s="204">
        <f t="shared" si="28"/>
        <v>0.34362934362934161</v>
      </c>
      <c r="E453" s="203">
        <f t="shared" si="29"/>
        <v>1.8621006913338749E-4</v>
      </c>
      <c r="F453" s="203">
        <f t="shared" si="30"/>
        <v>5.2242790990849601E-2</v>
      </c>
    </row>
    <row r="454" spans="2:6" x14ac:dyDescent="0.2">
      <c r="B454" s="237">
        <v>1236</v>
      </c>
      <c r="C454" s="114">
        <v>750</v>
      </c>
      <c r="D454" s="204">
        <f t="shared" si="28"/>
        <v>0.34440154440154236</v>
      </c>
      <c r="E454" s="203">
        <f t="shared" si="29"/>
        <v>1.8621006913338749E-4</v>
      </c>
      <c r="F454" s="203">
        <f t="shared" si="30"/>
        <v>5.2429001059982987E-2</v>
      </c>
    </row>
    <row r="455" spans="2:6" x14ac:dyDescent="0.2">
      <c r="B455" s="237">
        <v>1314</v>
      </c>
      <c r="C455" s="114">
        <v>750</v>
      </c>
      <c r="D455" s="204">
        <f t="shared" si="28"/>
        <v>0.34517374517374311</v>
      </c>
      <c r="E455" s="203">
        <f t="shared" si="29"/>
        <v>1.8621006913338749E-4</v>
      </c>
      <c r="F455" s="203">
        <f t="shared" si="30"/>
        <v>5.2615211129116372E-2</v>
      </c>
    </row>
    <row r="456" spans="2:6" x14ac:dyDescent="0.2">
      <c r="B456" s="238">
        <v>1425</v>
      </c>
      <c r="C456" s="205">
        <v>750</v>
      </c>
      <c r="D456" s="204">
        <f t="shared" si="28"/>
        <v>0.34594594594594386</v>
      </c>
      <c r="E456" s="203">
        <f t="shared" si="29"/>
        <v>1.8621006913338749E-4</v>
      </c>
      <c r="F456" s="203">
        <f t="shared" si="30"/>
        <v>5.2801421198249758E-2</v>
      </c>
    </row>
    <row r="457" spans="2:6" x14ac:dyDescent="0.2">
      <c r="B457" s="237">
        <v>1462</v>
      </c>
      <c r="C457" s="114">
        <v>750</v>
      </c>
      <c r="D457" s="204">
        <f t="shared" ref="D457:D520" si="31">D456+1/$L$18</f>
        <v>0.3467181467181446</v>
      </c>
      <c r="E457" s="203">
        <f t="shared" ref="E457:E520" si="32">C457/$O$18</f>
        <v>1.8621006913338749E-4</v>
      </c>
      <c r="F457" s="203">
        <f t="shared" ref="F457:F520" si="33">F456+E457</f>
        <v>5.2987631267383144E-2</v>
      </c>
    </row>
    <row r="458" spans="2:6" x14ac:dyDescent="0.2">
      <c r="B458" s="237">
        <v>1531</v>
      </c>
      <c r="C458" s="114">
        <v>750</v>
      </c>
      <c r="D458" s="204">
        <f t="shared" si="31"/>
        <v>0.34749034749034535</v>
      </c>
      <c r="E458" s="203">
        <f t="shared" si="32"/>
        <v>1.8621006913338749E-4</v>
      </c>
      <c r="F458" s="203">
        <f t="shared" si="33"/>
        <v>5.3173841336516529E-2</v>
      </c>
    </row>
    <row r="459" spans="2:6" x14ac:dyDescent="0.2">
      <c r="B459" s="238">
        <v>1549</v>
      </c>
      <c r="C459" s="205">
        <v>750</v>
      </c>
      <c r="D459" s="204">
        <f t="shared" si="31"/>
        <v>0.3482625482625461</v>
      </c>
      <c r="E459" s="203">
        <f t="shared" si="32"/>
        <v>1.8621006913338749E-4</v>
      </c>
      <c r="F459" s="203">
        <f t="shared" si="33"/>
        <v>5.3360051405649915E-2</v>
      </c>
    </row>
    <row r="460" spans="2:6" x14ac:dyDescent="0.2">
      <c r="B460" s="238">
        <v>1595</v>
      </c>
      <c r="C460" s="205">
        <v>750</v>
      </c>
      <c r="D460" s="204">
        <f t="shared" si="31"/>
        <v>0.34903474903474685</v>
      </c>
      <c r="E460" s="203">
        <f t="shared" si="32"/>
        <v>1.8621006913338749E-4</v>
      </c>
      <c r="F460" s="203">
        <f t="shared" si="33"/>
        <v>5.3546261474783301E-2</v>
      </c>
    </row>
    <row r="461" spans="2:6" x14ac:dyDescent="0.2">
      <c r="B461" s="238">
        <v>1597</v>
      </c>
      <c r="C461" s="205">
        <v>750</v>
      </c>
      <c r="D461" s="204">
        <f t="shared" si="31"/>
        <v>0.3498069498069476</v>
      </c>
      <c r="E461" s="203">
        <f t="shared" si="32"/>
        <v>1.8621006913338749E-4</v>
      </c>
      <c r="F461" s="203">
        <f t="shared" si="33"/>
        <v>5.3732471543916686E-2</v>
      </c>
    </row>
    <row r="462" spans="2:6" x14ac:dyDescent="0.2">
      <c r="B462" s="238">
        <v>1617</v>
      </c>
      <c r="C462" s="205">
        <v>750</v>
      </c>
      <c r="D462" s="204">
        <f t="shared" si="31"/>
        <v>0.35057915057914835</v>
      </c>
      <c r="E462" s="203">
        <f t="shared" si="32"/>
        <v>1.8621006913338749E-4</v>
      </c>
      <c r="F462" s="203">
        <f t="shared" si="33"/>
        <v>5.3918681613050072E-2</v>
      </c>
    </row>
    <row r="463" spans="2:6" x14ac:dyDescent="0.2">
      <c r="B463" s="238">
        <v>1640</v>
      </c>
      <c r="C463" s="205">
        <v>750</v>
      </c>
      <c r="D463" s="204">
        <f t="shared" si="31"/>
        <v>0.35135135135134909</v>
      </c>
      <c r="E463" s="203">
        <f t="shared" si="32"/>
        <v>1.8621006913338749E-4</v>
      </c>
      <c r="F463" s="203">
        <f t="shared" si="33"/>
        <v>5.4104891682183458E-2</v>
      </c>
    </row>
    <row r="464" spans="2:6" x14ac:dyDescent="0.2">
      <c r="B464" s="238">
        <v>1845</v>
      </c>
      <c r="C464" s="205">
        <v>750</v>
      </c>
      <c r="D464" s="204">
        <f t="shared" si="31"/>
        <v>0.35212355212354984</v>
      </c>
      <c r="E464" s="203">
        <f t="shared" si="32"/>
        <v>1.8621006913338749E-4</v>
      </c>
      <c r="F464" s="203">
        <f t="shared" si="33"/>
        <v>5.4291101751316843E-2</v>
      </c>
    </row>
    <row r="465" spans="2:6" x14ac:dyDescent="0.2">
      <c r="B465" s="238">
        <v>1928</v>
      </c>
      <c r="C465" s="205">
        <v>750</v>
      </c>
      <c r="D465" s="204">
        <f t="shared" si="31"/>
        <v>0.35289575289575059</v>
      </c>
      <c r="E465" s="203">
        <f t="shared" si="32"/>
        <v>1.8621006913338749E-4</v>
      </c>
      <c r="F465" s="203">
        <f t="shared" si="33"/>
        <v>5.4477311820450229E-2</v>
      </c>
    </row>
    <row r="466" spans="2:6" x14ac:dyDescent="0.2">
      <c r="B466" s="238">
        <v>1949</v>
      </c>
      <c r="C466" s="205">
        <v>750</v>
      </c>
      <c r="D466" s="204">
        <f t="shared" si="31"/>
        <v>0.35366795366795134</v>
      </c>
      <c r="E466" s="203">
        <f t="shared" si="32"/>
        <v>1.8621006913338749E-4</v>
      </c>
      <c r="F466" s="203">
        <f t="shared" si="33"/>
        <v>5.4663521889583615E-2</v>
      </c>
    </row>
    <row r="467" spans="2:6" x14ac:dyDescent="0.2">
      <c r="B467" s="237">
        <v>2077</v>
      </c>
      <c r="C467" s="114">
        <v>750</v>
      </c>
      <c r="D467" s="204">
        <f t="shared" si="31"/>
        <v>0.35444015444015209</v>
      </c>
      <c r="E467" s="203">
        <f t="shared" si="32"/>
        <v>1.8621006913338749E-4</v>
      </c>
      <c r="F467" s="203">
        <f t="shared" si="33"/>
        <v>5.4849731958717E-2</v>
      </c>
    </row>
    <row r="468" spans="2:6" x14ac:dyDescent="0.2">
      <c r="B468" s="237">
        <v>2263</v>
      </c>
      <c r="C468" s="114">
        <v>750</v>
      </c>
      <c r="D468" s="204">
        <f t="shared" si="31"/>
        <v>0.35521235521235284</v>
      </c>
      <c r="E468" s="203">
        <f t="shared" si="32"/>
        <v>1.8621006913338749E-4</v>
      </c>
      <c r="F468" s="203">
        <f t="shared" si="33"/>
        <v>5.5035942027850386E-2</v>
      </c>
    </row>
    <row r="469" spans="2:6" x14ac:dyDescent="0.2">
      <c r="B469" s="237">
        <v>2298</v>
      </c>
      <c r="C469" s="114">
        <v>750</v>
      </c>
      <c r="D469" s="204">
        <f t="shared" si="31"/>
        <v>0.35598455598455359</v>
      </c>
      <c r="E469" s="203">
        <f t="shared" si="32"/>
        <v>1.8621006913338749E-4</v>
      </c>
      <c r="F469" s="203">
        <f t="shared" si="33"/>
        <v>5.5222152096983772E-2</v>
      </c>
    </row>
    <row r="470" spans="2:6" x14ac:dyDescent="0.2">
      <c r="B470" s="237">
        <v>501</v>
      </c>
      <c r="C470" s="114">
        <v>755</v>
      </c>
      <c r="D470" s="204">
        <f t="shared" si="31"/>
        <v>0.35675675675675433</v>
      </c>
      <c r="E470" s="203">
        <f t="shared" si="32"/>
        <v>1.8745146959427673E-4</v>
      </c>
      <c r="F470" s="203">
        <f t="shared" si="33"/>
        <v>5.540960356657805E-2</v>
      </c>
    </row>
    <row r="471" spans="2:6" x14ac:dyDescent="0.2">
      <c r="B471" s="237">
        <v>2181</v>
      </c>
      <c r="C471" s="114">
        <v>757</v>
      </c>
      <c r="D471" s="204">
        <f t="shared" si="31"/>
        <v>0.35752895752895508</v>
      </c>
      <c r="E471" s="203">
        <f t="shared" si="32"/>
        <v>1.8794802977863242E-4</v>
      </c>
      <c r="F471" s="203">
        <f t="shared" si="33"/>
        <v>5.5597551596356681E-2</v>
      </c>
    </row>
    <row r="472" spans="2:6" x14ac:dyDescent="0.2">
      <c r="B472" s="238">
        <v>1146</v>
      </c>
      <c r="C472" s="205">
        <v>760</v>
      </c>
      <c r="D472" s="204">
        <f t="shared" si="31"/>
        <v>0.35830115830115583</v>
      </c>
      <c r="E472" s="203">
        <f t="shared" si="32"/>
        <v>1.8869287005516598E-4</v>
      </c>
      <c r="F472" s="203">
        <f t="shared" si="33"/>
        <v>5.5786244466411845E-2</v>
      </c>
    </row>
    <row r="473" spans="2:6" x14ac:dyDescent="0.2">
      <c r="B473" s="237">
        <v>1934</v>
      </c>
      <c r="C473" s="114">
        <v>760</v>
      </c>
      <c r="D473" s="204">
        <f t="shared" si="31"/>
        <v>0.35907335907335658</v>
      </c>
      <c r="E473" s="203">
        <f t="shared" si="32"/>
        <v>1.8869287005516598E-4</v>
      </c>
      <c r="F473" s="203">
        <f t="shared" si="33"/>
        <v>5.5974937336467009E-2</v>
      </c>
    </row>
    <row r="474" spans="2:6" x14ac:dyDescent="0.2">
      <c r="B474" s="237">
        <v>901</v>
      </c>
      <c r="C474" s="114">
        <v>768</v>
      </c>
      <c r="D474" s="204">
        <f t="shared" si="31"/>
        <v>0.35984555984555733</v>
      </c>
      <c r="E474" s="203">
        <f t="shared" si="32"/>
        <v>1.9067911079258878E-4</v>
      </c>
      <c r="F474" s="203">
        <f t="shared" si="33"/>
        <v>5.6165616447259599E-2</v>
      </c>
    </row>
    <row r="475" spans="2:6" x14ac:dyDescent="0.2">
      <c r="B475" s="237">
        <v>225</v>
      </c>
      <c r="C475" s="114">
        <v>770</v>
      </c>
      <c r="D475" s="204">
        <f t="shared" si="31"/>
        <v>0.36061776061775808</v>
      </c>
      <c r="E475" s="203">
        <f t="shared" si="32"/>
        <v>1.9117567097694447E-4</v>
      </c>
      <c r="F475" s="203">
        <f t="shared" si="33"/>
        <v>5.6356792118236541E-2</v>
      </c>
    </row>
    <row r="476" spans="2:6" x14ac:dyDescent="0.2">
      <c r="B476" s="237">
        <v>478</v>
      </c>
      <c r="C476" s="114">
        <v>770</v>
      </c>
      <c r="D476" s="204">
        <f t="shared" si="31"/>
        <v>0.36138996138995882</v>
      </c>
      <c r="E476" s="203">
        <f t="shared" si="32"/>
        <v>1.9117567097694447E-4</v>
      </c>
      <c r="F476" s="203">
        <f t="shared" si="33"/>
        <v>5.6547967789213484E-2</v>
      </c>
    </row>
    <row r="477" spans="2:6" x14ac:dyDescent="0.2">
      <c r="B477" s="238">
        <v>553</v>
      </c>
      <c r="C477" s="205">
        <v>770</v>
      </c>
      <c r="D477" s="204">
        <f t="shared" si="31"/>
        <v>0.36216216216215957</v>
      </c>
      <c r="E477" s="203">
        <f t="shared" si="32"/>
        <v>1.9117567097694447E-4</v>
      </c>
      <c r="F477" s="203">
        <f t="shared" si="33"/>
        <v>5.6739143460190426E-2</v>
      </c>
    </row>
    <row r="478" spans="2:6" x14ac:dyDescent="0.2">
      <c r="B478" s="238">
        <v>984</v>
      </c>
      <c r="C478" s="205">
        <v>770</v>
      </c>
      <c r="D478" s="204">
        <f t="shared" si="31"/>
        <v>0.36293436293436032</v>
      </c>
      <c r="E478" s="203">
        <f t="shared" si="32"/>
        <v>1.9117567097694447E-4</v>
      </c>
      <c r="F478" s="203">
        <f t="shared" si="33"/>
        <v>5.6930319131167369E-2</v>
      </c>
    </row>
    <row r="479" spans="2:6" x14ac:dyDescent="0.2">
      <c r="B479" s="238">
        <v>2184</v>
      </c>
      <c r="C479" s="205">
        <v>770</v>
      </c>
      <c r="D479" s="204">
        <f t="shared" si="31"/>
        <v>0.36370656370656107</v>
      </c>
      <c r="E479" s="203">
        <f t="shared" si="32"/>
        <v>1.9117567097694447E-4</v>
      </c>
      <c r="F479" s="203">
        <f t="shared" si="33"/>
        <v>5.7121494802144311E-2</v>
      </c>
    </row>
    <row r="480" spans="2:6" x14ac:dyDescent="0.2">
      <c r="B480" s="237">
        <v>1987</v>
      </c>
      <c r="C480" s="114">
        <v>770.83333333333326</v>
      </c>
      <c r="D480" s="204">
        <f t="shared" si="31"/>
        <v>0.36447876447876182</v>
      </c>
      <c r="E480" s="203">
        <f t="shared" si="32"/>
        <v>1.9138257105375932E-4</v>
      </c>
      <c r="F480" s="203">
        <f t="shared" si="33"/>
        <v>5.7312877373198068E-2</v>
      </c>
    </row>
    <row r="481" spans="2:6" x14ac:dyDescent="0.2">
      <c r="B481" s="237">
        <v>1001</v>
      </c>
      <c r="C481" s="114">
        <v>780</v>
      </c>
      <c r="D481" s="204">
        <f t="shared" si="31"/>
        <v>0.36525096525096257</v>
      </c>
      <c r="E481" s="203">
        <f t="shared" si="32"/>
        <v>1.9365847189872296E-4</v>
      </c>
      <c r="F481" s="203">
        <f t="shared" si="33"/>
        <v>5.7506535845096789E-2</v>
      </c>
    </row>
    <row r="482" spans="2:6" x14ac:dyDescent="0.2">
      <c r="B482" s="237">
        <v>1301</v>
      </c>
      <c r="C482" s="114">
        <v>780</v>
      </c>
      <c r="D482" s="204">
        <f t="shared" si="31"/>
        <v>0.36602316602316332</v>
      </c>
      <c r="E482" s="203">
        <f t="shared" si="32"/>
        <v>1.9365847189872296E-4</v>
      </c>
      <c r="F482" s="203">
        <f t="shared" si="33"/>
        <v>5.7700194316995509E-2</v>
      </c>
    </row>
    <row r="483" spans="2:6" x14ac:dyDescent="0.2">
      <c r="B483" s="237">
        <v>1560</v>
      </c>
      <c r="C483" s="114">
        <v>780</v>
      </c>
      <c r="D483" s="204">
        <f t="shared" si="31"/>
        <v>0.36679536679536406</v>
      </c>
      <c r="E483" s="203">
        <f t="shared" si="32"/>
        <v>1.9365847189872296E-4</v>
      </c>
      <c r="F483" s="203">
        <f t="shared" si="33"/>
        <v>5.789385278889423E-2</v>
      </c>
    </row>
    <row r="484" spans="2:6" x14ac:dyDescent="0.2">
      <c r="B484" s="238">
        <v>2044</v>
      </c>
      <c r="C484" s="205">
        <v>780</v>
      </c>
      <c r="D484" s="204">
        <f t="shared" si="31"/>
        <v>0.36756756756756481</v>
      </c>
      <c r="E484" s="203">
        <f t="shared" si="32"/>
        <v>1.9365847189872296E-4</v>
      </c>
      <c r="F484" s="203">
        <f t="shared" si="33"/>
        <v>5.8087511260792951E-2</v>
      </c>
    </row>
    <row r="485" spans="2:6" x14ac:dyDescent="0.2">
      <c r="B485" s="238">
        <v>248</v>
      </c>
      <c r="C485" s="205">
        <v>784.86749999999995</v>
      </c>
      <c r="D485" s="204">
        <f t="shared" si="31"/>
        <v>0.36833976833976556</v>
      </c>
      <c r="E485" s="203">
        <f t="shared" si="32"/>
        <v>1.9486697524739865E-4</v>
      </c>
      <c r="F485" s="203">
        <f t="shared" si="33"/>
        <v>5.828237823604035E-2</v>
      </c>
    </row>
    <row r="486" spans="2:6" x14ac:dyDescent="0.2">
      <c r="B486" s="238">
        <v>967</v>
      </c>
      <c r="C486" s="205">
        <v>785</v>
      </c>
      <c r="D486" s="204">
        <f t="shared" si="31"/>
        <v>0.36911196911196631</v>
      </c>
      <c r="E486" s="203">
        <f t="shared" si="32"/>
        <v>1.9489987235961223E-4</v>
      </c>
      <c r="F486" s="203">
        <f t="shared" si="33"/>
        <v>5.8477278108399963E-2</v>
      </c>
    </row>
    <row r="487" spans="2:6" x14ac:dyDescent="0.2">
      <c r="B487" s="238">
        <v>1359</v>
      </c>
      <c r="C487" s="205">
        <v>785</v>
      </c>
      <c r="D487" s="204">
        <f t="shared" si="31"/>
        <v>0.36988416988416706</v>
      </c>
      <c r="E487" s="203">
        <f t="shared" si="32"/>
        <v>1.9489987235961223E-4</v>
      </c>
      <c r="F487" s="203">
        <f t="shared" si="33"/>
        <v>5.8672177980759577E-2</v>
      </c>
    </row>
    <row r="488" spans="2:6" x14ac:dyDescent="0.2">
      <c r="B488" s="237">
        <v>889</v>
      </c>
      <c r="C488" s="114">
        <v>786.24</v>
      </c>
      <c r="D488" s="204">
        <f t="shared" si="31"/>
        <v>0.37065637065636781</v>
      </c>
      <c r="E488" s="203">
        <f t="shared" si="32"/>
        <v>1.9520773967391275E-4</v>
      </c>
      <c r="F488" s="203">
        <f t="shared" si="33"/>
        <v>5.8867385720433492E-2</v>
      </c>
    </row>
    <row r="489" spans="2:6" x14ac:dyDescent="0.2">
      <c r="B489" s="237">
        <v>717</v>
      </c>
      <c r="C489" s="114">
        <v>790</v>
      </c>
      <c r="D489" s="204">
        <f t="shared" si="31"/>
        <v>0.37142857142856855</v>
      </c>
      <c r="E489" s="203">
        <f t="shared" si="32"/>
        <v>1.9614127282050148E-4</v>
      </c>
      <c r="F489" s="203">
        <f t="shared" si="33"/>
        <v>5.9063526993253991E-2</v>
      </c>
    </row>
    <row r="490" spans="2:6" x14ac:dyDescent="0.2">
      <c r="B490" s="237">
        <v>1639</v>
      </c>
      <c r="C490" s="114">
        <v>790</v>
      </c>
      <c r="D490" s="204">
        <f t="shared" si="31"/>
        <v>0.3722007722007693</v>
      </c>
      <c r="E490" s="203">
        <f t="shared" si="32"/>
        <v>1.9614127282050148E-4</v>
      </c>
      <c r="F490" s="203">
        <f t="shared" si="33"/>
        <v>5.925966826607449E-2</v>
      </c>
    </row>
    <row r="491" spans="2:6" x14ac:dyDescent="0.2">
      <c r="B491" s="238">
        <v>1943</v>
      </c>
      <c r="C491" s="205">
        <v>790</v>
      </c>
      <c r="D491" s="204">
        <f t="shared" si="31"/>
        <v>0.37297297297297005</v>
      </c>
      <c r="E491" s="203">
        <f t="shared" si="32"/>
        <v>1.9614127282050148E-4</v>
      </c>
      <c r="F491" s="203">
        <f t="shared" si="33"/>
        <v>5.9455809538894989E-2</v>
      </c>
    </row>
    <row r="492" spans="2:6" x14ac:dyDescent="0.2">
      <c r="B492" s="238">
        <v>529</v>
      </c>
      <c r="C492" s="205">
        <v>791.66666666666663</v>
      </c>
      <c r="D492" s="204">
        <f t="shared" si="31"/>
        <v>0.3737451737451708</v>
      </c>
      <c r="E492" s="203">
        <f t="shared" si="32"/>
        <v>1.9655507297413122E-4</v>
      </c>
      <c r="F492" s="203">
        <f t="shared" si="33"/>
        <v>5.9652364611869117E-2</v>
      </c>
    </row>
    <row r="493" spans="2:6" x14ac:dyDescent="0.2">
      <c r="B493" s="237">
        <v>43</v>
      </c>
      <c r="C493" s="114">
        <v>795</v>
      </c>
      <c r="D493" s="204">
        <f t="shared" si="31"/>
        <v>0.37451737451737155</v>
      </c>
      <c r="E493" s="203">
        <f t="shared" si="32"/>
        <v>1.9738267328139072E-4</v>
      </c>
      <c r="F493" s="203">
        <f t="shared" si="33"/>
        <v>5.9849747285150509E-2</v>
      </c>
    </row>
    <row r="494" spans="2:6" x14ac:dyDescent="0.2">
      <c r="B494" s="237">
        <v>286</v>
      </c>
      <c r="C494" s="114">
        <v>795</v>
      </c>
      <c r="D494" s="204">
        <f t="shared" si="31"/>
        <v>0.3752895752895723</v>
      </c>
      <c r="E494" s="203">
        <f t="shared" si="32"/>
        <v>1.9738267328139072E-4</v>
      </c>
      <c r="F494" s="203">
        <f t="shared" si="33"/>
        <v>6.0047129958431901E-2</v>
      </c>
    </row>
    <row r="495" spans="2:6" x14ac:dyDescent="0.2">
      <c r="B495" s="237">
        <v>375</v>
      </c>
      <c r="C495" s="114">
        <v>795</v>
      </c>
      <c r="D495" s="204">
        <f t="shared" si="31"/>
        <v>0.37606177606177305</v>
      </c>
      <c r="E495" s="203">
        <f t="shared" si="32"/>
        <v>1.9738267328139072E-4</v>
      </c>
      <c r="F495" s="203">
        <f t="shared" si="33"/>
        <v>6.0244512631713293E-2</v>
      </c>
    </row>
    <row r="496" spans="2:6" x14ac:dyDescent="0.2">
      <c r="B496" s="237">
        <v>775</v>
      </c>
      <c r="C496" s="114">
        <v>800</v>
      </c>
      <c r="D496" s="204">
        <f t="shared" si="31"/>
        <v>0.37683397683397379</v>
      </c>
      <c r="E496" s="203">
        <f t="shared" si="32"/>
        <v>1.9862407374227997E-4</v>
      </c>
      <c r="F496" s="203">
        <f t="shared" si="33"/>
        <v>6.044313670545557E-2</v>
      </c>
    </row>
    <row r="497" spans="2:6" x14ac:dyDescent="0.2">
      <c r="B497" s="237">
        <v>2271</v>
      </c>
      <c r="C497" s="114">
        <v>800</v>
      </c>
      <c r="D497" s="204">
        <f t="shared" si="31"/>
        <v>0.37760617760617454</v>
      </c>
      <c r="E497" s="203">
        <f t="shared" si="32"/>
        <v>1.9862407374227997E-4</v>
      </c>
      <c r="F497" s="203">
        <f t="shared" si="33"/>
        <v>6.0641760779197848E-2</v>
      </c>
    </row>
    <row r="498" spans="2:6" x14ac:dyDescent="0.2">
      <c r="B498" s="237">
        <v>706</v>
      </c>
      <c r="C498" s="114">
        <v>806</v>
      </c>
      <c r="D498" s="204">
        <f t="shared" si="31"/>
        <v>0.37837837837837529</v>
      </c>
      <c r="E498" s="203">
        <f t="shared" si="32"/>
        <v>2.0011375429534708E-4</v>
      </c>
      <c r="F498" s="203">
        <f t="shared" si="33"/>
        <v>6.0841874533493198E-2</v>
      </c>
    </row>
    <row r="499" spans="2:6" x14ac:dyDescent="0.2">
      <c r="B499" s="238">
        <v>235</v>
      </c>
      <c r="C499" s="205">
        <v>810</v>
      </c>
      <c r="D499" s="204">
        <f t="shared" si="31"/>
        <v>0.37915057915057604</v>
      </c>
      <c r="E499" s="203">
        <f t="shared" si="32"/>
        <v>2.0110687466405846E-4</v>
      </c>
      <c r="F499" s="203">
        <f t="shared" si="33"/>
        <v>6.1042981408157254E-2</v>
      </c>
    </row>
    <row r="500" spans="2:6" x14ac:dyDescent="0.2">
      <c r="B500" s="237">
        <v>1118</v>
      </c>
      <c r="C500" s="114">
        <v>812.5</v>
      </c>
      <c r="D500" s="204">
        <f t="shared" si="31"/>
        <v>0.37992277992277679</v>
      </c>
      <c r="E500" s="203">
        <f t="shared" si="32"/>
        <v>2.0172757489450308E-4</v>
      </c>
      <c r="F500" s="203">
        <f t="shared" si="33"/>
        <v>6.124470898305176E-2</v>
      </c>
    </row>
    <row r="501" spans="2:6" x14ac:dyDescent="0.2">
      <c r="B501" s="237">
        <v>1945</v>
      </c>
      <c r="C501" s="114">
        <v>815</v>
      </c>
      <c r="D501" s="204">
        <f t="shared" si="31"/>
        <v>0.38069498069497754</v>
      </c>
      <c r="E501" s="203">
        <f t="shared" si="32"/>
        <v>2.0234827512494773E-4</v>
      </c>
      <c r="F501" s="203">
        <f t="shared" si="33"/>
        <v>6.1447057258176709E-2</v>
      </c>
    </row>
    <row r="502" spans="2:6" x14ac:dyDescent="0.2">
      <c r="B502" s="237">
        <v>56</v>
      </c>
      <c r="C502" s="114">
        <v>820</v>
      </c>
      <c r="D502" s="204">
        <f t="shared" si="31"/>
        <v>0.38146718146717828</v>
      </c>
      <c r="E502" s="203">
        <f t="shared" si="32"/>
        <v>2.0358967558583698E-4</v>
      </c>
      <c r="F502" s="203">
        <f t="shared" si="33"/>
        <v>6.1650646933762543E-2</v>
      </c>
    </row>
    <row r="503" spans="2:6" x14ac:dyDescent="0.2">
      <c r="B503" s="238">
        <v>577</v>
      </c>
      <c r="C503" s="205">
        <v>820</v>
      </c>
      <c r="D503" s="204">
        <f t="shared" si="31"/>
        <v>0.38223938223937903</v>
      </c>
      <c r="E503" s="203">
        <f t="shared" si="32"/>
        <v>2.0358967558583698E-4</v>
      </c>
      <c r="F503" s="203">
        <f t="shared" si="33"/>
        <v>6.1854236609348377E-2</v>
      </c>
    </row>
    <row r="504" spans="2:6" x14ac:dyDescent="0.2">
      <c r="B504" s="238">
        <v>1227</v>
      </c>
      <c r="C504" s="205">
        <v>820</v>
      </c>
      <c r="D504" s="204">
        <f t="shared" si="31"/>
        <v>0.38301158301157978</v>
      </c>
      <c r="E504" s="203">
        <f t="shared" si="32"/>
        <v>2.0358967558583698E-4</v>
      </c>
      <c r="F504" s="203">
        <f t="shared" si="33"/>
        <v>6.2057826284934212E-2</v>
      </c>
    </row>
    <row r="505" spans="2:6" x14ac:dyDescent="0.2">
      <c r="B505" s="238">
        <v>2164</v>
      </c>
      <c r="C505" s="205">
        <v>820</v>
      </c>
      <c r="D505" s="204">
        <f t="shared" si="31"/>
        <v>0.38378378378378053</v>
      </c>
      <c r="E505" s="203">
        <f t="shared" si="32"/>
        <v>2.0358967558583698E-4</v>
      </c>
      <c r="F505" s="203">
        <f t="shared" si="33"/>
        <v>6.2261415960520046E-2</v>
      </c>
    </row>
    <row r="506" spans="2:6" x14ac:dyDescent="0.2">
      <c r="B506" s="238">
        <v>1204</v>
      </c>
      <c r="C506" s="205">
        <v>824</v>
      </c>
      <c r="D506" s="204">
        <f t="shared" si="31"/>
        <v>0.38455598455598128</v>
      </c>
      <c r="E506" s="203">
        <f t="shared" si="32"/>
        <v>2.0458279595454837E-4</v>
      </c>
      <c r="F506" s="203">
        <f t="shared" si="33"/>
        <v>6.2465998756474593E-2</v>
      </c>
    </row>
    <row r="507" spans="2:6" x14ac:dyDescent="0.2">
      <c r="B507" s="238">
        <v>1119</v>
      </c>
      <c r="C507" s="205">
        <v>830</v>
      </c>
      <c r="D507" s="204">
        <f t="shared" si="31"/>
        <v>0.38532818532818203</v>
      </c>
      <c r="E507" s="203">
        <f t="shared" si="32"/>
        <v>2.0607247650761547E-4</v>
      </c>
      <c r="F507" s="203">
        <f t="shared" si="33"/>
        <v>6.2672071232982213E-2</v>
      </c>
    </row>
    <row r="508" spans="2:6" x14ac:dyDescent="0.2">
      <c r="B508" s="237">
        <v>1664</v>
      </c>
      <c r="C508" s="114">
        <v>830</v>
      </c>
      <c r="D508" s="204">
        <f t="shared" si="31"/>
        <v>0.38610038610038278</v>
      </c>
      <c r="E508" s="203">
        <f t="shared" si="32"/>
        <v>2.0607247650761547E-4</v>
      </c>
      <c r="F508" s="203">
        <f t="shared" si="33"/>
        <v>6.2878143709489825E-2</v>
      </c>
    </row>
    <row r="509" spans="2:6" x14ac:dyDescent="0.2">
      <c r="B509" s="237">
        <v>1975</v>
      </c>
      <c r="C509" s="114">
        <v>830</v>
      </c>
      <c r="D509" s="204">
        <f t="shared" si="31"/>
        <v>0.38687258687258352</v>
      </c>
      <c r="E509" s="203">
        <f t="shared" si="32"/>
        <v>2.0607247650761547E-4</v>
      </c>
      <c r="F509" s="203">
        <f t="shared" si="33"/>
        <v>6.3084216185997438E-2</v>
      </c>
    </row>
    <row r="510" spans="2:6" x14ac:dyDescent="0.2">
      <c r="B510" s="238">
        <v>262</v>
      </c>
      <c r="C510" s="205">
        <v>833.33333333333337</v>
      </c>
      <c r="D510" s="204">
        <f t="shared" si="31"/>
        <v>0.38764478764478427</v>
      </c>
      <c r="E510" s="203">
        <f t="shared" si="32"/>
        <v>2.0690007681487498E-4</v>
      </c>
      <c r="F510" s="203">
        <f t="shared" si="33"/>
        <v>6.3291116262812308E-2</v>
      </c>
    </row>
    <row r="511" spans="2:6" x14ac:dyDescent="0.2">
      <c r="B511" s="237">
        <v>968</v>
      </c>
      <c r="C511" s="114">
        <v>833.33333333333337</v>
      </c>
      <c r="D511" s="204">
        <f t="shared" si="31"/>
        <v>0.38841698841698502</v>
      </c>
      <c r="E511" s="203">
        <f t="shared" si="32"/>
        <v>2.0690007681487498E-4</v>
      </c>
      <c r="F511" s="203">
        <f t="shared" si="33"/>
        <v>6.3498016339627178E-2</v>
      </c>
    </row>
    <row r="512" spans="2:6" x14ac:dyDescent="0.2">
      <c r="B512" s="237">
        <v>1066</v>
      </c>
      <c r="C512" s="114">
        <v>833.33333333333337</v>
      </c>
      <c r="D512" s="204">
        <f t="shared" si="31"/>
        <v>0.38918918918918577</v>
      </c>
      <c r="E512" s="203">
        <f t="shared" si="32"/>
        <v>2.0690007681487498E-4</v>
      </c>
      <c r="F512" s="203">
        <f t="shared" si="33"/>
        <v>6.3704916416442048E-2</v>
      </c>
    </row>
    <row r="513" spans="2:6" x14ac:dyDescent="0.2">
      <c r="B513" s="238">
        <v>1258</v>
      </c>
      <c r="C513" s="205">
        <v>833.33333333333337</v>
      </c>
      <c r="D513" s="204">
        <f t="shared" si="31"/>
        <v>0.38996138996138652</v>
      </c>
      <c r="E513" s="203">
        <f t="shared" si="32"/>
        <v>2.0690007681487498E-4</v>
      </c>
      <c r="F513" s="203">
        <f t="shared" si="33"/>
        <v>6.3911816493256918E-2</v>
      </c>
    </row>
    <row r="514" spans="2:6" x14ac:dyDescent="0.2">
      <c r="B514" s="238">
        <v>1455</v>
      </c>
      <c r="C514" s="205">
        <v>833.33333333333337</v>
      </c>
      <c r="D514" s="204">
        <f t="shared" si="31"/>
        <v>0.39073359073358727</v>
      </c>
      <c r="E514" s="203">
        <f t="shared" si="32"/>
        <v>2.0690007681487498E-4</v>
      </c>
      <c r="F514" s="203">
        <f t="shared" si="33"/>
        <v>6.4118716570071788E-2</v>
      </c>
    </row>
    <row r="515" spans="2:6" x14ac:dyDescent="0.2">
      <c r="B515" s="238">
        <v>1537</v>
      </c>
      <c r="C515" s="205">
        <v>833.33333333333337</v>
      </c>
      <c r="D515" s="204">
        <f t="shared" si="31"/>
        <v>0.39150579150578801</v>
      </c>
      <c r="E515" s="203">
        <f t="shared" si="32"/>
        <v>2.0690007681487498E-4</v>
      </c>
      <c r="F515" s="203">
        <f t="shared" si="33"/>
        <v>6.4325616646886657E-2</v>
      </c>
    </row>
    <row r="516" spans="2:6" x14ac:dyDescent="0.2">
      <c r="B516" s="238">
        <v>46</v>
      </c>
      <c r="C516" s="205">
        <v>840</v>
      </c>
      <c r="D516" s="204">
        <f t="shared" si="31"/>
        <v>0.39227799227798876</v>
      </c>
      <c r="E516" s="203">
        <f t="shared" si="32"/>
        <v>2.0855527742939396E-4</v>
      </c>
      <c r="F516" s="203">
        <f t="shared" si="33"/>
        <v>6.4534171924316056E-2</v>
      </c>
    </row>
    <row r="517" spans="2:6" x14ac:dyDescent="0.2">
      <c r="B517" s="237">
        <v>256</v>
      </c>
      <c r="C517" s="114">
        <v>840</v>
      </c>
      <c r="D517" s="204">
        <f t="shared" si="31"/>
        <v>0.39305019305018951</v>
      </c>
      <c r="E517" s="203">
        <f t="shared" si="32"/>
        <v>2.0855527742939396E-4</v>
      </c>
      <c r="F517" s="203">
        <f t="shared" si="33"/>
        <v>6.4742727201745454E-2</v>
      </c>
    </row>
    <row r="518" spans="2:6" x14ac:dyDescent="0.2">
      <c r="B518" s="237">
        <v>533</v>
      </c>
      <c r="C518" s="114">
        <v>840</v>
      </c>
      <c r="D518" s="204">
        <f t="shared" si="31"/>
        <v>0.39382239382239026</v>
      </c>
      <c r="E518" s="203">
        <f t="shared" si="32"/>
        <v>2.0855527742939396E-4</v>
      </c>
      <c r="F518" s="203">
        <f t="shared" si="33"/>
        <v>6.4951282479174852E-2</v>
      </c>
    </row>
    <row r="519" spans="2:6" x14ac:dyDescent="0.2">
      <c r="B519" s="237">
        <v>829</v>
      </c>
      <c r="C519" s="114">
        <v>840</v>
      </c>
      <c r="D519" s="204">
        <f t="shared" si="31"/>
        <v>0.39459459459459101</v>
      </c>
      <c r="E519" s="203">
        <f t="shared" si="32"/>
        <v>2.0855527742939396E-4</v>
      </c>
      <c r="F519" s="203">
        <f t="shared" si="33"/>
        <v>6.515983775660425E-2</v>
      </c>
    </row>
    <row r="520" spans="2:6" x14ac:dyDescent="0.2">
      <c r="B520" s="238">
        <v>2050</v>
      </c>
      <c r="C520" s="205">
        <v>840</v>
      </c>
      <c r="D520" s="204">
        <f t="shared" si="31"/>
        <v>0.39536679536679176</v>
      </c>
      <c r="E520" s="203">
        <f t="shared" si="32"/>
        <v>2.0855527742939396E-4</v>
      </c>
      <c r="F520" s="203">
        <f t="shared" si="33"/>
        <v>6.5368393034033648E-2</v>
      </c>
    </row>
    <row r="521" spans="2:6" x14ac:dyDescent="0.2">
      <c r="B521" s="237">
        <v>2129</v>
      </c>
      <c r="C521" s="114">
        <v>840</v>
      </c>
      <c r="D521" s="204">
        <f t="shared" ref="D521:D584" si="34">D520+1/$L$18</f>
        <v>0.39613899613899251</v>
      </c>
      <c r="E521" s="203">
        <f t="shared" ref="E521:E584" si="35">C521/$O$18</f>
        <v>2.0855527742939396E-4</v>
      </c>
      <c r="F521" s="203">
        <f t="shared" ref="F521:F584" si="36">F520+E521</f>
        <v>6.5576948311463046E-2</v>
      </c>
    </row>
    <row r="522" spans="2:6" x14ac:dyDescent="0.2">
      <c r="B522" s="237">
        <v>2156</v>
      </c>
      <c r="C522" s="114">
        <v>840</v>
      </c>
      <c r="D522" s="204">
        <f t="shared" si="34"/>
        <v>0.39691119691119325</v>
      </c>
      <c r="E522" s="203">
        <f t="shared" si="35"/>
        <v>2.0855527742939396E-4</v>
      </c>
      <c r="F522" s="203">
        <f t="shared" si="36"/>
        <v>6.5785503588892444E-2</v>
      </c>
    </row>
    <row r="523" spans="2:6" x14ac:dyDescent="0.2">
      <c r="B523" s="237">
        <v>1283</v>
      </c>
      <c r="C523" s="114">
        <v>842.4</v>
      </c>
      <c r="D523" s="204">
        <f t="shared" si="34"/>
        <v>0.397683397683394</v>
      </c>
      <c r="E523" s="203">
        <f t="shared" si="35"/>
        <v>2.0915114965062081E-4</v>
      </c>
      <c r="F523" s="203">
        <f t="shared" si="36"/>
        <v>6.599465473854306E-2</v>
      </c>
    </row>
    <row r="524" spans="2:6" x14ac:dyDescent="0.2">
      <c r="B524" s="237">
        <v>240</v>
      </c>
      <c r="C524" s="114">
        <v>850</v>
      </c>
      <c r="D524" s="204">
        <f t="shared" si="34"/>
        <v>0.39845559845559475</v>
      </c>
      <c r="E524" s="203">
        <f t="shared" si="35"/>
        <v>2.1103807835117248E-4</v>
      </c>
      <c r="F524" s="203">
        <f t="shared" si="36"/>
        <v>6.6205692816894229E-2</v>
      </c>
    </row>
    <row r="525" spans="2:6" x14ac:dyDescent="0.2">
      <c r="B525" s="238">
        <v>544</v>
      </c>
      <c r="C525" s="205">
        <v>850</v>
      </c>
      <c r="D525" s="204">
        <f t="shared" si="34"/>
        <v>0.3992277992277955</v>
      </c>
      <c r="E525" s="203">
        <f t="shared" si="35"/>
        <v>2.1103807835117248E-4</v>
      </c>
      <c r="F525" s="203">
        <f t="shared" si="36"/>
        <v>6.6416730895245399E-2</v>
      </c>
    </row>
    <row r="526" spans="2:6" x14ac:dyDescent="0.2">
      <c r="B526" s="237">
        <v>879</v>
      </c>
      <c r="C526" s="114">
        <v>850</v>
      </c>
      <c r="D526" s="204">
        <f t="shared" si="34"/>
        <v>0.39999999999999625</v>
      </c>
      <c r="E526" s="203">
        <f t="shared" si="35"/>
        <v>2.1103807835117248E-4</v>
      </c>
      <c r="F526" s="203">
        <f t="shared" si="36"/>
        <v>6.6627768973596568E-2</v>
      </c>
    </row>
    <row r="527" spans="2:6" x14ac:dyDescent="0.2">
      <c r="B527" s="237">
        <v>888</v>
      </c>
      <c r="C527" s="114">
        <v>850</v>
      </c>
      <c r="D527" s="204">
        <f t="shared" si="34"/>
        <v>0.400772200772197</v>
      </c>
      <c r="E527" s="203">
        <f t="shared" si="35"/>
        <v>2.1103807835117248E-4</v>
      </c>
      <c r="F527" s="203">
        <f t="shared" si="36"/>
        <v>6.6838807051947738E-2</v>
      </c>
    </row>
    <row r="528" spans="2:6" x14ac:dyDescent="0.2">
      <c r="B528" s="238">
        <v>1016</v>
      </c>
      <c r="C528" s="205">
        <v>850</v>
      </c>
      <c r="D528" s="204">
        <f t="shared" si="34"/>
        <v>0.40154440154439774</v>
      </c>
      <c r="E528" s="203">
        <f t="shared" si="35"/>
        <v>2.1103807835117248E-4</v>
      </c>
      <c r="F528" s="203">
        <f t="shared" si="36"/>
        <v>6.7049845130298907E-2</v>
      </c>
    </row>
    <row r="529" spans="2:6" x14ac:dyDescent="0.2">
      <c r="B529" s="237">
        <v>1031</v>
      </c>
      <c r="C529" s="114">
        <v>850</v>
      </c>
      <c r="D529" s="204">
        <f t="shared" si="34"/>
        <v>0.40231660231659849</v>
      </c>
      <c r="E529" s="203">
        <f t="shared" si="35"/>
        <v>2.1103807835117248E-4</v>
      </c>
      <c r="F529" s="203">
        <f t="shared" si="36"/>
        <v>6.7260883208650077E-2</v>
      </c>
    </row>
    <row r="530" spans="2:6" x14ac:dyDescent="0.2">
      <c r="B530" s="237">
        <v>1074</v>
      </c>
      <c r="C530" s="114">
        <v>850</v>
      </c>
      <c r="D530" s="204">
        <f t="shared" si="34"/>
        <v>0.40308880308879924</v>
      </c>
      <c r="E530" s="203">
        <f t="shared" si="35"/>
        <v>2.1103807835117248E-4</v>
      </c>
      <c r="F530" s="203">
        <f t="shared" si="36"/>
        <v>6.7471921287001246E-2</v>
      </c>
    </row>
    <row r="531" spans="2:6" x14ac:dyDescent="0.2">
      <c r="B531" s="238">
        <v>1144</v>
      </c>
      <c r="C531" s="205">
        <v>850</v>
      </c>
      <c r="D531" s="204">
        <f t="shared" si="34"/>
        <v>0.40386100386099999</v>
      </c>
      <c r="E531" s="203">
        <f t="shared" si="35"/>
        <v>2.1103807835117248E-4</v>
      </c>
      <c r="F531" s="203">
        <f t="shared" si="36"/>
        <v>6.7682959365352416E-2</v>
      </c>
    </row>
    <row r="532" spans="2:6" x14ac:dyDescent="0.2">
      <c r="B532" s="238">
        <v>1513</v>
      </c>
      <c r="C532" s="205">
        <v>850</v>
      </c>
      <c r="D532" s="204">
        <f t="shared" si="34"/>
        <v>0.40463320463320074</v>
      </c>
      <c r="E532" s="203">
        <f t="shared" si="35"/>
        <v>2.1103807835117248E-4</v>
      </c>
      <c r="F532" s="203">
        <f t="shared" si="36"/>
        <v>6.7893997443703585E-2</v>
      </c>
    </row>
    <row r="533" spans="2:6" x14ac:dyDescent="0.2">
      <c r="B533" s="238">
        <v>1538</v>
      </c>
      <c r="C533" s="205">
        <v>850</v>
      </c>
      <c r="D533" s="204">
        <f t="shared" si="34"/>
        <v>0.40540540540540149</v>
      </c>
      <c r="E533" s="203">
        <f t="shared" si="35"/>
        <v>2.1103807835117248E-4</v>
      </c>
      <c r="F533" s="203">
        <f t="shared" si="36"/>
        <v>6.8105035522054755E-2</v>
      </c>
    </row>
    <row r="534" spans="2:6" x14ac:dyDescent="0.2">
      <c r="B534" s="238">
        <v>1585</v>
      </c>
      <c r="C534" s="205">
        <v>850</v>
      </c>
      <c r="D534" s="204">
        <f t="shared" si="34"/>
        <v>0.40617760617760224</v>
      </c>
      <c r="E534" s="203">
        <f t="shared" si="35"/>
        <v>2.1103807835117248E-4</v>
      </c>
      <c r="F534" s="203">
        <f t="shared" si="36"/>
        <v>6.8316073600405924E-2</v>
      </c>
    </row>
    <row r="535" spans="2:6" x14ac:dyDescent="0.2">
      <c r="B535" s="237">
        <v>1629</v>
      </c>
      <c r="C535" s="114">
        <v>850</v>
      </c>
      <c r="D535" s="204">
        <f t="shared" si="34"/>
        <v>0.40694980694980298</v>
      </c>
      <c r="E535" s="203">
        <f t="shared" si="35"/>
        <v>2.1103807835117248E-4</v>
      </c>
      <c r="F535" s="203">
        <f t="shared" si="36"/>
        <v>6.8527111678757094E-2</v>
      </c>
    </row>
    <row r="536" spans="2:6" x14ac:dyDescent="0.2">
      <c r="B536" s="238">
        <v>1659</v>
      </c>
      <c r="C536" s="205">
        <v>850</v>
      </c>
      <c r="D536" s="204">
        <f t="shared" si="34"/>
        <v>0.40772200772200373</v>
      </c>
      <c r="E536" s="203">
        <f t="shared" si="35"/>
        <v>2.1103807835117248E-4</v>
      </c>
      <c r="F536" s="203">
        <f t="shared" si="36"/>
        <v>6.8738149757108263E-2</v>
      </c>
    </row>
    <row r="537" spans="2:6" x14ac:dyDescent="0.2">
      <c r="B537" s="237">
        <v>1759</v>
      </c>
      <c r="C537" s="114">
        <v>850</v>
      </c>
      <c r="D537" s="204">
        <f t="shared" si="34"/>
        <v>0.40849420849420448</v>
      </c>
      <c r="E537" s="203">
        <f t="shared" si="35"/>
        <v>2.1103807835117248E-4</v>
      </c>
      <c r="F537" s="203">
        <f t="shared" si="36"/>
        <v>6.8949187835459433E-2</v>
      </c>
    </row>
    <row r="538" spans="2:6" x14ac:dyDescent="0.2">
      <c r="B538" s="238">
        <v>1802</v>
      </c>
      <c r="C538" s="205">
        <v>850</v>
      </c>
      <c r="D538" s="204">
        <f t="shared" si="34"/>
        <v>0.40926640926640523</v>
      </c>
      <c r="E538" s="203">
        <f t="shared" si="35"/>
        <v>2.1103807835117248E-4</v>
      </c>
      <c r="F538" s="203">
        <f t="shared" si="36"/>
        <v>6.9160225913810602E-2</v>
      </c>
    </row>
    <row r="539" spans="2:6" x14ac:dyDescent="0.2">
      <c r="B539" s="237">
        <v>1810</v>
      </c>
      <c r="C539" s="114">
        <v>850</v>
      </c>
      <c r="D539" s="204">
        <f t="shared" si="34"/>
        <v>0.41003861003860598</v>
      </c>
      <c r="E539" s="203">
        <f t="shared" si="35"/>
        <v>2.1103807835117248E-4</v>
      </c>
      <c r="F539" s="203">
        <f t="shared" si="36"/>
        <v>6.9371263992161772E-2</v>
      </c>
    </row>
    <row r="540" spans="2:6" x14ac:dyDescent="0.2">
      <c r="B540" s="237">
        <v>2037</v>
      </c>
      <c r="C540" s="114">
        <v>850</v>
      </c>
      <c r="D540" s="204">
        <f t="shared" si="34"/>
        <v>0.41081081081080673</v>
      </c>
      <c r="E540" s="203">
        <f t="shared" si="35"/>
        <v>2.1103807835117248E-4</v>
      </c>
      <c r="F540" s="203">
        <f t="shared" si="36"/>
        <v>6.9582302070512941E-2</v>
      </c>
    </row>
    <row r="541" spans="2:6" x14ac:dyDescent="0.2">
      <c r="B541" s="237">
        <v>2143</v>
      </c>
      <c r="C541" s="114">
        <v>850</v>
      </c>
      <c r="D541" s="204">
        <f t="shared" si="34"/>
        <v>0.41158301158300747</v>
      </c>
      <c r="E541" s="203">
        <f t="shared" si="35"/>
        <v>2.1103807835117248E-4</v>
      </c>
      <c r="F541" s="203">
        <f t="shared" si="36"/>
        <v>6.9793340148864111E-2</v>
      </c>
    </row>
    <row r="542" spans="2:6" x14ac:dyDescent="0.2">
      <c r="B542" s="238">
        <v>1279</v>
      </c>
      <c r="C542" s="205">
        <v>860</v>
      </c>
      <c r="D542" s="204">
        <f t="shared" si="34"/>
        <v>0.41235521235520822</v>
      </c>
      <c r="E542" s="203">
        <f t="shared" si="35"/>
        <v>2.1352087927295097E-4</v>
      </c>
      <c r="F542" s="203">
        <f t="shared" si="36"/>
        <v>7.0006861028137066E-2</v>
      </c>
    </row>
    <row r="543" spans="2:6" x14ac:dyDescent="0.2">
      <c r="B543" s="237">
        <v>2232</v>
      </c>
      <c r="C543" s="114">
        <v>860</v>
      </c>
      <c r="D543" s="204">
        <f t="shared" si="34"/>
        <v>0.41312741312740897</v>
      </c>
      <c r="E543" s="203">
        <f t="shared" si="35"/>
        <v>2.1352087927295097E-4</v>
      </c>
      <c r="F543" s="203">
        <f t="shared" si="36"/>
        <v>7.0220381907410021E-2</v>
      </c>
    </row>
    <row r="544" spans="2:6" x14ac:dyDescent="0.2">
      <c r="B544" s="237">
        <v>1098</v>
      </c>
      <c r="C544" s="114">
        <v>865</v>
      </c>
      <c r="D544" s="204">
        <f t="shared" si="34"/>
        <v>0.41389961389960972</v>
      </c>
      <c r="E544" s="203">
        <f t="shared" si="35"/>
        <v>2.1476227973384022E-4</v>
      </c>
      <c r="F544" s="203">
        <f t="shared" si="36"/>
        <v>7.0435144187143861E-2</v>
      </c>
    </row>
    <row r="545" spans="2:6" x14ac:dyDescent="0.2">
      <c r="B545" s="238">
        <v>479</v>
      </c>
      <c r="C545" s="205">
        <v>870</v>
      </c>
      <c r="D545" s="204">
        <f t="shared" si="34"/>
        <v>0.41467181467181047</v>
      </c>
      <c r="E545" s="203">
        <f t="shared" si="35"/>
        <v>2.1600368019472946E-4</v>
      </c>
      <c r="F545" s="203">
        <f t="shared" si="36"/>
        <v>7.0651147867338587E-2</v>
      </c>
    </row>
    <row r="546" spans="2:6" x14ac:dyDescent="0.2">
      <c r="B546" s="237">
        <v>575</v>
      </c>
      <c r="C546" s="114">
        <v>870</v>
      </c>
      <c r="D546" s="204">
        <f t="shared" si="34"/>
        <v>0.41544401544401122</v>
      </c>
      <c r="E546" s="203">
        <f t="shared" si="35"/>
        <v>2.1600368019472946E-4</v>
      </c>
      <c r="F546" s="203">
        <f t="shared" si="36"/>
        <v>7.0867151547533314E-2</v>
      </c>
    </row>
    <row r="547" spans="2:6" x14ac:dyDescent="0.2">
      <c r="B547" s="238">
        <v>695</v>
      </c>
      <c r="C547" s="205">
        <v>870</v>
      </c>
      <c r="D547" s="204">
        <f t="shared" si="34"/>
        <v>0.41621621621621196</v>
      </c>
      <c r="E547" s="203">
        <f t="shared" si="35"/>
        <v>2.1600368019472946E-4</v>
      </c>
      <c r="F547" s="203">
        <f t="shared" si="36"/>
        <v>7.108315522772804E-2</v>
      </c>
    </row>
    <row r="548" spans="2:6" x14ac:dyDescent="0.2">
      <c r="B548" s="238">
        <v>767</v>
      </c>
      <c r="C548" s="205">
        <v>870</v>
      </c>
      <c r="D548" s="204">
        <f t="shared" si="34"/>
        <v>0.41698841698841271</v>
      </c>
      <c r="E548" s="203">
        <f t="shared" si="35"/>
        <v>2.1600368019472946E-4</v>
      </c>
      <c r="F548" s="203">
        <f t="shared" si="36"/>
        <v>7.1299158907922766E-2</v>
      </c>
    </row>
    <row r="549" spans="2:6" x14ac:dyDescent="0.2">
      <c r="B549" s="237">
        <v>1081</v>
      </c>
      <c r="C549" s="114">
        <v>870</v>
      </c>
      <c r="D549" s="204">
        <f t="shared" si="34"/>
        <v>0.41776061776061346</v>
      </c>
      <c r="E549" s="203">
        <f t="shared" si="35"/>
        <v>2.1600368019472946E-4</v>
      </c>
      <c r="F549" s="203">
        <f t="shared" si="36"/>
        <v>7.1515162588117492E-2</v>
      </c>
    </row>
    <row r="550" spans="2:6" x14ac:dyDescent="0.2">
      <c r="B550" s="237">
        <v>1397</v>
      </c>
      <c r="C550" s="114">
        <v>870</v>
      </c>
      <c r="D550" s="204">
        <f t="shared" si="34"/>
        <v>0.41853281853281421</v>
      </c>
      <c r="E550" s="203">
        <f t="shared" si="35"/>
        <v>2.1600368019472946E-4</v>
      </c>
      <c r="F550" s="203">
        <f t="shared" si="36"/>
        <v>7.1731166268312219E-2</v>
      </c>
    </row>
    <row r="551" spans="2:6" x14ac:dyDescent="0.2">
      <c r="B551" s="237">
        <v>943</v>
      </c>
      <c r="C551" s="114">
        <v>871.6</v>
      </c>
      <c r="D551" s="204">
        <f t="shared" si="34"/>
        <v>0.41930501930501496</v>
      </c>
      <c r="E551" s="203">
        <f t="shared" si="35"/>
        <v>2.1640092834221403E-4</v>
      </c>
      <c r="F551" s="203">
        <f t="shared" si="36"/>
        <v>7.1947567196654433E-2</v>
      </c>
    </row>
    <row r="552" spans="2:6" x14ac:dyDescent="0.2">
      <c r="B552" s="237">
        <v>1509</v>
      </c>
      <c r="C552" s="114">
        <v>872.64</v>
      </c>
      <c r="D552" s="204">
        <f t="shared" si="34"/>
        <v>0.42007722007721571</v>
      </c>
      <c r="E552" s="203">
        <f t="shared" si="35"/>
        <v>2.16659139638079E-4</v>
      </c>
      <c r="F552" s="203">
        <f t="shared" si="36"/>
        <v>7.2164226336292506E-2</v>
      </c>
    </row>
    <row r="553" spans="2:6" x14ac:dyDescent="0.2">
      <c r="B553" s="237">
        <v>44</v>
      </c>
      <c r="C553" s="114">
        <v>874.5</v>
      </c>
      <c r="D553" s="204">
        <f t="shared" si="34"/>
        <v>0.42084942084941646</v>
      </c>
      <c r="E553" s="203">
        <f t="shared" si="35"/>
        <v>2.1712094060952981E-4</v>
      </c>
      <c r="F553" s="203">
        <f t="shared" si="36"/>
        <v>7.2381347276902042E-2</v>
      </c>
    </row>
    <row r="554" spans="2:6" x14ac:dyDescent="0.2">
      <c r="B554" s="237">
        <v>204</v>
      </c>
      <c r="C554" s="114">
        <v>880</v>
      </c>
      <c r="D554" s="204">
        <f t="shared" si="34"/>
        <v>0.4216216216216172</v>
      </c>
      <c r="E554" s="203">
        <f t="shared" si="35"/>
        <v>2.1848648111650796E-4</v>
      </c>
      <c r="F554" s="203">
        <f t="shared" si="36"/>
        <v>7.2599833758018553E-2</v>
      </c>
    </row>
    <row r="555" spans="2:6" x14ac:dyDescent="0.2">
      <c r="B555" s="238">
        <v>882</v>
      </c>
      <c r="C555" s="205">
        <v>880</v>
      </c>
      <c r="D555" s="204">
        <f t="shared" si="34"/>
        <v>0.42239382239381795</v>
      </c>
      <c r="E555" s="203">
        <f t="shared" si="35"/>
        <v>2.1848648111650796E-4</v>
      </c>
      <c r="F555" s="203">
        <f t="shared" si="36"/>
        <v>7.2818320239135065E-2</v>
      </c>
    </row>
    <row r="556" spans="2:6" x14ac:dyDescent="0.2">
      <c r="B556" s="238">
        <v>1447</v>
      </c>
      <c r="C556" s="205">
        <v>880</v>
      </c>
      <c r="D556" s="204">
        <f t="shared" si="34"/>
        <v>0.4231660231660187</v>
      </c>
      <c r="E556" s="203">
        <f t="shared" si="35"/>
        <v>2.1848648111650796E-4</v>
      </c>
      <c r="F556" s="203">
        <f t="shared" si="36"/>
        <v>7.3036806720251576E-2</v>
      </c>
    </row>
    <row r="557" spans="2:6" x14ac:dyDescent="0.2">
      <c r="B557" s="238">
        <v>848</v>
      </c>
      <c r="C557" s="205">
        <v>887</v>
      </c>
      <c r="D557" s="204">
        <f t="shared" si="34"/>
        <v>0.42393822393821945</v>
      </c>
      <c r="E557" s="203">
        <f t="shared" si="35"/>
        <v>2.2022444176175292E-4</v>
      </c>
      <c r="F557" s="203">
        <f t="shared" si="36"/>
        <v>7.3257031162013334E-2</v>
      </c>
    </row>
    <row r="558" spans="2:6" x14ac:dyDescent="0.2">
      <c r="B558" s="238">
        <v>170</v>
      </c>
      <c r="C558" s="205">
        <v>900</v>
      </c>
      <c r="D558" s="204">
        <f t="shared" si="34"/>
        <v>0.4247104247104202</v>
      </c>
      <c r="E558" s="203">
        <f t="shared" si="35"/>
        <v>2.2345208296006497E-4</v>
      </c>
      <c r="F558" s="203">
        <f t="shared" si="36"/>
        <v>7.3480483244973402E-2</v>
      </c>
    </row>
    <row r="559" spans="2:6" x14ac:dyDescent="0.2">
      <c r="B559" s="238">
        <v>176</v>
      </c>
      <c r="C559" s="205">
        <v>906.3</v>
      </c>
      <c r="D559" s="204">
        <f t="shared" si="34"/>
        <v>0.42548262548262095</v>
      </c>
      <c r="E559" s="203">
        <f t="shared" si="35"/>
        <v>2.2501624754078542E-4</v>
      </c>
      <c r="F559" s="203">
        <f t="shared" si="36"/>
        <v>7.370549949251419E-2</v>
      </c>
    </row>
    <row r="560" spans="2:6" x14ac:dyDescent="0.2">
      <c r="B560" s="238">
        <v>2253</v>
      </c>
      <c r="C560" s="205">
        <v>911</v>
      </c>
      <c r="D560" s="204">
        <f t="shared" si="34"/>
        <v>0.42625482625482169</v>
      </c>
      <c r="E560" s="203">
        <f t="shared" si="35"/>
        <v>2.2618316397402132E-4</v>
      </c>
      <c r="F560" s="203">
        <f t="shared" si="36"/>
        <v>7.393168265648821E-2</v>
      </c>
    </row>
    <row r="561" spans="2:6" x14ac:dyDescent="0.2">
      <c r="B561" s="238">
        <v>1621</v>
      </c>
      <c r="C561" s="205">
        <v>916.66666666666663</v>
      </c>
      <c r="D561" s="204">
        <f t="shared" si="34"/>
        <v>0.42702702702702244</v>
      </c>
      <c r="E561" s="203">
        <f t="shared" si="35"/>
        <v>2.2759008449636247E-4</v>
      </c>
      <c r="F561" s="203">
        <f t="shared" si="36"/>
        <v>7.4159272740984578E-2</v>
      </c>
    </row>
    <row r="562" spans="2:6" x14ac:dyDescent="0.2">
      <c r="B562" s="238">
        <v>569</v>
      </c>
      <c r="C562" s="205">
        <v>920</v>
      </c>
      <c r="D562" s="204">
        <f t="shared" si="34"/>
        <v>0.42779922779922319</v>
      </c>
      <c r="E562" s="203">
        <f t="shared" si="35"/>
        <v>2.2841768480362198E-4</v>
      </c>
      <c r="F562" s="203">
        <f t="shared" si="36"/>
        <v>7.4387690425788203E-2</v>
      </c>
    </row>
    <row r="563" spans="2:6" x14ac:dyDescent="0.2">
      <c r="B563" s="237">
        <v>621</v>
      </c>
      <c r="C563" s="114">
        <v>920</v>
      </c>
      <c r="D563" s="204">
        <f t="shared" si="34"/>
        <v>0.42857142857142394</v>
      </c>
      <c r="E563" s="203">
        <f t="shared" si="35"/>
        <v>2.2841768480362198E-4</v>
      </c>
      <c r="F563" s="203">
        <f t="shared" si="36"/>
        <v>7.4616108110591828E-2</v>
      </c>
    </row>
    <row r="564" spans="2:6" x14ac:dyDescent="0.2">
      <c r="B564" s="238">
        <v>809</v>
      </c>
      <c r="C564" s="205">
        <v>920</v>
      </c>
      <c r="D564" s="204">
        <f t="shared" si="34"/>
        <v>0.42934362934362469</v>
      </c>
      <c r="E564" s="203">
        <f t="shared" si="35"/>
        <v>2.2841768480362198E-4</v>
      </c>
      <c r="F564" s="203">
        <f t="shared" si="36"/>
        <v>7.4844525795395453E-2</v>
      </c>
    </row>
    <row r="565" spans="2:6" x14ac:dyDescent="0.2">
      <c r="B565" s="238">
        <v>92</v>
      </c>
      <c r="C565" s="205">
        <v>924</v>
      </c>
      <c r="D565" s="204">
        <f t="shared" si="34"/>
        <v>0.43011583011582544</v>
      </c>
      <c r="E565" s="203">
        <f t="shared" si="35"/>
        <v>2.2941080517233336E-4</v>
      </c>
      <c r="F565" s="203">
        <f t="shared" si="36"/>
        <v>7.5073936600567784E-2</v>
      </c>
    </row>
    <row r="566" spans="2:6" x14ac:dyDescent="0.2">
      <c r="B566" s="238">
        <v>1906</v>
      </c>
      <c r="C566" s="205">
        <v>925.68166666666662</v>
      </c>
      <c r="D566" s="204">
        <f t="shared" si="34"/>
        <v>0.43088803088802619</v>
      </c>
      <c r="E566" s="203">
        <f t="shared" si="35"/>
        <v>2.2982832952734577E-4</v>
      </c>
      <c r="F566" s="203">
        <f t="shared" si="36"/>
        <v>7.5303764930095135E-2</v>
      </c>
    </row>
    <row r="567" spans="2:6" x14ac:dyDescent="0.2">
      <c r="B567" s="238">
        <v>1270</v>
      </c>
      <c r="C567" s="205">
        <v>930</v>
      </c>
      <c r="D567" s="204">
        <f t="shared" si="34"/>
        <v>0.43166023166022693</v>
      </c>
      <c r="E567" s="203">
        <f t="shared" si="35"/>
        <v>2.3090048572540047E-4</v>
      </c>
      <c r="F567" s="203">
        <f t="shared" si="36"/>
        <v>7.5534665415820532E-2</v>
      </c>
    </row>
    <row r="568" spans="2:6" x14ac:dyDescent="0.2">
      <c r="B568" s="237">
        <v>1575</v>
      </c>
      <c r="C568" s="114">
        <v>930</v>
      </c>
      <c r="D568" s="204">
        <f t="shared" si="34"/>
        <v>0.43243243243242768</v>
      </c>
      <c r="E568" s="203">
        <f t="shared" si="35"/>
        <v>2.3090048572540047E-4</v>
      </c>
      <c r="F568" s="203">
        <f t="shared" si="36"/>
        <v>7.5765565901545928E-2</v>
      </c>
    </row>
    <row r="569" spans="2:6" x14ac:dyDescent="0.2">
      <c r="B569" s="238">
        <v>1913</v>
      </c>
      <c r="C569" s="205">
        <v>949.21400000000006</v>
      </c>
      <c r="D569" s="204">
        <f t="shared" si="34"/>
        <v>0.43320463320462843</v>
      </c>
      <c r="E569" s="203">
        <f t="shared" si="35"/>
        <v>2.3567093941650568E-4</v>
      </c>
      <c r="F569" s="203">
        <f t="shared" si="36"/>
        <v>7.6001236840962438E-2</v>
      </c>
    </row>
    <row r="570" spans="2:6" x14ac:dyDescent="0.2">
      <c r="B570" s="237">
        <v>804</v>
      </c>
      <c r="C570" s="114">
        <v>950</v>
      </c>
      <c r="D570" s="204">
        <f t="shared" si="34"/>
        <v>0.43397683397682918</v>
      </c>
      <c r="E570" s="203">
        <f t="shared" si="35"/>
        <v>2.3586608756895748E-4</v>
      </c>
      <c r="F570" s="203">
        <f t="shared" si="36"/>
        <v>7.6237102928531392E-2</v>
      </c>
    </row>
    <row r="571" spans="2:6" x14ac:dyDescent="0.2">
      <c r="B571" s="237">
        <v>1070</v>
      </c>
      <c r="C571" s="114">
        <v>950</v>
      </c>
      <c r="D571" s="204">
        <f t="shared" si="34"/>
        <v>0.43474903474902993</v>
      </c>
      <c r="E571" s="203">
        <f t="shared" si="35"/>
        <v>2.3586608756895748E-4</v>
      </c>
      <c r="F571" s="203">
        <f t="shared" si="36"/>
        <v>7.6472969016100345E-2</v>
      </c>
    </row>
    <row r="572" spans="2:6" x14ac:dyDescent="0.2">
      <c r="B572" s="237">
        <v>1264</v>
      </c>
      <c r="C572" s="114">
        <v>950</v>
      </c>
      <c r="D572" s="204">
        <f t="shared" si="34"/>
        <v>0.43552123552123068</v>
      </c>
      <c r="E572" s="203">
        <f t="shared" si="35"/>
        <v>2.3586608756895748E-4</v>
      </c>
      <c r="F572" s="203">
        <f t="shared" si="36"/>
        <v>7.6708835103669298E-2</v>
      </c>
    </row>
    <row r="573" spans="2:6" x14ac:dyDescent="0.2">
      <c r="B573" s="237">
        <v>1429</v>
      </c>
      <c r="C573" s="114">
        <v>950</v>
      </c>
      <c r="D573" s="204">
        <f t="shared" si="34"/>
        <v>0.43629343629343142</v>
      </c>
      <c r="E573" s="203">
        <f t="shared" si="35"/>
        <v>2.3586608756895748E-4</v>
      </c>
      <c r="F573" s="203">
        <f t="shared" si="36"/>
        <v>7.6944701191238252E-2</v>
      </c>
    </row>
    <row r="574" spans="2:6" x14ac:dyDescent="0.2">
      <c r="B574" s="237">
        <v>1534</v>
      </c>
      <c r="C574" s="114">
        <v>950</v>
      </c>
      <c r="D574" s="204">
        <f t="shared" si="34"/>
        <v>0.43706563706563217</v>
      </c>
      <c r="E574" s="203">
        <f t="shared" si="35"/>
        <v>2.3586608756895748E-4</v>
      </c>
      <c r="F574" s="203">
        <f t="shared" si="36"/>
        <v>7.7180567278807205E-2</v>
      </c>
    </row>
    <row r="575" spans="2:6" x14ac:dyDescent="0.2">
      <c r="B575" s="237">
        <v>1691</v>
      </c>
      <c r="C575" s="114">
        <v>950</v>
      </c>
      <c r="D575" s="204">
        <f t="shared" si="34"/>
        <v>0.43783783783783292</v>
      </c>
      <c r="E575" s="203">
        <f t="shared" si="35"/>
        <v>2.3586608756895748E-4</v>
      </c>
      <c r="F575" s="203">
        <f t="shared" si="36"/>
        <v>7.7416433366376158E-2</v>
      </c>
    </row>
    <row r="576" spans="2:6" x14ac:dyDescent="0.2">
      <c r="B576" s="238">
        <v>1881</v>
      </c>
      <c r="C576" s="205">
        <v>950</v>
      </c>
      <c r="D576" s="204">
        <f t="shared" si="34"/>
        <v>0.43861003861003367</v>
      </c>
      <c r="E576" s="203">
        <f t="shared" si="35"/>
        <v>2.3586608756895748E-4</v>
      </c>
      <c r="F576" s="203">
        <f t="shared" si="36"/>
        <v>7.7652299453945112E-2</v>
      </c>
    </row>
    <row r="577" spans="2:6" x14ac:dyDescent="0.2">
      <c r="B577" s="237">
        <v>1894</v>
      </c>
      <c r="C577" s="114">
        <v>950</v>
      </c>
      <c r="D577" s="204">
        <f t="shared" si="34"/>
        <v>0.43938223938223442</v>
      </c>
      <c r="E577" s="203">
        <f t="shared" si="35"/>
        <v>2.3586608756895748E-4</v>
      </c>
      <c r="F577" s="203">
        <f t="shared" si="36"/>
        <v>7.7888165541514065E-2</v>
      </c>
    </row>
    <row r="578" spans="2:6" x14ac:dyDescent="0.2">
      <c r="B578" s="237">
        <v>50</v>
      </c>
      <c r="C578" s="114">
        <v>954</v>
      </c>
      <c r="D578" s="204">
        <f t="shared" si="34"/>
        <v>0.44015444015443517</v>
      </c>
      <c r="E578" s="203">
        <f t="shared" si="35"/>
        <v>2.3685920793766886E-4</v>
      </c>
      <c r="F578" s="203">
        <f t="shared" si="36"/>
        <v>7.8125024749451738E-2</v>
      </c>
    </row>
    <row r="579" spans="2:6" x14ac:dyDescent="0.2">
      <c r="B579" s="237">
        <v>135</v>
      </c>
      <c r="C579" s="114">
        <v>954</v>
      </c>
      <c r="D579" s="204">
        <f t="shared" si="34"/>
        <v>0.44092664092663592</v>
      </c>
      <c r="E579" s="203">
        <f t="shared" si="35"/>
        <v>2.3685920793766886E-4</v>
      </c>
      <c r="F579" s="203">
        <f t="shared" si="36"/>
        <v>7.8361883957389411E-2</v>
      </c>
    </row>
    <row r="580" spans="2:6" x14ac:dyDescent="0.2">
      <c r="B580" s="237">
        <v>151</v>
      </c>
      <c r="C580" s="114">
        <v>954</v>
      </c>
      <c r="D580" s="204">
        <f t="shared" si="34"/>
        <v>0.44169884169883666</v>
      </c>
      <c r="E580" s="203">
        <f t="shared" si="35"/>
        <v>2.3685920793766886E-4</v>
      </c>
      <c r="F580" s="203">
        <f t="shared" si="36"/>
        <v>7.8598743165327084E-2</v>
      </c>
    </row>
    <row r="581" spans="2:6" x14ac:dyDescent="0.2">
      <c r="B581" s="237">
        <v>159</v>
      </c>
      <c r="C581" s="114">
        <v>954</v>
      </c>
      <c r="D581" s="204">
        <f t="shared" si="34"/>
        <v>0.44247104247103741</v>
      </c>
      <c r="E581" s="203">
        <f t="shared" si="35"/>
        <v>2.3685920793766886E-4</v>
      </c>
      <c r="F581" s="203">
        <f t="shared" si="36"/>
        <v>7.8835602373264757E-2</v>
      </c>
    </row>
    <row r="582" spans="2:6" x14ac:dyDescent="0.2">
      <c r="B582" s="238">
        <v>1072</v>
      </c>
      <c r="C582" s="205">
        <v>960</v>
      </c>
      <c r="D582" s="204">
        <f t="shared" si="34"/>
        <v>0.44324324324323816</v>
      </c>
      <c r="E582" s="203">
        <f t="shared" si="35"/>
        <v>2.3834888849073597E-4</v>
      </c>
      <c r="F582" s="203">
        <f t="shared" si="36"/>
        <v>7.9073951261755496E-2</v>
      </c>
    </row>
    <row r="583" spans="2:6" x14ac:dyDescent="0.2">
      <c r="B583" s="237">
        <v>1096</v>
      </c>
      <c r="C583" s="114">
        <v>960</v>
      </c>
      <c r="D583" s="204">
        <f t="shared" si="34"/>
        <v>0.44401544401543891</v>
      </c>
      <c r="E583" s="203">
        <f t="shared" si="35"/>
        <v>2.3834888849073597E-4</v>
      </c>
      <c r="F583" s="203">
        <f t="shared" si="36"/>
        <v>7.9312300150246234E-2</v>
      </c>
    </row>
    <row r="584" spans="2:6" x14ac:dyDescent="0.2">
      <c r="B584" s="237">
        <v>5</v>
      </c>
      <c r="C584" s="114">
        <v>963</v>
      </c>
      <c r="D584" s="204">
        <f t="shared" si="34"/>
        <v>0.44478764478763966</v>
      </c>
      <c r="E584" s="203">
        <f t="shared" si="35"/>
        <v>2.3909372876726952E-4</v>
      </c>
      <c r="F584" s="203">
        <f t="shared" si="36"/>
        <v>7.9551393879013499E-2</v>
      </c>
    </row>
    <row r="585" spans="2:6" x14ac:dyDescent="0.2">
      <c r="B585" s="237">
        <v>528</v>
      </c>
      <c r="C585" s="114">
        <v>965</v>
      </c>
      <c r="D585" s="204">
        <f t="shared" ref="D585:D648" si="37">D584+1/$L$18</f>
        <v>0.44555984555984041</v>
      </c>
      <c r="E585" s="203">
        <f t="shared" ref="E585:E648" si="38">C585/$O$18</f>
        <v>2.3959028895162522E-4</v>
      </c>
      <c r="F585" s="203">
        <f t="shared" ref="F585:F648" si="39">F584+E585</f>
        <v>7.9790984167965123E-2</v>
      </c>
    </row>
    <row r="586" spans="2:6" x14ac:dyDescent="0.2">
      <c r="B586" s="237">
        <v>1852</v>
      </c>
      <c r="C586" s="114">
        <v>966</v>
      </c>
      <c r="D586" s="204">
        <f t="shared" si="37"/>
        <v>0.44633204633204115</v>
      </c>
      <c r="E586" s="203">
        <f t="shared" si="38"/>
        <v>2.3983856904380308E-4</v>
      </c>
      <c r="F586" s="203">
        <f t="shared" si="39"/>
        <v>8.0030822737008928E-2</v>
      </c>
    </row>
    <row r="587" spans="2:6" x14ac:dyDescent="0.2">
      <c r="B587" s="238">
        <v>323</v>
      </c>
      <c r="C587" s="205">
        <v>978</v>
      </c>
      <c r="D587" s="204">
        <f t="shared" si="37"/>
        <v>0.4471042471042419</v>
      </c>
      <c r="E587" s="203">
        <f t="shared" si="38"/>
        <v>2.4281793014993726E-4</v>
      </c>
      <c r="F587" s="203">
        <f t="shared" si="39"/>
        <v>8.0273640667158863E-2</v>
      </c>
    </row>
    <row r="588" spans="2:6" x14ac:dyDescent="0.2">
      <c r="B588" s="238">
        <v>1421</v>
      </c>
      <c r="C588" s="205">
        <v>980</v>
      </c>
      <c r="D588" s="204">
        <f t="shared" si="37"/>
        <v>0.44787644787644265</v>
      </c>
      <c r="E588" s="203">
        <f t="shared" si="38"/>
        <v>2.4331449033429298E-4</v>
      </c>
      <c r="F588" s="203">
        <f t="shared" si="39"/>
        <v>8.0516955157493159E-2</v>
      </c>
    </row>
    <row r="589" spans="2:6" x14ac:dyDescent="0.2">
      <c r="B589" s="237">
        <v>371</v>
      </c>
      <c r="C589" s="114">
        <v>1000</v>
      </c>
      <c r="D589" s="204">
        <f t="shared" si="37"/>
        <v>0.4486486486486434</v>
      </c>
      <c r="E589" s="203">
        <f t="shared" si="38"/>
        <v>2.4828009217784996E-4</v>
      </c>
      <c r="F589" s="203">
        <f t="shared" si="39"/>
        <v>8.0765235249671011E-2</v>
      </c>
    </row>
    <row r="590" spans="2:6" x14ac:dyDescent="0.2">
      <c r="B590" s="237">
        <v>1699</v>
      </c>
      <c r="C590" s="114">
        <v>1000</v>
      </c>
      <c r="D590" s="204">
        <f t="shared" si="37"/>
        <v>0.44942084942084415</v>
      </c>
      <c r="E590" s="203">
        <f t="shared" si="38"/>
        <v>2.4828009217784996E-4</v>
      </c>
      <c r="F590" s="203">
        <f t="shared" si="39"/>
        <v>8.1013515341848863E-2</v>
      </c>
    </row>
    <row r="591" spans="2:6" x14ac:dyDescent="0.2">
      <c r="B591" s="237">
        <v>1783</v>
      </c>
      <c r="C591" s="114">
        <v>1000</v>
      </c>
      <c r="D591" s="204">
        <f t="shared" si="37"/>
        <v>0.4501930501930449</v>
      </c>
      <c r="E591" s="203">
        <f t="shared" si="38"/>
        <v>2.4828009217784996E-4</v>
      </c>
      <c r="F591" s="203">
        <f t="shared" si="39"/>
        <v>8.1261795434026715E-2</v>
      </c>
    </row>
    <row r="592" spans="2:6" x14ac:dyDescent="0.2">
      <c r="B592" s="237">
        <v>1626</v>
      </c>
      <c r="C592" s="114">
        <v>1008.333333333333</v>
      </c>
      <c r="D592" s="204">
        <f t="shared" si="37"/>
        <v>0.45096525096524565</v>
      </c>
      <c r="E592" s="203">
        <f t="shared" si="38"/>
        <v>2.5034909294599863E-4</v>
      </c>
      <c r="F592" s="203">
        <f t="shared" si="39"/>
        <v>8.151214452697271E-2</v>
      </c>
    </row>
    <row r="593" spans="2:6" x14ac:dyDescent="0.2">
      <c r="B593" s="237">
        <v>1964</v>
      </c>
      <c r="C593" s="114">
        <v>1020</v>
      </c>
      <c r="D593" s="204">
        <f t="shared" si="37"/>
        <v>0.45173745173744639</v>
      </c>
      <c r="E593" s="203">
        <f t="shared" si="38"/>
        <v>2.5324569402140695E-4</v>
      </c>
      <c r="F593" s="203">
        <f t="shared" si="39"/>
        <v>8.1765390220994119E-2</v>
      </c>
    </row>
    <row r="594" spans="2:6" x14ac:dyDescent="0.2">
      <c r="B594" s="237">
        <v>1125</v>
      </c>
      <c r="C594" s="114">
        <v>1023</v>
      </c>
      <c r="D594" s="204">
        <f t="shared" si="37"/>
        <v>0.45250965250964714</v>
      </c>
      <c r="E594" s="203">
        <f t="shared" si="38"/>
        <v>2.5399053429794053E-4</v>
      </c>
      <c r="F594" s="203">
        <f t="shared" si="39"/>
        <v>8.2019380755292054E-2</v>
      </c>
    </row>
    <row r="595" spans="2:6" x14ac:dyDescent="0.2">
      <c r="B595" s="238">
        <v>909</v>
      </c>
      <c r="C595" s="205">
        <v>1024</v>
      </c>
      <c r="D595" s="204">
        <f t="shared" si="37"/>
        <v>0.45328185328184789</v>
      </c>
      <c r="E595" s="203">
        <f t="shared" si="38"/>
        <v>2.5423881439011839E-4</v>
      </c>
      <c r="F595" s="203">
        <f t="shared" si="39"/>
        <v>8.2273619569682169E-2</v>
      </c>
    </row>
    <row r="596" spans="2:6" x14ac:dyDescent="0.2">
      <c r="B596" s="237">
        <v>380</v>
      </c>
      <c r="C596" s="114">
        <v>1033.5</v>
      </c>
      <c r="D596" s="204">
        <f t="shared" si="37"/>
        <v>0.45405405405404864</v>
      </c>
      <c r="E596" s="203">
        <f t="shared" si="38"/>
        <v>2.5659747526580795E-4</v>
      </c>
      <c r="F596" s="203">
        <f t="shared" si="39"/>
        <v>8.2530217044947979E-2</v>
      </c>
    </row>
    <row r="597" spans="2:6" x14ac:dyDescent="0.2">
      <c r="B597" s="238">
        <v>102</v>
      </c>
      <c r="C597" s="205">
        <v>1035</v>
      </c>
      <c r="D597" s="204">
        <f t="shared" si="37"/>
        <v>0.45482625482624939</v>
      </c>
      <c r="E597" s="203">
        <f t="shared" si="38"/>
        <v>2.5696989540407474E-4</v>
      </c>
      <c r="F597" s="203">
        <f t="shared" si="39"/>
        <v>8.2787186940352059E-2</v>
      </c>
    </row>
    <row r="598" spans="2:6" x14ac:dyDescent="0.2">
      <c r="B598" s="238">
        <v>2235</v>
      </c>
      <c r="C598" s="205">
        <v>1040</v>
      </c>
      <c r="D598" s="204">
        <f t="shared" si="37"/>
        <v>0.45559845559845014</v>
      </c>
      <c r="E598" s="203">
        <f t="shared" si="38"/>
        <v>2.5821129586496398E-4</v>
      </c>
      <c r="F598" s="203">
        <f t="shared" si="39"/>
        <v>8.3045398236217025E-2</v>
      </c>
    </row>
    <row r="599" spans="2:6" x14ac:dyDescent="0.2">
      <c r="B599" s="238">
        <v>192</v>
      </c>
      <c r="C599" s="205">
        <v>1050</v>
      </c>
      <c r="D599" s="204">
        <f t="shared" si="37"/>
        <v>0.45637065637065088</v>
      </c>
      <c r="E599" s="203">
        <f t="shared" si="38"/>
        <v>2.6069409678674247E-4</v>
      </c>
      <c r="F599" s="203">
        <f t="shared" si="39"/>
        <v>8.3306092333003762E-2</v>
      </c>
    </row>
    <row r="600" spans="2:6" x14ac:dyDescent="0.2">
      <c r="B600" s="237">
        <v>207</v>
      </c>
      <c r="C600" s="114">
        <v>1050</v>
      </c>
      <c r="D600" s="204">
        <f t="shared" si="37"/>
        <v>0.45714285714285163</v>
      </c>
      <c r="E600" s="203">
        <f t="shared" si="38"/>
        <v>2.6069409678674247E-4</v>
      </c>
      <c r="F600" s="203">
        <f t="shared" si="39"/>
        <v>8.3566786429790499E-2</v>
      </c>
    </row>
    <row r="601" spans="2:6" x14ac:dyDescent="0.2">
      <c r="B601" s="238">
        <v>276</v>
      </c>
      <c r="C601" s="205">
        <v>1050</v>
      </c>
      <c r="D601" s="204">
        <f t="shared" si="37"/>
        <v>0.45791505791505238</v>
      </c>
      <c r="E601" s="203">
        <f t="shared" si="38"/>
        <v>2.6069409678674247E-4</v>
      </c>
      <c r="F601" s="203">
        <f t="shared" si="39"/>
        <v>8.3827480526577236E-2</v>
      </c>
    </row>
    <row r="602" spans="2:6" x14ac:dyDescent="0.2">
      <c r="B602" s="237">
        <v>279</v>
      </c>
      <c r="C602" s="114">
        <v>1050</v>
      </c>
      <c r="D602" s="204">
        <f t="shared" si="37"/>
        <v>0.45868725868725313</v>
      </c>
      <c r="E602" s="203">
        <f t="shared" si="38"/>
        <v>2.6069409678674247E-4</v>
      </c>
      <c r="F602" s="203">
        <f t="shared" si="39"/>
        <v>8.4088174623363973E-2</v>
      </c>
    </row>
    <row r="603" spans="2:6" x14ac:dyDescent="0.2">
      <c r="B603" s="237">
        <v>657</v>
      </c>
      <c r="C603" s="114">
        <v>1050</v>
      </c>
      <c r="D603" s="204">
        <f t="shared" si="37"/>
        <v>0.45945945945945388</v>
      </c>
      <c r="E603" s="203">
        <f t="shared" si="38"/>
        <v>2.6069409678674247E-4</v>
      </c>
      <c r="F603" s="203">
        <f t="shared" si="39"/>
        <v>8.434886872015071E-2</v>
      </c>
    </row>
    <row r="604" spans="2:6" x14ac:dyDescent="0.2">
      <c r="B604" s="237">
        <v>855</v>
      </c>
      <c r="C604" s="114">
        <v>1050</v>
      </c>
      <c r="D604" s="204">
        <f t="shared" si="37"/>
        <v>0.46023166023165463</v>
      </c>
      <c r="E604" s="203">
        <f t="shared" si="38"/>
        <v>2.6069409678674247E-4</v>
      </c>
      <c r="F604" s="203">
        <f t="shared" si="39"/>
        <v>8.4609562816937448E-2</v>
      </c>
    </row>
    <row r="605" spans="2:6" x14ac:dyDescent="0.2">
      <c r="B605" s="237">
        <v>1051</v>
      </c>
      <c r="C605" s="114">
        <v>1050</v>
      </c>
      <c r="D605" s="204">
        <f t="shared" si="37"/>
        <v>0.46100386100385538</v>
      </c>
      <c r="E605" s="203">
        <f t="shared" si="38"/>
        <v>2.6069409678674247E-4</v>
      </c>
      <c r="F605" s="203">
        <f t="shared" si="39"/>
        <v>8.4870256913724185E-2</v>
      </c>
    </row>
    <row r="606" spans="2:6" x14ac:dyDescent="0.2">
      <c r="B606" s="238">
        <v>1600</v>
      </c>
      <c r="C606" s="205">
        <v>1050</v>
      </c>
      <c r="D606" s="204">
        <f t="shared" si="37"/>
        <v>0.46177606177605612</v>
      </c>
      <c r="E606" s="203">
        <f t="shared" si="38"/>
        <v>2.6069409678674247E-4</v>
      </c>
      <c r="F606" s="203">
        <f t="shared" si="39"/>
        <v>8.5130951010510922E-2</v>
      </c>
    </row>
    <row r="607" spans="2:6" x14ac:dyDescent="0.2">
      <c r="B607" s="238">
        <v>1717</v>
      </c>
      <c r="C607" s="205">
        <v>1050</v>
      </c>
      <c r="D607" s="204">
        <f t="shared" si="37"/>
        <v>0.46254826254825687</v>
      </c>
      <c r="E607" s="203">
        <f t="shared" si="38"/>
        <v>2.6069409678674247E-4</v>
      </c>
      <c r="F607" s="203">
        <f t="shared" si="39"/>
        <v>8.5391645107297659E-2</v>
      </c>
    </row>
    <row r="608" spans="2:6" x14ac:dyDescent="0.2">
      <c r="B608" s="237">
        <v>1791</v>
      </c>
      <c r="C608" s="114">
        <v>1050</v>
      </c>
      <c r="D608" s="204">
        <f t="shared" si="37"/>
        <v>0.46332046332045762</v>
      </c>
      <c r="E608" s="203">
        <f t="shared" si="38"/>
        <v>2.6069409678674247E-4</v>
      </c>
      <c r="F608" s="203">
        <f t="shared" si="39"/>
        <v>8.5652339204084396E-2</v>
      </c>
    </row>
    <row r="609" spans="2:6" x14ac:dyDescent="0.2">
      <c r="B609" s="238">
        <v>1918</v>
      </c>
      <c r="C609" s="205">
        <v>1050</v>
      </c>
      <c r="D609" s="204">
        <f t="shared" si="37"/>
        <v>0.46409266409265837</v>
      </c>
      <c r="E609" s="203">
        <f t="shared" si="38"/>
        <v>2.6069409678674247E-4</v>
      </c>
      <c r="F609" s="203">
        <f t="shared" si="39"/>
        <v>8.5913033300871133E-2</v>
      </c>
    </row>
    <row r="610" spans="2:6" x14ac:dyDescent="0.2">
      <c r="B610" s="238">
        <v>2047</v>
      </c>
      <c r="C610" s="205">
        <v>1050</v>
      </c>
      <c r="D610" s="204">
        <f t="shared" si="37"/>
        <v>0.46486486486485912</v>
      </c>
      <c r="E610" s="203">
        <f t="shared" si="38"/>
        <v>2.6069409678674247E-4</v>
      </c>
      <c r="F610" s="203">
        <f t="shared" si="39"/>
        <v>8.617372739765787E-2</v>
      </c>
    </row>
    <row r="611" spans="2:6" x14ac:dyDescent="0.2">
      <c r="B611" s="238">
        <v>2205</v>
      </c>
      <c r="C611" s="205">
        <v>1050</v>
      </c>
      <c r="D611" s="204">
        <f t="shared" si="37"/>
        <v>0.46563706563705987</v>
      </c>
      <c r="E611" s="203">
        <f t="shared" si="38"/>
        <v>2.6069409678674247E-4</v>
      </c>
      <c r="F611" s="203">
        <f t="shared" si="39"/>
        <v>8.6434421494444608E-2</v>
      </c>
    </row>
    <row r="612" spans="2:6" x14ac:dyDescent="0.2">
      <c r="B612" s="238">
        <v>1203</v>
      </c>
      <c r="C612" s="205">
        <v>1053</v>
      </c>
      <c r="D612" s="204">
        <f t="shared" si="37"/>
        <v>0.46640926640926061</v>
      </c>
      <c r="E612" s="203">
        <f t="shared" si="38"/>
        <v>2.61438937063276E-4</v>
      </c>
      <c r="F612" s="203">
        <f t="shared" si="39"/>
        <v>8.6695860431507885E-2</v>
      </c>
    </row>
    <row r="613" spans="2:6" x14ac:dyDescent="0.2">
      <c r="B613" s="238">
        <v>613</v>
      </c>
      <c r="C613" s="205">
        <v>1070</v>
      </c>
      <c r="D613" s="204">
        <f t="shared" si="37"/>
        <v>0.46718146718146136</v>
      </c>
      <c r="E613" s="203">
        <f t="shared" si="38"/>
        <v>2.6565969863029946E-4</v>
      </c>
      <c r="F613" s="203">
        <f t="shared" si="39"/>
        <v>8.6961520130138178E-2</v>
      </c>
    </row>
    <row r="614" spans="2:6" x14ac:dyDescent="0.2">
      <c r="B614" s="238">
        <v>1800</v>
      </c>
      <c r="C614" s="205">
        <v>1077</v>
      </c>
      <c r="D614" s="204">
        <f t="shared" si="37"/>
        <v>0.46795366795366211</v>
      </c>
      <c r="E614" s="203">
        <f t="shared" si="38"/>
        <v>2.6739765927554442E-4</v>
      </c>
      <c r="F614" s="203">
        <f t="shared" si="39"/>
        <v>8.7228917789413718E-2</v>
      </c>
    </row>
    <row r="615" spans="2:6" x14ac:dyDescent="0.2">
      <c r="B615" s="238">
        <v>471</v>
      </c>
      <c r="C615" s="205">
        <v>1083.333333333333</v>
      </c>
      <c r="D615" s="204">
        <f t="shared" si="37"/>
        <v>0.46872586872586286</v>
      </c>
      <c r="E615" s="203">
        <f t="shared" si="38"/>
        <v>2.6897009985933737E-4</v>
      </c>
      <c r="F615" s="203">
        <f t="shared" si="39"/>
        <v>8.7497887889273054E-2</v>
      </c>
    </row>
    <row r="616" spans="2:6" x14ac:dyDescent="0.2">
      <c r="B616" s="237">
        <v>1262</v>
      </c>
      <c r="C616" s="114">
        <v>1083.333333333333</v>
      </c>
      <c r="D616" s="204">
        <f t="shared" si="37"/>
        <v>0.46949806949806361</v>
      </c>
      <c r="E616" s="203">
        <f t="shared" si="38"/>
        <v>2.6897009985933737E-4</v>
      </c>
      <c r="F616" s="203">
        <f t="shared" si="39"/>
        <v>8.7766857989132391E-2</v>
      </c>
    </row>
    <row r="617" spans="2:6" x14ac:dyDescent="0.2">
      <c r="B617" s="238">
        <v>817</v>
      </c>
      <c r="C617" s="205">
        <v>1083.3333333333339</v>
      </c>
      <c r="D617" s="204">
        <f t="shared" si="37"/>
        <v>0.47027027027026436</v>
      </c>
      <c r="E617" s="203">
        <f t="shared" si="38"/>
        <v>2.6897009985933759E-4</v>
      </c>
      <c r="F617" s="203">
        <f t="shared" si="39"/>
        <v>8.8035828088991727E-2</v>
      </c>
    </row>
    <row r="618" spans="2:6" x14ac:dyDescent="0.2">
      <c r="B618" s="238">
        <v>35</v>
      </c>
      <c r="C618" s="205">
        <v>1100</v>
      </c>
      <c r="D618" s="204">
        <f t="shared" si="37"/>
        <v>0.47104247104246511</v>
      </c>
      <c r="E618" s="203">
        <f t="shared" si="38"/>
        <v>2.7310810139563499E-4</v>
      </c>
      <c r="F618" s="203">
        <f t="shared" si="39"/>
        <v>8.8308936190387363E-2</v>
      </c>
    </row>
    <row r="619" spans="2:6" x14ac:dyDescent="0.2">
      <c r="B619" s="237">
        <v>355</v>
      </c>
      <c r="C619" s="114">
        <v>1100</v>
      </c>
      <c r="D619" s="204">
        <f t="shared" si="37"/>
        <v>0.47181467181466585</v>
      </c>
      <c r="E619" s="203">
        <f t="shared" si="38"/>
        <v>2.7310810139563499E-4</v>
      </c>
      <c r="F619" s="203">
        <f t="shared" si="39"/>
        <v>8.8582044291782999E-2</v>
      </c>
    </row>
    <row r="620" spans="2:6" x14ac:dyDescent="0.2">
      <c r="B620" s="237">
        <v>476</v>
      </c>
      <c r="C620" s="114">
        <v>1100</v>
      </c>
      <c r="D620" s="204">
        <f t="shared" si="37"/>
        <v>0.4725868725868666</v>
      </c>
      <c r="E620" s="203">
        <f t="shared" si="38"/>
        <v>2.7310810139563499E-4</v>
      </c>
      <c r="F620" s="203">
        <f t="shared" si="39"/>
        <v>8.8855152393178635E-2</v>
      </c>
    </row>
    <row r="621" spans="2:6" x14ac:dyDescent="0.2">
      <c r="B621" s="237">
        <v>558</v>
      </c>
      <c r="C621" s="114">
        <v>1100</v>
      </c>
      <c r="D621" s="204">
        <f t="shared" si="37"/>
        <v>0.47335907335906735</v>
      </c>
      <c r="E621" s="203">
        <f t="shared" si="38"/>
        <v>2.7310810139563499E-4</v>
      </c>
      <c r="F621" s="203">
        <f t="shared" si="39"/>
        <v>8.9128260494574271E-2</v>
      </c>
    </row>
    <row r="622" spans="2:6" x14ac:dyDescent="0.2">
      <c r="B622" s="237">
        <v>580</v>
      </c>
      <c r="C622" s="114">
        <v>1100</v>
      </c>
      <c r="D622" s="204">
        <f t="shared" si="37"/>
        <v>0.4741312741312681</v>
      </c>
      <c r="E622" s="203">
        <f t="shared" si="38"/>
        <v>2.7310810139563499E-4</v>
      </c>
      <c r="F622" s="203">
        <f t="shared" si="39"/>
        <v>8.9401368595969907E-2</v>
      </c>
    </row>
    <row r="623" spans="2:6" x14ac:dyDescent="0.2">
      <c r="B623" s="237">
        <v>596</v>
      </c>
      <c r="C623" s="114">
        <v>1100</v>
      </c>
      <c r="D623" s="204">
        <f t="shared" si="37"/>
        <v>0.47490347490346885</v>
      </c>
      <c r="E623" s="203">
        <f t="shared" si="38"/>
        <v>2.7310810139563499E-4</v>
      </c>
      <c r="F623" s="203">
        <f t="shared" si="39"/>
        <v>8.9674476697365543E-2</v>
      </c>
    </row>
    <row r="624" spans="2:6" x14ac:dyDescent="0.2">
      <c r="B624" s="238">
        <v>684</v>
      </c>
      <c r="C624" s="205">
        <v>1100</v>
      </c>
      <c r="D624" s="204">
        <f t="shared" si="37"/>
        <v>0.4756756756756696</v>
      </c>
      <c r="E624" s="203">
        <f t="shared" si="38"/>
        <v>2.7310810139563499E-4</v>
      </c>
      <c r="F624" s="203">
        <f t="shared" si="39"/>
        <v>8.9947584798761179E-2</v>
      </c>
    </row>
    <row r="625" spans="2:6" x14ac:dyDescent="0.2">
      <c r="B625" s="238">
        <v>742</v>
      </c>
      <c r="C625" s="205">
        <v>1100</v>
      </c>
      <c r="D625" s="204">
        <f t="shared" si="37"/>
        <v>0.47644787644787034</v>
      </c>
      <c r="E625" s="203">
        <f t="shared" si="38"/>
        <v>2.7310810139563499E-4</v>
      </c>
      <c r="F625" s="203">
        <f t="shared" si="39"/>
        <v>9.0220692900156815E-2</v>
      </c>
    </row>
    <row r="626" spans="2:6" x14ac:dyDescent="0.2">
      <c r="B626" s="237">
        <v>802</v>
      </c>
      <c r="C626" s="114">
        <v>1100</v>
      </c>
      <c r="D626" s="204">
        <f t="shared" si="37"/>
        <v>0.47722007722007109</v>
      </c>
      <c r="E626" s="203">
        <f t="shared" si="38"/>
        <v>2.7310810139563499E-4</v>
      </c>
      <c r="F626" s="203">
        <f t="shared" si="39"/>
        <v>9.0493801001552451E-2</v>
      </c>
    </row>
    <row r="627" spans="2:6" x14ac:dyDescent="0.2">
      <c r="B627" s="237">
        <v>1019</v>
      </c>
      <c r="C627" s="114">
        <v>1100</v>
      </c>
      <c r="D627" s="204">
        <f t="shared" si="37"/>
        <v>0.47799227799227184</v>
      </c>
      <c r="E627" s="203">
        <f t="shared" si="38"/>
        <v>2.7310810139563499E-4</v>
      </c>
      <c r="F627" s="203">
        <f t="shared" si="39"/>
        <v>9.0766909102948087E-2</v>
      </c>
    </row>
    <row r="628" spans="2:6" x14ac:dyDescent="0.2">
      <c r="B628" s="237">
        <v>1034</v>
      </c>
      <c r="C628" s="114">
        <v>1100</v>
      </c>
      <c r="D628" s="204">
        <f t="shared" si="37"/>
        <v>0.47876447876447259</v>
      </c>
      <c r="E628" s="203">
        <f t="shared" si="38"/>
        <v>2.7310810139563499E-4</v>
      </c>
      <c r="F628" s="203">
        <f t="shared" si="39"/>
        <v>9.1040017204343723E-2</v>
      </c>
    </row>
    <row r="629" spans="2:6" x14ac:dyDescent="0.2">
      <c r="B629" s="237">
        <v>1035</v>
      </c>
      <c r="C629" s="114">
        <v>1100</v>
      </c>
      <c r="D629" s="204">
        <f t="shared" si="37"/>
        <v>0.47953667953667334</v>
      </c>
      <c r="E629" s="203">
        <f t="shared" si="38"/>
        <v>2.7310810139563499E-4</v>
      </c>
      <c r="F629" s="203">
        <f t="shared" si="39"/>
        <v>9.1313125305739359E-2</v>
      </c>
    </row>
    <row r="630" spans="2:6" x14ac:dyDescent="0.2">
      <c r="B630" s="238">
        <v>1157</v>
      </c>
      <c r="C630" s="205">
        <v>1100</v>
      </c>
      <c r="D630" s="204">
        <f t="shared" si="37"/>
        <v>0.48030888030887409</v>
      </c>
      <c r="E630" s="203">
        <f t="shared" si="38"/>
        <v>2.7310810139563499E-4</v>
      </c>
      <c r="F630" s="203">
        <f t="shared" si="39"/>
        <v>9.1586233407134995E-2</v>
      </c>
    </row>
    <row r="631" spans="2:6" x14ac:dyDescent="0.2">
      <c r="B631" s="237">
        <v>1310</v>
      </c>
      <c r="C631" s="114">
        <v>1100</v>
      </c>
      <c r="D631" s="204">
        <f t="shared" si="37"/>
        <v>0.48108108108107484</v>
      </c>
      <c r="E631" s="203">
        <f t="shared" si="38"/>
        <v>2.7310810139563499E-4</v>
      </c>
      <c r="F631" s="203">
        <f t="shared" si="39"/>
        <v>9.1859341508530631E-2</v>
      </c>
    </row>
    <row r="632" spans="2:6" x14ac:dyDescent="0.2">
      <c r="B632" s="237">
        <v>1338</v>
      </c>
      <c r="C632" s="114">
        <v>1100</v>
      </c>
      <c r="D632" s="204">
        <f t="shared" si="37"/>
        <v>0.48185328185327558</v>
      </c>
      <c r="E632" s="203">
        <f t="shared" si="38"/>
        <v>2.7310810139563499E-4</v>
      </c>
      <c r="F632" s="203">
        <f t="shared" si="39"/>
        <v>9.2132449609926267E-2</v>
      </c>
    </row>
    <row r="633" spans="2:6" x14ac:dyDescent="0.2">
      <c r="B633" s="237">
        <v>1355</v>
      </c>
      <c r="C633" s="114">
        <v>1100</v>
      </c>
      <c r="D633" s="204">
        <f t="shared" si="37"/>
        <v>0.48262548262547633</v>
      </c>
      <c r="E633" s="203">
        <f t="shared" si="38"/>
        <v>2.7310810139563499E-4</v>
      </c>
      <c r="F633" s="203">
        <f t="shared" si="39"/>
        <v>9.2405557711321903E-2</v>
      </c>
    </row>
    <row r="634" spans="2:6" x14ac:dyDescent="0.2">
      <c r="B634" s="238">
        <v>1481</v>
      </c>
      <c r="C634" s="205">
        <v>1100</v>
      </c>
      <c r="D634" s="204">
        <f t="shared" si="37"/>
        <v>0.48339768339767708</v>
      </c>
      <c r="E634" s="203">
        <f t="shared" si="38"/>
        <v>2.7310810139563499E-4</v>
      </c>
      <c r="F634" s="203">
        <f t="shared" si="39"/>
        <v>9.2678665812717539E-2</v>
      </c>
    </row>
    <row r="635" spans="2:6" x14ac:dyDescent="0.2">
      <c r="B635" s="238">
        <v>1541</v>
      </c>
      <c r="C635" s="205">
        <v>1100</v>
      </c>
      <c r="D635" s="204">
        <f t="shared" si="37"/>
        <v>0.48416988416987783</v>
      </c>
      <c r="E635" s="203">
        <f t="shared" si="38"/>
        <v>2.7310810139563499E-4</v>
      </c>
      <c r="F635" s="203">
        <f t="shared" si="39"/>
        <v>9.2951773914113175E-2</v>
      </c>
    </row>
    <row r="636" spans="2:6" x14ac:dyDescent="0.2">
      <c r="B636" s="238">
        <v>1556</v>
      </c>
      <c r="C636" s="205">
        <v>1100</v>
      </c>
      <c r="D636" s="204">
        <f t="shared" si="37"/>
        <v>0.48494208494207858</v>
      </c>
      <c r="E636" s="203">
        <f t="shared" si="38"/>
        <v>2.7310810139563499E-4</v>
      </c>
      <c r="F636" s="203">
        <f t="shared" si="39"/>
        <v>9.3224882015508811E-2</v>
      </c>
    </row>
    <row r="637" spans="2:6" x14ac:dyDescent="0.2">
      <c r="B637" s="238">
        <v>1704</v>
      </c>
      <c r="C637" s="205">
        <v>1100</v>
      </c>
      <c r="D637" s="204">
        <f t="shared" si="37"/>
        <v>0.48571428571427933</v>
      </c>
      <c r="E637" s="203">
        <f t="shared" si="38"/>
        <v>2.7310810139563499E-4</v>
      </c>
      <c r="F637" s="203">
        <f t="shared" si="39"/>
        <v>9.3497990116904447E-2</v>
      </c>
    </row>
    <row r="638" spans="2:6" x14ac:dyDescent="0.2">
      <c r="B638" s="238">
        <v>1741</v>
      </c>
      <c r="C638" s="205">
        <v>1100</v>
      </c>
      <c r="D638" s="204">
        <f t="shared" si="37"/>
        <v>0.48648648648648007</v>
      </c>
      <c r="E638" s="203">
        <f t="shared" si="38"/>
        <v>2.7310810139563499E-4</v>
      </c>
      <c r="F638" s="203">
        <f t="shared" si="39"/>
        <v>9.3771098218300084E-2</v>
      </c>
    </row>
    <row r="639" spans="2:6" x14ac:dyDescent="0.2">
      <c r="B639" s="237">
        <v>1756</v>
      </c>
      <c r="C639" s="114">
        <v>1100</v>
      </c>
      <c r="D639" s="204">
        <f t="shared" si="37"/>
        <v>0.48725868725868082</v>
      </c>
      <c r="E639" s="203">
        <f t="shared" si="38"/>
        <v>2.7310810139563499E-4</v>
      </c>
      <c r="F639" s="203">
        <f t="shared" si="39"/>
        <v>9.404420631969572E-2</v>
      </c>
    </row>
    <row r="640" spans="2:6" x14ac:dyDescent="0.2">
      <c r="B640" s="237">
        <v>2025</v>
      </c>
      <c r="C640" s="114">
        <v>1100</v>
      </c>
      <c r="D640" s="204">
        <f t="shared" si="37"/>
        <v>0.48803088803088157</v>
      </c>
      <c r="E640" s="203">
        <f t="shared" si="38"/>
        <v>2.7310810139563499E-4</v>
      </c>
      <c r="F640" s="203">
        <f t="shared" si="39"/>
        <v>9.4317314421091356E-2</v>
      </c>
    </row>
    <row r="641" spans="2:6" x14ac:dyDescent="0.2">
      <c r="B641" s="237">
        <v>2036</v>
      </c>
      <c r="C641" s="114">
        <v>1100</v>
      </c>
      <c r="D641" s="204">
        <f t="shared" si="37"/>
        <v>0.48880308880308232</v>
      </c>
      <c r="E641" s="203">
        <f t="shared" si="38"/>
        <v>2.7310810139563499E-4</v>
      </c>
      <c r="F641" s="203">
        <f t="shared" si="39"/>
        <v>9.4590422522486992E-2</v>
      </c>
    </row>
    <row r="642" spans="2:6" x14ac:dyDescent="0.2">
      <c r="B642" s="237">
        <v>2109</v>
      </c>
      <c r="C642" s="114">
        <v>1100</v>
      </c>
      <c r="D642" s="204">
        <f t="shared" si="37"/>
        <v>0.48957528957528307</v>
      </c>
      <c r="E642" s="203">
        <f t="shared" si="38"/>
        <v>2.7310810139563499E-4</v>
      </c>
      <c r="F642" s="203">
        <f t="shared" si="39"/>
        <v>9.4863530623882628E-2</v>
      </c>
    </row>
    <row r="643" spans="2:6" x14ac:dyDescent="0.2">
      <c r="B643" s="238">
        <v>2163</v>
      </c>
      <c r="C643" s="205">
        <v>1100</v>
      </c>
      <c r="D643" s="204">
        <f t="shared" si="37"/>
        <v>0.49034749034748382</v>
      </c>
      <c r="E643" s="203">
        <f t="shared" si="38"/>
        <v>2.7310810139563499E-4</v>
      </c>
      <c r="F643" s="203">
        <f t="shared" si="39"/>
        <v>9.5136638725278264E-2</v>
      </c>
    </row>
    <row r="644" spans="2:6" x14ac:dyDescent="0.2">
      <c r="B644" s="237">
        <v>2201</v>
      </c>
      <c r="C644" s="114">
        <v>1100</v>
      </c>
      <c r="D644" s="204">
        <f t="shared" si="37"/>
        <v>0.49111969111968456</v>
      </c>
      <c r="E644" s="203">
        <f t="shared" si="38"/>
        <v>2.7310810139563499E-4</v>
      </c>
      <c r="F644" s="203">
        <f t="shared" si="39"/>
        <v>9.54097468266739E-2</v>
      </c>
    </row>
    <row r="645" spans="2:6" x14ac:dyDescent="0.2">
      <c r="B645" s="237">
        <v>2249</v>
      </c>
      <c r="C645" s="114">
        <v>1100</v>
      </c>
      <c r="D645" s="204">
        <f t="shared" si="37"/>
        <v>0.49189189189188531</v>
      </c>
      <c r="E645" s="203">
        <f t="shared" si="38"/>
        <v>2.7310810139563499E-4</v>
      </c>
      <c r="F645" s="203">
        <f t="shared" si="39"/>
        <v>9.5682854928069536E-2</v>
      </c>
    </row>
    <row r="646" spans="2:6" x14ac:dyDescent="0.2">
      <c r="B646" s="237">
        <v>1684</v>
      </c>
      <c r="C646" s="114">
        <v>1104</v>
      </c>
      <c r="D646" s="204">
        <f t="shared" si="37"/>
        <v>0.49266409266408606</v>
      </c>
      <c r="E646" s="203">
        <f t="shared" si="38"/>
        <v>2.7410122176434637E-4</v>
      </c>
      <c r="F646" s="203">
        <f t="shared" si="39"/>
        <v>9.5956956149833877E-2</v>
      </c>
    </row>
    <row r="647" spans="2:6" x14ac:dyDescent="0.2">
      <c r="B647" s="238">
        <v>1398</v>
      </c>
      <c r="C647" s="205">
        <v>1120</v>
      </c>
      <c r="D647" s="204">
        <f t="shared" si="37"/>
        <v>0.49343629343628681</v>
      </c>
      <c r="E647" s="203">
        <f t="shared" si="38"/>
        <v>2.7807370323919197E-4</v>
      </c>
      <c r="F647" s="203">
        <f t="shared" si="39"/>
        <v>9.623502985307307E-2</v>
      </c>
    </row>
    <row r="648" spans="2:6" x14ac:dyDescent="0.2">
      <c r="B648" s="237">
        <v>2108</v>
      </c>
      <c r="C648" s="114">
        <v>1130</v>
      </c>
      <c r="D648" s="204">
        <f t="shared" si="37"/>
        <v>0.49420849420848756</v>
      </c>
      <c r="E648" s="203">
        <f t="shared" si="38"/>
        <v>2.8055650416097046E-4</v>
      </c>
      <c r="F648" s="203">
        <f t="shared" si="39"/>
        <v>9.6515586357234034E-2</v>
      </c>
    </row>
    <row r="649" spans="2:6" x14ac:dyDescent="0.2">
      <c r="B649" s="237">
        <v>873</v>
      </c>
      <c r="C649" s="114">
        <v>1141.666666666667</v>
      </c>
      <c r="D649" s="204">
        <f t="shared" ref="D649:D712" si="40">D648+1/$L$18</f>
        <v>0.49498069498068831</v>
      </c>
      <c r="E649" s="203">
        <f t="shared" ref="E649:E712" si="41">C649/$O$18</f>
        <v>2.8345310523637877E-4</v>
      </c>
      <c r="F649" s="203">
        <f t="shared" ref="F649:F712" si="42">F648+E649</f>
        <v>9.6799039462470413E-2</v>
      </c>
    </row>
    <row r="650" spans="2:6" x14ac:dyDescent="0.2">
      <c r="B650" s="238">
        <v>1528</v>
      </c>
      <c r="C650" s="205">
        <v>1150</v>
      </c>
      <c r="D650" s="204">
        <f t="shared" si="40"/>
        <v>0.49575289575288906</v>
      </c>
      <c r="E650" s="203">
        <f t="shared" si="41"/>
        <v>2.8552210600452744E-4</v>
      </c>
      <c r="F650" s="203">
        <f t="shared" si="42"/>
        <v>9.7084561568474934E-2</v>
      </c>
    </row>
    <row r="651" spans="2:6" x14ac:dyDescent="0.2">
      <c r="B651" s="237">
        <v>1563</v>
      </c>
      <c r="C651" s="114">
        <v>1150</v>
      </c>
      <c r="D651" s="204">
        <f t="shared" si="40"/>
        <v>0.4965250965250898</v>
      </c>
      <c r="E651" s="203">
        <f t="shared" si="41"/>
        <v>2.8552210600452744E-4</v>
      </c>
      <c r="F651" s="203">
        <f t="shared" si="42"/>
        <v>9.7370083674479455E-2</v>
      </c>
    </row>
    <row r="652" spans="2:6" x14ac:dyDescent="0.2">
      <c r="B652" s="237">
        <v>144</v>
      </c>
      <c r="C652" s="114">
        <v>1152.9000000000001</v>
      </c>
      <c r="D652" s="204">
        <f t="shared" si="40"/>
        <v>0.49729729729729055</v>
      </c>
      <c r="E652" s="203">
        <f t="shared" si="41"/>
        <v>2.8624211827184325E-4</v>
      </c>
      <c r="F652" s="203">
        <f t="shared" si="42"/>
        <v>9.7656325792751297E-2</v>
      </c>
    </row>
    <row r="653" spans="2:6" x14ac:dyDescent="0.2">
      <c r="B653" s="237">
        <v>1005</v>
      </c>
      <c r="C653" s="114">
        <v>1158.3</v>
      </c>
      <c r="D653" s="204">
        <f t="shared" si="40"/>
        <v>0.4980694980694913</v>
      </c>
      <c r="E653" s="203">
        <f t="shared" si="41"/>
        <v>2.8758283076960359E-4</v>
      </c>
      <c r="F653" s="203">
        <f t="shared" si="42"/>
        <v>9.7943908623520898E-2</v>
      </c>
    </row>
    <row r="654" spans="2:6" x14ac:dyDescent="0.2">
      <c r="B654" s="238">
        <v>1062</v>
      </c>
      <c r="C654" s="205">
        <v>1166.666666666667</v>
      </c>
      <c r="D654" s="204">
        <f t="shared" si="40"/>
        <v>0.49884169884169205</v>
      </c>
      <c r="E654" s="203">
        <f t="shared" si="41"/>
        <v>2.8966010754082506E-4</v>
      </c>
      <c r="F654" s="203">
        <f t="shared" si="42"/>
        <v>9.8233568731061718E-2</v>
      </c>
    </row>
    <row r="655" spans="2:6" x14ac:dyDescent="0.2">
      <c r="B655" s="238">
        <v>1779</v>
      </c>
      <c r="C655" s="205">
        <v>1166.666666666667</v>
      </c>
      <c r="D655" s="204">
        <f t="shared" si="40"/>
        <v>0.4996138996138928</v>
      </c>
      <c r="E655" s="203">
        <f t="shared" si="41"/>
        <v>2.8966010754082506E-4</v>
      </c>
      <c r="F655" s="203">
        <f t="shared" si="42"/>
        <v>9.8523228838602539E-2</v>
      </c>
    </row>
    <row r="656" spans="2:6" x14ac:dyDescent="0.2">
      <c r="B656" s="237">
        <v>1790</v>
      </c>
      <c r="C656" s="114">
        <v>1166.666666666667</v>
      </c>
      <c r="D656" s="204">
        <f t="shared" si="40"/>
        <v>0.50038610038609355</v>
      </c>
      <c r="E656" s="203">
        <f t="shared" si="41"/>
        <v>2.8966010754082506E-4</v>
      </c>
      <c r="F656" s="203">
        <f t="shared" si="42"/>
        <v>9.881288894614336E-2</v>
      </c>
    </row>
    <row r="657" spans="2:6" x14ac:dyDescent="0.2">
      <c r="B657" s="237">
        <v>2155</v>
      </c>
      <c r="C657" s="114">
        <v>1166.666666666667</v>
      </c>
      <c r="D657" s="204">
        <f t="shared" si="40"/>
        <v>0.50115830115829429</v>
      </c>
      <c r="E657" s="203">
        <f t="shared" si="41"/>
        <v>2.8966010754082506E-4</v>
      </c>
      <c r="F657" s="203">
        <f t="shared" si="42"/>
        <v>9.910254905368418E-2</v>
      </c>
    </row>
    <row r="658" spans="2:6" x14ac:dyDescent="0.2">
      <c r="B658" s="238">
        <v>743</v>
      </c>
      <c r="C658" s="205">
        <v>1170</v>
      </c>
      <c r="D658" s="204">
        <f t="shared" si="40"/>
        <v>0.50193050193049504</v>
      </c>
      <c r="E658" s="203">
        <f t="shared" si="41"/>
        <v>2.9048770784808448E-4</v>
      </c>
      <c r="F658" s="203">
        <f t="shared" si="42"/>
        <v>9.9393036761532258E-2</v>
      </c>
    </row>
    <row r="659" spans="2:6" x14ac:dyDescent="0.2">
      <c r="B659" s="238">
        <v>1214</v>
      </c>
      <c r="C659" s="205">
        <v>1170</v>
      </c>
      <c r="D659" s="204">
        <f t="shared" si="40"/>
        <v>0.50270270270269579</v>
      </c>
      <c r="E659" s="203">
        <f t="shared" si="41"/>
        <v>2.9048770784808448E-4</v>
      </c>
      <c r="F659" s="203">
        <f t="shared" si="42"/>
        <v>9.9683524469380336E-2</v>
      </c>
    </row>
    <row r="660" spans="2:6" x14ac:dyDescent="0.2">
      <c r="B660" s="237">
        <v>98</v>
      </c>
      <c r="C660" s="114">
        <v>1174.5</v>
      </c>
      <c r="D660" s="204">
        <f t="shared" si="40"/>
        <v>0.50347490347489654</v>
      </c>
      <c r="E660" s="203">
        <f t="shared" si="41"/>
        <v>2.916049682628848E-4</v>
      </c>
      <c r="F660" s="203">
        <f t="shared" si="42"/>
        <v>9.9975129437643223E-2</v>
      </c>
    </row>
    <row r="661" spans="2:6" x14ac:dyDescent="0.2">
      <c r="B661" s="238">
        <v>274</v>
      </c>
      <c r="C661" s="205">
        <v>1175</v>
      </c>
      <c r="D661" s="204">
        <f t="shared" si="40"/>
        <v>0.50424710424709729</v>
      </c>
      <c r="E661" s="203">
        <f t="shared" si="41"/>
        <v>2.9172910830897373E-4</v>
      </c>
      <c r="F661" s="203">
        <f t="shared" si="42"/>
        <v>0.1002668585459522</v>
      </c>
    </row>
    <row r="662" spans="2:6" x14ac:dyDescent="0.2">
      <c r="B662" s="238">
        <v>1277</v>
      </c>
      <c r="C662" s="205">
        <v>1185</v>
      </c>
      <c r="D662" s="204">
        <f t="shared" si="40"/>
        <v>0.50501930501929804</v>
      </c>
      <c r="E662" s="203">
        <f t="shared" si="41"/>
        <v>2.9421190923075222E-4</v>
      </c>
      <c r="F662" s="203">
        <f t="shared" si="42"/>
        <v>0.10056107045518295</v>
      </c>
    </row>
    <row r="663" spans="2:6" x14ac:dyDescent="0.2">
      <c r="B663" s="238">
        <v>236</v>
      </c>
      <c r="C663" s="205">
        <v>1192.5</v>
      </c>
      <c r="D663" s="204">
        <f t="shared" si="40"/>
        <v>0.50579150579149879</v>
      </c>
      <c r="E663" s="203">
        <f t="shared" si="41"/>
        <v>2.9607400992208606E-4</v>
      </c>
      <c r="F663" s="203">
        <f t="shared" si="42"/>
        <v>0.10085714446510503</v>
      </c>
    </row>
    <row r="664" spans="2:6" x14ac:dyDescent="0.2">
      <c r="B664" s="237">
        <v>116</v>
      </c>
      <c r="C664" s="114">
        <v>1200</v>
      </c>
      <c r="D664" s="204">
        <f t="shared" si="40"/>
        <v>0.50656370656369953</v>
      </c>
      <c r="E664" s="203">
        <f t="shared" si="41"/>
        <v>2.9793611061341996E-4</v>
      </c>
      <c r="F664" s="203">
        <f t="shared" si="42"/>
        <v>0.10115508057571845</v>
      </c>
    </row>
    <row r="665" spans="2:6" x14ac:dyDescent="0.2">
      <c r="B665" s="237">
        <v>296</v>
      </c>
      <c r="C665" s="114">
        <v>1200</v>
      </c>
      <c r="D665" s="204">
        <f t="shared" si="40"/>
        <v>0.50733590733590028</v>
      </c>
      <c r="E665" s="203">
        <f t="shared" si="41"/>
        <v>2.9793611061341996E-4</v>
      </c>
      <c r="F665" s="203">
        <f t="shared" si="42"/>
        <v>0.10145301668633187</v>
      </c>
    </row>
    <row r="666" spans="2:6" x14ac:dyDescent="0.2">
      <c r="B666" s="238">
        <v>493</v>
      </c>
      <c r="C666" s="205">
        <v>1200</v>
      </c>
      <c r="D666" s="204">
        <f t="shared" si="40"/>
        <v>0.50810810810810103</v>
      </c>
      <c r="E666" s="203">
        <f t="shared" si="41"/>
        <v>2.9793611061341996E-4</v>
      </c>
      <c r="F666" s="203">
        <f t="shared" si="42"/>
        <v>0.10175095279694529</v>
      </c>
    </row>
    <row r="667" spans="2:6" x14ac:dyDescent="0.2">
      <c r="B667" s="237">
        <v>503</v>
      </c>
      <c r="C667" s="114">
        <v>1200</v>
      </c>
      <c r="D667" s="204">
        <f t="shared" si="40"/>
        <v>0.50888030888030178</v>
      </c>
      <c r="E667" s="203">
        <f t="shared" si="41"/>
        <v>2.9793611061341996E-4</v>
      </c>
      <c r="F667" s="203">
        <f t="shared" si="42"/>
        <v>0.10204888890755871</v>
      </c>
    </row>
    <row r="668" spans="2:6" x14ac:dyDescent="0.2">
      <c r="B668" s="237">
        <v>587</v>
      </c>
      <c r="C668" s="114">
        <v>1200</v>
      </c>
      <c r="D668" s="204">
        <f t="shared" si="40"/>
        <v>0.50965250965250253</v>
      </c>
      <c r="E668" s="203">
        <f t="shared" si="41"/>
        <v>2.9793611061341996E-4</v>
      </c>
      <c r="F668" s="203">
        <f t="shared" si="42"/>
        <v>0.10234682501817213</v>
      </c>
    </row>
    <row r="669" spans="2:6" x14ac:dyDescent="0.2">
      <c r="B669" s="238">
        <v>588</v>
      </c>
      <c r="C669" s="205">
        <v>1200</v>
      </c>
      <c r="D669" s="204">
        <f t="shared" si="40"/>
        <v>0.51042471042470328</v>
      </c>
      <c r="E669" s="203">
        <f t="shared" si="41"/>
        <v>2.9793611061341996E-4</v>
      </c>
      <c r="F669" s="203">
        <f t="shared" si="42"/>
        <v>0.10264476112878555</v>
      </c>
    </row>
    <row r="670" spans="2:6" x14ac:dyDescent="0.2">
      <c r="B670" s="237">
        <v>595</v>
      </c>
      <c r="C670" s="114">
        <v>1200</v>
      </c>
      <c r="D670" s="204">
        <f t="shared" si="40"/>
        <v>0.51119691119690402</v>
      </c>
      <c r="E670" s="203">
        <f t="shared" si="41"/>
        <v>2.9793611061341996E-4</v>
      </c>
      <c r="F670" s="203">
        <f t="shared" si="42"/>
        <v>0.10294269723939897</v>
      </c>
    </row>
    <row r="671" spans="2:6" x14ac:dyDescent="0.2">
      <c r="B671" s="237">
        <v>614</v>
      </c>
      <c r="C671" s="114">
        <v>1200</v>
      </c>
      <c r="D671" s="204">
        <f t="shared" si="40"/>
        <v>0.51196911196910477</v>
      </c>
      <c r="E671" s="203">
        <f t="shared" si="41"/>
        <v>2.9793611061341996E-4</v>
      </c>
      <c r="F671" s="203">
        <f t="shared" si="42"/>
        <v>0.10324063335001239</v>
      </c>
    </row>
    <row r="672" spans="2:6" x14ac:dyDescent="0.2">
      <c r="B672" s="237">
        <v>751</v>
      </c>
      <c r="C672" s="114">
        <v>1200</v>
      </c>
      <c r="D672" s="204">
        <f t="shared" si="40"/>
        <v>0.51274131274130552</v>
      </c>
      <c r="E672" s="203">
        <f t="shared" si="41"/>
        <v>2.9793611061341996E-4</v>
      </c>
      <c r="F672" s="203">
        <f t="shared" si="42"/>
        <v>0.10353856946062581</v>
      </c>
    </row>
    <row r="673" spans="2:6" x14ac:dyDescent="0.2">
      <c r="B673" s="238">
        <v>814</v>
      </c>
      <c r="C673" s="205">
        <v>1200</v>
      </c>
      <c r="D673" s="204">
        <f t="shared" si="40"/>
        <v>0.51351351351350627</v>
      </c>
      <c r="E673" s="203">
        <f t="shared" si="41"/>
        <v>2.9793611061341996E-4</v>
      </c>
      <c r="F673" s="203">
        <f t="shared" si="42"/>
        <v>0.10383650557123923</v>
      </c>
    </row>
    <row r="674" spans="2:6" x14ac:dyDescent="0.2">
      <c r="B674" s="237">
        <v>1038</v>
      </c>
      <c r="C674" s="114">
        <v>1200</v>
      </c>
      <c r="D674" s="204">
        <f t="shared" si="40"/>
        <v>0.51428571428570702</v>
      </c>
      <c r="E674" s="203">
        <f t="shared" si="41"/>
        <v>2.9793611061341996E-4</v>
      </c>
      <c r="F674" s="203">
        <f t="shared" si="42"/>
        <v>0.10413444168185265</v>
      </c>
    </row>
    <row r="675" spans="2:6" x14ac:dyDescent="0.2">
      <c r="B675" s="237">
        <v>1112</v>
      </c>
      <c r="C675" s="114">
        <v>1200</v>
      </c>
      <c r="D675" s="204">
        <f t="shared" si="40"/>
        <v>0.51505791505790777</v>
      </c>
      <c r="E675" s="203">
        <f t="shared" si="41"/>
        <v>2.9793611061341996E-4</v>
      </c>
      <c r="F675" s="203">
        <f t="shared" si="42"/>
        <v>0.10443237779246607</v>
      </c>
    </row>
    <row r="676" spans="2:6" x14ac:dyDescent="0.2">
      <c r="B676" s="237">
        <v>1132</v>
      </c>
      <c r="C676" s="114">
        <v>1200</v>
      </c>
      <c r="D676" s="204">
        <f t="shared" si="40"/>
        <v>0.51583011583010852</v>
      </c>
      <c r="E676" s="203">
        <f t="shared" si="41"/>
        <v>2.9793611061341996E-4</v>
      </c>
      <c r="F676" s="203">
        <f t="shared" si="42"/>
        <v>0.10473031390307949</v>
      </c>
    </row>
    <row r="677" spans="2:6" x14ac:dyDescent="0.2">
      <c r="B677" s="237">
        <v>1137</v>
      </c>
      <c r="C677" s="114">
        <v>1200</v>
      </c>
      <c r="D677" s="204">
        <f t="shared" si="40"/>
        <v>0.51660231660230926</v>
      </c>
      <c r="E677" s="203">
        <f t="shared" si="41"/>
        <v>2.9793611061341996E-4</v>
      </c>
      <c r="F677" s="203">
        <f t="shared" si="42"/>
        <v>0.10502825001369291</v>
      </c>
    </row>
    <row r="678" spans="2:6" x14ac:dyDescent="0.2">
      <c r="B678" s="237">
        <v>1162</v>
      </c>
      <c r="C678" s="114">
        <v>1200</v>
      </c>
      <c r="D678" s="204">
        <f t="shared" si="40"/>
        <v>0.51737451737451001</v>
      </c>
      <c r="E678" s="203">
        <f t="shared" si="41"/>
        <v>2.9793611061341996E-4</v>
      </c>
      <c r="F678" s="203">
        <f t="shared" si="42"/>
        <v>0.10532618612430633</v>
      </c>
    </row>
    <row r="679" spans="2:6" x14ac:dyDescent="0.2">
      <c r="B679" s="237">
        <v>1189</v>
      </c>
      <c r="C679" s="114">
        <v>1200</v>
      </c>
      <c r="D679" s="204">
        <f t="shared" si="40"/>
        <v>0.51814671814671076</v>
      </c>
      <c r="E679" s="203">
        <f t="shared" si="41"/>
        <v>2.9793611061341996E-4</v>
      </c>
      <c r="F679" s="203">
        <f t="shared" si="42"/>
        <v>0.10562412223491975</v>
      </c>
    </row>
    <row r="680" spans="2:6" x14ac:dyDescent="0.2">
      <c r="B680" s="237">
        <v>1232</v>
      </c>
      <c r="C680" s="114">
        <v>1200</v>
      </c>
      <c r="D680" s="204">
        <f t="shared" si="40"/>
        <v>0.51891891891891151</v>
      </c>
      <c r="E680" s="203">
        <f t="shared" si="41"/>
        <v>2.9793611061341996E-4</v>
      </c>
      <c r="F680" s="203">
        <f t="shared" si="42"/>
        <v>0.10592205834553317</v>
      </c>
    </row>
    <row r="681" spans="2:6" x14ac:dyDescent="0.2">
      <c r="B681" s="237">
        <v>1298</v>
      </c>
      <c r="C681" s="114">
        <v>1200</v>
      </c>
      <c r="D681" s="204">
        <f t="shared" si="40"/>
        <v>0.51969111969111226</v>
      </c>
      <c r="E681" s="203">
        <f t="shared" si="41"/>
        <v>2.9793611061341996E-4</v>
      </c>
      <c r="F681" s="203">
        <f t="shared" si="42"/>
        <v>0.10621999445614659</v>
      </c>
    </row>
    <row r="682" spans="2:6" x14ac:dyDescent="0.2">
      <c r="B682" s="238">
        <v>1435</v>
      </c>
      <c r="C682" s="205">
        <v>1200</v>
      </c>
      <c r="D682" s="204">
        <f t="shared" si="40"/>
        <v>0.52046332046331301</v>
      </c>
      <c r="E682" s="203">
        <f t="shared" si="41"/>
        <v>2.9793611061341996E-4</v>
      </c>
      <c r="F682" s="203">
        <f t="shared" si="42"/>
        <v>0.10651793056676001</v>
      </c>
    </row>
    <row r="683" spans="2:6" x14ac:dyDescent="0.2">
      <c r="B683" s="237">
        <v>1438</v>
      </c>
      <c r="C683" s="114">
        <v>1200</v>
      </c>
      <c r="D683" s="204">
        <f t="shared" si="40"/>
        <v>0.52123552123551375</v>
      </c>
      <c r="E683" s="203">
        <f t="shared" si="41"/>
        <v>2.9793611061341996E-4</v>
      </c>
      <c r="F683" s="203">
        <f t="shared" si="42"/>
        <v>0.10681586667737343</v>
      </c>
    </row>
    <row r="684" spans="2:6" x14ac:dyDescent="0.2">
      <c r="B684" s="237">
        <v>1506</v>
      </c>
      <c r="C684" s="114">
        <v>1200</v>
      </c>
      <c r="D684" s="204">
        <f t="shared" si="40"/>
        <v>0.5220077220077145</v>
      </c>
      <c r="E684" s="203">
        <f t="shared" si="41"/>
        <v>2.9793611061341996E-4</v>
      </c>
      <c r="F684" s="203">
        <f t="shared" si="42"/>
        <v>0.10711380278798685</v>
      </c>
    </row>
    <row r="685" spans="2:6" x14ac:dyDescent="0.2">
      <c r="B685" s="238">
        <v>1558</v>
      </c>
      <c r="C685" s="205">
        <v>1200</v>
      </c>
      <c r="D685" s="204">
        <f t="shared" si="40"/>
        <v>0.52277992277991525</v>
      </c>
      <c r="E685" s="203">
        <f t="shared" si="41"/>
        <v>2.9793611061341996E-4</v>
      </c>
      <c r="F685" s="203">
        <f t="shared" si="42"/>
        <v>0.10741173889860027</v>
      </c>
    </row>
    <row r="686" spans="2:6" x14ac:dyDescent="0.2">
      <c r="B686" s="238">
        <v>1593</v>
      </c>
      <c r="C686" s="205">
        <v>1200</v>
      </c>
      <c r="D686" s="204">
        <f t="shared" si="40"/>
        <v>0.523552123552116</v>
      </c>
      <c r="E686" s="203">
        <f t="shared" si="41"/>
        <v>2.9793611061341996E-4</v>
      </c>
      <c r="F686" s="203">
        <f t="shared" si="42"/>
        <v>0.10770967500921369</v>
      </c>
    </row>
    <row r="687" spans="2:6" x14ac:dyDescent="0.2">
      <c r="B687" s="238">
        <v>1643</v>
      </c>
      <c r="C687" s="205">
        <v>1200</v>
      </c>
      <c r="D687" s="204">
        <f t="shared" si="40"/>
        <v>0.52432432432431675</v>
      </c>
      <c r="E687" s="203">
        <f t="shared" si="41"/>
        <v>2.9793611061341996E-4</v>
      </c>
      <c r="F687" s="203">
        <f t="shared" si="42"/>
        <v>0.10800761111982711</v>
      </c>
    </row>
    <row r="688" spans="2:6" x14ac:dyDescent="0.2">
      <c r="B688" s="237">
        <v>1692</v>
      </c>
      <c r="C688" s="114">
        <v>1200</v>
      </c>
      <c r="D688" s="204">
        <f t="shared" si="40"/>
        <v>0.5250965250965175</v>
      </c>
      <c r="E688" s="203">
        <f t="shared" si="41"/>
        <v>2.9793611061341996E-4</v>
      </c>
      <c r="F688" s="203">
        <f t="shared" si="42"/>
        <v>0.10830554723044053</v>
      </c>
    </row>
    <row r="689" spans="2:6" x14ac:dyDescent="0.2">
      <c r="B689" s="238">
        <v>1768</v>
      </c>
      <c r="C689" s="205">
        <v>1200</v>
      </c>
      <c r="D689" s="204">
        <f t="shared" si="40"/>
        <v>0.52586872586871825</v>
      </c>
      <c r="E689" s="203">
        <f t="shared" si="41"/>
        <v>2.9793611061341996E-4</v>
      </c>
      <c r="F689" s="203">
        <f t="shared" si="42"/>
        <v>0.10860348334105395</v>
      </c>
    </row>
    <row r="690" spans="2:6" x14ac:dyDescent="0.2">
      <c r="B690" s="237">
        <v>1840</v>
      </c>
      <c r="C690" s="114">
        <v>1200</v>
      </c>
      <c r="D690" s="204">
        <f t="shared" si="40"/>
        <v>0.52664092664091899</v>
      </c>
      <c r="E690" s="203">
        <f t="shared" si="41"/>
        <v>2.9793611061341996E-4</v>
      </c>
      <c r="F690" s="203">
        <f t="shared" si="42"/>
        <v>0.10890141945166737</v>
      </c>
    </row>
    <row r="691" spans="2:6" x14ac:dyDescent="0.2">
      <c r="B691" s="237">
        <v>1932</v>
      </c>
      <c r="C691" s="114">
        <v>1200</v>
      </c>
      <c r="D691" s="204">
        <f t="shared" si="40"/>
        <v>0.52741312741311974</v>
      </c>
      <c r="E691" s="203">
        <f t="shared" si="41"/>
        <v>2.9793611061341996E-4</v>
      </c>
      <c r="F691" s="203">
        <f t="shared" si="42"/>
        <v>0.10919935556228079</v>
      </c>
    </row>
    <row r="692" spans="2:6" x14ac:dyDescent="0.2">
      <c r="B692" s="237">
        <v>2032</v>
      </c>
      <c r="C692" s="114">
        <v>1200</v>
      </c>
      <c r="D692" s="204">
        <f t="shared" si="40"/>
        <v>0.52818532818532049</v>
      </c>
      <c r="E692" s="203">
        <f t="shared" si="41"/>
        <v>2.9793611061341996E-4</v>
      </c>
      <c r="F692" s="203">
        <f t="shared" si="42"/>
        <v>0.10949729167289421</v>
      </c>
    </row>
    <row r="693" spans="2:6" x14ac:dyDescent="0.2">
      <c r="B693" s="238">
        <v>2058</v>
      </c>
      <c r="C693" s="205">
        <v>1200</v>
      </c>
      <c r="D693" s="204">
        <f t="shared" si="40"/>
        <v>0.52895752895752124</v>
      </c>
      <c r="E693" s="203">
        <f t="shared" si="41"/>
        <v>2.9793611061341996E-4</v>
      </c>
      <c r="F693" s="203">
        <f t="shared" si="42"/>
        <v>0.10979522778350763</v>
      </c>
    </row>
    <row r="694" spans="2:6" x14ac:dyDescent="0.2">
      <c r="B694" s="238">
        <v>2064</v>
      </c>
      <c r="C694" s="205">
        <v>1200</v>
      </c>
      <c r="D694" s="204">
        <f t="shared" si="40"/>
        <v>0.52972972972972199</v>
      </c>
      <c r="E694" s="203">
        <f t="shared" si="41"/>
        <v>2.9793611061341996E-4</v>
      </c>
      <c r="F694" s="203">
        <f t="shared" si="42"/>
        <v>0.11009316389412105</v>
      </c>
    </row>
    <row r="695" spans="2:6" x14ac:dyDescent="0.2">
      <c r="B695" s="238">
        <v>2110</v>
      </c>
      <c r="C695" s="205">
        <v>1200</v>
      </c>
      <c r="D695" s="204">
        <f t="shared" si="40"/>
        <v>0.53050193050192274</v>
      </c>
      <c r="E695" s="203">
        <f t="shared" si="41"/>
        <v>2.9793611061341996E-4</v>
      </c>
      <c r="F695" s="203">
        <f t="shared" si="42"/>
        <v>0.11039110000473447</v>
      </c>
    </row>
    <row r="696" spans="2:6" x14ac:dyDescent="0.2">
      <c r="B696" s="237">
        <v>2131</v>
      </c>
      <c r="C696" s="114">
        <v>1200</v>
      </c>
      <c r="D696" s="204">
        <f t="shared" si="40"/>
        <v>0.53127413127412348</v>
      </c>
      <c r="E696" s="203">
        <f t="shared" si="41"/>
        <v>2.9793611061341996E-4</v>
      </c>
      <c r="F696" s="203">
        <f t="shared" si="42"/>
        <v>0.11068903611534789</v>
      </c>
    </row>
    <row r="697" spans="2:6" x14ac:dyDescent="0.2">
      <c r="B697" s="237">
        <v>2193</v>
      </c>
      <c r="C697" s="114">
        <v>1200</v>
      </c>
      <c r="D697" s="204">
        <f t="shared" si="40"/>
        <v>0.53204633204632423</v>
      </c>
      <c r="E697" s="203">
        <f t="shared" si="41"/>
        <v>2.9793611061341996E-4</v>
      </c>
      <c r="F697" s="203">
        <f t="shared" si="42"/>
        <v>0.11098697222596131</v>
      </c>
    </row>
    <row r="698" spans="2:6" x14ac:dyDescent="0.2">
      <c r="B698" s="237">
        <v>87</v>
      </c>
      <c r="C698" s="114">
        <v>1219</v>
      </c>
      <c r="D698" s="204">
        <f t="shared" si="40"/>
        <v>0.53281853281852498</v>
      </c>
      <c r="E698" s="203">
        <f t="shared" si="41"/>
        <v>3.0265343236479913E-4</v>
      </c>
      <c r="F698" s="203">
        <f t="shared" si="42"/>
        <v>0.11128962565832611</v>
      </c>
    </row>
    <row r="699" spans="2:6" x14ac:dyDescent="0.2">
      <c r="B699" s="237">
        <v>1366</v>
      </c>
      <c r="C699" s="114">
        <v>1235</v>
      </c>
      <c r="D699" s="204">
        <f t="shared" si="40"/>
        <v>0.53359073359072573</v>
      </c>
      <c r="E699" s="203">
        <f t="shared" si="41"/>
        <v>3.0662591383964473E-4</v>
      </c>
      <c r="F699" s="203">
        <f t="shared" si="42"/>
        <v>0.11159625157216575</v>
      </c>
    </row>
    <row r="700" spans="2:6" x14ac:dyDescent="0.2">
      <c r="B700" s="237">
        <v>20</v>
      </c>
      <c r="C700" s="114">
        <v>1250</v>
      </c>
      <c r="D700" s="204">
        <f t="shared" si="40"/>
        <v>0.53436293436292648</v>
      </c>
      <c r="E700" s="203">
        <f t="shared" si="41"/>
        <v>3.1035011522231247E-4</v>
      </c>
      <c r="F700" s="203">
        <f t="shared" si="42"/>
        <v>0.11190660168738807</v>
      </c>
    </row>
    <row r="701" spans="2:6" x14ac:dyDescent="0.2">
      <c r="B701" s="238">
        <v>623</v>
      </c>
      <c r="C701" s="205">
        <v>1250</v>
      </c>
      <c r="D701" s="204">
        <f t="shared" si="40"/>
        <v>0.53513513513512723</v>
      </c>
      <c r="E701" s="203">
        <f t="shared" si="41"/>
        <v>3.1035011522231247E-4</v>
      </c>
      <c r="F701" s="203">
        <f t="shared" si="42"/>
        <v>0.11221695180261039</v>
      </c>
    </row>
    <row r="702" spans="2:6" x14ac:dyDescent="0.2">
      <c r="B702" s="237">
        <v>674</v>
      </c>
      <c r="C702" s="114">
        <v>1250</v>
      </c>
      <c r="D702" s="204">
        <f t="shared" si="40"/>
        <v>0.53590733590732798</v>
      </c>
      <c r="E702" s="203">
        <f t="shared" si="41"/>
        <v>3.1035011522231247E-4</v>
      </c>
      <c r="F702" s="203">
        <f t="shared" si="42"/>
        <v>0.11252730191783271</v>
      </c>
    </row>
    <row r="703" spans="2:6" x14ac:dyDescent="0.2">
      <c r="B703" s="237">
        <v>719</v>
      </c>
      <c r="C703" s="114">
        <v>1250</v>
      </c>
      <c r="D703" s="204">
        <f t="shared" si="40"/>
        <v>0.53667953667952872</v>
      </c>
      <c r="E703" s="203">
        <f t="shared" si="41"/>
        <v>3.1035011522231247E-4</v>
      </c>
      <c r="F703" s="203">
        <f t="shared" si="42"/>
        <v>0.11283765203305503</v>
      </c>
    </row>
    <row r="704" spans="2:6" x14ac:dyDescent="0.2">
      <c r="B704" s="238">
        <v>1095</v>
      </c>
      <c r="C704" s="205">
        <v>1250</v>
      </c>
      <c r="D704" s="204">
        <f t="shared" si="40"/>
        <v>0.53745173745172947</v>
      </c>
      <c r="E704" s="203">
        <f t="shared" si="41"/>
        <v>3.1035011522231247E-4</v>
      </c>
      <c r="F704" s="203">
        <f t="shared" si="42"/>
        <v>0.11314800214827735</v>
      </c>
    </row>
    <row r="705" spans="2:6" x14ac:dyDescent="0.2">
      <c r="B705" s="237">
        <v>1102</v>
      </c>
      <c r="C705" s="114">
        <v>1250</v>
      </c>
      <c r="D705" s="204">
        <f t="shared" si="40"/>
        <v>0.53822393822393022</v>
      </c>
      <c r="E705" s="203">
        <f t="shared" si="41"/>
        <v>3.1035011522231247E-4</v>
      </c>
      <c r="F705" s="203">
        <f t="shared" si="42"/>
        <v>0.11345835226349966</v>
      </c>
    </row>
    <row r="706" spans="2:6" x14ac:dyDescent="0.2">
      <c r="B706" s="238">
        <v>1854</v>
      </c>
      <c r="C706" s="205">
        <v>1250</v>
      </c>
      <c r="D706" s="204">
        <f t="shared" si="40"/>
        <v>0.53899613899613097</v>
      </c>
      <c r="E706" s="203">
        <f t="shared" si="41"/>
        <v>3.1035011522231247E-4</v>
      </c>
      <c r="F706" s="203">
        <f t="shared" si="42"/>
        <v>0.11376870237872198</v>
      </c>
    </row>
    <row r="707" spans="2:6" x14ac:dyDescent="0.2">
      <c r="B707" s="238">
        <v>2140</v>
      </c>
      <c r="C707" s="205">
        <v>1250</v>
      </c>
      <c r="D707" s="204">
        <f t="shared" si="40"/>
        <v>0.53976833976833172</v>
      </c>
      <c r="E707" s="203">
        <f t="shared" si="41"/>
        <v>3.1035011522231247E-4</v>
      </c>
      <c r="F707" s="203">
        <f t="shared" si="42"/>
        <v>0.1140790524939443</v>
      </c>
    </row>
    <row r="708" spans="2:6" x14ac:dyDescent="0.2">
      <c r="B708" s="238">
        <v>2178</v>
      </c>
      <c r="C708" s="205">
        <v>1250</v>
      </c>
      <c r="D708" s="204">
        <f t="shared" si="40"/>
        <v>0.54054054054053247</v>
      </c>
      <c r="E708" s="203">
        <f t="shared" si="41"/>
        <v>3.1035011522231247E-4</v>
      </c>
      <c r="F708" s="203">
        <f t="shared" si="42"/>
        <v>0.11438940260916662</v>
      </c>
    </row>
    <row r="709" spans="2:6" x14ac:dyDescent="0.2">
      <c r="B709" s="238">
        <v>2210</v>
      </c>
      <c r="C709" s="205">
        <v>1250</v>
      </c>
      <c r="D709" s="204">
        <f t="shared" si="40"/>
        <v>0.54131274131273321</v>
      </c>
      <c r="E709" s="203">
        <f t="shared" si="41"/>
        <v>3.1035011522231247E-4</v>
      </c>
      <c r="F709" s="203">
        <f t="shared" si="42"/>
        <v>0.11469975272438894</v>
      </c>
    </row>
    <row r="710" spans="2:6" x14ac:dyDescent="0.2">
      <c r="B710" s="237">
        <v>2196</v>
      </c>
      <c r="C710" s="114">
        <v>1260</v>
      </c>
      <c r="D710" s="204">
        <f t="shared" si="40"/>
        <v>0.54208494208493396</v>
      </c>
      <c r="E710" s="203">
        <f t="shared" si="41"/>
        <v>3.1283291614409096E-4</v>
      </c>
      <c r="F710" s="203">
        <f t="shared" si="42"/>
        <v>0.11501258564053303</v>
      </c>
    </row>
    <row r="711" spans="2:6" x14ac:dyDescent="0.2">
      <c r="B711" s="237">
        <v>1043</v>
      </c>
      <c r="C711" s="114">
        <v>1265</v>
      </c>
      <c r="D711" s="204">
        <f t="shared" si="40"/>
        <v>0.54285714285713471</v>
      </c>
      <c r="E711" s="203">
        <f t="shared" si="41"/>
        <v>3.140743166049802E-4</v>
      </c>
      <c r="F711" s="203">
        <f t="shared" si="42"/>
        <v>0.11532665995713801</v>
      </c>
    </row>
    <row r="712" spans="2:6" x14ac:dyDescent="0.2">
      <c r="B712" s="237">
        <v>382</v>
      </c>
      <c r="C712" s="114">
        <v>1272</v>
      </c>
      <c r="D712" s="204">
        <f t="shared" si="40"/>
        <v>0.54362934362933546</v>
      </c>
      <c r="E712" s="203">
        <f t="shared" si="41"/>
        <v>3.1581227725022517E-4</v>
      </c>
      <c r="F712" s="203">
        <f t="shared" si="42"/>
        <v>0.11564247223438823</v>
      </c>
    </row>
    <row r="713" spans="2:6" x14ac:dyDescent="0.2">
      <c r="B713" s="237">
        <v>1786</v>
      </c>
      <c r="C713" s="114">
        <v>1286.416666666667</v>
      </c>
      <c r="D713" s="204">
        <f t="shared" ref="D713:D776" si="43">D712+1/$L$18</f>
        <v>0.54440154440153621</v>
      </c>
      <c r="E713" s="203">
        <f t="shared" ref="E713:E776" si="44">C713/$O$18</f>
        <v>3.1939164857912257E-4</v>
      </c>
      <c r="F713" s="203">
        <f t="shared" ref="F713:F776" si="45">F712+E713</f>
        <v>0.11596186388296735</v>
      </c>
    </row>
    <row r="714" spans="2:6" x14ac:dyDescent="0.2">
      <c r="B714" s="237">
        <v>661</v>
      </c>
      <c r="C714" s="114">
        <v>1287.022916666667</v>
      </c>
      <c r="D714" s="204">
        <f t="shared" si="43"/>
        <v>0.54517374517373696</v>
      </c>
      <c r="E714" s="203">
        <f t="shared" si="44"/>
        <v>3.195421683850054E-4</v>
      </c>
      <c r="F714" s="203">
        <f t="shared" si="45"/>
        <v>0.11628140605135236</v>
      </c>
    </row>
    <row r="715" spans="2:6" x14ac:dyDescent="0.2">
      <c r="B715" s="238">
        <v>2262</v>
      </c>
      <c r="C715" s="205">
        <v>1290</v>
      </c>
      <c r="D715" s="204">
        <f t="shared" si="43"/>
        <v>0.54594594594593771</v>
      </c>
      <c r="E715" s="203">
        <f t="shared" si="44"/>
        <v>3.2028131890942643E-4</v>
      </c>
      <c r="F715" s="203">
        <f t="shared" si="45"/>
        <v>0.11660168737026179</v>
      </c>
    </row>
    <row r="716" spans="2:6" x14ac:dyDescent="0.2">
      <c r="B716" s="237">
        <v>710</v>
      </c>
      <c r="C716" s="114">
        <v>1291.666666666667</v>
      </c>
      <c r="D716" s="204">
        <f t="shared" si="43"/>
        <v>0.54671814671813845</v>
      </c>
      <c r="E716" s="203">
        <f t="shared" si="44"/>
        <v>3.2069511906305631E-4</v>
      </c>
      <c r="F716" s="203">
        <f t="shared" si="45"/>
        <v>0.11692238248932485</v>
      </c>
    </row>
    <row r="717" spans="2:6" x14ac:dyDescent="0.2">
      <c r="B717" s="237">
        <v>367</v>
      </c>
      <c r="C717" s="114">
        <v>1300</v>
      </c>
      <c r="D717" s="204">
        <f t="shared" si="43"/>
        <v>0.5474903474903392</v>
      </c>
      <c r="E717" s="203">
        <f t="shared" si="44"/>
        <v>3.2276411983120498E-4</v>
      </c>
      <c r="F717" s="203">
        <f t="shared" si="45"/>
        <v>0.11724514660915605</v>
      </c>
    </row>
    <row r="718" spans="2:6" x14ac:dyDescent="0.2">
      <c r="B718" s="238">
        <v>482</v>
      </c>
      <c r="C718" s="205">
        <v>1300</v>
      </c>
      <c r="D718" s="204">
        <f t="shared" si="43"/>
        <v>0.54826254826253995</v>
      </c>
      <c r="E718" s="203">
        <f t="shared" si="44"/>
        <v>3.2276411983120498E-4</v>
      </c>
      <c r="F718" s="203">
        <f t="shared" si="45"/>
        <v>0.11756791072898726</v>
      </c>
    </row>
    <row r="719" spans="2:6" x14ac:dyDescent="0.2">
      <c r="B719" s="237">
        <v>597</v>
      </c>
      <c r="C719" s="114">
        <v>1300</v>
      </c>
      <c r="D719" s="204">
        <f t="shared" si="43"/>
        <v>0.5490347490347407</v>
      </c>
      <c r="E719" s="203">
        <f t="shared" si="44"/>
        <v>3.2276411983120498E-4</v>
      </c>
      <c r="F719" s="203">
        <f t="shared" si="45"/>
        <v>0.11789067484881846</v>
      </c>
    </row>
    <row r="720" spans="2:6" x14ac:dyDescent="0.2">
      <c r="B720" s="238">
        <v>696</v>
      </c>
      <c r="C720" s="205">
        <v>1300</v>
      </c>
      <c r="D720" s="204">
        <f t="shared" si="43"/>
        <v>0.54980694980694145</v>
      </c>
      <c r="E720" s="203">
        <f t="shared" si="44"/>
        <v>3.2276411983120498E-4</v>
      </c>
      <c r="F720" s="203">
        <f t="shared" si="45"/>
        <v>0.11821343896864966</v>
      </c>
    </row>
    <row r="721" spans="2:6" x14ac:dyDescent="0.2">
      <c r="B721" s="238">
        <v>703</v>
      </c>
      <c r="C721" s="205">
        <v>1300</v>
      </c>
      <c r="D721" s="204">
        <f t="shared" si="43"/>
        <v>0.5505791505791422</v>
      </c>
      <c r="E721" s="203">
        <f t="shared" si="44"/>
        <v>3.2276411983120498E-4</v>
      </c>
      <c r="F721" s="203">
        <f t="shared" si="45"/>
        <v>0.11853620308848087</v>
      </c>
    </row>
    <row r="722" spans="2:6" x14ac:dyDescent="0.2">
      <c r="B722" s="238">
        <v>1073</v>
      </c>
      <c r="C722" s="205">
        <v>1300</v>
      </c>
      <c r="D722" s="204">
        <f t="shared" si="43"/>
        <v>0.55135135135134294</v>
      </c>
      <c r="E722" s="203">
        <f t="shared" si="44"/>
        <v>3.2276411983120498E-4</v>
      </c>
      <c r="F722" s="203">
        <f t="shared" si="45"/>
        <v>0.11885896720831207</v>
      </c>
    </row>
    <row r="723" spans="2:6" x14ac:dyDescent="0.2">
      <c r="B723" s="238">
        <v>1166</v>
      </c>
      <c r="C723" s="205">
        <v>1300</v>
      </c>
      <c r="D723" s="204">
        <f t="shared" si="43"/>
        <v>0.55212355212354369</v>
      </c>
      <c r="E723" s="203">
        <f t="shared" si="44"/>
        <v>3.2276411983120498E-4</v>
      </c>
      <c r="F723" s="203">
        <f t="shared" si="45"/>
        <v>0.11918173132814328</v>
      </c>
    </row>
    <row r="724" spans="2:6" x14ac:dyDescent="0.2">
      <c r="B724" s="237">
        <v>1255</v>
      </c>
      <c r="C724" s="114">
        <v>1300</v>
      </c>
      <c r="D724" s="204">
        <f t="shared" si="43"/>
        <v>0.55289575289574444</v>
      </c>
      <c r="E724" s="203">
        <f t="shared" si="44"/>
        <v>3.2276411983120498E-4</v>
      </c>
      <c r="F724" s="203">
        <f t="shared" si="45"/>
        <v>0.11950449544797448</v>
      </c>
    </row>
    <row r="725" spans="2:6" x14ac:dyDescent="0.2">
      <c r="B725" s="237">
        <v>1304</v>
      </c>
      <c r="C725" s="114">
        <v>1300</v>
      </c>
      <c r="D725" s="204">
        <f t="shared" si="43"/>
        <v>0.55366795366794519</v>
      </c>
      <c r="E725" s="203">
        <f t="shared" si="44"/>
        <v>3.2276411983120498E-4</v>
      </c>
      <c r="F725" s="203">
        <f t="shared" si="45"/>
        <v>0.11982725956780568</v>
      </c>
    </row>
    <row r="726" spans="2:6" x14ac:dyDescent="0.2">
      <c r="B726" s="237">
        <v>1424</v>
      </c>
      <c r="C726" s="114">
        <v>1300</v>
      </c>
      <c r="D726" s="204">
        <f t="shared" si="43"/>
        <v>0.55444015444014594</v>
      </c>
      <c r="E726" s="203">
        <f t="shared" si="44"/>
        <v>3.2276411983120498E-4</v>
      </c>
      <c r="F726" s="203">
        <f t="shared" si="45"/>
        <v>0.12015002368763689</v>
      </c>
    </row>
    <row r="727" spans="2:6" x14ac:dyDescent="0.2">
      <c r="B727" s="238">
        <v>1484</v>
      </c>
      <c r="C727" s="205">
        <v>1300</v>
      </c>
      <c r="D727" s="204">
        <f t="shared" si="43"/>
        <v>0.55521235521234669</v>
      </c>
      <c r="E727" s="203">
        <f t="shared" si="44"/>
        <v>3.2276411983120498E-4</v>
      </c>
      <c r="F727" s="203">
        <f t="shared" si="45"/>
        <v>0.12047278780746809</v>
      </c>
    </row>
    <row r="728" spans="2:6" x14ac:dyDescent="0.2">
      <c r="B728" s="238">
        <v>1536</v>
      </c>
      <c r="C728" s="205">
        <v>1300</v>
      </c>
      <c r="D728" s="204">
        <f t="shared" si="43"/>
        <v>0.55598455598454743</v>
      </c>
      <c r="E728" s="203">
        <f t="shared" si="44"/>
        <v>3.2276411983120498E-4</v>
      </c>
      <c r="F728" s="203">
        <f t="shared" si="45"/>
        <v>0.12079555192729929</v>
      </c>
    </row>
    <row r="729" spans="2:6" x14ac:dyDescent="0.2">
      <c r="B729" s="238">
        <v>1553</v>
      </c>
      <c r="C729" s="205">
        <v>1300</v>
      </c>
      <c r="D729" s="204">
        <f t="shared" si="43"/>
        <v>0.55675675675674818</v>
      </c>
      <c r="E729" s="203">
        <f t="shared" si="44"/>
        <v>3.2276411983120498E-4</v>
      </c>
      <c r="F729" s="203">
        <f t="shared" si="45"/>
        <v>0.1211183160471305</v>
      </c>
    </row>
    <row r="730" spans="2:6" x14ac:dyDescent="0.2">
      <c r="B730" s="237">
        <v>1638</v>
      </c>
      <c r="C730" s="114">
        <v>1300</v>
      </c>
      <c r="D730" s="204">
        <f t="shared" si="43"/>
        <v>0.55752895752894893</v>
      </c>
      <c r="E730" s="203">
        <f t="shared" si="44"/>
        <v>3.2276411983120498E-4</v>
      </c>
      <c r="F730" s="203">
        <f t="shared" si="45"/>
        <v>0.1214410801669617</v>
      </c>
    </row>
    <row r="731" spans="2:6" x14ac:dyDescent="0.2">
      <c r="B731" s="238">
        <v>1750</v>
      </c>
      <c r="C731" s="205">
        <v>1300</v>
      </c>
      <c r="D731" s="204">
        <f t="shared" si="43"/>
        <v>0.55830115830114968</v>
      </c>
      <c r="E731" s="203">
        <f t="shared" si="44"/>
        <v>3.2276411983120498E-4</v>
      </c>
      <c r="F731" s="203">
        <f t="shared" si="45"/>
        <v>0.1217638442867929</v>
      </c>
    </row>
    <row r="732" spans="2:6" x14ac:dyDescent="0.2">
      <c r="B732" s="237">
        <v>1836</v>
      </c>
      <c r="C732" s="114">
        <v>1300</v>
      </c>
      <c r="D732" s="204">
        <f t="shared" si="43"/>
        <v>0.55907335907335043</v>
      </c>
      <c r="E732" s="203">
        <f t="shared" si="44"/>
        <v>3.2276411983120498E-4</v>
      </c>
      <c r="F732" s="203">
        <f t="shared" si="45"/>
        <v>0.12208660840662411</v>
      </c>
    </row>
    <row r="733" spans="2:6" x14ac:dyDescent="0.2">
      <c r="B733" s="237">
        <v>1847</v>
      </c>
      <c r="C733" s="114">
        <v>1300</v>
      </c>
      <c r="D733" s="204">
        <f t="shared" si="43"/>
        <v>0.55984555984555118</v>
      </c>
      <c r="E733" s="203">
        <f t="shared" si="44"/>
        <v>3.2276411983120498E-4</v>
      </c>
      <c r="F733" s="203">
        <f t="shared" si="45"/>
        <v>0.12240937252645531</v>
      </c>
    </row>
    <row r="734" spans="2:6" x14ac:dyDescent="0.2">
      <c r="B734" s="237">
        <v>1901</v>
      </c>
      <c r="C734" s="114">
        <v>1300</v>
      </c>
      <c r="D734" s="204">
        <f t="shared" si="43"/>
        <v>0.56061776061775193</v>
      </c>
      <c r="E734" s="203">
        <f t="shared" si="44"/>
        <v>3.2276411983120498E-4</v>
      </c>
      <c r="F734" s="203">
        <f t="shared" si="45"/>
        <v>0.12273213664628652</v>
      </c>
    </row>
    <row r="735" spans="2:6" x14ac:dyDescent="0.2">
      <c r="B735" s="238">
        <v>2013</v>
      </c>
      <c r="C735" s="205">
        <v>1300</v>
      </c>
      <c r="D735" s="204">
        <f t="shared" si="43"/>
        <v>0.56138996138995267</v>
      </c>
      <c r="E735" s="203">
        <f t="shared" si="44"/>
        <v>3.2276411983120498E-4</v>
      </c>
      <c r="F735" s="203">
        <f t="shared" si="45"/>
        <v>0.12305490076611772</v>
      </c>
    </row>
    <row r="736" spans="2:6" x14ac:dyDescent="0.2">
      <c r="B736" s="238">
        <v>2095</v>
      </c>
      <c r="C736" s="205">
        <v>1300</v>
      </c>
      <c r="D736" s="204">
        <f t="shared" si="43"/>
        <v>0.56216216216215342</v>
      </c>
      <c r="E736" s="203">
        <f t="shared" si="44"/>
        <v>3.2276411983120498E-4</v>
      </c>
      <c r="F736" s="203">
        <f t="shared" si="45"/>
        <v>0.12337766488594892</v>
      </c>
    </row>
    <row r="737" spans="2:6" x14ac:dyDescent="0.2">
      <c r="B737" s="238">
        <v>377</v>
      </c>
      <c r="C737" s="205">
        <v>1325</v>
      </c>
      <c r="D737" s="204">
        <f t="shared" si="43"/>
        <v>0.56293436293435417</v>
      </c>
      <c r="E737" s="203">
        <f t="shared" si="44"/>
        <v>3.2897112213565121E-4</v>
      </c>
      <c r="F737" s="203">
        <f t="shared" si="45"/>
        <v>0.12370663600808457</v>
      </c>
    </row>
    <row r="738" spans="2:6" x14ac:dyDescent="0.2">
      <c r="B738" s="237">
        <v>1548</v>
      </c>
      <c r="C738" s="114">
        <v>1325</v>
      </c>
      <c r="D738" s="204">
        <f t="shared" si="43"/>
        <v>0.56370656370655492</v>
      </c>
      <c r="E738" s="203">
        <f t="shared" si="44"/>
        <v>3.2897112213565121E-4</v>
      </c>
      <c r="F738" s="203">
        <f t="shared" si="45"/>
        <v>0.12403560713022022</v>
      </c>
    </row>
    <row r="739" spans="2:6" x14ac:dyDescent="0.2">
      <c r="B739" s="238">
        <v>1947</v>
      </c>
      <c r="C739" s="205">
        <v>1330</v>
      </c>
      <c r="D739" s="204">
        <f t="shared" si="43"/>
        <v>0.56447876447875567</v>
      </c>
      <c r="E739" s="203">
        <f t="shared" si="44"/>
        <v>3.3021252259654045E-4</v>
      </c>
      <c r="F739" s="203">
        <f t="shared" si="45"/>
        <v>0.12436581965281676</v>
      </c>
    </row>
    <row r="740" spans="2:6" x14ac:dyDescent="0.2">
      <c r="B740" s="237">
        <v>1646</v>
      </c>
      <c r="C740" s="114">
        <v>1333.333333333333</v>
      </c>
      <c r="D740" s="204">
        <f t="shared" si="43"/>
        <v>0.56525096525095642</v>
      </c>
      <c r="E740" s="203">
        <f t="shared" si="44"/>
        <v>3.3104012290379988E-4</v>
      </c>
      <c r="F740" s="203">
        <f t="shared" si="45"/>
        <v>0.12469685977572056</v>
      </c>
    </row>
    <row r="741" spans="2:6" x14ac:dyDescent="0.2">
      <c r="B741" s="237">
        <v>1880</v>
      </c>
      <c r="C741" s="114">
        <v>1344</v>
      </c>
      <c r="D741" s="204">
        <f t="shared" si="43"/>
        <v>0.56602316602315716</v>
      </c>
      <c r="E741" s="203">
        <f t="shared" si="44"/>
        <v>3.3368844388703033E-4</v>
      </c>
      <c r="F741" s="203">
        <f t="shared" si="45"/>
        <v>0.1250305482196076</v>
      </c>
    </row>
    <row r="742" spans="2:6" x14ac:dyDescent="0.2">
      <c r="B742" s="238">
        <v>329</v>
      </c>
      <c r="C742" s="205">
        <v>1350</v>
      </c>
      <c r="D742" s="204">
        <f t="shared" si="43"/>
        <v>0.56679536679535791</v>
      </c>
      <c r="E742" s="203">
        <f t="shared" si="44"/>
        <v>3.3517812444009744E-4</v>
      </c>
      <c r="F742" s="203">
        <f t="shared" si="45"/>
        <v>0.12536572634404769</v>
      </c>
    </row>
    <row r="743" spans="2:6" x14ac:dyDescent="0.2">
      <c r="B743" s="237">
        <v>1079</v>
      </c>
      <c r="C743" s="114">
        <v>1350</v>
      </c>
      <c r="D743" s="204">
        <f t="shared" si="43"/>
        <v>0.56756756756755866</v>
      </c>
      <c r="E743" s="203">
        <f t="shared" si="44"/>
        <v>3.3517812444009744E-4</v>
      </c>
      <c r="F743" s="203">
        <f t="shared" si="45"/>
        <v>0.12570090446848778</v>
      </c>
    </row>
    <row r="744" spans="2:6" x14ac:dyDescent="0.2">
      <c r="B744" s="237">
        <v>1622</v>
      </c>
      <c r="C744" s="114">
        <v>1350</v>
      </c>
      <c r="D744" s="204">
        <f t="shared" si="43"/>
        <v>0.56833976833975941</v>
      </c>
      <c r="E744" s="203">
        <f t="shared" si="44"/>
        <v>3.3517812444009744E-4</v>
      </c>
      <c r="F744" s="203">
        <f t="shared" si="45"/>
        <v>0.12603608259292787</v>
      </c>
    </row>
    <row r="745" spans="2:6" x14ac:dyDescent="0.2">
      <c r="B745" s="237">
        <v>2052</v>
      </c>
      <c r="C745" s="114">
        <v>1350</v>
      </c>
      <c r="D745" s="204">
        <f t="shared" si="43"/>
        <v>0.56911196911196016</v>
      </c>
      <c r="E745" s="203">
        <f t="shared" si="44"/>
        <v>3.3517812444009744E-4</v>
      </c>
      <c r="F745" s="203">
        <f t="shared" si="45"/>
        <v>0.12637126071736796</v>
      </c>
    </row>
    <row r="746" spans="2:6" x14ac:dyDescent="0.2">
      <c r="B746" s="238">
        <v>1701</v>
      </c>
      <c r="C746" s="205">
        <v>1361.208333333333</v>
      </c>
      <c r="D746" s="204">
        <f t="shared" si="43"/>
        <v>0.56988416988416091</v>
      </c>
      <c r="E746" s="203">
        <f t="shared" si="44"/>
        <v>3.3796093047325747E-4</v>
      </c>
      <c r="F746" s="203">
        <f t="shared" si="45"/>
        <v>0.12670922164784121</v>
      </c>
    </row>
    <row r="747" spans="2:6" x14ac:dyDescent="0.2">
      <c r="B747" s="238">
        <v>1006</v>
      </c>
      <c r="C747" s="205">
        <v>1390</v>
      </c>
      <c r="D747" s="204">
        <f t="shared" si="43"/>
        <v>0.57065637065636166</v>
      </c>
      <c r="E747" s="203">
        <f t="shared" si="44"/>
        <v>3.4510932812721146E-4</v>
      </c>
      <c r="F747" s="203">
        <f t="shared" si="45"/>
        <v>0.12705433097596841</v>
      </c>
    </row>
    <row r="748" spans="2:6" x14ac:dyDescent="0.2">
      <c r="B748" s="238">
        <v>1495</v>
      </c>
      <c r="C748" s="205">
        <v>1390</v>
      </c>
      <c r="D748" s="204">
        <f t="shared" si="43"/>
        <v>0.5714285714285624</v>
      </c>
      <c r="E748" s="203">
        <f t="shared" si="44"/>
        <v>3.4510932812721146E-4</v>
      </c>
      <c r="F748" s="203">
        <f t="shared" si="45"/>
        <v>0.12739944030409561</v>
      </c>
    </row>
    <row r="749" spans="2:6" x14ac:dyDescent="0.2">
      <c r="B749" s="237">
        <v>526</v>
      </c>
      <c r="C749" s="114">
        <v>1400</v>
      </c>
      <c r="D749" s="204">
        <f t="shared" si="43"/>
        <v>0.57220077220076315</v>
      </c>
      <c r="E749" s="203">
        <f t="shared" si="44"/>
        <v>3.4759212904898995E-4</v>
      </c>
      <c r="F749" s="203">
        <f t="shared" si="45"/>
        <v>0.12774703243314461</v>
      </c>
    </row>
    <row r="750" spans="2:6" x14ac:dyDescent="0.2">
      <c r="B750" s="237">
        <v>922</v>
      </c>
      <c r="C750" s="114">
        <v>1400</v>
      </c>
      <c r="D750" s="204">
        <f t="shared" si="43"/>
        <v>0.5729729729729639</v>
      </c>
      <c r="E750" s="203">
        <f t="shared" si="44"/>
        <v>3.4759212904898995E-4</v>
      </c>
      <c r="F750" s="203">
        <f t="shared" si="45"/>
        <v>0.12809462456219362</v>
      </c>
    </row>
    <row r="751" spans="2:6" x14ac:dyDescent="0.2">
      <c r="B751" s="237">
        <v>1037</v>
      </c>
      <c r="C751" s="114">
        <v>1400</v>
      </c>
      <c r="D751" s="204">
        <f t="shared" si="43"/>
        <v>0.57374517374516465</v>
      </c>
      <c r="E751" s="203">
        <f t="shared" si="44"/>
        <v>3.4759212904898995E-4</v>
      </c>
      <c r="F751" s="203">
        <f t="shared" si="45"/>
        <v>0.12844221669124262</v>
      </c>
    </row>
    <row r="752" spans="2:6" x14ac:dyDescent="0.2">
      <c r="B752" s="237">
        <v>1131</v>
      </c>
      <c r="C752" s="114">
        <v>1400</v>
      </c>
      <c r="D752" s="204">
        <f t="shared" si="43"/>
        <v>0.5745173745173654</v>
      </c>
      <c r="E752" s="203">
        <f t="shared" si="44"/>
        <v>3.4759212904898995E-4</v>
      </c>
      <c r="F752" s="203">
        <f t="shared" si="45"/>
        <v>0.12878980882029162</v>
      </c>
    </row>
    <row r="753" spans="2:6" x14ac:dyDescent="0.2">
      <c r="B753" s="237">
        <v>1470</v>
      </c>
      <c r="C753" s="114">
        <v>1400</v>
      </c>
      <c r="D753" s="204">
        <f t="shared" si="43"/>
        <v>0.57528957528956615</v>
      </c>
      <c r="E753" s="203">
        <f t="shared" si="44"/>
        <v>3.4759212904898995E-4</v>
      </c>
      <c r="F753" s="203">
        <f t="shared" si="45"/>
        <v>0.12913740094934062</v>
      </c>
    </row>
    <row r="754" spans="2:6" x14ac:dyDescent="0.2">
      <c r="B754" s="237">
        <v>1671</v>
      </c>
      <c r="C754" s="114">
        <v>1400</v>
      </c>
      <c r="D754" s="204">
        <f t="shared" si="43"/>
        <v>0.57606177606176689</v>
      </c>
      <c r="E754" s="203">
        <f t="shared" si="44"/>
        <v>3.4759212904898995E-4</v>
      </c>
      <c r="F754" s="203">
        <f t="shared" si="45"/>
        <v>0.12948499307838962</v>
      </c>
    </row>
    <row r="755" spans="2:6" x14ac:dyDescent="0.2">
      <c r="B755" s="238">
        <v>1751</v>
      </c>
      <c r="C755" s="205">
        <v>1400</v>
      </c>
      <c r="D755" s="204">
        <f t="shared" si="43"/>
        <v>0.57683397683396764</v>
      </c>
      <c r="E755" s="203">
        <f t="shared" si="44"/>
        <v>3.4759212904898995E-4</v>
      </c>
      <c r="F755" s="203">
        <f t="shared" si="45"/>
        <v>0.12983258520743862</v>
      </c>
    </row>
    <row r="756" spans="2:6" x14ac:dyDescent="0.2">
      <c r="B756" s="237">
        <v>1774</v>
      </c>
      <c r="C756" s="114">
        <v>1400</v>
      </c>
      <c r="D756" s="204">
        <f t="shared" si="43"/>
        <v>0.57760617760616839</v>
      </c>
      <c r="E756" s="203">
        <f t="shared" si="44"/>
        <v>3.4759212904898995E-4</v>
      </c>
      <c r="F756" s="203">
        <f t="shared" si="45"/>
        <v>0.13018017733648762</v>
      </c>
    </row>
    <row r="757" spans="2:6" x14ac:dyDescent="0.2">
      <c r="B757" s="238">
        <v>1838</v>
      </c>
      <c r="C757" s="205">
        <v>1400</v>
      </c>
      <c r="D757" s="204">
        <f t="shared" si="43"/>
        <v>0.57837837837836914</v>
      </c>
      <c r="E757" s="203">
        <f t="shared" si="44"/>
        <v>3.4759212904898995E-4</v>
      </c>
      <c r="F757" s="203">
        <f t="shared" si="45"/>
        <v>0.13052776946553662</v>
      </c>
    </row>
    <row r="758" spans="2:6" x14ac:dyDescent="0.2">
      <c r="B758" s="238">
        <v>1856</v>
      </c>
      <c r="C758" s="205">
        <v>1400</v>
      </c>
      <c r="D758" s="204">
        <f t="shared" si="43"/>
        <v>0.57915057915056989</v>
      </c>
      <c r="E758" s="203">
        <f t="shared" si="44"/>
        <v>3.4759212904898995E-4</v>
      </c>
      <c r="F758" s="203">
        <f t="shared" si="45"/>
        <v>0.13087536159458563</v>
      </c>
    </row>
    <row r="759" spans="2:6" x14ac:dyDescent="0.2">
      <c r="B759" s="238">
        <v>2250</v>
      </c>
      <c r="C759" s="205">
        <v>1400</v>
      </c>
      <c r="D759" s="204">
        <f t="shared" si="43"/>
        <v>0.57992277992277064</v>
      </c>
      <c r="E759" s="203">
        <f t="shared" si="44"/>
        <v>3.4759212904898995E-4</v>
      </c>
      <c r="F759" s="203">
        <f t="shared" si="45"/>
        <v>0.13122295372363463</v>
      </c>
    </row>
    <row r="760" spans="2:6" x14ac:dyDescent="0.2">
      <c r="B760" s="238">
        <v>1929</v>
      </c>
      <c r="C760" s="205">
        <v>1416.666666666667</v>
      </c>
      <c r="D760" s="204">
        <f t="shared" si="43"/>
        <v>0.58069498069497139</v>
      </c>
      <c r="E760" s="203">
        <f t="shared" si="44"/>
        <v>3.5173013058528751E-4</v>
      </c>
      <c r="F760" s="203">
        <f t="shared" si="45"/>
        <v>0.13157468385421991</v>
      </c>
    </row>
    <row r="761" spans="2:6" x14ac:dyDescent="0.2">
      <c r="B761" s="237">
        <v>1941</v>
      </c>
      <c r="C761" s="114">
        <v>1416.666666666667</v>
      </c>
      <c r="D761" s="204">
        <f t="shared" si="43"/>
        <v>0.58146718146717213</v>
      </c>
      <c r="E761" s="203">
        <f t="shared" si="44"/>
        <v>3.5173013058528751E-4</v>
      </c>
      <c r="F761" s="203">
        <f t="shared" si="45"/>
        <v>0.1319264139848052</v>
      </c>
    </row>
    <row r="762" spans="2:6" x14ac:dyDescent="0.2">
      <c r="B762" s="237">
        <v>1999</v>
      </c>
      <c r="C762" s="114">
        <v>1416.666666666667</v>
      </c>
      <c r="D762" s="204">
        <f t="shared" si="43"/>
        <v>0.58223938223937288</v>
      </c>
      <c r="E762" s="203">
        <f t="shared" si="44"/>
        <v>3.5173013058528751E-4</v>
      </c>
      <c r="F762" s="203">
        <f t="shared" si="45"/>
        <v>0.13227814411539049</v>
      </c>
    </row>
    <row r="763" spans="2:6" x14ac:dyDescent="0.2">
      <c r="B763" s="237">
        <v>1370</v>
      </c>
      <c r="C763" s="114">
        <v>1436</v>
      </c>
      <c r="D763" s="204">
        <f t="shared" si="43"/>
        <v>0.58301158301157363</v>
      </c>
      <c r="E763" s="203">
        <f t="shared" si="44"/>
        <v>3.5653021236739253E-4</v>
      </c>
      <c r="F763" s="203">
        <f t="shared" si="45"/>
        <v>0.13263467432775788</v>
      </c>
    </row>
    <row r="764" spans="2:6" x14ac:dyDescent="0.2">
      <c r="B764" s="237">
        <v>1740</v>
      </c>
      <c r="C764" s="114">
        <v>1436</v>
      </c>
      <c r="D764" s="204">
        <f t="shared" si="43"/>
        <v>0.58378378378377438</v>
      </c>
      <c r="E764" s="203">
        <f t="shared" si="44"/>
        <v>3.5653021236739253E-4</v>
      </c>
      <c r="F764" s="203">
        <f t="shared" si="45"/>
        <v>0.13299120454012528</v>
      </c>
    </row>
    <row r="765" spans="2:6" x14ac:dyDescent="0.2">
      <c r="B765" s="238">
        <v>1248</v>
      </c>
      <c r="C765" s="205">
        <v>1439.1</v>
      </c>
      <c r="D765" s="204">
        <f t="shared" si="43"/>
        <v>0.58455598455597513</v>
      </c>
      <c r="E765" s="203">
        <f t="shared" si="44"/>
        <v>3.5729988065314388E-4</v>
      </c>
      <c r="F765" s="203">
        <f t="shared" si="45"/>
        <v>0.13334850442077842</v>
      </c>
    </row>
    <row r="766" spans="2:6" x14ac:dyDescent="0.2">
      <c r="B766" s="238">
        <v>1698</v>
      </c>
      <c r="C766" s="205">
        <v>1440</v>
      </c>
      <c r="D766" s="204">
        <f t="shared" si="43"/>
        <v>0.58532818532817588</v>
      </c>
      <c r="E766" s="203">
        <f t="shared" si="44"/>
        <v>3.5752333273610397E-4</v>
      </c>
      <c r="F766" s="203">
        <f t="shared" si="45"/>
        <v>0.13370602775351453</v>
      </c>
    </row>
    <row r="767" spans="2:6" x14ac:dyDescent="0.2">
      <c r="B767" s="237">
        <v>477</v>
      </c>
      <c r="C767" s="114">
        <v>1450</v>
      </c>
      <c r="D767" s="204">
        <f t="shared" si="43"/>
        <v>0.58610038610037662</v>
      </c>
      <c r="E767" s="203">
        <f t="shared" si="44"/>
        <v>3.6000613365788246E-4</v>
      </c>
      <c r="F767" s="203">
        <f t="shared" si="45"/>
        <v>0.13406603388717242</v>
      </c>
    </row>
    <row r="768" spans="2:6" x14ac:dyDescent="0.2">
      <c r="B768" s="237">
        <v>1094</v>
      </c>
      <c r="C768" s="114">
        <v>1450</v>
      </c>
      <c r="D768" s="204">
        <f t="shared" si="43"/>
        <v>0.58687258687257737</v>
      </c>
      <c r="E768" s="203">
        <f t="shared" si="44"/>
        <v>3.6000613365788246E-4</v>
      </c>
      <c r="F768" s="203">
        <f t="shared" si="45"/>
        <v>0.13442604002083031</v>
      </c>
    </row>
    <row r="769" spans="2:6" x14ac:dyDescent="0.2">
      <c r="B769" s="238">
        <v>1870</v>
      </c>
      <c r="C769" s="205">
        <v>1450</v>
      </c>
      <c r="D769" s="204">
        <f t="shared" si="43"/>
        <v>0.58764478764477812</v>
      </c>
      <c r="E769" s="203">
        <f t="shared" si="44"/>
        <v>3.6000613365788246E-4</v>
      </c>
      <c r="F769" s="203">
        <f t="shared" si="45"/>
        <v>0.13478604615448819</v>
      </c>
    </row>
    <row r="770" spans="2:6" x14ac:dyDescent="0.2">
      <c r="B770" s="237">
        <v>2081</v>
      </c>
      <c r="C770" s="114">
        <v>1450</v>
      </c>
      <c r="D770" s="204">
        <f t="shared" si="43"/>
        <v>0.58841698841697887</v>
      </c>
      <c r="E770" s="203">
        <f t="shared" si="44"/>
        <v>3.6000613365788246E-4</v>
      </c>
      <c r="F770" s="203">
        <f t="shared" si="45"/>
        <v>0.13514605228814608</v>
      </c>
    </row>
    <row r="771" spans="2:6" x14ac:dyDescent="0.2">
      <c r="B771" s="237">
        <v>2266</v>
      </c>
      <c r="C771" s="114">
        <v>1450</v>
      </c>
      <c r="D771" s="204">
        <f t="shared" si="43"/>
        <v>0.58918918918917962</v>
      </c>
      <c r="E771" s="203">
        <f t="shared" si="44"/>
        <v>3.6000613365788246E-4</v>
      </c>
      <c r="F771" s="203">
        <f t="shared" si="45"/>
        <v>0.13550605842180397</v>
      </c>
    </row>
    <row r="772" spans="2:6" x14ac:dyDescent="0.2">
      <c r="B772" s="237">
        <v>361</v>
      </c>
      <c r="C772" s="114">
        <v>1468.8</v>
      </c>
      <c r="D772" s="204">
        <f t="shared" si="43"/>
        <v>0.58996138996138037</v>
      </c>
      <c r="E772" s="203">
        <f t="shared" si="44"/>
        <v>3.6467379939082603E-4</v>
      </c>
      <c r="F772" s="203">
        <f t="shared" si="45"/>
        <v>0.13587073222119478</v>
      </c>
    </row>
    <row r="773" spans="2:6" x14ac:dyDescent="0.2">
      <c r="B773" s="237">
        <v>1930</v>
      </c>
      <c r="C773" s="114">
        <v>1470</v>
      </c>
      <c r="D773" s="204">
        <f t="shared" si="43"/>
        <v>0.59073359073358112</v>
      </c>
      <c r="E773" s="203">
        <f t="shared" si="44"/>
        <v>3.6497173550143944E-4</v>
      </c>
      <c r="F773" s="203">
        <f t="shared" si="45"/>
        <v>0.13623570395669621</v>
      </c>
    </row>
    <row r="774" spans="2:6" x14ac:dyDescent="0.2">
      <c r="B774" s="238">
        <v>2038</v>
      </c>
      <c r="C774" s="205">
        <v>1470</v>
      </c>
      <c r="D774" s="204">
        <f t="shared" si="43"/>
        <v>0.59150579150578186</v>
      </c>
      <c r="E774" s="203">
        <f t="shared" si="44"/>
        <v>3.6497173550143944E-4</v>
      </c>
      <c r="F774" s="203">
        <f t="shared" si="45"/>
        <v>0.13660067569219764</v>
      </c>
    </row>
    <row r="775" spans="2:6" x14ac:dyDescent="0.2">
      <c r="B775" s="237">
        <v>2142</v>
      </c>
      <c r="C775" s="114">
        <v>1470</v>
      </c>
      <c r="D775" s="204">
        <f t="shared" si="43"/>
        <v>0.59227799227798261</v>
      </c>
      <c r="E775" s="203">
        <f t="shared" si="44"/>
        <v>3.6497173550143944E-4</v>
      </c>
      <c r="F775" s="203">
        <f t="shared" si="45"/>
        <v>0.13696564742769907</v>
      </c>
    </row>
    <row r="776" spans="2:6" x14ac:dyDescent="0.2">
      <c r="B776" s="238">
        <v>1809</v>
      </c>
      <c r="C776" s="205">
        <v>1495.8333333333339</v>
      </c>
      <c r="D776" s="204">
        <f t="shared" si="43"/>
        <v>0.59305019305018336</v>
      </c>
      <c r="E776" s="203">
        <f t="shared" si="44"/>
        <v>3.7138563788270072E-4</v>
      </c>
      <c r="F776" s="203">
        <f t="shared" si="45"/>
        <v>0.13733703306558176</v>
      </c>
    </row>
    <row r="777" spans="2:6" x14ac:dyDescent="0.2">
      <c r="B777" s="238">
        <v>574</v>
      </c>
      <c r="C777" s="205">
        <v>1500</v>
      </c>
      <c r="D777" s="204">
        <f t="shared" ref="D777:D840" si="46">D776+1/$L$18</f>
        <v>0.59382239382238411</v>
      </c>
      <c r="E777" s="203">
        <f t="shared" ref="E777:E840" si="47">C777/$O$18</f>
        <v>3.7242013826677497E-4</v>
      </c>
      <c r="F777" s="203">
        <f t="shared" ref="F777:F840" si="48">F776+E777</f>
        <v>0.13770945320384853</v>
      </c>
    </row>
    <row r="778" spans="2:6" x14ac:dyDescent="0.2">
      <c r="B778" s="238">
        <v>589</v>
      </c>
      <c r="C778" s="205">
        <v>1500</v>
      </c>
      <c r="D778" s="204">
        <f t="shared" si="46"/>
        <v>0.59459459459458486</v>
      </c>
      <c r="E778" s="203">
        <f t="shared" si="47"/>
        <v>3.7242013826677497E-4</v>
      </c>
      <c r="F778" s="203">
        <f t="shared" si="48"/>
        <v>0.1380818733421153</v>
      </c>
    </row>
    <row r="779" spans="2:6" x14ac:dyDescent="0.2">
      <c r="B779" s="237">
        <v>625</v>
      </c>
      <c r="C779" s="114">
        <v>1500</v>
      </c>
      <c r="D779" s="204">
        <f t="shared" si="46"/>
        <v>0.59536679536678561</v>
      </c>
      <c r="E779" s="203">
        <f t="shared" si="47"/>
        <v>3.7242013826677497E-4</v>
      </c>
      <c r="F779" s="203">
        <f t="shared" si="48"/>
        <v>0.13845429348038207</v>
      </c>
    </row>
    <row r="780" spans="2:6" x14ac:dyDescent="0.2">
      <c r="B780" s="237">
        <v>972</v>
      </c>
      <c r="C780" s="114">
        <v>1500</v>
      </c>
      <c r="D780" s="204">
        <f t="shared" si="46"/>
        <v>0.59613899613898635</v>
      </c>
      <c r="E780" s="203">
        <f t="shared" si="47"/>
        <v>3.7242013826677497E-4</v>
      </c>
      <c r="F780" s="203">
        <f t="shared" si="48"/>
        <v>0.13882671361864884</v>
      </c>
    </row>
    <row r="781" spans="2:6" x14ac:dyDescent="0.2">
      <c r="B781" s="238">
        <v>1319</v>
      </c>
      <c r="C781" s="205">
        <v>1500</v>
      </c>
      <c r="D781" s="204">
        <f t="shared" si="46"/>
        <v>0.5969111969111871</v>
      </c>
      <c r="E781" s="203">
        <f t="shared" si="47"/>
        <v>3.7242013826677497E-4</v>
      </c>
      <c r="F781" s="203">
        <f t="shared" si="48"/>
        <v>0.13919913375691562</v>
      </c>
    </row>
    <row r="782" spans="2:6" x14ac:dyDescent="0.2">
      <c r="B782" s="237">
        <v>1378</v>
      </c>
      <c r="C782" s="114">
        <v>1500</v>
      </c>
      <c r="D782" s="204">
        <f t="shared" si="46"/>
        <v>0.59768339768338785</v>
      </c>
      <c r="E782" s="203">
        <f t="shared" si="47"/>
        <v>3.7242013826677497E-4</v>
      </c>
      <c r="F782" s="203">
        <f t="shared" si="48"/>
        <v>0.13957155389518239</v>
      </c>
    </row>
    <row r="783" spans="2:6" x14ac:dyDescent="0.2">
      <c r="B783" s="237">
        <v>1379</v>
      </c>
      <c r="C783" s="114">
        <v>1500</v>
      </c>
      <c r="D783" s="204">
        <f t="shared" si="46"/>
        <v>0.5984555984555886</v>
      </c>
      <c r="E783" s="203">
        <f t="shared" si="47"/>
        <v>3.7242013826677497E-4</v>
      </c>
      <c r="F783" s="203">
        <f t="shared" si="48"/>
        <v>0.13994397403344916</v>
      </c>
    </row>
    <row r="784" spans="2:6" x14ac:dyDescent="0.2">
      <c r="B784" s="237">
        <v>1434</v>
      </c>
      <c r="C784" s="114">
        <v>1500</v>
      </c>
      <c r="D784" s="204">
        <f t="shared" si="46"/>
        <v>0.59922779922778935</v>
      </c>
      <c r="E784" s="203">
        <f t="shared" si="47"/>
        <v>3.7242013826677497E-4</v>
      </c>
      <c r="F784" s="203">
        <f t="shared" si="48"/>
        <v>0.14031639417171593</v>
      </c>
    </row>
    <row r="785" spans="2:6" x14ac:dyDescent="0.2">
      <c r="B785" s="238">
        <v>1554</v>
      </c>
      <c r="C785" s="205">
        <v>1500</v>
      </c>
      <c r="D785" s="204">
        <f t="shared" si="46"/>
        <v>0.5999999999999901</v>
      </c>
      <c r="E785" s="203">
        <f t="shared" si="47"/>
        <v>3.7242013826677497E-4</v>
      </c>
      <c r="F785" s="203">
        <f t="shared" si="48"/>
        <v>0.1406888143099827</v>
      </c>
    </row>
    <row r="786" spans="2:6" x14ac:dyDescent="0.2">
      <c r="B786" s="237">
        <v>1580</v>
      </c>
      <c r="C786" s="114">
        <v>1500</v>
      </c>
      <c r="D786" s="204">
        <f t="shared" si="46"/>
        <v>0.60077220077219085</v>
      </c>
      <c r="E786" s="203">
        <f t="shared" si="47"/>
        <v>3.7242013826677497E-4</v>
      </c>
      <c r="F786" s="203">
        <f t="shared" si="48"/>
        <v>0.14106123444824947</v>
      </c>
    </row>
    <row r="787" spans="2:6" x14ac:dyDescent="0.2">
      <c r="B787" s="237">
        <v>1689</v>
      </c>
      <c r="C787" s="114">
        <v>1500</v>
      </c>
      <c r="D787" s="204">
        <f t="shared" si="46"/>
        <v>0.60154440154439159</v>
      </c>
      <c r="E787" s="203">
        <f t="shared" si="47"/>
        <v>3.7242013826677497E-4</v>
      </c>
      <c r="F787" s="203">
        <f t="shared" si="48"/>
        <v>0.14143365458651624</v>
      </c>
    </row>
    <row r="788" spans="2:6" x14ac:dyDescent="0.2">
      <c r="B788" s="237">
        <v>1693</v>
      </c>
      <c r="C788" s="114">
        <v>1500</v>
      </c>
      <c r="D788" s="204">
        <f t="shared" si="46"/>
        <v>0.60231660231659234</v>
      </c>
      <c r="E788" s="203">
        <f t="shared" si="47"/>
        <v>3.7242013826677497E-4</v>
      </c>
      <c r="F788" s="203">
        <f t="shared" si="48"/>
        <v>0.14180607472478302</v>
      </c>
    </row>
    <row r="789" spans="2:6" x14ac:dyDescent="0.2">
      <c r="B789" s="237">
        <v>1792</v>
      </c>
      <c r="C789" s="114">
        <v>1500</v>
      </c>
      <c r="D789" s="204">
        <f t="shared" si="46"/>
        <v>0.60308880308879309</v>
      </c>
      <c r="E789" s="203">
        <f t="shared" si="47"/>
        <v>3.7242013826677497E-4</v>
      </c>
      <c r="F789" s="203">
        <f t="shared" si="48"/>
        <v>0.14217849486304979</v>
      </c>
    </row>
    <row r="790" spans="2:6" x14ac:dyDescent="0.2">
      <c r="B790" s="238">
        <v>1896</v>
      </c>
      <c r="C790" s="205">
        <v>1500</v>
      </c>
      <c r="D790" s="204">
        <f t="shared" si="46"/>
        <v>0.60386100386099384</v>
      </c>
      <c r="E790" s="203">
        <f t="shared" si="47"/>
        <v>3.7242013826677497E-4</v>
      </c>
      <c r="F790" s="203">
        <f t="shared" si="48"/>
        <v>0.14255091500131656</v>
      </c>
    </row>
    <row r="791" spans="2:6" x14ac:dyDescent="0.2">
      <c r="B791" s="237">
        <v>1909</v>
      </c>
      <c r="C791" s="114">
        <v>1500</v>
      </c>
      <c r="D791" s="204">
        <f t="shared" si="46"/>
        <v>0.60463320463319459</v>
      </c>
      <c r="E791" s="203">
        <f t="shared" si="47"/>
        <v>3.7242013826677497E-4</v>
      </c>
      <c r="F791" s="203">
        <f t="shared" si="48"/>
        <v>0.14292333513958333</v>
      </c>
    </row>
    <row r="792" spans="2:6" x14ac:dyDescent="0.2">
      <c r="B792" s="237">
        <v>1933</v>
      </c>
      <c r="C792" s="114">
        <v>1500</v>
      </c>
      <c r="D792" s="204">
        <f t="shared" si="46"/>
        <v>0.60540540540539534</v>
      </c>
      <c r="E792" s="203">
        <f t="shared" si="47"/>
        <v>3.7242013826677497E-4</v>
      </c>
      <c r="F792" s="203">
        <f t="shared" si="48"/>
        <v>0.1432957552778501</v>
      </c>
    </row>
    <row r="793" spans="2:6" x14ac:dyDescent="0.2">
      <c r="B793" s="237">
        <v>1983</v>
      </c>
      <c r="C793" s="114">
        <v>1500</v>
      </c>
      <c r="D793" s="204">
        <f t="shared" si="46"/>
        <v>0.60617760617759608</v>
      </c>
      <c r="E793" s="203">
        <f t="shared" si="47"/>
        <v>3.7242013826677497E-4</v>
      </c>
      <c r="F793" s="203">
        <f t="shared" si="48"/>
        <v>0.14366817541611687</v>
      </c>
    </row>
    <row r="794" spans="2:6" x14ac:dyDescent="0.2">
      <c r="B794" s="238">
        <v>1991</v>
      </c>
      <c r="C794" s="205">
        <v>1500</v>
      </c>
      <c r="D794" s="204">
        <f t="shared" si="46"/>
        <v>0.60694980694979683</v>
      </c>
      <c r="E794" s="203">
        <f t="shared" si="47"/>
        <v>3.7242013826677497E-4</v>
      </c>
      <c r="F794" s="203">
        <f t="shared" si="48"/>
        <v>0.14404059555438364</v>
      </c>
    </row>
    <row r="795" spans="2:6" x14ac:dyDescent="0.2">
      <c r="B795" s="238">
        <v>2072</v>
      </c>
      <c r="C795" s="205">
        <v>1500</v>
      </c>
      <c r="D795" s="204">
        <f t="shared" si="46"/>
        <v>0.60772200772199758</v>
      </c>
      <c r="E795" s="203">
        <f t="shared" si="47"/>
        <v>3.7242013826677497E-4</v>
      </c>
      <c r="F795" s="203">
        <f t="shared" si="48"/>
        <v>0.14441301569265041</v>
      </c>
    </row>
    <row r="796" spans="2:6" x14ac:dyDescent="0.2">
      <c r="B796" s="238">
        <v>2203</v>
      </c>
      <c r="C796" s="205">
        <v>1500</v>
      </c>
      <c r="D796" s="204">
        <f t="shared" si="46"/>
        <v>0.60849420849419833</v>
      </c>
      <c r="E796" s="203">
        <f t="shared" si="47"/>
        <v>3.7242013826677497E-4</v>
      </c>
      <c r="F796" s="203">
        <f t="shared" si="48"/>
        <v>0.14478543583091719</v>
      </c>
    </row>
    <row r="797" spans="2:6" x14ac:dyDescent="0.2">
      <c r="B797" s="237">
        <v>2248</v>
      </c>
      <c r="C797" s="114">
        <v>1500</v>
      </c>
      <c r="D797" s="204">
        <f t="shared" si="46"/>
        <v>0.60926640926639908</v>
      </c>
      <c r="E797" s="203">
        <f t="shared" si="47"/>
        <v>3.7242013826677497E-4</v>
      </c>
      <c r="F797" s="203">
        <f t="shared" si="48"/>
        <v>0.14515785596918396</v>
      </c>
    </row>
    <row r="798" spans="2:6" x14ac:dyDescent="0.2">
      <c r="B798" s="237">
        <v>1077</v>
      </c>
      <c r="C798" s="114">
        <v>1503.333333333333</v>
      </c>
      <c r="D798" s="204">
        <f t="shared" si="46"/>
        <v>0.61003861003859983</v>
      </c>
      <c r="E798" s="203">
        <f t="shared" si="47"/>
        <v>3.732477385740344E-4</v>
      </c>
      <c r="F798" s="203">
        <f t="shared" si="48"/>
        <v>0.14553110370775799</v>
      </c>
    </row>
    <row r="799" spans="2:6" x14ac:dyDescent="0.2">
      <c r="B799" s="237">
        <v>2247</v>
      </c>
      <c r="C799" s="114">
        <v>1515</v>
      </c>
      <c r="D799" s="204">
        <f t="shared" si="46"/>
        <v>0.61081081081080058</v>
      </c>
      <c r="E799" s="203">
        <f t="shared" si="47"/>
        <v>3.7614433964944271E-4</v>
      </c>
      <c r="F799" s="203">
        <f t="shared" si="48"/>
        <v>0.14590724804740743</v>
      </c>
    </row>
    <row r="800" spans="2:6" x14ac:dyDescent="0.2">
      <c r="B800" s="237">
        <v>639</v>
      </c>
      <c r="C800" s="114">
        <v>1527.5</v>
      </c>
      <c r="D800" s="204">
        <f t="shared" si="46"/>
        <v>0.61158301158300132</v>
      </c>
      <c r="E800" s="203">
        <f t="shared" si="47"/>
        <v>3.792478408016658E-4</v>
      </c>
      <c r="F800" s="203">
        <f t="shared" si="48"/>
        <v>0.14628649588820911</v>
      </c>
    </row>
    <row r="801" spans="2:6" x14ac:dyDescent="0.2">
      <c r="B801" s="237">
        <v>2051</v>
      </c>
      <c r="C801" s="114">
        <v>1527.5</v>
      </c>
      <c r="D801" s="204">
        <f t="shared" si="46"/>
        <v>0.61235521235520207</v>
      </c>
      <c r="E801" s="203">
        <f t="shared" si="47"/>
        <v>3.792478408016658E-4</v>
      </c>
      <c r="F801" s="203">
        <f t="shared" si="48"/>
        <v>0.14666574372901078</v>
      </c>
    </row>
    <row r="802" spans="2:6" x14ac:dyDescent="0.2">
      <c r="B802" s="238">
        <v>1464</v>
      </c>
      <c r="C802" s="205">
        <v>1537.5</v>
      </c>
      <c r="D802" s="204">
        <f t="shared" si="46"/>
        <v>0.61312741312740282</v>
      </c>
      <c r="E802" s="203">
        <f t="shared" si="47"/>
        <v>3.8173064172344434E-4</v>
      </c>
      <c r="F802" s="203">
        <f t="shared" si="48"/>
        <v>0.14704747437073423</v>
      </c>
    </row>
    <row r="803" spans="2:6" x14ac:dyDescent="0.2">
      <c r="B803" s="238">
        <v>631</v>
      </c>
      <c r="C803" s="205">
        <v>1548</v>
      </c>
      <c r="D803" s="204">
        <f t="shared" si="46"/>
        <v>0.61389961389960357</v>
      </c>
      <c r="E803" s="203">
        <f t="shared" si="47"/>
        <v>3.8433758269131176E-4</v>
      </c>
      <c r="F803" s="203">
        <f t="shared" si="48"/>
        <v>0.14743181195342556</v>
      </c>
    </row>
    <row r="804" spans="2:6" x14ac:dyDescent="0.2">
      <c r="B804" s="238">
        <v>1491</v>
      </c>
      <c r="C804" s="205">
        <v>1575.6</v>
      </c>
      <c r="D804" s="204">
        <f t="shared" si="46"/>
        <v>0.61467181467180432</v>
      </c>
      <c r="E804" s="203">
        <f t="shared" si="47"/>
        <v>3.9119011323542036E-4</v>
      </c>
      <c r="F804" s="203">
        <f t="shared" si="48"/>
        <v>0.14782300206666096</v>
      </c>
    </row>
    <row r="805" spans="2:6" x14ac:dyDescent="0.2">
      <c r="B805" s="237">
        <v>991</v>
      </c>
      <c r="C805" s="114">
        <v>1576.96</v>
      </c>
      <c r="D805" s="204">
        <f t="shared" si="46"/>
        <v>0.61544401544400507</v>
      </c>
      <c r="E805" s="203">
        <f t="shared" si="47"/>
        <v>3.9152777416078227E-4</v>
      </c>
      <c r="F805" s="203">
        <f t="shared" si="48"/>
        <v>0.14821452984082176</v>
      </c>
    </row>
    <row r="806" spans="2:6" x14ac:dyDescent="0.2">
      <c r="B806" s="238">
        <v>370</v>
      </c>
      <c r="C806" s="205">
        <v>1590</v>
      </c>
      <c r="D806" s="204">
        <f t="shared" si="46"/>
        <v>0.61621621621620581</v>
      </c>
      <c r="E806" s="203">
        <f t="shared" si="47"/>
        <v>3.9476534656278145E-4</v>
      </c>
      <c r="F806" s="203">
        <f t="shared" si="48"/>
        <v>0.14860929518738453</v>
      </c>
    </row>
    <row r="807" spans="2:6" x14ac:dyDescent="0.2">
      <c r="B807" s="238">
        <v>166</v>
      </c>
      <c r="C807" s="205">
        <v>1600</v>
      </c>
      <c r="D807" s="204">
        <f t="shared" si="46"/>
        <v>0.61698841698840656</v>
      </c>
      <c r="E807" s="203">
        <f t="shared" si="47"/>
        <v>3.9724814748455994E-4</v>
      </c>
      <c r="F807" s="203">
        <f t="shared" si="48"/>
        <v>0.1490065433348691</v>
      </c>
    </row>
    <row r="808" spans="2:6" x14ac:dyDescent="0.2">
      <c r="B808" s="238">
        <v>584</v>
      </c>
      <c r="C808" s="205">
        <v>1600</v>
      </c>
      <c r="D808" s="204">
        <f t="shared" si="46"/>
        <v>0.61776061776060731</v>
      </c>
      <c r="E808" s="203">
        <f t="shared" si="47"/>
        <v>3.9724814748455994E-4</v>
      </c>
      <c r="F808" s="203">
        <f t="shared" si="48"/>
        <v>0.14940379148235367</v>
      </c>
    </row>
    <row r="809" spans="2:6" x14ac:dyDescent="0.2">
      <c r="B809" s="238">
        <v>762</v>
      </c>
      <c r="C809" s="205">
        <v>1600</v>
      </c>
      <c r="D809" s="204">
        <f t="shared" si="46"/>
        <v>0.61853281853280806</v>
      </c>
      <c r="E809" s="203">
        <f t="shared" si="47"/>
        <v>3.9724814748455994E-4</v>
      </c>
      <c r="F809" s="203">
        <f t="shared" si="48"/>
        <v>0.14980103962983823</v>
      </c>
    </row>
    <row r="810" spans="2:6" x14ac:dyDescent="0.2">
      <c r="B810" s="237">
        <v>1052</v>
      </c>
      <c r="C810" s="114">
        <v>1600</v>
      </c>
      <c r="D810" s="204">
        <f t="shared" si="46"/>
        <v>0.61930501930500881</v>
      </c>
      <c r="E810" s="203">
        <f t="shared" si="47"/>
        <v>3.9724814748455994E-4</v>
      </c>
      <c r="F810" s="203">
        <f t="shared" si="48"/>
        <v>0.1501982877773228</v>
      </c>
    </row>
    <row r="811" spans="2:6" x14ac:dyDescent="0.2">
      <c r="B811" s="237">
        <v>1696</v>
      </c>
      <c r="C811" s="114">
        <v>1600</v>
      </c>
      <c r="D811" s="204">
        <f t="shared" si="46"/>
        <v>0.62007722007720956</v>
      </c>
      <c r="E811" s="203">
        <f t="shared" si="47"/>
        <v>3.9724814748455994E-4</v>
      </c>
      <c r="F811" s="203">
        <f t="shared" si="48"/>
        <v>0.15059553592480737</v>
      </c>
    </row>
    <row r="812" spans="2:6" x14ac:dyDescent="0.2">
      <c r="B812" s="238">
        <v>1737</v>
      </c>
      <c r="C812" s="205">
        <v>1600</v>
      </c>
      <c r="D812" s="204">
        <f t="shared" si="46"/>
        <v>0.62084942084941031</v>
      </c>
      <c r="E812" s="203">
        <f t="shared" si="47"/>
        <v>3.9724814748455994E-4</v>
      </c>
      <c r="F812" s="203">
        <f t="shared" si="48"/>
        <v>0.15099278407229194</v>
      </c>
    </row>
    <row r="813" spans="2:6" x14ac:dyDescent="0.2">
      <c r="B813" s="237">
        <v>1746</v>
      </c>
      <c r="C813" s="114">
        <v>1600</v>
      </c>
      <c r="D813" s="204">
        <f t="shared" si="46"/>
        <v>0.62162162162161105</v>
      </c>
      <c r="E813" s="203">
        <f t="shared" si="47"/>
        <v>3.9724814748455994E-4</v>
      </c>
      <c r="F813" s="203">
        <f t="shared" si="48"/>
        <v>0.15139003221977651</v>
      </c>
    </row>
    <row r="814" spans="2:6" x14ac:dyDescent="0.2">
      <c r="B814" s="237">
        <v>1841</v>
      </c>
      <c r="C814" s="114">
        <v>1600</v>
      </c>
      <c r="D814" s="204">
        <f t="shared" si="46"/>
        <v>0.6223938223938118</v>
      </c>
      <c r="E814" s="203">
        <f t="shared" si="47"/>
        <v>3.9724814748455994E-4</v>
      </c>
      <c r="F814" s="203">
        <f t="shared" si="48"/>
        <v>0.15178728036726108</v>
      </c>
    </row>
    <row r="815" spans="2:6" x14ac:dyDescent="0.2">
      <c r="B815" s="238">
        <v>2222</v>
      </c>
      <c r="C815" s="205">
        <v>1600</v>
      </c>
      <c r="D815" s="204">
        <f t="shared" si="46"/>
        <v>0.62316602316601255</v>
      </c>
      <c r="E815" s="203">
        <f t="shared" si="47"/>
        <v>3.9724814748455994E-4</v>
      </c>
      <c r="F815" s="203">
        <f t="shared" si="48"/>
        <v>0.15218452851474565</v>
      </c>
    </row>
    <row r="816" spans="2:6" x14ac:dyDescent="0.2">
      <c r="B816" s="237">
        <v>2126</v>
      </c>
      <c r="C816" s="114">
        <v>1620</v>
      </c>
      <c r="D816" s="204">
        <f t="shared" si="46"/>
        <v>0.6239382239382133</v>
      </c>
      <c r="E816" s="203">
        <f t="shared" si="47"/>
        <v>4.0221374932811692E-4</v>
      </c>
      <c r="F816" s="203">
        <f t="shared" si="48"/>
        <v>0.15258674226407376</v>
      </c>
    </row>
    <row r="817" spans="2:6" x14ac:dyDescent="0.2">
      <c r="B817" s="237">
        <v>902</v>
      </c>
      <c r="C817" s="114">
        <v>1641</v>
      </c>
      <c r="D817" s="204">
        <f t="shared" si="46"/>
        <v>0.62471042471041405</v>
      </c>
      <c r="E817" s="203">
        <f t="shared" si="47"/>
        <v>4.0742763126385182E-4</v>
      </c>
      <c r="F817" s="203">
        <f t="shared" si="48"/>
        <v>0.15299416989533762</v>
      </c>
    </row>
    <row r="818" spans="2:6" x14ac:dyDescent="0.2">
      <c r="B818" s="237">
        <v>1552</v>
      </c>
      <c r="C818" s="114">
        <v>1645.416666666667</v>
      </c>
      <c r="D818" s="204">
        <f t="shared" si="46"/>
        <v>0.6254826254826148</v>
      </c>
      <c r="E818" s="203">
        <f t="shared" si="47"/>
        <v>4.0852420167097073E-4</v>
      </c>
      <c r="F818" s="203">
        <f t="shared" si="48"/>
        <v>0.1534026940970086</v>
      </c>
    </row>
    <row r="819" spans="2:6" x14ac:dyDescent="0.2">
      <c r="B819" s="238">
        <v>2139</v>
      </c>
      <c r="C819" s="205">
        <v>1650</v>
      </c>
      <c r="D819" s="204">
        <f t="shared" si="46"/>
        <v>0.62625482625481554</v>
      </c>
      <c r="E819" s="203">
        <f t="shared" si="47"/>
        <v>4.0966215209345245E-4</v>
      </c>
      <c r="F819" s="203">
        <f t="shared" si="48"/>
        <v>0.15381235624910206</v>
      </c>
    </row>
    <row r="820" spans="2:6" x14ac:dyDescent="0.2">
      <c r="B820" s="238">
        <v>520</v>
      </c>
      <c r="C820" s="205">
        <v>1666.666666666667</v>
      </c>
      <c r="D820" s="204">
        <f t="shared" si="46"/>
        <v>0.62702702702701629</v>
      </c>
      <c r="E820" s="203">
        <f t="shared" si="47"/>
        <v>4.1380015362975001E-4</v>
      </c>
      <c r="F820" s="203">
        <f t="shared" si="48"/>
        <v>0.1542261564027318</v>
      </c>
    </row>
    <row r="821" spans="2:6" x14ac:dyDescent="0.2">
      <c r="B821" s="238">
        <v>999</v>
      </c>
      <c r="C821" s="205">
        <v>1666.666666666667</v>
      </c>
      <c r="D821" s="204">
        <f t="shared" si="46"/>
        <v>0.62779922779921704</v>
      </c>
      <c r="E821" s="203">
        <f t="shared" si="47"/>
        <v>4.1380015362975001E-4</v>
      </c>
      <c r="F821" s="203">
        <f t="shared" si="48"/>
        <v>0.15463995655636154</v>
      </c>
    </row>
    <row r="822" spans="2:6" x14ac:dyDescent="0.2">
      <c r="B822" s="238">
        <v>1302</v>
      </c>
      <c r="C822" s="205">
        <v>1666.666666666667</v>
      </c>
      <c r="D822" s="204">
        <f t="shared" si="46"/>
        <v>0.62857142857141779</v>
      </c>
      <c r="E822" s="203">
        <f t="shared" si="47"/>
        <v>4.1380015362975001E-4</v>
      </c>
      <c r="F822" s="203">
        <f t="shared" si="48"/>
        <v>0.15505375670999128</v>
      </c>
    </row>
    <row r="823" spans="2:6" x14ac:dyDescent="0.2">
      <c r="B823" s="238">
        <v>1637</v>
      </c>
      <c r="C823" s="205">
        <v>1666.666666666667</v>
      </c>
      <c r="D823" s="204">
        <f t="shared" si="46"/>
        <v>0.62934362934361854</v>
      </c>
      <c r="E823" s="203">
        <f t="shared" si="47"/>
        <v>4.1380015362975001E-4</v>
      </c>
      <c r="F823" s="203">
        <f t="shared" si="48"/>
        <v>0.15546755686362101</v>
      </c>
    </row>
    <row r="824" spans="2:6" x14ac:dyDescent="0.2">
      <c r="B824" s="237">
        <v>1888</v>
      </c>
      <c r="C824" s="114">
        <v>1666.666666666667</v>
      </c>
      <c r="D824" s="204">
        <f t="shared" si="46"/>
        <v>0.63011583011581929</v>
      </c>
      <c r="E824" s="203">
        <f t="shared" si="47"/>
        <v>4.1380015362975001E-4</v>
      </c>
      <c r="F824" s="203">
        <f t="shared" si="48"/>
        <v>0.15588135701725075</v>
      </c>
    </row>
    <row r="825" spans="2:6" x14ac:dyDescent="0.2">
      <c r="B825" s="238">
        <v>53</v>
      </c>
      <c r="C825" s="205">
        <v>1669.5</v>
      </c>
      <c r="D825" s="204">
        <f t="shared" si="46"/>
        <v>0.63088803088802003</v>
      </c>
      <c r="E825" s="203">
        <f t="shared" si="47"/>
        <v>4.145036138909205E-4</v>
      </c>
      <c r="F825" s="203">
        <f t="shared" si="48"/>
        <v>0.15629586063114168</v>
      </c>
    </row>
    <row r="826" spans="2:6" x14ac:dyDescent="0.2">
      <c r="B826" s="238">
        <v>546</v>
      </c>
      <c r="C826" s="205">
        <v>1700</v>
      </c>
      <c r="D826" s="204">
        <f t="shared" si="46"/>
        <v>0.63166023166022078</v>
      </c>
      <c r="E826" s="203">
        <f t="shared" si="47"/>
        <v>4.2207615670234496E-4</v>
      </c>
      <c r="F826" s="203">
        <f t="shared" si="48"/>
        <v>0.15671793678784401</v>
      </c>
    </row>
    <row r="827" spans="2:6" x14ac:dyDescent="0.2">
      <c r="B827" s="238">
        <v>645</v>
      </c>
      <c r="C827" s="205">
        <v>1700</v>
      </c>
      <c r="D827" s="204">
        <f t="shared" si="46"/>
        <v>0.63243243243242153</v>
      </c>
      <c r="E827" s="203">
        <f t="shared" si="47"/>
        <v>4.2207615670234496E-4</v>
      </c>
      <c r="F827" s="203">
        <f t="shared" si="48"/>
        <v>0.15714001294454635</v>
      </c>
    </row>
    <row r="828" spans="2:6" x14ac:dyDescent="0.2">
      <c r="B828" s="238">
        <v>1055</v>
      </c>
      <c r="C828" s="205">
        <v>1700</v>
      </c>
      <c r="D828" s="204">
        <f t="shared" si="46"/>
        <v>0.63320463320462228</v>
      </c>
      <c r="E828" s="203">
        <f t="shared" si="47"/>
        <v>4.2207615670234496E-4</v>
      </c>
      <c r="F828" s="203">
        <f t="shared" si="48"/>
        <v>0.15756208910124869</v>
      </c>
    </row>
    <row r="829" spans="2:6" x14ac:dyDescent="0.2">
      <c r="B829" s="238">
        <v>1075</v>
      </c>
      <c r="C829" s="205">
        <v>1700</v>
      </c>
      <c r="D829" s="204">
        <f t="shared" si="46"/>
        <v>0.63397683397682303</v>
      </c>
      <c r="E829" s="203">
        <f t="shared" si="47"/>
        <v>4.2207615670234496E-4</v>
      </c>
      <c r="F829" s="203">
        <f t="shared" si="48"/>
        <v>0.15798416525795103</v>
      </c>
    </row>
    <row r="830" spans="2:6" x14ac:dyDescent="0.2">
      <c r="B830" s="237">
        <v>1426</v>
      </c>
      <c r="C830" s="114">
        <v>1700</v>
      </c>
      <c r="D830" s="204">
        <f t="shared" si="46"/>
        <v>0.63474903474902378</v>
      </c>
      <c r="E830" s="203">
        <f t="shared" si="47"/>
        <v>4.2207615670234496E-4</v>
      </c>
      <c r="F830" s="203">
        <f t="shared" si="48"/>
        <v>0.15840624141465337</v>
      </c>
    </row>
    <row r="831" spans="2:6" x14ac:dyDescent="0.2">
      <c r="B831" s="237">
        <v>381</v>
      </c>
      <c r="C831" s="114">
        <v>1701.041666666667</v>
      </c>
      <c r="D831" s="204">
        <f t="shared" si="46"/>
        <v>0.63552123552122453</v>
      </c>
      <c r="E831" s="203">
        <f t="shared" si="47"/>
        <v>4.2233478179836364E-4</v>
      </c>
      <c r="F831" s="203">
        <f t="shared" si="48"/>
        <v>0.15882857619645174</v>
      </c>
    </row>
    <row r="832" spans="2:6" x14ac:dyDescent="0.2">
      <c r="B832" s="237">
        <v>726</v>
      </c>
      <c r="C832" s="114">
        <v>1740</v>
      </c>
      <c r="D832" s="204">
        <f t="shared" si="46"/>
        <v>0.63629343629342527</v>
      </c>
      <c r="E832" s="203">
        <f t="shared" si="47"/>
        <v>4.3200736038945893E-4</v>
      </c>
      <c r="F832" s="203">
        <f t="shared" si="48"/>
        <v>0.1592605835568412</v>
      </c>
    </row>
    <row r="833" spans="2:6" x14ac:dyDescent="0.2">
      <c r="B833" s="238">
        <v>2113</v>
      </c>
      <c r="C833" s="205">
        <v>1785</v>
      </c>
      <c r="D833" s="204">
        <f t="shared" si="46"/>
        <v>0.63706563706562602</v>
      </c>
      <c r="E833" s="203">
        <f t="shared" si="47"/>
        <v>4.431799645374622E-4</v>
      </c>
      <c r="F833" s="203">
        <f t="shared" si="48"/>
        <v>0.15970376352137866</v>
      </c>
    </row>
    <row r="834" spans="2:6" x14ac:dyDescent="0.2">
      <c r="B834" s="238">
        <v>1367</v>
      </c>
      <c r="C834" s="205">
        <v>1795</v>
      </c>
      <c r="D834" s="204">
        <f t="shared" si="46"/>
        <v>0.63783783783782677</v>
      </c>
      <c r="E834" s="203">
        <f t="shared" si="47"/>
        <v>4.4566276545924069E-4</v>
      </c>
      <c r="F834" s="203">
        <f t="shared" si="48"/>
        <v>0.1601494262868379</v>
      </c>
    </row>
    <row r="835" spans="2:6" x14ac:dyDescent="0.2">
      <c r="B835" s="238">
        <v>936</v>
      </c>
      <c r="C835" s="205">
        <v>1795.68</v>
      </c>
      <c r="D835" s="204">
        <f t="shared" si="46"/>
        <v>0.63861003861002752</v>
      </c>
      <c r="E835" s="203">
        <f t="shared" si="47"/>
        <v>4.4583159592192167E-4</v>
      </c>
      <c r="F835" s="203">
        <f t="shared" si="48"/>
        <v>0.16059525788275983</v>
      </c>
    </row>
    <row r="836" spans="2:6" x14ac:dyDescent="0.2">
      <c r="B836" s="237">
        <v>363</v>
      </c>
      <c r="C836" s="114">
        <v>1800</v>
      </c>
      <c r="D836" s="204">
        <f t="shared" si="46"/>
        <v>0.63938223938222827</v>
      </c>
      <c r="E836" s="203">
        <f t="shared" si="47"/>
        <v>4.4690416592012993E-4</v>
      </c>
      <c r="F836" s="203">
        <f t="shared" si="48"/>
        <v>0.16104216204867997</v>
      </c>
    </row>
    <row r="837" spans="2:6" x14ac:dyDescent="0.2">
      <c r="B837" s="237">
        <v>1122</v>
      </c>
      <c r="C837" s="114">
        <v>1800</v>
      </c>
      <c r="D837" s="204">
        <f t="shared" si="46"/>
        <v>0.64015444015442902</v>
      </c>
      <c r="E837" s="203">
        <f t="shared" si="47"/>
        <v>4.4690416592012993E-4</v>
      </c>
      <c r="F837" s="203">
        <f t="shared" si="48"/>
        <v>0.1614890662146001</v>
      </c>
    </row>
    <row r="838" spans="2:6" x14ac:dyDescent="0.2">
      <c r="B838" s="238">
        <v>1201</v>
      </c>
      <c r="C838" s="205">
        <v>1800</v>
      </c>
      <c r="D838" s="204">
        <f t="shared" si="46"/>
        <v>0.64092664092662976</v>
      </c>
      <c r="E838" s="203">
        <f t="shared" si="47"/>
        <v>4.4690416592012993E-4</v>
      </c>
      <c r="F838" s="203">
        <f t="shared" si="48"/>
        <v>0.16193597038052024</v>
      </c>
    </row>
    <row r="839" spans="2:6" x14ac:dyDescent="0.2">
      <c r="B839" s="237">
        <v>1205</v>
      </c>
      <c r="C839" s="114">
        <v>1800</v>
      </c>
      <c r="D839" s="204">
        <f t="shared" si="46"/>
        <v>0.64169884169883051</v>
      </c>
      <c r="E839" s="203">
        <f t="shared" si="47"/>
        <v>4.4690416592012993E-4</v>
      </c>
      <c r="F839" s="203">
        <f t="shared" si="48"/>
        <v>0.16238287454644038</v>
      </c>
    </row>
    <row r="840" spans="2:6" x14ac:dyDescent="0.2">
      <c r="B840" s="237">
        <v>1518</v>
      </c>
      <c r="C840" s="114">
        <v>1800</v>
      </c>
      <c r="D840" s="204">
        <f t="shared" si="46"/>
        <v>0.64247104247103126</v>
      </c>
      <c r="E840" s="203">
        <f t="shared" si="47"/>
        <v>4.4690416592012993E-4</v>
      </c>
      <c r="F840" s="203">
        <f t="shared" si="48"/>
        <v>0.16282977871236051</v>
      </c>
    </row>
    <row r="841" spans="2:6" x14ac:dyDescent="0.2">
      <c r="B841" s="237">
        <v>1523</v>
      </c>
      <c r="C841" s="114">
        <v>1800</v>
      </c>
      <c r="D841" s="204">
        <f t="shared" ref="D841:D904" si="49">D840+1/$L$18</f>
        <v>0.64324324324323201</v>
      </c>
      <c r="E841" s="203">
        <f t="shared" ref="E841:E904" si="50">C841/$O$18</f>
        <v>4.4690416592012993E-4</v>
      </c>
      <c r="F841" s="203">
        <f t="shared" ref="F841:F904" si="51">F840+E841</f>
        <v>0.16327668287828065</v>
      </c>
    </row>
    <row r="842" spans="2:6" x14ac:dyDescent="0.2">
      <c r="B842" s="237">
        <v>1561</v>
      </c>
      <c r="C842" s="114">
        <v>1800</v>
      </c>
      <c r="D842" s="204">
        <f t="shared" si="49"/>
        <v>0.64401544401543276</v>
      </c>
      <c r="E842" s="203">
        <f t="shared" si="50"/>
        <v>4.4690416592012993E-4</v>
      </c>
      <c r="F842" s="203">
        <f t="shared" si="51"/>
        <v>0.16372358704420079</v>
      </c>
    </row>
    <row r="843" spans="2:6" x14ac:dyDescent="0.2">
      <c r="B843" s="238">
        <v>1842</v>
      </c>
      <c r="C843" s="205">
        <v>1800</v>
      </c>
      <c r="D843" s="204">
        <f t="shared" si="49"/>
        <v>0.64478764478763351</v>
      </c>
      <c r="E843" s="203">
        <f t="shared" si="50"/>
        <v>4.4690416592012993E-4</v>
      </c>
      <c r="F843" s="203">
        <f t="shared" si="51"/>
        <v>0.16417049121012092</v>
      </c>
    </row>
    <row r="844" spans="2:6" x14ac:dyDescent="0.2">
      <c r="B844" s="237">
        <v>1978</v>
      </c>
      <c r="C844" s="114">
        <v>1800</v>
      </c>
      <c r="D844" s="204">
        <f t="shared" si="49"/>
        <v>0.64555984555983426</v>
      </c>
      <c r="E844" s="203">
        <f t="shared" si="50"/>
        <v>4.4690416592012993E-4</v>
      </c>
      <c r="F844" s="203">
        <f t="shared" si="51"/>
        <v>0.16461739537604106</v>
      </c>
    </row>
    <row r="845" spans="2:6" x14ac:dyDescent="0.2">
      <c r="B845" s="238">
        <v>336</v>
      </c>
      <c r="C845" s="205">
        <v>1820</v>
      </c>
      <c r="D845" s="204">
        <f t="shared" si="49"/>
        <v>0.646332046332035</v>
      </c>
      <c r="E845" s="203">
        <f t="shared" si="50"/>
        <v>4.5186976776368692E-4</v>
      </c>
      <c r="F845" s="203">
        <f t="shared" si="51"/>
        <v>0.16506926514380474</v>
      </c>
    </row>
    <row r="846" spans="2:6" x14ac:dyDescent="0.2">
      <c r="B846" s="238">
        <v>2033</v>
      </c>
      <c r="C846" s="205">
        <v>1820</v>
      </c>
      <c r="D846" s="204">
        <f t="shared" si="49"/>
        <v>0.64710424710423575</v>
      </c>
      <c r="E846" s="203">
        <f t="shared" si="50"/>
        <v>4.5186976776368692E-4</v>
      </c>
      <c r="F846" s="203">
        <f t="shared" si="51"/>
        <v>0.16552113491156842</v>
      </c>
    </row>
    <row r="847" spans="2:6" x14ac:dyDescent="0.2">
      <c r="B847" s="237">
        <v>979</v>
      </c>
      <c r="C847" s="114">
        <v>1833.333333333333</v>
      </c>
      <c r="D847" s="204">
        <f t="shared" si="49"/>
        <v>0.6478764478764365</v>
      </c>
      <c r="E847" s="203">
        <f t="shared" si="50"/>
        <v>4.5518016899272489E-4</v>
      </c>
      <c r="F847" s="203">
        <f t="shared" si="51"/>
        <v>0.16597631508056115</v>
      </c>
    </row>
    <row r="848" spans="2:6" x14ac:dyDescent="0.2">
      <c r="B848" s="238">
        <v>1199</v>
      </c>
      <c r="C848" s="205">
        <v>1850</v>
      </c>
      <c r="D848" s="204">
        <f t="shared" si="49"/>
        <v>0.64864864864863725</v>
      </c>
      <c r="E848" s="203">
        <f t="shared" si="50"/>
        <v>4.5931817052902244E-4</v>
      </c>
      <c r="F848" s="203">
        <f t="shared" si="51"/>
        <v>0.16643563325109018</v>
      </c>
    </row>
    <row r="849" spans="2:6" x14ac:dyDescent="0.2">
      <c r="B849" s="238">
        <v>812</v>
      </c>
      <c r="C849" s="205">
        <v>1854.375</v>
      </c>
      <c r="D849" s="204">
        <f t="shared" si="49"/>
        <v>0.649420849420838</v>
      </c>
      <c r="E849" s="203">
        <f t="shared" si="50"/>
        <v>4.6040439593230054E-4</v>
      </c>
      <c r="F849" s="203">
        <f t="shared" si="51"/>
        <v>0.16689603764702249</v>
      </c>
    </row>
    <row r="850" spans="2:6" x14ac:dyDescent="0.2">
      <c r="B850" s="237">
        <v>389</v>
      </c>
      <c r="C850" s="114">
        <v>1855</v>
      </c>
      <c r="D850" s="204">
        <f t="shared" si="49"/>
        <v>0.65019305019303875</v>
      </c>
      <c r="E850" s="203">
        <f t="shared" si="50"/>
        <v>4.6055957098991169E-4</v>
      </c>
      <c r="F850" s="203">
        <f t="shared" si="51"/>
        <v>0.16735659721801241</v>
      </c>
    </row>
    <row r="851" spans="2:6" x14ac:dyDescent="0.2">
      <c r="B851" s="237">
        <v>1178</v>
      </c>
      <c r="C851" s="114">
        <v>1872</v>
      </c>
      <c r="D851" s="204">
        <f t="shared" si="49"/>
        <v>0.65096525096523949</v>
      </c>
      <c r="E851" s="203">
        <f t="shared" si="50"/>
        <v>4.6478033255693515E-4</v>
      </c>
      <c r="F851" s="203">
        <f t="shared" si="51"/>
        <v>0.16782137755056933</v>
      </c>
    </row>
    <row r="852" spans="2:6" x14ac:dyDescent="0.2">
      <c r="B852" s="237">
        <v>1976</v>
      </c>
      <c r="C852" s="114">
        <v>1890</v>
      </c>
      <c r="D852" s="204">
        <f t="shared" si="49"/>
        <v>0.65173745173744024</v>
      </c>
      <c r="E852" s="203">
        <f t="shared" si="50"/>
        <v>4.6924937421613641E-4</v>
      </c>
      <c r="F852" s="203">
        <f t="shared" si="51"/>
        <v>0.16829062692478547</v>
      </c>
    </row>
    <row r="853" spans="2:6" x14ac:dyDescent="0.2">
      <c r="B853" s="238">
        <v>1859</v>
      </c>
      <c r="C853" s="205">
        <v>1900</v>
      </c>
      <c r="D853" s="204">
        <f t="shared" si="49"/>
        <v>0.65250965250964099</v>
      </c>
      <c r="E853" s="203">
        <f t="shared" si="50"/>
        <v>4.7173217513791496E-4</v>
      </c>
      <c r="F853" s="203">
        <f t="shared" si="51"/>
        <v>0.16876235909992338</v>
      </c>
    </row>
    <row r="854" spans="2:6" x14ac:dyDescent="0.2">
      <c r="B854" s="238">
        <v>2148</v>
      </c>
      <c r="C854" s="205">
        <v>1900</v>
      </c>
      <c r="D854" s="204">
        <f t="shared" si="49"/>
        <v>0.65328185328184174</v>
      </c>
      <c r="E854" s="203">
        <f t="shared" si="50"/>
        <v>4.7173217513791496E-4</v>
      </c>
      <c r="F854" s="203">
        <f t="shared" si="51"/>
        <v>0.16923409127506128</v>
      </c>
    </row>
    <row r="855" spans="2:6" x14ac:dyDescent="0.2">
      <c r="B855" s="237">
        <v>2289</v>
      </c>
      <c r="C855" s="114">
        <v>1900</v>
      </c>
      <c r="D855" s="204">
        <f t="shared" si="49"/>
        <v>0.65405405405404249</v>
      </c>
      <c r="E855" s="203">
        <f t="shared" si="50"/>
        <v>4.7173217513791496E-4</v>
      </c>
      <c r="F855" s="203">
        <f t="shared" si="51"/>
        <v>0.16970582345019919</v>
      </c>
    </row>
    <row r="856" spans="2:6" x14ac:dyDescent="0.2">
      <c r="B856" s="238">
        <v>1115</v>
      </c>
      <c r="C856" s="205">
        <v>1925</v>
      </c>
      <c r="D856" s="204">
        <f t="shared" si="49"/>
        <v>0.65482625482624324</v>
      </c>
      <c r="E856" s="203">
        <f t="shared" si="50"/>
        <v>4.7793917744236118E-4</v>
      </c>
      <c r="F856" s="203">
        <f t="shared" si="51"/>
        <v>0.17018376262764154</v>
      </c>
    </row>
    <row r="857" spans="2:6" x14ac:dyDescent="0.2">
      <c r="B857" s="238">
        <v>2208</v>
      </c>
      <c r="C857" s="205">
        <v>1925</v>
      </c>
      <c r="D857" s="204">
        <f t="shared" si="49"/>
        <v>0.65559845559844399</v>
      </c>
      <c r="E857" s="203">
        <f t="shared" si="50"/>
        <v>4.7793917744236118E-4</v>
      </c>
      <c r="F857" s="203">
        <f t="shared" si="51"/>
        <v>0.17066170180508389</v>
      </c>
    </row>
    <row r="858" spans="2:6" x14ac:dyDescent="0.2">
      <c r="B858" s="237">
        <v>761</v>
      </c>
      <c r="C858" s="114">
        <v>1950</v>
      </c>
      <c r="D858" s="204">
        <f t="shared" si="49"/>
        <v>0.65637065637064473</v>
      </c>
      <c r="E858" s="203">
        <f t="shared" si="50"/>
        <v>4.8414617974680741E-4</v>
      </c>
      <c r="F858" s="203">
        <f t="shared" si="51"/>
        <v>0.17114584798483071</v>
      </c>
    </row>
    <row r="859" spans="2:6" x14ac:dyDescent="0.2">
      <c r="B859" s="237">
        <v>2101</v>
      </c>
      <c r="C859" s="114">
        <v>1960</v>
      </c>
      <c r="D859" s="204">
        <f t="shared" si="49"/>
        <v>0.65714285714284548</v>
      </c>
      <c r="E859" s="203">
        <f t="shared" si="50"/>
        <v>4.8662898066858596E-4</v>
      </c>
      <c r="F859" s="203">
        <f t="shared" si="51"/>
        <v>0.1716324769654993</v>
      </c>
    </row>
    <row r="860" spans="2:6" x14ac:dyDescent="0.2">
      <c r="B860" s="237">
        <v>570</v>
      </c>
      <c r="C860" s="114">
        <v>2000</v>
      </c>
      <c r="D860" s="204">
        <f t="shared" si="49"/>
        <v>0.65791505791504623</v>
      </c>
      <c r="E860" s="203">
        <f t="shared" si="50"/>
        <v>4.9656018435569993E-4</v>
      </c>
      <c r="F860" s="203">
        <f t="shared" si="51"/>
        <v>0.172129037149855</v>
      </c>
    </row>
    <row r="861" spans="2:6" x14ac:dyDescent="0.2">
      <c r="B861" s="238">
        <v>610</v>
      </c>
      <c r="C861" s="205">
        <v>2000</v>
      </c>
      <c r="D861" s="204">
        <f t="shared" si="49"/>
        <v>0.65868725868724698</v>
      </c>
      <c r="E861" s="203">
        <f t="shared" si="50"/>
        <v>4.9656018435569993E-4</v>
      </c>
      <c r="F861" s="203">
        <f t="shared" si="51"/>
        <v>0.17262559733421071</v>
      </c>
    </row>
    <row r="862" spans="2:6" x14ac:dyDescent="0.2">
      <c r="B862" s="238">
        <v>636</v>
      </c>
      <c r="C862" s="205">
        <v>2000</v>
      </c>
      <c r="D862" s="204">
        <f t="shared" si="49"/>
        <v>0.65945945945944773</v>
      </c>
      <c r="E862" s="203">
        <f t="shared" si="50"/>
        <v>4.9656018435569993E-4</v>
      </c>
      <c r="F862" s="203">
        <f t="shared" si="51"/>
        <v>0.17312215751856641</v>
      </c>
    </row>
    <row r="863" spans="2:6" x14ac:dyDescent="0.2">
      <c r="B863" s="237">
        <v>757</v>
      </c>
      <c r="C863" s="114">
        <v>2000</v>
      </c>
      <c r="D863" s="204">
        <f t="shared" si="49"/>
        <v>0.66023166023164848</v>
      </c>
      <c r="E863" s="203">
        <f t="shared" si="50"/>
        <v>4.9656018435569993E-4</v>
      </c>
      <c r="F863" s="203">
        <f t="shared" si="51"/>
        <v>0.17361871770292212</v>
      </c>
    </row>
    <row r="864" spans="2:6" x14ac:dyDescent="0.2">
      <c r="B864" s="238">
        <v>1105</v>
      </c>
      <c r="C864" s="205">
        <v>2000</v>
      </c>
      <c r="D864" s="204">
        <f t="shared" si="49"/>
        <v>0.66100386100384922</v>
      </c>
      <c r="E864" s="203">
        <f t="shared" si="50"/>
        <v>4.9656018435569993E-4</v>
      </c>
      <c r="F864" s="203">
        <f t="shared" si="51"/>
        <v>0.17411527788727782</v>
      </c>
    </row>
    <row r="865" spans="2:6" x14ac:dyDescent="0.2">
      <c r="B865" s="238">
        <v>1477</v>
      </c>
      <c r="C865" s="205">
        <v>2000</v>
      </c>
      <c r="D865" s="204">
        <f t="shared" si="49"/>
        <v>0.66177606177604997</v>
      </c>
      <c r="E865" s="203">
        <f t="shared" si="50"/>
        <v>4.9656018435569993E-4</v>
      </c>
      <c r="F865" s="203">
        <f t="shared" si="51"/>
        <v>0.17461183807163352</v>
      </c>
    </row>
    <row r="866" spans="2:6" x14ac:dyDescent="0.2">
      <c r="B866" s="237">
        <v>1649</v>
      </c>
      <c r="C866" s="114">
        <v>2000</v>
      </c>
      <c r="D866" s="204">
        <f t="shared" si="49"/>
        <v>0.66254826254825072</v>
      </c>
      <c r="E866" s="203">
        <f t="shared" si="50"/>
        <v>4.9656018435569993E-4</v>
      </c>
      <c r="F866" s="203">
        <f t="shared" si="51"/>
        <v>0.17510839825598923</v>
      </c>
    </row>
    <row r="867" spans="2:6" x14ac:dyDescent="0.2">
      <c r="B867" s="237">
        <v>1665</v>
      </c>
      <c r="C867" s="114">
        <v>2000</v>
      </c>
      <c r="D867" s="204">
        <f t="shared" si="49"/>
        <v>0.66332046332045147</v>
      </c>
      <c r="E867" s="203">
        <f t="shared" si="50"/>
        <v>4.9656018435569993E-4</v>
      </c>
      <c r="F867" s="203">
        <f t="shared" si="51"/>
        <v>0.17560495844034493</v>
      </c>
    </row>
    <row r="868" spans="2:6" x14ac:dyDescent="0.2">
      <c r="B868" s="238">
        <v>2097</v>
      </c>
      <c r="C868" s="205">
        <v>2000</v>
      </c>
      <c r="D868" s="204">
        <f t="shared" si="49"/>
        <v>0.66409266409265222</v>
      </c>
      <c r="E868" s="203">
        <f t="shared" si="50"/>
        <v>4.9656018435569993E-4</v>
      </c>
      <c r="F868" s="203">
        <f t="shared" si="51"/>
        <v>0.17610151862470064</v>
      </c>
    </row>
    <row r="869" spans="2:6" x14ac:dyDescent="0.2">
      <c r="B869" s="237">
        <v>648</v>
      </c>
      <c r="C869" s="114">
        <v>2030</v>
      </c>
      <c r="D869" s="204">
        <f t="shared" si="49"/>
        <v>0.66486486486485297</v>
      </c>
      <c r="E869" s="203">
        <f t="shared" si="50"/>
        <v>5.040085871210354E-4</v>
      </c>
      <c r="F869" s="203">
        <f t="shared" si="51"/>
        <v>0.17660552721182168</v>
      </c>
    </row>
    <row r="870" spans="2:6" x14ac:dyDescent="0.2">
      <c r="B870" s="237">
        <v>365</v>
      </c>
      <c r="C870" s="114">
        <v>2067</v>
      </c>
      <c r="D870" s="204">
        <f t="shared" si="49"/>
        <v>0.66563706563705372</v>
      </c>
      <c r="E870" s="203">
        <f t="shared" si="50"/>
        <v>5.1319495053161589E-4</v>
      </c>
      <c r="F870" s="203">
        <f t="shared" si="51"/>
        <v>0.1771187221623533</v>
      </c>
    </row>
    <row r="871" spans="2:6" x14ac:dyDescent="0.2">
      <c r="B871" s="237">
        <v>890</v>
      </c>
      <c r="C871" s="114">
        <v>2083.333333333333</v>
      </c>
      <c r="D871" s="204">
        <f t="shared" si="49"/>
        <v>0.66640926640925446</v>
      </c>
      <c r="E871" s="203">
        <f t="shared" si="50"/>
        <v>5.1725019203718739E-4</v>
      </c>
      <c r="F871" s="203">
        <f t="shared" si="51"/>
        <v>0.17763597235439049</v>
      </c>
    </row>
    <row r="872" spans="2:6" x14ac:dyDescent="0.2">
      <c r="B872" s="238">
        <v>1748</v>
      </c>
      <c r="C872" s="205">
        <v>2094.166666666667</v>
      </c>
      <c r="D872" s="204">
        <f t="shared" si="49"/>
        <v>0.66718146718145521</v>
      </c>
      <c r="E872" s="203">
        <f t="shared" si="50"/>
        <v>5.1993989303578093E-4</v>
      </c>
      <c r="F872" s="203">
        <f t="shared" si="51"/>
        <v>0.17815591224742627</v>
      </c>
    </row>
    <row r="873" spans="2:6" x14ac:dyDescent="0.2">
      <c r="B873" s="237">
        <v>1965</v>
      </c>
      <c r="C873" s="114">
        <v>2100</v>
      </c>
      <c r="D873" s="204">
        <f t="shared" si="49"/>
        <v>0.66795366795365596</v>
      </c>
      <c r="E873" s="203">
        <f t="shared" si="50"/>
        <v>5.2138819357348495E-4</v>
      </c>
      <c r="F873" s="203">
        <f t="shared" si="51"/>
        <v>0.17867730044099975</v>
      </c>
    </row>
    <row r="874" spans="2:6" x14ac:dyDescent="0.2">
      <c r="B874" s="237">
        <v>2020</v>
      </c>
      <c r="C874" s="114">
        <v>2100</v>
      </c>
      <c r="D874" s="204">
        <f t="shared" si="49"/>
        <v>0.66872586872585671</v>
      </c>
      <c r="E874" s="203">
        <f t="shared" si="50"/>
        <v>5.2138819357348495E-4</v>
      </c>
      <c r="F874" s="203">
        <f t="shared" si="51"/>
        <v>0.17919868863457322</v>
      </c>
    </row>
    <row r="875" spans="2:6" x14ac:dyDescent="0.2">
      <c r="B875" s="237">
        <v>1053</v>
      </c>
      <c r="C875" s="114">
        <v>2135.25</v>
      </c>
      <c r="D875" s="204">
        <f t="shared" si="49"/>
        <v>0.66949806949805746</v>
      </c>
      <c r="E875" s="203">
        <f t="shared" si="50"/>
        <v>5.3014006682275416E-4</v>
      </c>
      <c r="F875" s="203">
        <f t="shared" si="51"/>
        <v>0.17972882870139598</v>
      </c>
    </row>
    <row r="876" spans="2:6" x14ac:dyDescent="0.2">
      <c r="B876" s="237">
        <v>1793</v>
      </c>
      <c r="C876" s="114">
        <v>2150</v>
      </c>
      <c r="D876" s="204">
        <f t="shared" si="49"/>
        <v>0.67027027027025821</v>
      </c>
      <c r="E876" s="203">
        <f t="shared" si="50"/>
        <v>5.3380219818237741E-4</v>
      </c>
      <c r="F876" s="203">
        <f t="shared" si="51"/>
        <v>0.18026263089957836</v>
      </c>
    </row>
    <row r="877" spans="2:6" x14ac:dyDescent="0.2">
      <c r="B877" s="238">
        <v>305</v>
      </c>
      <c r="C877" s="205">
        <v>2200</v>
      </c>
      <c r="D877" s="204">
        <f t="shared" si="49"/>
        <v>0.67104247104245895</v>
      </c>
      <c r="E877" s="203">
        <f t="shared" si="50"/>
        <v>5.4621620279126997E-4</v>
      </c>
      <c r="F877" s="203">
        <f t="shared" si="51"/>
        <v>0.18080884710236964</v>
      </c>
    </row>
    <row r="878" spans="2:6" x14ac:dyDescent="0.2">
      <c r="B878" s="237">
        <v>1400</v>
      </c>
      <c r="C878" s="114">
        <v>2200</v>
      </c>
      <c r="D878" s="204">
        <f t="shared" si="49"/>
        <v>0.6718146718146597</v>
      </c>
      <c r="E878" s="203">
        <f t="shared" si="50"/>
        <v>5.4621620279126997E-4</v>
      </c>
      <c r="F878" s="203">
        <f t="shared" si="51"/>
        <v>0.18135506330516091</v>
      </c>
    </row>
    <row r="879" spans="2:6" x14ac:dyDescent="0.2">
      <c r="B879" s="238">
        <v>1702</v>
      </c>
      <c r="C879" s="205">
        <v>2200</v>
      </c>
      <c r="D879" s="204">
        <f t="shared" si="49"/>
        <v>0.67258687258686045</v>
      </c>
      <c r="E879" s="203">
        <f t="shared" si="50"/>
        <v>5.4621620279126997E-4</v>
      </c>
      <c r="F879" s="203">
        <f t="shared" si="51"/>
        <v>0.18190127950795218</v>
      </c>
    </row>
    <row r="880" spans="2:6" x14ac:dyDescent="0.2">
      <c r="B880" s="237">
        <v>2046</v>
      </c>
      <c r="C880" s="114">
        <v>2200</v>
      </c>
      <c r="D880" s="204">
        <f t="shared" si="49"/>
        <v>0.6733590733590612</v>
      </c>
      <c r="E880" s="203">
        <f t="shared" si="50"/>
        <v>5.4621620279126997E-4</v>
      </c>
      <c r="F880" s="203">
        <f t="shared" si="51"/>
        <v>0.18244749571074345</v>
      </c>
    </row>
    <row r="881" spans="2:6" x14ac:dyDescent="0.2">
      <c r="B881" s="238">
        <v>403</v>
      </c>
      <c r="C881" s="205">
        <v>2212.5</v>
      </c>
      <c r="D881" s="204">
        <f t="shared" si="49"/>
        <v>0.67413127413126195</v>
      </c>
      <c r="E881" s="203">
        <f t="shared" si="50"/>
        <v>5.4931970394349306E-4</v>
      </c>
      <c r="F881" s="203">
        <f t="shared" si="51"/>
        <v>0.18299681541468693</v>
      </c>
    </row>
    <row r="882" spans="2:6" x14ac:dyDescent="0.2">
      <c r="B882" s="238">
        <v>2012</v>
      </c>
      <c r="C882" s="205">
        <v>2250</v>
      </c>
      <c r="D882" s="204">
        <f t="shared" si="49"/>
        <v>0.6749034749034627</v>
      </c>
      <c r="E882" s="203">
        <f t="shared" si="50"/>
        <v>5.5863020740016243E-4</v>
      </c>
      <c r="F882" s="203">
        <f t="shared" si="51"/>
        <v>0.18355544562208709</v>
      </c>
    </row>
    <row r="883" spans="2:6" x14ac:dyDescent="0.2">
      <c r="B883" s="237">
        <v>1680</v>
      </c>
      <c r="C883" s="114">
        <v>2286</v>
      </c>
      <c r="D883" s="204">
        <f t="shared" si="49"/>
        <v>0.67567567567566345</v>
      </c>
      <c r="E883" s="203">
        <f t="shared" si="50"/>
        <v>5.6756829071856506E-4</v>
      </c>
      <c r="F883" s="203">
        <f t="shared" si="51"/>
        <v>0.18412301391280567</v>
      </c>
    </row>
    <row r="884" spans="2:6" x14ac:dyDescent="0.2">
      <c r="B884" s="237">
        <v>904</v>
      </c>
      <c r="C884" s="114">
        <v>2295.8333333333339</v>
      </c>
      <c r="D884" s="204">
        <f t="shared" si="49"/>
        <v>0.67644787644786419</v>
      </c>
      <c r="E884" s="203">
        <f t="shared" si="50"/>
        <v>5.7000971162498074E-4</v>
      </c>
      <c r="F884" s="203">
        <f t="shared" si="51"/>
        <v>0.18469302362443066</v>
      </c>
    </row>
    <row r="885" spans="2:6" x14ac:dyDescent="0.2">
      <c r="B885" s="237">
        <v>2026</v>
      </c>
      <c r="C885" s="114">
        <v>2300</v>
      </c>
      <c r="D885" s="204">
        <f t="shared" si="49"/>
        <v>0.67722007722006494</v>
      </c>
      <c r="E885" s="203">
        <f t="shared" si="50"/>
        <v>5.7104421200905489E-4</v>
      </c>
      <c r="F885" s="203">
        <f t="shared" si="51"/>
        <v>0.1852640678364397</v>
      </c>
    </row>
    <row r="886" spans="2:6" x14ac:dyDescent="0.2">
      <c r="B886" s="237">
        <v>2278</v>
      </c>
      <c r="C886" s="114">
        <v>2300</v>
      </c>
      <c r="D886" s="204">
        <f t="shared" si="49"/>
        <v>0.67799227799226569</v>
      </c>
      <c r="E886" s="203">
        <f t="shared" si="50"/>
        <v>5.7104421200905489E-4</v>
      </c>
      <c r="F886" s="203">
        <f t="shared" si="51"/>
        <v>0.18583511204844874</v>
      </c>
    </row>
    <row r="887" spans="2:6" x14ac:dyDescent="0.2">
      <c r="B887" s="237">
        <v>1280</v>
      </c>
      <c r="C887" s="114">
        <v>2310</v>
      </c>
      <c r="D887" s="204">
        <f t="shared" si="49"/>
        <v>0.67876447876446644</v>
      </c>
      <c r="E887" s="203">
        <f t="shared" si="50"/>
        <v>5.7352701293083338E-4</v>
      </c>
      <c r="F887" s="203">
        <f t="shared" si="51"/>
        <v>0.18640863906137958</v>
      </c>
    </row>
    <row r="888" spans="2:6" x14ac:dyDescent="0.2">
      <c r="B888" s="238">
        <v>906</v>
      </c>
      <c r="C888" s="205">
        <v>2320</v>
      </c>
      <c r="D888" s="204">
        <f t="shared" si="49"/>
        <v>0.67953667953666719</v>
      </c>
      <c r="E888" s="203">
        <f t="shared" si="50"/>
        <v>5.7600981385261187E-4</v>
      </c>
      <c r="F888" s="203">
        <f t="shared" si="51"/>
        <v>0.1869846488752322</v>
      </c>
    </row>
    <row r="889" spans="2:6" x14ac:dyDescent="0.2">
      <c r="B889" s="238">
        <v>2144</v>
      </c>
      <c r="C889" s="205">
        <v>2333.3333333333339</v>
      </c>
      <c r="D889" s="204">
        <f t="shared" si="49"/>
        <v>0.68030888030886794</v>
      </c>
      <c r="E889" s="203">
        <f t="shared" si="50"/>
        <v>5.7932021508165011E-4</v>
      </c>
      <c r="F889" s="203">
        <f t="shared" si="51"/>
        <v>0.18756396909031384</v>
      </c>
    </row>
    <row r="890" spans="2:6" x14ac:dyDescent="0.2">
      <c r="B890" s="237">
        <v>1488</v>
      </c>
      <c r="C890" s="114">
        <v>2345.4666666666672</v>
      </c>
      <c r="D890" s="204">
        <f t="shared" si="49"/>
        <v>0.68108108108106868</v>
      </c>
      <c r="E890" s="203">
        <f t="shared" si="50"/>
        <v>5.8233268020007462E-4</v>
      </c>
      <c r="F890" s="203">
        <f t="shared" si="51"/>
        <v>0.18814630177051392</v>
      </c>
    </row>
    <row r="891" spans="2:6" x14ac:dyDescent="0.2">
      <c r="B891" s="237">
        <v>1572</v>
      </c>
      <c r="C891" s="114">
        <v>2398.75</v>
      </c>
      <c r="D891" s="204">
        <f t="shared" si="49"/>
        <v>0.68185328185326943</v>
      </c>
      <c r="E891" s="203">
        <f t="shared" si="50"/>
        <v>5.9556187111161761E-4</v>
      </c>
      <c r="F891" s="203">
        <f t="shared" si="51"/>
        <v>0.18874186364162554</v>
      </c>
    </row>
    <row r="892" spans="2:6" x14ac:dyDescent="0.2">
      <c r="B892" s="238">
        <v>1448</v>
      </c>
      <c r="C892" s="205">
        <v>2400</v>
      </c>
      <c r="D892" s="204">
        <f t="shared" si="49"/>
        <v>0.68262548262547018</v>
      </c>
      <c r="E892" s="203">
        <f t="shared" si="50"/>
        <v>5.9587222122683991E-4</v>
      </c>
      <c r="F892" s="203">
        <f t="shared" si="51"/>
        <v>0.18933773586285238</v>
      </c>
    </row>
    <row r="893" spans="2:6" x14ac:dyDescent="0.2">
      <c r="B893" s="237">
        <v>1546</v>
      </c>
      <c r="C893" s="114">
        <v>2400</v>
      </c>
      <c r="D893" s="204">
        <f t="shared" si="49"/>
        <v>0.68339768339767093</v>
      </c>
      <c r="E893" s="203">
        <f t="shared" si="50"/>
        <v>5.9587222122683991E-4</v>
      </c>
      <c r="F893" s="203">
        <f t="shared" si="51"/>
        <v>0.18993360808407922</v>
      </c>
    </row>
    <row r="894" spans="2:6" x14ac:dyDescent="0.2">
      <c r="B894" s="238">
        <v>2053</v>
      </c>
      <c r="C894" s="205">
        <v>2400</v>
      </c>
      <c r="D894" s="204">
        <f t="shared" si="49"/>
        <v>0.68416988416987168</v>
      </c>
      <c r="E894" s="203">
        <f t="shared" si="50"/>
        <v>5.9587222122683991E-4</v>
      </c>
      <c r="F894" s="203">
        <f t="shared" si="51"/>
        <v>0.19052948030530606</v>
      </c>
    </row>
    <row r="895" spans="2:6" x14ac:dyDescent="0.2">
      <c r="B895" s="238">
        <v>1430</v>
      </c>
      <c r="C895" s="205">
        <v>2432</v>
      </c>
      <c r="D895" s="204">
        <f t="shared" si="49"/>
        <v>0.68494208494207243</v>
      </c>
      <c r="E895" s="203">
        <f t="shared" si="50"/>
        <v>6.038171841765311E-4</v>
      </c>
      <c r="F895" s="203">
        <f t="shared" si="51"/>
        <v>0.1911332974894826</v>
      </c>
    </row>
    <row r="896" spans="2:6" x14ac:dyDescent="0.2">
      <c r="B896" s="237">
        <v>1938</v>
      </c>
      <c r="C896" s="114">
        <v>2450</v>
      </c>
      <c r="D896" s="204">
        <f t="shared" si="49"/>
        <v>0.68571428571427318</v>
      </c>
      <c r="E896" s="203">
        <f t="shared" si="50"/>
        <v>6.0828622583573237E-4</v>
      </c>
      <c r="F896" s="203">
        <f t="shared" si="51"/>
        <v>0.19174158371531833</v>
      </c>
    </row>
    <row r="897" spans="2:6" x14ac:dyDescent="0.2">
      <c r="B897" s="237">
        <v>2103</v>
      </c>
      <c r="C897" s="114">
        <v>2450</v>
      </c>
      <c r="D897" s="204">
        <f t="shared" si="49"/>
        <v>0.68648648648647392</v>
      </c>
      <c r="E897" s="203">
        <f t="shared" si="50"/>
        <v>6.0828622583573237E-4</v>
      </c>
      <c r="F897" s="203">
        <f t="shared" si="51"/>
        <v>0.19234986994115405</v>
      </c>
    </row>
    <row r="898" spans="2:6" x14ac:dyDescent="0.2">
      <c r="B898" s="238">
        <v>1320</v>
      </c>
      <c r="C898" s="205">
        <v>2457</v>
      </c>
      <c r="D898" s="204">
        <f t="shared" si="49"/>
        <v>0.68725868725867467</v>
      </c>
      <c r="E898" s="203">
        <f t="shared" si="50"/>
        <v>6.1002418648097739E-4</v>
      </c>
      <c r="F898" s="203">
        <f t="shared" si="51"/>
        <v>0.19295989412763503</v>
      </c>
    </row>
    <row r="899" spans="2:6" x14ac:dyDescent="0.2">
      <c r="B899" s="238">
        <v>556</v>
      </c>
      <c r="C899" s="205">
        <v>2500</v>
      </c>
      <c r="D899" s="204">
        <f t="shared" si="49"/>
        <v>0.68803088803087542</v>
      </c>
      <c r="E899" s="203">
        <f t="shared" si="50"/>
        <v>6.2070023044462493E-4</v>
      </c>
      <c r="F899" s="203">
        <f t="shared" si="51"/>
        <v>0.19358059435807967</v>
      </c>
    </row>
    <row r="900" spans="2:6" x14ac:dyDescent="0.2">
      <c r="B900" s="238">
        <v>1903</v>
      </c>
      <c r="C900" s="205">
        <v>2500</v>
      </c>
      <c r="D900" s="204">
        <f t="shared" si="49"/>
        <v>0.68880308880307617</v>
      </c>
      <c r="E900" s="203">
        <f t="shared" si="50"/>
        <v>6.2070023044462493E-4</v>
      </c>
      <c r="F900" s="203">
        <f t="shared" si="51"/>
        <v>0.19420129458852431</v>
      </c>
    </row>
    <row r="901" spans="2:6" x14ac:dyDescent="0.2">
      <c r="B901" s="238">
        <v>2119</v>
      </c>
      <c r="C901" s="205">
        <v>2500</v>
      </c>
      <c r="D901" s="204">
        <f t="shared" si="49"/>
        <v>0.68957528957527692</v>
      </c>
      <c r="E901" s="203">
        <f t="shared" si="50"/>
        <v>6.2070023044462493E-4</v>
      </c>
      <c r="F901" s="203">
        <f t="shared" si="51"/>
        <v>0.19482199481896895</v>
      </c>
    </row>
    <row r="902" spans="2:6" x14ac:dyDescent="0.2">
      <c r="B902" s="238">
        <v>2241</v>
      </c>
      <c r="C902" s="205">
        <v>2500</v>
      </c>
      <c r="D902" s="204">
        <f t="shared" si="49"/>
        <v>0.69034749034747767</v>
      </c>
      <c r="E902" s="203">
        <f t="shared" si="50"/>
        <v>6.2070023044462493E-4</v>
      </c>
      <c r="F902" s="203">
        <f t="shared" si="51"/>
        <v>0.19544269504941358</v>
      </c>
    </row>
    <row r="903" spans="2:6" x14ac:dyDescent="0.2">
      <c r="B903" s="237">
        <v>2088</v>
      </c>
      <c r="C903" s="114">
        <v>2520</v>
      </c>
      <c r="D903" s="204">
        <f t="shared" si="49"/>
        <v>0.69111969111967841</v>
      </c>
      <c r="E903" s="203">
        <f t="shared" si="50"/>
        <v>6.2566583228818192E-4</v>
      </c>
      <c r="F903" s="203">
        <f t="shared" si="51"/>
        <v>0.19606836088170176</v>
      </c>
    </row>
    <row r="904" spans="2:6" x14ac:dyDescent="0.2">
      <c r="B904" s="237">
        <v>376</v>
      </c>
      <c r="C904" s="114">
        <v>2544</v>
      </c>
      <c r="D904" s="204">
        <f t="shared" si="49"/>
        <v>0.69189189189187916</v>
      </c>
      <c r="E904" s="203">
        <f t="shared" si="50"/>
        <v>6.3162455450045034E-4</v>
      </c>
      <c r="F904" s="203">
        <f t="shared" si="51"/>
        <v>0.19669998543620221</v>
      </c>
    </row>
    <row r="905" spans="2:6" x14ac:dyDescent="0.2">
      <c r="B905" s="237">
        <v>379</v>
      </c>
      <c r="C905" s="114">
        <v>2544</v>
      </c>
      <c r="D905" s="204">
        <f t="shared" ref="D905:D968" si="52">D904+1/$L$18</f>
        <v>0.69266409266407991</v>
      </c>
      <c r="E905" s="203">
        <f t="shared" ref="E905:E968" si="53">C905/$O$18</f>
        <v>6.3162455450045034E-4</v>
      </c>
      <c r="F905" s="203">
        <f t="shared" ref="F905:F968" si="54">F904+E905</f>
        <v>0.19733160999070265</v>
      </c>
    </row>
    <row r="906" spans="2:6" x14ac:dyDescent="0.2">
      <c r="B906" s="238">
        <v>2045</v>
      </c>
      <c r="C906" s="205">
        <v>2640</v>
      </c>
      <c r="D906" s="204">
        <f t="shared" si="52"/>
        <v>0.69343629343628066</v>
      </c>
      <c r="E906" s="203">
        <f t="shared" si="53"/>
        <v>6.5545944334952392E-4</v>
      </c>
      <c r="F906" s="203">
        <f t="shared" si="54"/>
        <v>0.19798706943405217</v>
      </c>
    </row>
    <row r="907" spans="2:6" x14ac:dyDescent="0.2">
      <c r="B907" s="238">
        <v>1625</v>
      </c>
      <c r="C907" s="205">
        <v>2651.25</v>
      </c>
      <c r="D907" s="204">
        <f t="shared" si="52"/>
        <v>0.69420849420848141</v>
      </c>
      <c r="E907" s="203">
        <f t="shared" si="53"/>
        <v>6.5825259438652471E-4</v>
      </c>
      <c r="F907" s="203">
        <f t="shared" si="54"/>
        <v>0.19864532202843871</v>
      </c>
    </row>
    <row r="908" spans="2:6" x14ac:dyDescent="0.2">
      <c r="B908" s="237">
        <v>1927</v>
      </c>
      <c r="C908" s="114">
        <v>2688</v>
      </c>
      <c r="D908" s="204">
        <f t="shared" si="52"/>
        <v>0.69498069498068216</v>
      </c>
      <c r="E908" s="203">
        <f t="shared" si="53"/>
        <v>6.6737688777406066E-4</v>
      </c>
      <c r="F908" s="203">
        <f t="shared" si="54"/>
        <v>0.19931269891621278</v>
      </c>
    </row>
    <row r="909" spans="2:6" x14ac:dyDescent="0.2">
      <c r="B909" s="237">
        <v>2048</v>
      </c>
      <c r="C909" s="114">
        <v>2707.916666666667</v>
      </c>
      <c r="D909" s="204">
        <f t="shared" si="52"/>
        <v>0.69575289575288291</v>
      </c>
      <c r="E909" s="203">
        <f t="shared" si="53"/>
        <v>6.7232179960993634E-4</v>
      </c>
      <c r="F909" s="203">
        <f t="shared" si="54"/>
        <v>0.19998502071582272</v>
      </c>
    </row>
    <row r="910" spans="2:6" x14ac:dyDescent="0.2">
      <c r="B910" s="238">
        <v>1432</v>
      </c>
      <c r="C910" s="205">
        <v>2727</v>
      </c>
      <c r="D910" s="204">
        <f t="shared" si="52"/>
        <v>0.69652509652508365</v>
      </c>
      <c r="E910" s="203">
        <f t="shared" si="53"/>
        <v>6.7705981136899687E-4</v>
      </c>
      <c r="F910" s="203">
        <f t="shared" si="54"/>
        <v>0.20066208052719173</v>
      </c>
    </row>
    <row r="911" spans="2:6" x14ac:dyDescent="0.2">
      <c r="B911" s="237">
        <v>572</v>
      </c>
      <c r="C911" s="114">
        <v>2800</v>
      </c>
      <c r="D911" s="204">
        <f t="shared" si="52"/>
        <v>0.6972972972972844</v>
      </c>
      <c r="E911" s="203">
        <f t="shared" si="53"/>
        <v>6.951842580979799E-4</v>
      </c>
      <c r="F911" s="203">
        <f t="shared" si="54"/>
        <v>0.2013572647852897</v>
      </c>
    </row>
    <row r="912" spans="2:6" x14ac:dyDescent="0.2">
      <c r="B912" s="238">
        <v>2223</v>
      </c>
      <c r="C912" s="205">
        <v>2800</v>
      </c>
      <c r="D912" s="204">
        <f t="shared" si="52"/>
        <v>0.69806949806948515</v>
      </c>
      <c r="E912" s="203">
        <f t="shared" si="53"/>
        <v>6.951842580979799E-4</v>
      </c>
      <c r="F912" s="203">
        <f t="shared" si="54"/>
        <v>0.20205244904338768</v>
      </c>
    </row>
    <row r="913" spans="2:6" x14ac:dyDescent="0.2">
      <c r="B913" s="238">
        <v>1705</v>
      </c>
      <c r="C913" s="205">
        <v>2850</v>
      </c>
      <c r="D913" s="204">
        <f t="shared" si="52"/>
        <v>0.6988416988416859</v>
      </c>
      <c r="E913" s="203">
        <f t="shared" si="53"/>
        <v>7.0759826270687235E-4</v>
      </c>
      <c r="F913" s="203">
        <f t="shared" si="54"/>
        <v>0.20276004730609454</v>
      </c>
    </row>
    <row r="914" spans="2:6" x14ac:dyDescent="0.2">
      <c r="B914" s="237">
        <v>1474</v>
      </c>
      <c r="C914" s="114">
        <v>2860</v>
      </c>
      <c r="D914" s="204">
        <f t="shared" si="52"/>
        <v>0.69961389961388665</v>
      </c>
      <c r="E914" s="203">
        <f t="shared" si="53"/>
        <v>7.1008106362865095E-4</v>
      </c>
      <c r="F914" s="203">
        <f t="shared" si="54"/>
        <v>0.2034701283697232</v>
      </c>
    </row>
    <row r="915" spans="2:6" x14ac:dyDescent="0.2">
      <c r="B915" s="237">
        <v>1369</v>
      </c>
      <c r="C915" s="114">
        <v>2872</v>
      </c>
      <c r="D915" s="204">
        <f t="shared" si="52"/>
        <v>0.7003861003860874</v>
      </c>
      <c r="E915" s="203">
        <f t="shared" si="53"/>
        <v>7.1306042473478506E-4</v>
      </c>
      <c r="F915" s="203">
        <f t="shared" si="54"/>
        <v>0.20418318879445799</v>
      </c>
    </row>
    <row r="916" spans="2:6" x14ac:dyDescent="0.2">
      <c r="B916" s="237">
        <v>1725</v>
      </c>
      <c r="C916" s="114">
        <v>2872</v>
      </c>
      <c r="D916" s="204">
        <f t="shared" si="52"/>
        <v>0.70115830115828814</v>
      </c>
      <c r="E916" s="203">
        <f t="shared" si="53"/>
        <v>7.1306042473478506E-4</v>
      </c>
      <c r="F916" s="203">
        <f t="shared" si="54"/>
        <v>0.20489624921919278</v>
      </c>
    </row>
    <row r="917" spans="2:6" x14ac:dyDescent="0.2">
      <c r="B917" s="238">
        <v>2002</v>
      </c>
      <c r="C917" s="205">
        <v>2940</v>
      </c>
      <c r="D917" s="204">
        <f t="shared" si="52"/>
        <v>0.70193050193048889</v>
      </c>
      <c r="E917" s="203">
        <f t="shared" si="53"/>
        <v>7.2994347100287888E-4</v>
      </c>
      <c r="F917" s="203">
        <f t="shared" si="54"/>
        <v>0.20562619269019566</v>
      </c>
    </row>
    <row r="918" spans="2:6" x14ac:dyDescent="0.2">
      <c r="B918" s="237">
        <v>2165</v>
      </c>
      <c r="C918" s="114">
        <v>2940</v>
      </c>
      <c r="D918" s="204">
        <f t="shared" si="52"/>
        <v>0.70270270270268964</v>
      </c>
      <c r="E918" s="203">
        <f t="shared" si="53"/>
        <v>7.2994347100287888E-4</v>
      </c>
      <c r="F918" s="203">
        <f t="shared" si="54"/>
        <v>0.20635613616119855</v>
      </c>
    </row>
    <row r="919" spans="2:6" x14ac:dyDescent="0.2">
      <c r="B919" s="237">
        <v>9</v>
      </c>
      <c r="C919" s="114">
        <v>3000</v>
      </c>
      <c r="D919" s="204">
        <f t="shared" si="52"/>
        <v>0.70347490347489039</v>
      </c>
      <c r="E919" s="203">
        <f t="shared" si="53"/>
        <v>7.4484027653354994E-4</v>
      </c>
      <c r="F919" s="203">
        <f t="shared" si="54"/>
        <v>0.20710097643773209</v>
      </c>
    </row>
    <row r="920" spans="2:6" x14ac:dyDescent="0.2">
      <c r="B920" s="238">
        <v>26</v>
      </c>
      <c r="C920" s="205">
        <v>3000</v>
      </c>
      <c r="D920" s="204">
        <f t="shared" si="52"/>
        <v>0.70424710424709114</v>
      </c>
      <c r="E920" s="203">
        <f t="shared" si="53"/>
        <v>7.4484027653354994E-4</v>
      </c>
      <c r="F920" s="203">
        <f t="shared" si="54"/>
        <v>0.20784581671426564</v>
      </c>
    </row>
    <row r="921" spans="2:6" x14ac:dyDescent="0.2">
      <c r="B921" s="237">
        <v>147</v>
      </c>
      <c r="C921" s="114">
        <v>3000</v>
      </c>
      <c r="D921" s="204">
        <f t="shared" si="52"/>
        <v>0.70501930501929189</v>
      </c>
      <c r="E921" s="203">
        <f t="shared" si="53"/>
        <v>7.4484027653354994E-4</v>
      </c>
      <c r="F921" s="203">
        <f t="shared" si="54"/>
        <v>0.20859065699079918</v>
      </c>
    </row>
    <row r="922" spans="2:6" x14ac:dyDescent="0.2">
      <c r="B922" s="237">
        <v>234</v>
      </c>
      <c r="C922" s="114">
        <v>3000</v>
      </c>
      <c r="D922" s="204">
        <f t="shared" si="52"/>
        <v>0.70579150579149263</v>
      </c>
      <c r="E922" s="203">
        <f t="shared" si="53"/>
        <v>7.4484027653354994E-4</v>
      </c>
      <c r="F922" s="203">
        <f t="shared" si="54"/>
        <v>0.20933549726733272</v>
      </c>
    </row>
    <row r="923" spans="2:6" x14ac:dyDescent="0.2">
      <c r="B923" s="238">
        <v>259</v>
      </c>
      <c r="C923" s="205">
        <v>3000</v>
      </c>
      <c r="D923" s="204">
        <f t="shared" si="52"/>
        <v>0.70656370656369338</v>
      </c>
      <c r="E923" s="203">
        <f t="shared" si="53"/>
        <v>7.4484027653354994E-4</v>
      </c>
      <c r="F923" s="203">
        <f t="shared" si="54"/>
        <v>0.21008033754386626</v>
      </c>
    </row>
    <row r="924" spans="2:6" x14ac:dyDescent="0.2">
      <c r="B924" s="237">
        <v>352</v>
      </c>
      <c r="C924" s="114">
        <v>3000</v>
      </c>
      <c r="D924" s="204">
        <f t="shared" si="52"/>
        <v>0.70733590733589413</v>
      </c>
      <c r="E924" s="203">
        <f t="shared" si="53"/>
        <v>7.4484027653354994E-4</v>
      </c>
      <c r="F924" s="203">
        <f t="shared" si="54"/>
        <v>0.21082517782039981</v>
      </c>
    </row>
    <row r="925" spans="2:6" x14ac:dyDescent="0.2">
      <c r="B925" s="237">
        <v>410</v>
      </c>
      <c r="C925" s="114">
        <v>3000</v>
      </c>
      <c r="D925" s="204">
        <f t="shared" si="52"/>
        <v>0.70810810810809488</v>
      </c>
      <c r="E925" s="203">
        <f t="shared" si="53"/>
        <v>7.4484027653354994E-4</v>
      </c>
      <c r="F925" s="203">
        <f t="shared" si="54"/>
        <v>0.21157001809693335</v>
      </c>
    </row>
    <row r="926" spans="2:6" x14ac:dyDescent="0.2">
      <c r="B926" s="237">
        <v>567</v>
      </c>
      <c r="C926" s="114">
        <v>3000</v>
      </c>
      <c r="D926" s="204">
        <f t="shared" si="52"/>
        <v>0.70888030888029563</v>
      </c>
      <c r="E926" s="203">
        <f t="shared" si="53"/>
        <v>7.4484027653354994E-4</v>
      </c>
      <c r="F926" s="203">
        <f t="shared" si="54"/>
        <v>0.21231485837346689</v>
      </c>
    </row>
    <row r="927" spans="2:6" x14ac:dyDescent="0.2">
      <c r="B927" s="237">
        <v>688</v>
      </c>
      <c r="C927" s="114">
        <v>3000</v>
      </c>
      <c r="D927" s="204">
        <f t="shared" si="52"/>
        <v>0.70965250965249638</v>
      </c>
      <c r="E927" s="203">
        <f t="shared" si="53"/>
        <v>7.4484027653354994E-4</v>
      </c>
      <c r="F927" s="203">
        <f t="shared" si="54"/>
        <v>0.21305969865000043</v>
      </c>
    </row>
    <row r="928" spans="2:6" x14ac:dyDescent="0.2">
      <c r="B928" s="238">
        <v>755</v>
      </c>
      <c r="C928" s="205">
        <v>3000</v>
      </c>
      <c r="D928" s="204">
        <f t="shared" si="52"/>
        <v>0.71042471042469713</v>
      </c>
      <c r="E928" s="203">
        <f t="shared" si="53"/>
        <v>7.4484027653354994E-4</v>
      </c>
      <c r="F928" s="203">
        <f t="shared" si="54"/>
        <v>0.21380453892653398</v>
      </c>
    </row>
    <row r="929" spans="2:6" x14ac:dyDescent="0.2">
      <c r="B929" s="237">
        <v>864</v>
      </c>
      <c r="C929" s="114">
        <v>3000</v>
      </c>
      <c r="D929" s="204">
        <f t="shared" si="52"/>
        <v>0.71119691119689787</v>
      </c>
      <c r="E929" s="203">
        <f t="shared" si="53"/>
        <v>7.4484027653354994E-4</v>
      </c>
      <c r="F929" s="203">
        <f t="shared" si="54"/>
        <v>0.21454937920306752</v>
      </c>
    </row>
    <row r="930" spans="2:6" x14ac:dyDescent="0.2">
      <c r="B930" s="237">
        <v>875</v>
      </c>
      <c r="C930" s="114">
        <v>3000</v>
      </c>
      <c r="D930" s="204">
        <f t="shared" si="52"/>
        <v>0.71196911196909862</v>
      </c>
      <c r="E930" s="203">
        <f t="shared" si="53"/>
        <v>7.4484027653354994E-4</v>
      </c>
      <c r="F930" s="203">
        <f t="shared" si="54"/>
        <v>0.21529421947960106</v>
      </c>
    </row>
    <row r="931" spans="2:6" x14ac:dyDescent="0.2">
      <c r="B931" s="237">
        <v>914</v>
      </c>
      <c r="C931" s="114">
        <v>3000</v>
      </c>
      <c r="D931" s="204">
        <f t="shared" si="52"/>
        <v>0.71274131274129937</v>
      </c>
      <c r="E931" s="203">
        <f t="shared" si="53"/>
        <v>7.4484027653354994E-4</v>
      </c>
      <c r="F931" s="203">
        <f t="shared" si="54"/>
        <v>0.2160390597561346</v>
      </c>
    </row>
    <row r="932" spans="2:6" x14ac:dyDescent="0.2">
      <c r="B932" s="237">
        <v>963</v>
      </c>
      <c r="C932" s="114">
        <v>3000</v>
      </c>
      <c r="D932" s="204">
        <f t="shared" si="52"/>
        <v>0.71351351351350012</v>
      </c>
      <c r="E932" s="203">
        <f t="shared" si="53"/>
        <v>7.4484027653354994E-4</v>
      </c>
      <c r="F932" s="203">
        <f t="shared" si="54"/>
        <v>0.21678390003266815</v>
      </c>
    </row>
    <row r="933" spans="2:6" x14ac:dyDescent="0.2">
      <c r="B933" s="238">
        <v>1114</v>
      </c>
      <c r="C933" s="205">
        <v>3000</v>
      </c>
      <c r="D933" s="204">
        <f t="shared" si="52"/>
        <v>0.71428571428570087</v>
      </c>
      <c r="E933" s="203">
        <f t="shared" si="53"/>
        <v>7.4484027653354994E-4</v>
      </c>
      <c r="F933" s="203">
        <f t="shared" si="54"/>
        <v>0.21752874030920169</v>
      </c>
    </row>
    <row r="934" spans="2:6" x14ac:dyDescent="0.2">
      <c r="B934" s="238">
        <v>1150</v>
      </c>
      <c r="C934" s="205">
        <v>3000</v>
      </c>
      <c r="D934" s="204">
        <f t="shared" si="52"/>
        <v>0.71505791505790162</v>
      </c>
      <c r="E934" s="203">
        <f t="shared" si="53"/>
        <v>7.4484027653354994E-4</v>
      </c>
      <c r="F934" s="203">
        <f t="shared" si="54"/>
        <v>0.21827358058573523</v>
      </c>
    </row>
    <row r="935" spans="2:6" x14ac:dyDescent="0.2">
      <c r="B935" s="237">
        <v>1175</v>
      </c>
      <c r="C935" s="114">
        <v>3000</v>
      </c>
      <c r="D935" s="204">
        <f t="shared" si="52"/>
        <v>0.71583011583010236</v>
      </c>
      <c r="E935" s="203">
        <f t="shared" si="53"/>
        <v>7.4484027653354994E-4</v>
      </c>
      <c r="F935" s="203">
        <f t="shared" si="54"/>
        <v>0.21901842086226878</v>
      </c>
    </row>
    <row r="936" spans="2:6" x14ac:dyDescent="0.2">
      <c r="B936" s="237">
        <v>1217</v>
      </c>
      <c r="C936" s="114">
        <v>3000</v>
      </c>
      <c r="D936" s="204">
        <f t="shared" si="52"/>
        <v>0.71660231660230311</v>
      </c>
      <c r="E936" s="203">
        <f t="shared" si="53"/>
        <v>7.4484027653354994E-4</v>
      </c>
      <c r="F936" s="203">
        <f t="shared" si="54"/>
        <v>0.21976326113880232</v>
      </c>
    </row>
    <row r="937" spans="2:6" x14ac:dyDescent="0.2">
      <c r="B937" s="237">
        <v>1460</v>
      </c>
      <c r="C937" s="114">
        <v>3000</v>
      </c>
      <c r="D937" s="204">
        <f t="shared" si="52"/>
        <v>0.71737451737450386</v>
      </c>
      <c r="E937" s="203">
        <f t="shared" si="53"/>
        <v>7.4484027653354994E-4</v>
      </c>
      <c r="F937" s="203">
        <f t="shared" si="54"/>
        <v>0.22050810141533586</v>
      </c>
    </row>
    <row r="938" spans="2:6" x14ac:dyDescent="0.2">
      <c r="B938" s="238">
        <v>1469</v>
      </c>
      <c r="C938" s="205">
        <v>3000</v>
      </c>
      <c r="D938" s="204">
        <f t="shared" si="52"/>
        <v>0.71814671814670461</v>
      </c>
      <c r="E938" s="203">
        <f t="shared" si="53"/>
        <v>7.4484027653354994E-4</v>
      </c>
      <c r="F938" s="203">
        <f t="shared" si="54"/>
        <v>0.2212529416918694</v>
      </c>
    </row>
    <row r="939" spans="2:6" x14ac:dyDescent="0.2">
      <c r="B939" s="237">
        <v>1542</v>
      </c>
      <c r="C939" s="114">
        <v>3000</v>
      </c>
      <c r="D939" s="204">
        <f t="shared" si="52"/>
        <v>0.71891891891890536</v>
      </c>
      <c r="E939" s="203">
        <f t="shared" si="53"/>
        <v>7.4484027653354994E-4</v>
      </c>
      <c r="F939" s="203">
        <f t="shared" si="54"/>
        <v>0.22199778196840295</v>
      </c>
    </row>
    <row r="940" spans="2:6" x14ac:dyDescent="0.2">
      <c r="B940" s="237">
        <v>1648</v>
      </c>
      <c r="C940" s="114">
        <v>3000</v>
      </c>
      <c r="D940" s="204">
        <f t="shared" si="52"/>
        <v>0.71969111969110611</v>
      </c>
      <c r="E940" s="203">
        <f t="shared" si="53"/>
        <v>7.4484027653354994E-4</v>
      </c>
      <c r="F940" s="203">
        <f t="shared" si="54"/>
        <v>0.22274262224493649</v>
      </c>
    </row>
    <row r="941" spans="2:6" x14ac:dyDescent="0.2">
      <c r="B941" s="238">
        <v>1937</v>
      </c>
      <c r="C941" s="205">
        <v>3000</v>
      </c>
      <c r="D941" s="204">
        <f t="shared" si="52"/>
        <v>0.72046332046330686</v>
      </c>
      <c r="E941" s="203">
        <f t="shared" si="53"/>
        <v>7.4484027653354994E-4</v>
      </c>
      <c r="F941" s="203">
        <f t="shared" si="54"/>
        <v>0.22348746252147003</v>
      </c>
    </row>
    <row r="942" spans="2:6" x14ac:dyDescent="0.2">
      <c r="B942" s="238">
        <v>2287</v>
      </c>
      <c r="C942" s="205">
        <v>3000</v>
      </c>
      <c r="D942" s="204">
        <f t="shared" si="52"/>
        <v>0.7212355212355076</v>
      </c>
      <c r="E942" s="203">
        <f t="shared" si="53"/>
        <v>7.4484027653354994E-4</v>
      </c>
      <c r="F942" s="203">
        <f t="shared" si="54"/>
        <v>0.22423230279800357</v>
      </c>
    </row>
    <row r="943" spans="2:6" x14ac:dyDescent="0.2">
      <c r="B943" s="237">
        <v>1078</v>
      </c>
      <c r="C943" s="114">
        <v>3012.75</v>
      </c>
      <c r="D943" s="204">
        <f t="shared" si="52"/>
        <v>0.72200772200770835</v>
      </c>
      <c r="E943" s="203">
        <f t="shared" si="53"/>
        <v>7.4800584770881747E-4</v>
      </c>
      <c r="F943" s="203">
        <f t="shared" si="54"/>
        <v>0.22498030864571239</v>
      </c>
    </row>
    <row r="944" spans="2:6" x14ac:dyDescent="0.2">
      <c r="B944" s="237">
        <v>1368</v>
      </c>
      <c r="C944" s="114">
        <v>3030</v>
      </c>
      <c r="D944" s="204">
        <f t="shared" si="52"/>
        <v>0.7227799227799091</v>
      </c>
      <c r="E944" s="203">
        <f t="shared" si="53"/>
        <v>7.5228867929888542E-4</v>
      </c>
      <c r="F944" s="203">
        <f t="shared" si="54"/>
        <v>0.22573259732501127</v>
      </c>
    </row>
    <row r="945" spans="2:6" x14ac:dyDescent="0.2">
      <c r="B945" s="238">
        <v>2004</v>
      </c>
      <c r="C945" s="205">
        <v>3104</v>
      </c>
      <c r="D945" s="204">
        <f t="shared" si="52"/>
        <v>0.72355212355210985</v>
      </c>
      <c r="E945" s="203">
        <f t="shared" si="53"/>
        <v>7.706614061200463E-4</v>
      </c>
      <c r="F945" s="203">
        <f t="shared" si="54"/>
        <v>0.22650325873113134</v>
      </c>
    </row>
    <row r="946" spans="2:6" x14ac:dyDescent="0.2">
      <c r="B946" s="238">
        <v>1510</v>
      </c>
      <c r="C946" s="205">
        <v>3190</v>
      </c>
      <c r="D946" s="204">
        <f t="shared" si="52"/>
        <v>0.7243243243243106</v>
      </c>
      <c r="E946" s="203">
        <f t="shared" si="53"/>
        <v>7.9201349404734139E-4</v>
      </c>
      <c r="F946" s="203">
        <f t="shared" si="54"/>
        <v>0.22729527222517867</v>
      </c>
    </row>
    <row r="947" spans="2:6" x14ac:dyDescent="0.2">
      <c r="B947" s="238">
        <v>1002</v>
      </c>
      <c r="C947" s="205">
        <v>3203.2</v>
      </c>
      <c r="D947" s="204">
        <f t="shared" si="52"/>
        <v>0.72509652509651135</v>
      </c>
      <c r="E947" s="203">
        <f t="shared" si="53"/>
        <v>7.9529079126408901E-4</v>
      </c>
      <c r="F947" s="203">
        <f t="shared" si="54"/>
        <v>0.22809056301644276</v>
      </c>
    </row>
    <row r="948" spans="2:6" x14ac:dyDescent="0.2">
      <c r="B948" s="237">
        <v>977</v>
      </c>
      <c r="C948" s="114">
        <v>3262.5</v>
      </c>
      <c r="D948" s="204">
        <f t="shared" si="52"/>
        <v>0.72586872586871209</v>
      </c>
      <c r="E948" s="203">
        <f t="shared" si="53"/>
        <v>8.1001380073023553E-4</v>
      </c>
      <c r="F948" s="203">
        <f t="shared" si="54"/>
        <v>0.22890057681717299</v>
      </c>
    </row>
    <row r="949" spans="2:6" x14ac:dyDescent="0.2">
      <c r="B949" s="238">
        <v>1635</v>
      </c>
      <c r="C949" s="205">
        <v>3290.833333333333</v>
      </c>
      <c r="D949" s="204">
        <f t="shared" si="52"/>
        <v>0.72664092664091284</v>
      </c>
      <c r="E949" s="203">
        <f t="shared" si="53"/>
        <v>8.1704840334194113E-4</v>
      </c>
      <c r="F949" s="203">
        <f t="shared" si="54"/>
        <v>0.22971762522051492</v>
      </c>
    </row>
    <row r="950" spans="2:6" x14ac:dyDescent="0.2">
      <c r="B950" s="237">
        <v>2170</v>
      </c>
      <c r="C950" s="114">
        <v>3397</v>
      </c>
      <c r="D950" s="204">
        <f t="shared" si="52"/>
        <v>0.72741312741311359</v>
      </c>
      <c r="E950" s="203">
        <f t="shared" si="53"/>
        <v>8.4340747312815635E-4</v>
      </c>
      <c r="F950" s="203">
        <f t="shared" si="54"/>
        <v>0.23056103269364309</v>
      </c>
    </row>
    <row r="951" spans="2:6" x14ac:dyDescent="0.2">
      <c r="B951" s="238">
        <v>29</v>
      </c>
      <c r="C951" s="205">
        <v>3400</v>
      </c>
      <c r="D951" s="204">
        <f t="shared" si="52"/>
        <v>0.72818532818531434</v>
      </c>
      <c r="E951" s="203">
        <f t="shared" si="53"/>
        <v>8.4415231340468993E-4</v>
      </c>
      <c r="F951" s="203">
        <f t="shared" si="54"/>
        <v>0.23140518500704776</v>
      </c>
    </row>
    <row r="952" spans="2:6" x14ac:dyDescent="0.2">
      <c r="B952" s="238">
        <v>1515</v>
      </c>
      <c r="C952" s="205">
        <v>3408.75</v>
      </c>
      <c r="D952" s="204">
        <f t="shared" si="52"/>
        <v>0.72895752895751509</v>
      </c>
      <c r="E952" s="203">
        <f t="shared" si="53"/>
        <v>8.4632476421124612E-4</v>
      </c>
      <c r="F952" s="203">
        <f t="shared" si="54"/>
        <v>0.23225150977125902</v>
      </c>
    </row>
    <row r="953" spans="2:6" x14ac:dyDescent="0.2">
      <c r="B953" s="238">
        <v>1729</v>
      </c>
      <c r="C953" s="205">
        <v>3500</v>
      </c>
      <c r="D953" s="204">
        <f t="shared" si="52"/>
        <v>0.72972972972971584</v>
      </c>
      <c r="E953" s="203">
        <f t="shared" si="53"/>
        <v>8.6898032262247484E-4</v>
      </c>
      <c r="F953" s="203">
        <f t="shared" si="54"/>
        <v>0.2331204900938815</v>
      </c>
    </row>
    <row r="954" spans="2:6" x14ac:dyDescent="0.2">
      <c r="B954" s="237">
        <v>1839</v>
      </c>
      <c r="C954" s="114">
        <v>3500</v>
      </c>
      <c r="D954" s="204">
        <f t="shared" si="52"/>
        <v>0.73050193050191659</v>
      </c>
      <c r="E954" s="203">
        <f t="shared" si="53"/>
        <v>8.6898032262247484E-4</v>
      </c>
      <c r="F954" s="203">
        <f t="shared" si="54"/>
        <v>0.23398947041650398</v>
      </c>
    </row>
    <row r="955" spans="2:6" x14ac:dyDescent="0.2">
      <c r="B955" s="237">
        <v>1059</v>
      </c>
      <c r="C955" s="114">
        <v>3510</v>
      </c>
      <c r="D955" s="204">
        <f t="shared" si="52"/>
        <v>0.73127413127411733</v>
      </c>
      <c r="E955" s="203">
        <f t="shared" si="53"/>
        <v>8.7146312354425333E-4</v>
      </c>
      <c r="F955" s="203">
        <f t="shared" si="54"/>
        <v>0.23486093354004822</v>
      </c>
    </row>
    <row r="956" spans="2:6" x14ac:dyDescent="0.2">
      <c r="B956" s="237">
        <v>2092</v>
      </c>
      <c r="C956" s="114">
        <v>3583.3333333333339</v>
      </c>
      <c r="D956" s="204">
        <f t="shared" si="52"/>
        <v>0.73204633204631808</v>
      </c>
      <c r="E956" s="203">
        <f t="shared" si="53"/>
        <v>8.8967033030396252E-4</v>
      </c>
      <c r="F956" s="203">
        <f t="shared" si="54"/>
        <v>0.23575060387035218</v>
      </c>
    </row>
    <row r="957" spans="2:6" x14ac:dyDescent="0.2">
      <c r="B957" s="237">
        <v>2067</v>
      </c>
      <c r="C957" s="114">
        <v>3637.5</v>
      </c>
      <c r="D957" s="204">
        <f t="shared" si="52"/>
        <v>0.73281853281851883</v>
      </c>
      <c r="E957" s="203">
        <f t="shared" si="53"/>
        <v>9.0311883529692924E-4</v>
      </c>
      <c r="F957" s="203">
        <f t="shared" si="54"/>
        <v>0.23665372270564911</v>
      </c>
    </row>
    <row r="958" spans="2:6" x14ac:dyDescent="0.2">
      <c r="B958" s="238">
        <v>1086</v>
      </c>
      <c r="C958" s="205">
        <v>3656.25</v>
      </c>
      <c r="D958" s="204">
        <f t="shared" si="52"/>
        <v>0.73359073359071958</v>
      </c>
      <c r="E958" s="203">
        <f t="shared" si="53"/>
        <v>9.0777408702526392E-4</v>
      </c>
      <c r="F958" s="203">
        <f t="shared" si="54"/>
        <v>0.23756149679267438</v>
      </c>
    </row>
    <row r="959" spans="2:6" x14ac:dyDescent="0.2">
      <c r="B959" s="237">
        <v>8</v>
      </c>
      <c r="C959" s="114">
        <v>4000</v>
      </c>
      <c r="D959" s="204">
        <f t="shared" si="52"/>
        <v>0.73436293436292033</v>
      </c>
      <c r="E959" s="203">
        <f t="shared" si="53"/>
        <v>9.9312036871139985E-4</v>
      </c>
      <c r="F959" s="203">
        <f t="shared" si="54"/>
        <v>0.23855461716138579</v>
      </c>
    </row>
    <row r="960" spans="2:6" x14ac:dyDescent="0.2">
      <c r="B960" s="238">
        <v>38</v>
      </c>
      <c r="C960" s="205">
        <v>4000</v>
      </c>
      <c r="D960" s="204">
        <f t="shared" si="52"/>
        <v>0.73513513513512108</v>
      </c>
      <c r="E960" s="203">
        <f t="shared" si="53"/>
        <v>9.9312036871139985E-4</v>
      </c>
      <c r="F960" s="203">
        <f t="shared" si="54"/>
        <v>0.2395477375300972</v>
      </c>
    </row>
    <row r="961" spans="2:6" x14ac:dyDescent="0.2">
      <c r="B961" s="237">
        <v>45</v>
      </c>
      <c r="C961" s="114">
        <v>4000</v>
      </c>
      <c r="D961" s="204">
        <f t="shared" si="52"/>
        <v>0.73590733590732182</v>
      </c>
      <c r="E961" s="203">
        <f t="shared" si="53"/>
        <v>9.9312036871139985E-4</v>
      </c>
      <c r="F961" s="203">
        <f t="shared" si="54"/>
        <v>0.24054085789880861</v>
      </c>
    </row>
    <row r="962" spans="2:6" x14ac:dyDescent="0.2">
      <c r="B962" s="237">
        <v>103</v>
      </c>
      <c r="C962" s="114">
        <v>4000</v>
      </c>
      <c r="D962" s="204">
        <f t="shared" si="52"/>
        <v>0.73667953667952257</v>
      </c>
      <c r="E962" s="203">
        <f t="shared" si="53"/>
        <v>9.9312036871139985E-4</v>
      </c>
      <c r="F962" s="203">
        <f t="shared" si="54"/>
        <v>0.24153397826752002</v>
      </c>
    </row>
    <row r="963" spans="2:6" x14ac:dyDescent="0.2">
      <c r="B963" s="237">
        <v>118</v>
      </c>
      <c r="C963" s="114">
        <v>4000</v>
      </c>
      <c r="D963" s="204">
        <f t="shared" si="52"/>
        <v>0.73745173745172332</v>
      </c>
      <c r="E963" s="203">
        <f t="shared" si="53"/>
        <v>9.9312036871139985E-4</v>
      </c>
      <c r="F963" s="203">
        <f t="shared" si="54"/>
        <v>0.24252709863623143</v>
      </c>
    </row>
    <row r="964" spans="2:6" x14ac:dyDescent="0.2">
      <c r="B964" s="237">
        <v>228</v>
      </c>
      <c r="C964" s="114">
        <v>4000</v>
      </c>
      <c r="D964" s="204">
        <f t="shared" si="52"/>
        <v>0.73822393822392407</v>
      </c>
      <c r="E964" s="203">
        <f t="shared" si="53"/>
        <v>9.9312036871139985E-4</v>
      </c>
      <c r="F964" s="203">
        <f t="shared" si="54"/>
        <v>0.24352021900494283</v>
      </c>
    </row>
    <row r="965" spans="2:6" x14ac:dyDescent="0.2">
      <c r="B965" s="237">
        <v>246</v>
      </c>
      <c r="C965" s="114">
        <v>4000</v>
      </c>
      <c r="D965" s="204">
        <f t="shared" si="52"/>
        <v>0.73899613899612482</v>
      </c>
      <c r="E965" s="203">
        <f t="shared" si="53"/>
        <v>9.9312036871139985E-4</v>
      </c>
      <c r="F965" s="203">
        <f t="shared" si="54"/>
        <v>0.24451333937365424</v>
      </c>
    </row>
    <row r="966" spans="2:6" x14ac:dyDescent="0.2">
      <c r="B966" s="237">
        <v>251</v>
      </c>
      <c r="C966" s="114">
        <v>4000</v>
      </c>
      <c r="D966" s="204">
        <f t="shared" si="52"/>
        <v>0.73976833976832557</v>
      </c>
      <c r="E966" s="203">
        <f t="shared" si="53"/>
        <v>9.9312036871139985E-4</v>
      </c>
      <c r="F966" s="203">
        <f t="shared" si="54"/>
        <v>0.24550645974236565</v>
      </c>
    </row>
    <row r="967" spans="2:6" x14ac:dyDescent="0.2">
      <c r="B967" s="237">
        <v>253</v>
      </c>
      <c r="C967" s="114">
        <v>4000</v>
      </c>
      <c r="D967" s="204">
        <f t="shared" si="52"/>
        <v>0.74054054054052632</v>
      </c>
      <c r="E967" s="203">
        <f t="shared" si="53"/>
        <v>9.9312036871139985E-4</v>
      </c>
      <c r="F967" s="203">
        <f t="shared" si="54"/>
        <v>0.24649958011107706</v>
      </c>
    </row>
    <row r="968" spans="2:6" x14ac:dyDescent="0.2">
      <c r="B968" s="237">
        <v>302</v>
      </c>
      <c r="C968" s="114">
        <v>4000</v>
      </c>
      <c r="D968" s="204">
        <f t="shared" si="52"/>
        <v>0.74131274131272706</v>
      </c>
      <c r="E968" s="203">
        <f t="shared" si="53"/>
        <v>9.9312036871139985E-4</v>
      </c>
      <c r="F968" s="203">
        <f t="shared" si="54"/>
        <v>0.24749270047978847</v>
      </c>
    </row>
    <row r="969" spans="2:6" x14ac:dyDescent="0.2">
      <c r="B969" s="237">
        <v>310</v>
      </c>
      <c r="C969" s="114">
        <v>4000</v>
      </c>
      <c r="D969" s="204">
        <f t="shared" ref="D969:D1032" si="55">D968+1/$L$18</f>
        <v>0.74208494208492781</v>
      </c>
      <c r="E969" s="203">
        <f t="shared" ref="E969:E1032" si="56">C969/$O$18</f>
        <v>9.9312036871139985E-4</v>
      </c>
      <c r="F969" s="203">
        <f t="shared" ref="F969:F1032" si="57">F968+E969</f>
        <v>0.24848582084849988</v>
      </c>
    </row>
    <row r="970" spans="2:6" x14ac:dyDescent="0.2">
      <c r="B970" s="237">
        <v>524</v>
      </c>
      <c r="C970" s="114">
        <v>4000</v>
      </c>
      <c r="D970" s="204">
        <f t="shared" si="55"/>
        <v>0.74285714285712856</v>
      </c>
      <c r="E970" s="203">
        <f t="shared" si="56"/>
        <v>9.9312036871139985E-4</v>
      </c>
      <c r="F970" s="203">
        <f t="shared" si="57"/>
        <v>0.24947894121721129</v>
      </c>
    </row>
    <row r="971" spans="2:6" x14ac:dyDescent="0.2">
      <c r="B971" s="238">
        <v>609</v>
      </c>
      <c r="C971" s="205">
        <v>4000</v>
      </c>
      <c r="D971" s="204">
        <f t="shared" si="55"/>
        <v>0.74362934362932931</v>
      </c>
      <c r="E971" s="203">
        <f t="shared" si="56"/>
        <v>9.9312036871139985E-4</v>
      </c>
      <c r="F971" s="203">
        <f t="shared" si="57"/>
        <v>0.25047206158592267</v>
      </c>
    </row>
    <row r="972" spans="2:6" x14ac:dyDescent="0.2">
      <c r="B972" s="237">
        <v>641</v>
      </c>
      <c r="C972" s="114">
        <v>4000</v>
      </c>
      <c r="D972" s="204">
        <f t="shared" si="55"/>
        <v>0.74440154440153006</v>
      </c>
      <c r="E972" s="203">
        <f t="shared" si="56"/>
        <v>9.9312036871139985E-4</v>
      </c>
      <c r="F972" s="203">
        <f t="shared" si="57"/>
        <v>0.25146518195463408</v>
      </c>
    </row>
    <row r="973" spans="2:6" x14ac:dyDescent="0.2">
      <c r="B973" s="238">
        <v>649</v>
      </c>
      <c r="C973" s="205">
        <v>4000</v>
      </c>
      <c r="D973" s="204">
        <f t="shared" si="55"/>
        <v>0.74517374517373081</v>
      </c>
      <c r="E973" s="203">
        <f t="shared" si="56"/>
        <v>9.9312036871139985E-4</v>
      </c>
      <c r="F973" s="203">
        <f t="shared" si="57"/>
        <v>0.25245830232334548</v>
      </c>
    </row>
    <row r="974" spans="2:6" x14ac:dyDescent="0.2">
      <c r="B974" s="238">
        <v>856</v>
      </c>
      <c r="C974" s="205">
        <v>4000</v>
      </c>
      <c r="D974" s="204">
        <f t="shared" si="55"/>
        <v>0.74594594594593155</v>
      </c>
      <c r="E974" s="203">
        <f t="shared" si="56"/>
        <v>9.9312036871139985E-4</v>
      </c>
      <c r="F974" s="203">
        <f t="shared" si="57"/>
        <v>0.25345142269205689</v>
      </c>
    </row>
    <row r="975" spans="2:6" x14ac:dyDescent="0.2">
      <c r="B975" s="237">
        <v>1288</v>
      </c>
      <c r="C975" s="114">
        <v>4000</v>
      </c>
      <c r="D975" s="204">
        <f t="shared" si="55"/>
        <v>0.7467181467181323</v>
      </c>
      <c r="E975" s="203">
        <f t="shared" si="56"/>
        <v>9.9312036871139985E-4</v>
      </c>
      <c r="F975" s="203">
        <f t="shared" si="57"/>
        <v>0.2544445430607683</v>
      </c>
    </row>
    <row r="976" spans="2:6" x14ac:dyDescent="0.2">
      <c r="B976" s="237">
        <v>1351</v>
      </c>
      <c r="C976" s="114">
        <v>4000</v>
      </c>
      <c r="D976" s="204">
        <f t="shared" si="55"/>
        <v>0.74749034749033305</v>
      </c>
      <c r="E976" s="203">
        <f t="shared" si="56"/>
        <v>9.9312036871139985E-4</v>
      </c>
      <c r="F976" s="203">
        <f t="shared" si="57"/>
        <v>0.25543766342947971</v>
      </c>
    </row>
    <row r="977" spans="2:6" x14ac:dyDescent="0.2">
      <c r="B977" s="238">
        <v>1486</v>
      </c>
      <c r="C977" s="205">
        <v>4000</v>
      </c>
      <c r="D977" s="204">
        <f t="shared" si="55"/>
        <v>0.7482625482625338</v>
      </c>
      <c r="E977" s="203">
        <f t="shared" si="56"/>
        <v>9.9312036871139985E-4</v>
      </c>
      <c r="F977" s="203">
        <f t="shared" si="57"/>
        <v>0.25643078379819112</v>
      </c>
    </row>
    <row r="978" spans="2:6" x14ac:dyDescent="0.2">
      <c r="B978" s="237">
        <v>1526</v>
      </c>
      <c r="C978" s="114">
        <v>4000</v>
      </c>
      <c r="D978" s="204">
        <f t="shared" si="55"/>
        <v>0.74903474903473455</v>
      </c>
      <c r="E978" s="203">
        <f t="shared" si="56"/>
        <v>9.9312036871139985E-4</v>
      </c>
      <c r="F978" s="203">
        <f t="shared" si="57"/>
        <v>0.25742390416690253</v>
      </c>
    </row>
    <row r="979" spans="2:6" x14ac:dyDescent="0.2">
      <c r="B979" s="237">
        <v>1547</v>
      </c>
      <c r="C979" s="114">
        <v>4000</v>
      </c>
      <c r="D979" s="204">
        <f t="shared" si="55"/>
        <v>0.7498069498069353</v>
      </c>
      <c r="E979" s="203">
        <f t="shared" si="56"/>
        <v>9.9312036871139985E-4</v>
      </c>
      <c r="F979" s="203">
        <f t="shared" si="57"/>
        <v>0.25841702453561394</v>
      </c>
    </row>
    <row r="980" spans="2:6" x14ac:dyDescent="0.2">
      <c r="B980" s="238">
        <v>1630</v>
      </c>
      <c r="C980" s="205">
        <v>4000</v>
      </c>
      <c r="D980" s="204">
        <f t="shared" si="55"/>
        <v>0.75057915057913605</v>
      </c>
      <c r="E980" s="203">
        <f t="shared" si="56"/>
        <v>9.9312036871139985E-4</v>
      </c>
      <c r="F980" s="203">
        <f t="shared" si="57"/>
        <v>0.25941014490432535</v>
      </c>
    </row>
    <row r="981" spans="2:6" x14ac:dyDescent="0.2">
      <c r="B981" s="238">
        <v>1749</v>
      </c>
      <c r="C981" s="205">
        <v>4000</v>
      </c>
      <c r="D981" s="204">
        <f t="shared" si="55"/>
        <v>0.75135135135133679</v>
      </c>
      <c r="E981" s="203">
        <f t="shared" si="56"/>
        <v>9.9312036871139985E-4</v>
      </c>
      <c r="F981" s="203">
        <f t="shared" si="57"/>
        <v>0.26040326527303675</v>
      </c>
    </row>
    <row r="982" spans="2:6" x14ac:dyDescent="0.2">
      <c r="B982" s="237">
        <v>1762</v>
      </c>
      <c r="C982" s="114">
        <v>4000</v>
      </c>
      <c r="D982" s="204">
        <f t="shared" si="55"/>
        <v>0.75212355212353754</v>
      </c>
      <c r="E982" s="203">
        <f t="shared" si="56"/>
        <v>9.9312036871139985E-4</v>
      </c>
      <c r="F982" s="203">
        <f t="shared" si="57"/>
        <v>0.26139638564174816</v>
      </c>
    </row>
    <row r="983" spans="2:6" x14ac:dyDescent="0.2">
      <c r="B983" s="238">
        <v>1826</v>
      </c>
      <c r="C983" s="205">
        <v>4000</v>
      </c>
      <c r="D983" s="204">
        <f t="shared" si="55"/>
        <v>0.75289575289573829</v>
      </c>
      <c r="E983" s="203">
        <f t="shared" si="56"/>
        <v>9.9312036871139985E-4</v>
      </c>
      <c r="F983" s="203">
        <f t="shared" si="57"/>
        <v>0.26238950601045957</v>
      </c>
    </row>
    <row r="984" spans="2:6" x14ac:dyDescent="0.2">
      <c r="B984" s="238">
        <v>2056</v>
      </c>
      <c r="C984" s="205">
        <v>4000</v>
      </c>
      <c r="D984" s="204">
        <f t="shared" si="55"/>
        <v>0.75366795366793904</v>
      </c>
      <c r="E984" s="203">
        <f t="shared" si="56"/>
        <v>9.9312036871139985E-4</v>
      </c>
      <c r="F984" s="203">
        <f t="shared" si="57"/>
        <v>0.26338262637917098</v>
      </c>
    </row>
    <row r="985" spans="2:6" x14ac:dyDescent="0.2">
      <c r="B985" s="237">
        <v>2107</v>
      </c>
      <c r="C985" s="114">
        <v>4000</v>
      </c>
      <c r="D985" s="204">
        <f t="shared" si="55"/>
        <v>0.75444015444013979</v>
      </c>
      <c r="E985" s="203">
        <f t="shared" si="56"/>
        <v>9.9312036871139985E-4</v>
      </c>
      <c r="F985" s="203">
        <f t="shared" si="57"/>
        <v>0.26437574674788239</v>
      </c>
    </row>
    <row r="986" spans="2:6" x14ac:dyDescent="0.2">
      <c r="B986" s="237">
        <v>202</v>
      </c>
      <c r="C986" s="114">
        <v>4100</v>
      </c>
      <c r="D986" s="204">
        <f t="shared" si="55"/>
        <v>0.75521235521234054</v>
      </c>
      <c r="E986" s="203">
        <f t="shared" si="56"/>
        <v>1.0179483779291848E-3</v>
      </c>
      <c r="F986" s="203">
        <f t="shared" si="57"/>
        <v>0.26539369512581157</v>
      </c>
    </row>
    <row r="987" spans="2:6" x14ac:dyDescent="0.2">
      <c r="B987" s="238">
        <v>1860</v>
      </c>
      <c r="C987" s="205">
        <v>4166.666666666667</v>
      </c>
      <c r="D987" s="204">
        <f t="shared" si="55"/>
        <v>0.75598455598454128</v>
      </c>
      <c r="E987" s="203">
        <f t="shared" si="56"/>
        <v>1.034500384074375E-3</v>
      </c>
      <c r="F987" s="203">
        <f t="shared" si="57"/>
        <v>0.26642819550988595</v>
      </c>
    </row>
    <row r="988" spans="2:6" x14ac:dyDescent="0.2">
      <c r="B988" s="237">
        <v>97</v>
      </c>
      <c r="C988" s="114">
        <v>4275</v>
      </c>
      <c r="D988" s="204">
        <f t="shared" si="55"/>
        <v>0.75675675675674203</v>
      </c>
      <c r="E988" s="203">
        <f t="shared" si="56"/>
        <v>1.0613973940603086E-3</v>
      </c>
      <c r="F988" s="203">
        <f t="shared" si="57"/>
        <v>0.26748959290394625</v>
      </c>
    </row>
    <row r="989" spans="2:6" x14ac:dyDescent="0.2">
      <c r="B989" s="237">
        <v>1410</v>
      </c>
      <c r="C989" s="114">
        <v>4308</v>
      </c>
      <c r="D989" s="204">
        <f t="shared" si="55"/>
        <v>0.75752895752894278</v>
      </c>
      <c r="E989" s="203">
        <f t="shared" si="56"/>
        <v>1.0695906371021777E-3</v>
      </c>
      <c r="F989" s="203">
        <f t="shared" si="57"/>
        <v>0.26855918354104841</v>
      </c>
    </row>
    <row r="990" spans="2:6" x14ac:dyDescent="0.2">
      <c r="B990" s="238">
        <v>1997</v>
      </c>
      <c r="C990" s="205">
        <v>4620</v>
      </c>
      <c r="D990" s="204">
        <f t="shared" si="55"/>
        <v>0.75830115830114353</v>
      </c>
      <c r="E990" s="203">
        <f t="shared" si="56"/>
        <v>1.1470540258616668E-3</v>
      </c>
      <c r="F990" s="203">
        <f t="shared" si="57"/>
        <v>0.26970623756691009</v>
      </c>
    </row>
    <row r="991" spans="2:6" x14ac:dyDescent="0.2">
      <c r="B991" s="237">
        <v>1440</v>
      </c>
      <c r="C991" s="114">
        <v>4750</v>
      </c>
      <c r="D991" s="204">
        <f t="shared" si="55"/>
        <v>0.75907335907334428</v>
      </c>
      <c r="E991" s="203">
        <f t="shared" si="56"/>
        <v>1.1793304378447873E-3</v>
      </c>
      <c r="F991" s="203">
        <f t="shared" si="57"/>
        <v>0.27088556800475488</v>
      </c>
    </row>
    <row r="992" spans="2:6" x14ac:dyDescent="0.2">
      <c r="B992" s="237">
        <v>51</v>
      </c>
      <c r="C992" s="114">
        <v>5000</v>
      </c>
      <c r="D992" s="204">
        <f t="shared" si="55"/>
        <v>0.75984555984554503</v>
      </c>
      <c r="E992" s="203">
        <f t="shared" si="56"/>
        <v>1.2414004608892499E-3</v>
      </c>
      <c r="F992" s="203">
        <f t="shared" si="57"/>
        <v>0.27212696846564416</v>
      </c>
    </row>
    <row r="993" spans="2:6" x14ac:dyDescent="0.2">
      <c r="B993" s="237">
        <v>60</v>
      </c>
      <c r="C993" s="114">
        <v>5000</v>
      </c>
      <c r="D993" s="204">
        <f t="shared" si="55"/>
        <v>0.76061776061774578</v>
      </c>
      <c r="E993" s="203">
        <f t="shared" si="56"/>
        <v>1.2414004608892499E-3</v>
      </c>
      <c r="F993" s="203">
        <f t="shared" si="57"/>
        <v>0.27336836892653343</v>
      </c>
    </row>
    <row r="994" spans="2:6" x14ac:dyDescent="0.2">
      <c r="B994" s="237">
        <v>61</v>
      </c>
      <c r="C994" s="114">
        <v>5000</v>
      </c>
      <c r="D994" s="204">
        <f t="shared" si="55"/>
        <v>0.76138996138994652</v>
      </c>
      <c r="E994" s="203">
        <f t="shared" si="56"/>
        <v>1.2414004608892499E-3</v>
      </c>
      <c r="F994" s="203">
        <f t="shared" si="57"/>
        <v>0.27460976938742271</v>
      </c>
    </row>
    <row r="995" spans="2:6" x14ac:dyDescent="0.2">
      <c r="B995" s="238">
        <v>72</v>
      </c>
      <c r="C995" s="205">
        <v>5000</v>
      </c>
      <c r="D995" s="204">
        <f t="shared" si="55"/>
        <v>0.76216216216214727</v>
      </c>
      <c r="E995" s="203">
        <f t="shared" si="56"/>
        <v>1.2414004608892499E-3</v>
      </c>
      <c r="F995" s="203">
        <f t="shared" si="57"/>
        <v>0.27585116984831198</v>
      </c>
    </row>
    <row r="996" spans="2:6" x14ac:dyDescent="0.2">
      <c r="B996" s="237">
        <v>133</v>
      </c>
      <c r="C996" s="114">
        <v>5000</v>
      </c>
      <c r="D996" s="204">
        <f t="shared" si="55"/>
        <v>0.76293436293434802</v>
      </c>
      <c r="E996" s="203">
        <f t="shared" si="56"/>
        <v>1.2414004608892499E-3</v>
      </c>
      <c r="F996" s="203">
        <f t="shared" si="57"/>
        <v>0.27709257030920126</v>
      </c>
    </row>
    <row r="997" spans="2:6" x14ac:dyDescent="0.2">
      <c r="B997" s="237">
        <v>155</v>
      </c>
      <c r="C997" s="114">
        <v>5000</v>
      </c>
      <c r="D997" s="204">
        <f t="shared" si="55"/>
        <v>0.76370656370654877</v>
      </c>
      <c r="E997" s="203">
        <f t="shared" si="56"/>
        <v>1.2414004608892499E-3</v>
      </c>
      <c r="F997" s="203">
        <f t="shared" si="57"/>
        <v>0.27833397077009053</v>
      </c>
    </row>
    <row r="998" spans="2:6" x14ac:dyDescent="0.2">
      <c r="B998" s="238">
        <v>177</v>
      </c>
      <c r="C998" s="205">
        <v>5000</v>
      </c>
      <c r="D998" s="204">
        <f t="shared" si="55"/>
        <v>0.76447876447874952</v>
      </c>
      <c r="E998" s="203">
        <f t="shared" si="56"/>
        <v>1.2414004608892499E-3</v>
      </c>
      <c r="F998" s="203">
        <f t="shared" si="57"/>
        <v>0.27957537123097981</v>
      </c>
    </row>
    <row r="999" spans="2:6" x14ac:dyDescent="0.2">
      <c r="B999" s="237">
        <v>201</v>
      </c>
      <c r="C999" s="114">
        <v>5000</v>
      </c>
      <c r="D999" s="204">
        <f t="shared" si="55"/>
        <v>0.76525096525095027</v>
      </c>
      <c r="E999" s="203">
        <f t="shared" si="56"/>
        <v>1.2414004608892499E-3</v>
      </c>
      <c r="F999" s="203">
        <f t="shared" si="57"/>
        <v>0.28081677169186908</v>
      </c>
    </row>
    <row r="1000" spans="2:6" x14ac:dyDescent="0.2">
      <c r="B1000" s="238">
        <v>242</v>
      </c>
      <c r="C1000" s="205">
        <v>5000</v>
      </c>
      <c r="D1000" s="204">
        <f t="shared" si="55"/>
        <v>0.76602316602315101</v>
      </c>
      <c r="E1000" s="203">
        <f t="shared" si="56"/>
        <v>1.2414004608892499E-3</v>
      </c>
      <c r="F1000" s="203">
        <f t="shared" si="57"/>
        <v>0.28205817215275836</v>
      </c>
    </row>
    <row r="1001" spans="2:6" x14ac:dyDescent="0.2">
      <c r="B1001" s="238">
        <v>267</v>
      </c>
      <c r="C1001" s="205">
        <v>5000</v>
      </c>
      <c r="D1001" s="204">
        <f t="shared" si="55"/>
        <v>0.76679536679535176</v>
      </c>
      <c r="E1001" s="203">
        <f t="shared" si="56"/>
        <v>1.2414004608892499E-3</v>
      </c>
      <c r="F1001" s="203">
        <f t="shared" si="57"/>
        <v>0.28329957261364763</v>
      </c>
    </row>
    <row r="1002" spans="2:6" x14ac:dyDescent="0.2">
      <c r="B1002" s="238">
        <v>358</v>
      </c>
      <c r="C1002" s="205">
        <v>5000</v>
      </c>
      <c r="D1002" s="204">
        <f t="shared" si="55"/>
        <v>0.76756756756755251</v>
      </c>
      <c r="E1002" s="203">
        <f t="shared" si="56"/>
        <v>1.2414004608892499E-3</v>
      </c>
      <c r="F1002" s="203">
        <f t="shared" si="57"/>
        <v>0.28454097307453691</v>
      </c>
    </row>
    <row r="1003" spans="2:6" x14ac:dyDescent="0.2">
      <c r="B1003" s="238">
        <v>555</v>
      </c>
      <c r="C1003" s="205">
        <v>5000</v>
      </c>
      <c r="D1003" s="204">
        <f t="shared" si="55"/>
        <v>0.76833976833975326</v>
      </c>
      <c r="E1003" s="203">
        <f t="shared" si="56"/>
        <v>1.2414004608892499E-3</v>
      </c>
      <c r="F1003" s="203">
        <f t="shared" si="57"/>
        <v>0.28578237353542618</v>
      </c>
    </row>
    <row r="1004" spans="2:6" x14ac:dyDescent="0.2">
      <c r="B1004" s="237">
        <v>562</v>
      </c>
      <c r="C1004" s="114">
        <v>5000</v>
      </c>
      <c r="D1004" s="204">
        <f t="shared" si="55"/>
        <v>0.76911196911195401</v>
      </c>
      <c r="E1004" s="203">
        <f t="shared" si="56"/>
        <v>1.2414004608892499E-3</v>
      </c>
      <c r="F1004" s="203">
        <f t="shared" si="57"/>
        <v>0.28702377399631546</v>
      </c>
    </row>
    <row r="1005" spans="2:6" x14ac:dyDescent="0.2">
      <c r="B1005" s="238">
        <v>601</v>
      </c>
      <c r="C1005" s="205">
        <v>5000</v>
      </c>
      <c r="D1005" s="204">
        <f t="shared" si="55"/>
        <v>0.76988416988415476</v>
      </c>
      <c r="E1005" s="203">
        <f t="shared" si="56"/>
        <v>1.2414004608892499E-3</v>
      </c>
      <c r="F1005" s="203">
        <f t="shared" si="57"/>
        <v>0.28826517445720473</v>
      </c>
    </row>
    <row r="1006" spans="2:6" x14ac:dyDescent="0.2">
      <c r="B1006" s="237">
        <v>624</v>
      </c>
      <c r="C1006" s="114">
        <v>5000</v>
      </c>
      <c r="D1006" s="204">
        <f t="shared" si="55"/>
        <v>0.7706563706563555</v>
      </c>
      <c r="E1006" s="203">
        <f t="shared" si="56"/>
        <v>1.2414004608892499E-3</v>
      </c>
      <c r="F1006" s="203">
        <f t="shared" si="57"/>
        <v>0.28950657491809401</v>
      </c>
    </row>
    <row r="1007" spans="2:6" x14ac:dyDescent="0.2">
      <c r="B1007" s="237">
        <v>689</v>
      </c>
      <c r="C1007" s="114">
        <v>5000</v>
      </c>
      <c r="D1007" s="204">
        <f t="shared" si="55"/>
        <v>0.77142857142855625</v>
      </c>
      <c r="E1007" s="203">
        <f t="shared" si="56"/>
        <v>1.2414004608892499E-3</v>
      </c>
      <c r="F1007" s="203">
        <f t="shared" si="57"/>
        <v>0.29074797537898328</v>
      </c>
    </row>
    <row r="1008" spans="2:6" x14ac:dyDescent="0.2">
      <c r="B1008" s="237">
        <v>701</v>
      </c>
      <c r="C1008" s="114">
        <v>5000</v>
      </c>
      <c r="D1008" s="204">
        <f t="shared" si="55"/>
        <v>0.772200772200757</v>
      </c>
      <c r="E1008" s="203">
        <f t="shared" si="56"/>
        <v>1.2414004608892499E-3</v>
      </c>
      <c r="F1008" s="203">
        <f t="shared" si="57"/>
        <v>0.29198937583987256</v>
      </c>
    </row>
    <row r="1009" spans="2:6" x14ac:dyDescent="0.2">
      <c r="B1009" s="237">
        <v>771</v>
      </c>
      <c r="C1009" s="114">
        <v>5000</v>
      </c>
      <c r="D1009" s="204">
        <f t="shared" si="55"/>
        <v>0.77297297297295775</v>
      </c>
      <c r="E1009" s="203">
        <f t="shared" si="56"/>
        <v>1.2414004608892499E-3</v>
      </c>
      <c r="F1009" s="203">
        <f t="shared" si="57"/>
        <v>0.29323077630076183</v>
      </c>
    </row>
    <row r="1010" spans="2:6" x14ac:dyDescent="0.2">
      <c r="B1010" s="238">
        <v>794</v>
      </c>
      <c r="C1010" s="205">
        <v>5000</v>
      </c>
      <c r="D1010" s="204">
        <f t="shared" si="55"/>
        <v>0.7737451737451585</v>
      </c>
      <c r="E1010" s="203">
        <f t="shared" si="56"/>
        <v>1.2414004608892499E-3</v>
      </c>
      <c r="F1010" s="203">
        <f t="shared" si="57"/>
        <v>0.29447217676165111</v>
      </c>
    </row>
    <row r="1011" spans="2:6" x14ac:dyDescent="0.2">
      <c r="B1011" s="237">
        <v>872</v>
      </c>
      <c r="C1011" s="114">
        <v>5000</v>
      </c>
      <c r="D1011" s="204">
        <f t="shared" si="55"/>
        <v>0.77451737451735925</v>
      </c>
      <c r="E1011" s="203">
        <f t="shared" si="56"/>
        <v>1.2414004608892499E-3</v>
      </c>
      <c r="F1011" s="203">
        <f t="shared" si="57"/>
        <v>0.29571357722254038</v>
      </c>
    </row>
    <row r="1012" spans="2:6" x14ac:dyDescent="0.2">
      <c r="B1012" s="237">
        <v>900</v>
      </c>
      <c r="C1012" s="114">
        <v>5000</v>
      </c>
      <c r="D1012" s="204">
        <f t="shared" si="55"/>
        <v>0.77528957528956</v>
      </c>
      <c r="E1012" s="203">
        <f t="shared" si="56"/>
        <v>1.2414004608892499E-3</v>
      </c>
      <c r="F1012" s="203">
        <f t="shared" si="57"/>
        <v>0.29695497768342966</v>
      </c>
    </row>
    <row r="1013" spans="2:6" x14ac:dyDescent="0.2">
      <c r="B1013" s="238">
        <v>980</v>
      </c>
      <c r="C1013" s="205">
        <v>5000</v>
      </c>
      <c r="D1013" s="204">
        <f t="shared" si="55"/>
        <v>0.77606177606176074</v>
      </c>
      <c r="E1013" s="203">
        <f t="shared" si="56"/>
        <v>1.2414004608892499E-3</v>
      </c>
      <c r="F1013" s="203">
        <f t="shared" si="57"/>
        <v>0.29819637814431893</v>
      </c>
    </row>
    <row r="1014" spans="2:6" x14ac:dyDescent="0.2">
      <c r="B1014" s="238">
        <v>992</v>
      </c>
      <c r="C1014" s="205">
        <v>5000</v>
      </c>
      <c r="D1014" s="204">
        <f t="shared" si="55"/>
        <v>0.77683397683396149</v>
      </c>
      <c r="E1014" s="203">
        <f t="shared" si="56"/>
        <v>1.2414004608892499E-3</v>
      </c>
      <c r="F1014" s="203">
        <f t="shared" si="57"/>
        <v>0.2994377786052082</v>
      </c>
    </row>
    <row r="1015" spans="2:6" x14ac:dyDescent="0.2">
      <c r="B1015" s="238">
        <v>1058</v>
      </c>
      <c r="C1015" s="205">
        <v>5000</v>
      </c>
      <c r="D1015" s="204">
        <f t="shared" si="55"/>
        <v>0.77760617760616224</v>
      </c>
      <c r="E1015" s="203">
        <f t="shared" si="56"/>
        <v>1.2414004608892499E-3</v>
      </c>
      <c r="F1015" s="203">
        <f t="shared" si="57"/>
        <v>0.30067917906609748</v>
      </c>
    </row>
    <row r="1016" spans="2:6" x14ac:dyDescent="0.2">
      <c r="B1016" s="238">
        <v>1093</v>
      </c>
      <c r="C1016" s="205">
        <v>5000</v>
      </c>
      <c r="D1016" s="204">
        <f t="shared" si="55"/>
        <v>0.77837837837836299</v>
      </c>
      <c r="E1016" s="203">
        <f t="shared" si="56"/>
        <v>1.2414004608892499E-3</v>
      </c>
      <c r="F1016" s="203">
        <f t="shared" si="57"/>
        <v>0.30192057952698675</v>
      </c>
    </row>
    <row r="1017" spans="2:6" x14ac:dyDescent="0.2">
      <c r="B1017" s="237">
        <v>1143</v>
      </c>
      <c r="C1017" s="114">
        <v>5000</v>
      </c>
      <c r="D1017" s="204">
        <f t="shared" si="55"/>
        <v>0.77915057915056374</v>
      </c>
      <c r="E1017" s="203">
        <f t="shared" si="56"/>
        <v>1.2414004608892499E-3</v>
      </c>
      <c r="F1017" s="203">
        <f t="shared" si="57"/>
        <v>0.30316197998787603</v>
      </c>
    </row>
    <row r="1018" spans="2:6" x14ac:dyDescent="0.2">
      <c r="B1018" s="238">
        <v>1155</v>
      </c>
      <c r="C1018" s="205">
        <v>5000</v>
      </c>
      <c r="D1018" s="204">
        <f t="shared" si="55"/>
        <v>0.77992277992276449</v>
      </c>
      <c r="E1018" s="203">
        <f t="shared" si="56"/>
        <v>1.2414004608892499E-3</v>
      </c>
      <c r="F1018" s="203">
        <f t="shared" si="57"/>
        <v>0.3044033804487653</v>
      </c>
    </row>
    <row r="1019" spans="2:6" x14ac:dyDescent="0.2">
      <c r="B1019" s="237">
        <v>1195</v>
      </c>
      <c r="C1019" s="114">
        <v>5000</v>
      </c>
      <c r="D1019" s="204">
        <f t="shared" si="55"/>
        <v>0.78069498069496523</v>
      </c>
      <c r="E1019" s="203">
        <f t="shared" si="56"/>
        <v>1.2414004608892499E-3</v>
      </c>
      <c r="F1019" s="203">
        <f t="shared" si="57"/>
        <v>0.30564478090965458</v>
      </c>
    </row>
    <row r="1020" spans="2:6" x14ac:dyDescent="0.2">
      <c r="B1020" s="237">
        <v>1269</v>
      </c>
      <c r="C1020" s="114">
        <v>5000</v>
      </c>
      <c r="D1020" s="204">
        <f t="shared" si="55"/>
        <v>0.78146718146716598</v>
      </c>
      <c r="E1020" s="203">
        <f t="shared" si="56"/>
        <v>1.2414004608892499E-3</v>
      </c>
      <c r="F1020" s="203">
        <f t="shared" si="57"/>
        <v>0.30688618137054385</v>
      </c>
    </row>
    <row r="1021" spans="2:6" x14ac:dyDescent="0.2">
      <c r="B1021" s="237">
        <v>1272</v>
      </c>
      <c r="C1021" s="114">
        <v>5000</v>
      </c>
      <c r="D1021" s="204">
        <f t="shared" si="55"/>
        <v>0.78223938223936673</v>
      </c>
      <c r="E1021" s="203">
        <f t="shared" si="56"/>
        <v>1.2414004608892499E-3</v>
      </c>
      <c r="F1021" s="203">
        <f t="shared" si="57"/>
        <v>0.30812758183143313</v>
      </c>
    </row>
    <row r="1022" spans="2:6" x14ac:dyDescent="0.2">
      <c r="B1022" s="237">
        <v>1399</v>
      </c>
      <c r="C1022" s="114">
        <v>5000</v>
      </c>
      <c r="D1022" s="204">
        <f t="shared" si="55"/>
        <v>0.78301158301156748</v>
      </c>
      <c r="E1022" s="203">
        <f t="shared" si="56"/>
        <v>1.2414004608892499E-3</v>
      </c>
      <c r="F1022" s="203">
        <f t="shared" si="57"/>
        <v>0.3093689822923224</v>
      </c>
    </row>
    <row r="1023" spans="2:6" x14ac:dyDescent="0.2">
      <c r="B1023" s="237">
        <v>1654</v>
      </c>
      <c r="C1023" s="114">
        <v>5000</v>
      </c>
      <c r="D1023" s="204">
        <f t="shared" si="55"/>
        <v>0.78378378378376823</v>
      </c>
      <c r="E1023" s="203">
        <f t="shared" si="56"/>
        <v>1.2414004608892499E-3</v>
      </c>
      <c r="F1023" s="203">
        <f t="shared" si="57"/>
        <v>0.31061038275321168</v>
      </c>
    </row>
    <row r="1024" spans="2:6" x14ac:dyDescent="0.2">
      <c r="B1024" s="237">
        <v>1656</v>
      </c>
      <c r="C1024" s="114">
        <v>5000</v>
      </c>
      <c r="D1024" s="204">
        <f t="shared" si="55"/>
        <v>0.78455598455596898</v>
      </c>
      <c r="E1024" s="203">
        <f t="shared" si="56"/>
        <v>1.2414004608892499E-3</v>
      </c>
      <c r="F1024" s="203">
        <f t="shared" si="57"/>
        <v>0.31185178321410095</v>
      </c>
    </row>
    <row r="1025" spans="2:6" x14ac:dyDescent="0.2">
      <c r="B1025" s="238">
        <v>1667</v>
      </c>
      <c r="C1025" s="205">
        <v>5000</v>
      </c>
      <c r="D1025" s="204">
        <f t="shared" si="55"/>
        <v>0.78532818532816973</v>
      </c>
      <c r="E1025" s="203">
        <f t="shared" si="56"/>
        <v>1.2414004608892499E-3</v>
      </c>
      <c r="F1025" s="203">
        <f t="shared" si="57"/>
        <v>0.31309318367499023</v>
      </c>
    </row>
    <row r="1026" spans="2:6" x14ac:dyDescent="0.2">
      <c r="B1026" s="237">
        <v>1803</v>
      </c>
      <c r="C1026" s="114">
        <v>5000</v>
      </c>
      <c r="D1026" s="204">
        <f t="shared" si="55"/>
        <v>0.78610038610037047</v>
      </c>
      <c r="E1026" s="203">
        <f t="shared" si="56"/>
        <v>1.2414004608892499E-3</v>
      </c>
      <c r="F1026" s="203">
        <f t="shared" si="57"/>
        <v>0.3143345841358795</v>
      </c>
    </row>
    <row r="1027" spans="2:6" x14ac:dyDescent="0.2">
      <c r="B1027" s="237">
        <v>1823</v>
      </c>
      <c r="C1027" s="114">
        <v>5000</v>
      </c>
      <c r="D1027" s="204">
        <f t="shared" si="55"/>
        <v>0.78687258687257122</v>
      </c>
      <c r="E1027" s="203">
        <f t="shared" si="56"/>
        <v>1.2414004608892499E-3</v>
      </c>
      <c r="F1027" s="203">
        <f t="shared" si="57"/>
        <v>0.31557598459676878</v>
      </c>
    </row>
    <row r="1028" spans="2:6" x14ac:dyDescent="0.2">
      <c r="B1028" s="238">
        <v>1890</v>
      </c>
      <c r="C1028" s="205">
        <v>5000</v>
      </c>
      <c r="D1028" s="204">
        <f t="shared" si="55"/>
        <v>0.78764478764477197</v>
      </c>
      <c r="E1028" s="203">
        <f t="shared" si="56"/>
        <v>1.2414004608892499E-3</v>
      </c>
      <c r="F1028" s="203">
        <f t="shared" si="57"/>
        <v>0.31681738505765805</v>
      </c>
    </row>
    <row r="1029" spans="2:6" x14ac:dyDescent="0.2">
      <c r="B1029" s="237">
        <v>1925</v>
      </c>
      <c r="C1029" s="114">
        <v>5000</v>
      </c>
      <c r="D1029" s="204">
        <f t="shared" si="55"/>
        <v>0.78841698841697272</v>
      </c>
      <c r="E1029" s="203">
        <f t="shared" si="56"/>
        <v>1.2414004608892499E-3</v>
      </c>
      <c r="F1029" s="203">
        <f t="shared" si="57"/>
        <v>0.31805878551854733</v>
      </c>
    </row>
    <row r="1030" spans="2:6" x14ac:dyDescent="0.2">
      <c r="B1030" s="237">
        <v>1960</v>
      </c>
      <c r="C1030" s="114">
        <v>5000</v>
      </c>
      <c r="D1030" s="204">
        <f t="shared" si="55"/>
        <v>0.78918918918917347</v>
      </c>
      <c r="E1030" s="203">
        <f t="shared" si="56"/>
        <v>1.2414004608892499E-3</v>
      </c>
      <c r="F1030" s="203">
        <f t="shared" si="57"/>
        <v>0.3193001859794366</v>
      </c>
    </row>
    <row r="1031" spans="2:6" x14ac:dyDescent="0.2">
      <c r="B1031" s="237">
        <v>2070</v>
      </c>
      <c r="C1031" s="114">
        <v>5000</v>
      </c>
      <c r="D1031" s="204">
        <f t="shared" si="55"/>
        <v>0.78996138996137422</v>
      </c>
      <c r="E1031" s="203">
        <f t="shared" si="56"/>
        <v>1.2414004608892499E-3</v>
      </c>
      <c r="F1031" s="203">
        <f t="shared" si="57"/>
        <v>0.32054158644032588</v>
      </c>
    </row>
    <row r="1032" spans="2:6" x14ac:dyDescent="0.2">
      <c r="B1032" s="238">
        <v>2169</v>
      </c>
      <c r="C1032" s="205">
        <v>5000</v>
      </c>
      <c r="D1032" s="204">
        <f t="shared" si="55"/>
        <v>0.79073359073357496</v>
      </c>
      <c r="E1032" s="203">
        <f t="shared" si="56"/>
        <v>1.2414004608892499E-3</v>
      </c>
      <c r="F1032" s="203">
        <f t="shared" si="57"/>
        <v>0.32178298690121515</v>
      </c>
    </row>
    <row r="1033" spans="2:6" x14ac:dyDescent="0.2">
      <c r="B1033" s="238">
        <v>2270</v>
      </c>
      <c r="C1033" s="205">
        <v>5000</v>
      </c>
      <c r="D1033" s="204">
        <f t="shared" ref="D1033:D1096" si="58">D1032+1/$L$18</f>
        <v>0.79150579150577571</v>
      </c>
      <c r="E1033" s="203">
        <f t="shared" ref="E1033:E1096" si="59">C1033/$O$18</f>
        <v>1.2414004608892499E-3</v>
      </c>
      <c r="F1033" s="203">
        <f t="shared" ref="F1033:F1096" si="60">F1032+E1033</f>
        <v>0.32302438736210443</v>
      </c>
    </row>
    <row r="1034" spans="2:6" x14ac:dyDescent="0.2">
      <c r="B1034" s="238">
        <v>2297</v>
      </c>
      <c r="C1034" s="205">
        <v>5000</v>
      </c>
      <c r="D1034" s="204">
        <f t="shared" si="58"/>
        <v>0.79227799227797646</v>
      </c>
      <c r="E1034" s="203">
        <f t="shared" si="59"/>
        <v>1.2414004608892499E-3</v>
      </c>
      <c r="F1034" s="203">
        <f t="shared" si="60"/>
        <v>0.3242657878229937</v>
      </c>
    </row>
    <row r="1035" spans="2:6" x14ac:dyDescent="0.2">
      <c r="B1035" s="237">
        <v>1892</v>
      </c>
      <c r="C1035" s="114">
        <v>5016.6666666666661</v>
      </c>
      <c r="D1035" s="204">
        <f t="shared" si="58"/>
        <v>0.79305019305017721</v>
      </c>
      <c r="E1035" s="203">
        <f t="shared" si="59"/>
        <v>1.2455384624255471E-3</v>
      </c>
      <c r="F1035" s="203">
        <f t="shared" si="60"/>
        <v>0.32551132628541923</v>
      </c>
    </row>
    <row r="1036" spans="2:6" x14ac:dyDescent="0.2">
      <c r="B1036" s="237">
        <v>226</v>
      </c>
      <c r="C1036" s="114">
        <v>5520</v>
      </c>
      <c r="D1036" s="204">
        <f t="shared" si="58"/>
        <v>0.79382239382237796</v>
      </c>
      <c r="E1036" s="203">
        <f t="shared" si="59"/>
        <v>1.3705061088217319E-3</v>
      </c>
      <c r="F1036" s="203">
        <f t="shared" si="60"/>
        <v>0.32688183239424096</v>
      </c>
    </row>
    <row r="1037" spans="2:6" x14ac:dyDescent="0.2">
      <c r="B1037" s="238">
        <v>66</v>
      </c>
      <c r="C1037" s="205">
        <v>6000</v>
      </c>
      <c r="D1037" s="204">
        <f t="shared" si="58"/>
        <v>0.79459459459457871</v>
      </c>
      <c r="E1037" s="203">
        <f t="shared" si="59"/>
        <v>1.4896805530670999E-3</v>
      </c>
      <c r="F1037" s="203">
        <f t="shared" si="60"/>
        <v>0.32837151294730804</v>
      </c>
    </row>
    <row r="1038" spans="2:6" x14ac:dyDescent="0.2">
      <c r="B1038" s="237">
        <v>80</v>
      </c>
      <c r="C1038" s="114">
        <v>6000</v>
      </c>
      <c r="D1038" s="204">
        <f t="shared" si="58"/>
        <v>0.79536679536677946</v>
      </c>
      <c r="E1038" s="203">
        <f t="shared" si="59"/>
        <v>1.4896805530670999E-3</v>
      </c>
      <c r="F1038" s="203">
        <f t="shared" si="60"/>
        <v>0.32986119350037513</v>
      </c>
    </row>
    <row r="1039" spans="2:6" x14ac:dyDescent="0.2">
      <c r="B1039" s="237">
        <v>94</v>
      </c>
      <c r="C1039" s="114">
        <v>6000</v>
      </c>
      <c r="D1039" s="204">
        <f t="shared" si="58"/>
        <v>0.7961389961389802</v>
      </c>
      <c r="E1039" s="203">
        <f t="shared" si="59"/>
        <v>1.4896805530670999E-3</v>
      </c>
      <c r="F1039" s="203">
        <f t="shared" si="60"/>
        <v>0.33135087405344221</v>
      </c>
    </row>
    <row r="1040" spans="2:6" x14ac:dyDescent="0.2">
      <c r="B1040" s="238">
        <v>109</v>
      </c>
      <c r="C1040" s="205">
        <v>6000</v>
      </c>
      <c r="D1040" s="204">
        <f t="shared" si="58"/>
        <v>0.79691119691118095</v>
      </c>
      <c r="E1040" s="203">
        <f t="shared" si="59"/>
        <v>1.4896805530670999E-3</v>
      </c>
      <c r="F1040" s="203">
        <f t="shared" si="60"/>
        <v>0.3328405546065093</v>
      </c>
    </row>
    <row r="1041" spans="2:6" x14ac:dyDescent="0.2">
      <c r="B1041" s="237">
        <v>261</v>
      </c>
      <c r="C1041" s="114">
        <v>6000</v>
      </c>
      <c r="D1041" s="204">
        <f t="shared" si="58"/>
        <v>0.7976833976833817</v>
      </c>
      <c r="E1041" s="203">
        <f t="shared" si="59"/>
        <v>1.4896805530670999E-3</v>
      </c>
      <c r="F1041" s="203">
        <f t="shared" si="60"/>
        <v>0.33433023515957638</v>
      </c>
    </row>
    <row r="1042" spans="2:6" x14ac:dyDescent="0.2">
      <c r="B1042" s="237">
        <v>285</v>
      </c>
      <c r="C1042" s="114">
        <v>6000</v>
      </c>
      <c r="D1042" s="204">
        <f t="shared" si="58"/>
        <v>0.79845559845558245</v>
      </c>
      <c r="E1042" s="203">
        <f t="shared" si="59"/>
        <v>1.4896805530670999E-3</v>
      </c>
      <c r="F1042" s="203">
        <f t="shared" si="60"/>
        <v>0.33581991571264347</v>
      </c>
    </row>
    <row r="1043" spans="2:6" x14ac:dyDescent="0.2">
      <c r="B1043" s="237">
        <v>299</v>
      </c>
      <c r="C1043" s="114">
        <v>6000</v>
      </c>
      <c r="D1043" s="204">
        <f t="shared" si="58"/>
        <v>0.7992277992277832</v>
      </c>
      <c r="E1043" s="203">
        <f t="shared" si="59"/>
        <v>1.4896805530670999E-3</v>
      </c>
      <c r="F1043" s="203">
        <f t="shared" si="60"/>
        <v>0.33730959626571055</v>
      </c>
    </row>
    <row r="1044" spans="2:6" x14ac:dyDescent="0.2">
      <c r="B1044" s="237">
        <v>324</v>
      </c>
      <c r="C1044" s="114">
        <v>6000</v>
      </c>
      <c r="D1044" s="204">
        <f t="shared" si="58"/>
        <v>0.79999999999998395</v>
      </c>
      <c r="E1044" s="203">
        <f t="shared" si="59"/>
        <v>1.4896805530670999E-3</v>
      </c>
      <c r="F1044" s="203">
        <f t="shared" si="60"/>
        <v>0.33879927681877764</v>
      </c>
    </row>
    <row r="1045" spans="2:6" x14ac:dyDescent="0.2">
      <c r="B1045" s="238">
        <v>356</v>
      </c>
      <c r="C1045" s="205">
        <v>6000</v>
      </c>
      <c r="D1045" s="204">
        <f t="shared" si="58"/>
        <v>0.80077220077218469</v>
      </c>
      <c r="E1045" s="203">
        <f t="shared" si="59"/>
        <v>1.4896805530670999E-3</v>
      </c>
      <c r="F1045" s="203">
        <f t="shared" si="60"/>
        <v>0.34028895737184472</v>
      </c>
    </row>
    <row r="1046" spans="2:6" x14ac:dyDescent="0.2">
      <c r="B1046" s="237">
        <v>472</v>
      </c>
      <c r="C1046" s="114">
        <v>6000</v>
      </c>
      <c r="D1046" s="204">
        <f t="shared" si="58"/>
        <v>0.80154440154438544</v>
      </c>
      <c r="E1046" s="203">
        <f t="shared" si="59"/>
        <v>1.4896805530670999E-3</v>
      </c>
      <c r="F1046" s="203">
        <f t="shared" si="60"/>
        <v>0.34177863792491181</v>
      </c>
    </row>
    <row r="1047" spans="2:6" x14ac:dyDescent="0.2">
      <c r="B1047" s="237">
        <v>486</v>
      </c>
      <c r="C1047" s="114">
        <v>6000</v>
      </c>
      <c r="D1047" s="204">
        <f t="shared" si="58"/>
        <v>0.80231660231658619</v>
      </c>
      <c r="E1047" s="203">
        <f t="shared" si="59"/>
        <v>1.4896805530670999E-3</v>
      </c>
      <c r="F1047" s="203">
        <f t="shared" si="60"/>
        <v>0.3432683184779789</v>
      </c>
    </row>
    <row r="1048" spans="2:6" x14ac:dyDescent="0.2">
      <c r="B1048" s="237">
        <v>511</v>
      </c>
      <c r="C1048" s="114">
        <v>6000</v>
      </c>
      <c r="D1048" s="204">
        <f t="shared" si="58"/>
        <v>0.80308880308878694</v>
      </c>
      <c r="E1048" s="203">
        <f t="shared" si="59"/>
        <v>1.4896805530670999E-3</v>
      </c>
      <c r="F1048" s="203">
        <f t="shared" si="60"/>
        <v>0.34475799903104598</v>
      </c>
    </row>
    <row r="1049" spans="2:6" x14ac:dyDescent="0.2">
      <c r="B1049" s="238">
        <v>512</v>
      </c>
      <c r="C1049" s="205">
        <v>6000</v>
      </c>
      <c r="D1049" s="204">
        <f t="shared" si="58"/>
        <v>0.80386100386098769</v>
      </c>
      <c r="E1049" s="203">
        <f t="shared" si="59"/>
        <v>1.4896805530670999E-3</v>
      </c>
      <c r="F1049" s="203">
        <f t="shared" si="60"/>
        <v>0.34624767958411307</v>
      </c>
    </row>
    <row r="1050" spans="2:6" x14ac:dyDescent="0.2">
      <c r="B1050" s="237">
        <v>537</v>
      </c>
      <c r="C1050" s="114">
        <v>6000</v>
      </c>
      <c r="D1050" s="204">
        <f t="shared" si="58"/>
        <v>0.80463320463318844</v>
      </c>
      <c r="E1050" s="203">
        <f t="shared" si="59"/>
        <v>1.4896805530670999E-3</v>
      </c>
      <c r="F1050" s="203">
        <f t="shared" si="60"/>
        <v>0.34773736013718015</v>
      </c>
    </row>
    <row r="1051" spans="2:6" x14ac:dyDescent="0.2">
      <c r="B1051" s="238">
        <v>617</v>
      </c>
      <c r="C1051" s="205">
        <v>6000</v>
      </c>
      <c r="D1051" s="204">
        <f t="shared" si="58"/>
        <v>0.80540540540538919</v>
      </c>
      <c r="E1051" s="203">
        <f t="shared" si="59"/>
        <v>1.4896805530670999E-3</v>
      </c>
      <c r="F1051" s="203">
        <f t="shared" si="60"/>
        <v>0.34922704069024724</v>
      </c>
    </row>
    <row r="1052" spans="2:6" x14ac:dyDescent="0.2">
      <c r="B1052" s="238">
        <v>632</v>
      </c>
      <c r="C1052" s="205">
        <v>6000</v>
      </c>
      <c r="D1052" s="204">
        <f t="shared" si="58"/>
        <v>0.80617760617758993</v>
      </c>
      <c r="E1052" s="203">
        <f t="shared" si="59"/>
        <v>1.4896805530670999E-3</v>
      </c>
      <c r="F1052" s="203">
        <f t="shared" si="60"/>
        <v>0.35071672124331432</v>
      </c>
    </row>
    <row r="1053" spans="2:6" x14ac:dyDescent="0.2">
      <c r="B1053" s="237">
        <v>738</v>
      </c>
      <c r="C1053" s="114">
        <v>6000</v>
      </c>
      <c r="D1053" s="204">
        <f t="shared" si="58"/>
        <v>0.80694980694979068</v>
      </c>
      <c r="E1053" s="203">
        <f t="shared" si="59"/>
        <v>1.4896805530670999E-3</v>
      </c>
      <c r="F1053" s="203">
        <f t="shared" si="60"/>
        <v>0.35220640179638141</v>
      </c>
    </row>
    <row r="1054" spans="2:6" x14ac:dyDescent="0.2">
      <c r="B1054" s="238">
        <v>765</v>
      </c>
      <c r="C1054" s="205">
        <v>6000</v>
      </c>
      <c r="D1054" s="204">
        <f t="shared" si="58"/>
        <v>0.80772200772199143</v>
      </c>
      <c r="E1054" s="203">
        <f t="shared" si="59"/>
        <v>1.4896805530670999E-3</v>
      </c>
      <c r="F1054" s="203">
        <f t="shared" si="60"/>
        <v>0.35369608234944849</v>
      </c>
    </row>
    <row r="1055" spans="2:6" x14ac:dyDescent="0.2">
      <c r="B1055" s="237">
        <v>810</v>
      </c>
      <c r="C1055" s="114">
        <v>6000</v>
      </c>
      <c r="D1055" s="204">
        <f t="shared" si="58"/>
        <v>0.80849420849419218</v>
      </c>
      <c r="E1055" s="203">
        <f t="shared" si="59"/>
        <v>1.4896805530670999E-3</v>
      </c>
      <c r="F1055" s="203">
        <f t="shared" si="60"/>
        <v>0.35518576290251558</v>
      </c>
    </row>
    <row r="1056" spans="2:6" x14ac:dyDescent="0.2">
      <c r="B1056" s="238">
        <v>834</v>
      </c>
      <c r="C1056" s="205">
        <v>6000</v>
      </c>
      <c r="D1056" s="204">
        <f t="shared" si="58"/>
        <v>0.80926640926639293</v>
      </c>
      <c r="E1056" s="203">
        <f t="shared" si="59"/>
        <v>1.4896805530670999E-3</v>
      </c>
      <c r="F1056" s="203">
        <f t="shared" si="60"/>
        <v>0.35667544345558266</v>
      </c>
    </row>
    <row r="1057" spans="2:6" x14ac:dyDescent="0.2">
      <c r="B1057" s="238">
        <v>841</v>
      </c>
      <c r="C1057" s="205">
        <v>6000</v>
      </c>
      <c r="D1057" s="204">
        <f t="shared" si="58"/>
        <v>0.81003861003859368</v>
      </c>
      <c r="E1057" s="203">
        <f t="shared" si="59"/>
        <v>1.4896805530670999E-3</v>
      </c>
      <c r="F1057" s="203">
        <f t="shared" si="60"/>
        <v>0.35816512400864975</v>
      </c>
    </row>
    <row r="1058" spans="2:6" x14ac:dyDescent="0.2">
      <c r="B1058" s="238">
        <v>915</v>
      </c>
      <c r="C1058" s="205">
        <v>6000</v>
      </c>
      <c r="D1058" s="204">
        <f t="shared" si="58"/>
        <v>0.81081081081079442</v>
      </c>
      <c r="E1058" s="203">
        <f t="shared" si="59"/>
        <v>1.4896805530670999E-3</v>
      </c>
      <c r="F1058" s="203">
        <f t="shared" si="60"/>
        <v>0.35965480456171683</v>
      </c>
    </row>
    <row r="1059" spans="2:6" x14ac:dyDescent="0.2">
      <c r="B1059" s="237">
        <v>940</v>
      </c>
      <c r="C1059" s="114">
        <v>6000</v>
      </c>
      <c r="D1059" s="204">
        <f t="shared" si="58"/>
        <v>0.81158301158299517</v>
      </c>
      <c r="E1059" s="203">
        <f t="shared" si="59"/>
        <v>1.4896805530670999E-3</v>
      </c>
      <c r="F1059" s="203">
        <f t="shared" si="60"/>
        <v>0.36114448511478392</v>
      </c>
    </row>
    <row r="1060" spans="2:6" x14ac:dyDescent="0.2">
      <c r="B1060" s="238">
        <v>948</v>
      </c>
      <c r="C1060" s="205">
        <v>6000</v>
      </c>
      <c r="D1060" s="204">
        <f t="shared" si="58"/>
        <v>0.81235521235519592</v>
      </c>
      <c r="E1060" s="203">
        <f t="shared" si="59"/>
        <v>1.4896805530670999E-3</v>
      </c>
      <c r="F1060" s="203">
        <f t="shared" si="60"/>
        <v>0.36263416566785101</v>
      </c>
    </row>
    <row r="1061" spans="2:6" x14ac:dyDescent="0.2">
      <c r="B1061" s="237">
        <v>956</v>
      </c>
      <c r="C1061" s="114">
        <v>6000</v>
      </c>
      <c r="D1061" s="204">
        <f t="shared" si="58"/>
        <v>0.81312741312739667</v>
      </c>
      <c r="E1061" s="203">
        <f t="shared" si="59"/>
        <v>1.4896805530670999E-3</v>
      </c>
      <c r="F1061" s="203">
        <f t="shared" si="60"/>
        <v>0.36412384622091809</v>
      </c>
    </row>
    <row r="1062" spans="2:6" x14ac:dyDescent="0.2">
      <c r="B1062" s="238">
        <v>996</v>
      </c>
      <c r="C1062" s="205">
        <v>6000</v>
      </c>
      <c r="D1062" s="204">
        <f t="shared" si="58"/>
        <v>0.81389961389959742</v>
      </c>
      <c r="E1062" s="203">
        <f t="shared" si="59"/>
        <v>1.4896805530670999E-3</v>
      </c>
      <c r="F1062" s="203">
        <f t="shared" si="60"/>
        <v>0.36561352677398518</v>
      </c>
    </row>
    <row r="1063" spans="2:6" x14ac:dyDescent="0.2">
      <c r="B1063" s="238">
        <v>1011</v>
      </c>
      <c r="C1063" s="205">
        <v>6000</v>
      </c>
      <c r="D1063" s="204">
        <f t="shared" si="58"/>
        <v>0.81467181467179817</v>
      </c>
      <c r="E1063" s="203">
        <f t="shared" si="59"/>
        <v>1.4896805530670999E-3</v>
      </c>
      <c r="F1063" s="203">
        <f t="shared" si="60"/>
        <v>0.36710320732705226</v>
      </c>
    </row>
    <row r="1064" spans="2:6" x14ac:dyDescent="0.2">
      <c r="B1064" s="238">
        <v>1048</v>
      </c>
      <c r="C1064" s="205">
        <v>6000</v>
      </c>
      <c r="D1064" s="204">
        <f t="shared" si="58"/>
        <v>0.81544401544399892</v>
      </c>
      <c r="E1064" s="203">
        <f t="shared" si="59"/>
        <v>1.4896805530670999E-3</v>
      </c>
      <c r="F1064" s="203">
        <f t="shared" si="60"/>
        <v>0.36859288788011935</v>
      </c>
    </row>
    <row r="1065" spans="2:6" x14ac:dyDescent="0.2">
      <c r="B1065" s="237">
        <v>1084</v>
      </c>
      <c r="C1065" s="114">
        <v>6000</v>
      </c>
      <c r="D1065" s="204">
        <f t="shared" si="58"/>
        <v>0.81621621621619966</v>
      </c>
      <c r="E1065" s="203">
        <f t="shared" si="59"/>
        <v>1.4896805530670999E-3</v>
      </c>
      <c r="F1065" s="203">
        <f t="shared" si="60"/>
        <v>0.37008256843318643</v>
      </c>
    </row>
    <row r="1066" spans="2:6" x14ac:dyDescent="0.2">
      <c r="B1066" s="238">
        <v>1087</v>
      </c>
      <c r="C1066" s="205">
        <v>6000</v>
      </c>
      <c r="D1066" s="204">
        <f t="shared" si="58"/>
        <v>0.81698841698840041</v>
      </c>
      <c r="E1066" s="203">
        <f t="shared" si="59"/>
        <v>1.4896805530670999E-3</v>
      </c>
      <c r="F1066" s="203">
        <f t="shared" si="60"/>
        <v>0.37157224898625352</v>
      </c>
    </row>
    <row r="1067" spans="2:6" x14ac:dyDescent="0.2">
      <c r="B1067" s="238">
        <v>1097</v>
      </c>
      <c r="C1067" s="205">
        <v>6000</v>
      </c>
      <c r="D1067" s="204">
        <f t="shared" si="58"/>
        <v>0.81776061776060116</v>
      </c>
      <c r="E1067" s="203">
        <f t="shared" si="59"/>
        <v>1.4896805530670999E-3</v>
      </c>
      <c r="F1067" s="203">
        <f t="shared" si="60"/>
        <v>0.3730619295393206</v>
      </c>
    </row>
    <row r="1068" spans="2:6" x14ac:dyDescent="0.2">
      <c r="B1068" s="238">
        <v>1149</v>
      </c>
      <c r="C1068" s="205">
        <v>6000</v>
      </c>
      <c r="D1068" s="204">
        <f t="shared" si="58"/>
        <v>0.81853281853280191</v>
      </c>
      <c r="E1068" s="203">
        <f t="shared" si="59"/>
        <v>1.4896805530670999E-3</v>
      </c>
      <c r="F1068" s="203">
        <f t="shared" si="60"/>
        <v>0.37455161009238769</v>
      </c>
    </row>
    <row r="1069" spans="2:6" x14ac:dyDescent="0.2">
      <c r="B1069" s="238">
        <v>1181</v>
      </c>
      <c r="C1069" s="205">
        <v>6000</v>
      </c>
      <c r="D1069" s="204">
        <f t="shared" si="58"/>
        <v>0.81930501930500266</v>
      </c>
      <c r="E1069" s="203">
        <f t="shared" si="59"/>
        <v>1.4896805530670999E-3</v>
      </c>
      <c r="F1069" s="203">
        <f t="shared" si="60"/>
        <v>0.37604129064545477</v>
      </c>
    </row>
    <row r="1070" spans="2:6" x14ac:dyDescent="0.2">
      <c r="B1070" s="237">
        <v>1185</v>
      </c>
      <c r="C1070" s="114">
        <v>6000</v>
      </c>
      <c r="D1070" s="204">
        <f t="shared" si="58"/>
        <v>0.82007722007720341</v>
      </c>
      <c r="E1070" s="203">
        <f t="shared" si="59"/>
        <v>1.4896805530670999E-3</v>
      </c>
      <c r="F1070" s="203">
        <f t="shared" si="60"/>
        <v>0.37753097119852186</v>
      </c>
    </row>
    <row r="1071" spans="2:6" x14ac:dyDescent="0.2">
      <c r="B1071" s="238">
        <v>1257</v>
      </c>
      <c r="C1071" s="205">
        <v>6000</v>
      </c>
      <c r="D1071" s="204">
        <f t="shared" si="58"/>
        <v>0.82084942084940415</v>
      </c>
      <c r="E1071" s="203">
        <f t="shared" si="59"/>
        <v>1.4896805530670999E-3</v>
      </c>
      <c r="F1071" s="203">
        <f t="shared" si="60"/>
        <v>0.37902065175158894</v>
      </c>
    </row>
    <row r="1072" spans="2:6" x14ac:dyDescent="0.2">
      <c r="B1072" s="238">
        <v>1263</v>
      </c>
      <c r="C1072" s="205">
        <v>6000</v>
      </c>
      <c r="D1072" s="204">
        <f t="shared" si="58"/>
        <v>0.8216216216216049</v>
      </c>
      <c r="E1072" s="203">
        <f t="shared" si="59"/>
        <v>1.4896805530670999E-3</v>
      </c>
      <c r="F1072" s="203">
        <f t="shared" si="60"/>
        <v>0.38051033230465603</v>
      </c>
    </row>
    <row r="1073" spans="2:6" x14ac:dyDescent="0.2">
      <c r="B1073" s="238">
        <v>1322</v>
      </c>
      <c r="C1073" s="205">
        <v>6000</v>
      </c>
      <c r="D1073" s="204">
        <f t="shared" si="58"/>
        <v>0.82239382239380565</v>
      </c>
      <c r="E1073" s="203">
        <f t="shared" si="59"/>
        <v>1.4896805530670999E-3</v>
      </c>
      <c r="F1073" s="203">
        <f t="shared" si="60"/>
        <v>0.38200001285772311</v>
      </c>
    </row>
    <row r="1074" spans="2:6" x14ac:dyDescent="0.2">
      <c r="B1074" s="238">
        <v>1328</v>
      </c>
      <c r="C1074" s="205">
        <v>6000</v>
      </c>
      <c r="D1074" s="204">
        <f t="shared" si="58"/>
        <v>0.8231660231660064</v>
      </c>
      <c r="E1074" s="203">
        <f t="shared" si="59"/>
        <v>1.4896805530670999E-3</v>
      </c>
      <c r="F1074" s="203">
        <f t="shared" si="60"/>
        <v>0.3834896934107902</v>
      </c>
    </row>
    <row r="1075" spans="2:6" x14ac:dyDescent="0.2">
      <c r="B1075" s="237">
        <v>1372</v>
      </c>
      <c r="C1075" s="114">
        <v>6000</v>
      </c>
      <c r="D1075" s="204">
        <f t="shared" si="58"/>
        <v>0.82393822393820715</v>
      </c>
      <c r="E1075" s="203">
        <f t="shared" si="59"/>
        <v>1.4896805530670999E-3</v>
      </c>
      <c r="F1075" s="203">
        <f t="shared" si="60"/>
        <v>0.38497937396385729</v>
      </c>
    </row>
    <row r="1076" spans="2:6" x14ac:dyDescent="0.2">
      <c r="B1076" s="237">
        <v>1418</v>
      </c>
      <c r="C1076" s="114">
        <v>6000</v>
      </c>
      <c r="D1076" s="204">
        <f t="shared" si="58"/>
        <v>0.8247104247104079</v>
      </c>
      <c r="E1076" s="203">
        <f t="shared" si="59"/>
        <v>1.4896805530670999E-3</v>
      </c>
      <c r="F1076" s="203">
        <f t="shared" si="60"/>
        <v>0.38646905451692437</v>
      </c>
    </row>
    <row r="1077" spans="2:6" x14ac:dyDescent="0.2">
      <c r="B1077" s="238">
        <v>1452</v>
      </c>
      <c r="C1077" s="205">
        <v>6000</v>
      </c>
      <c r="D1077" s="204">
        <f t="shared" si="58"/>
        <v>0.82548262548260865</v>
      </c>
      <c r="E1077" s="203">
        <f t="shared" si="59"/>
        <v>1.4896805530670999E-3</v>
      </c>
      <c r="F1077" s="203">
        <f t="shared" si="60"/>
        <v>0.38795873506999146</v>
      </c>
    </row>
    <row r="1078" spans="2:6" x14ac:dyDescent="0.2">
      <c r="B1078" s="238">
        <v>1533</v>
      </c>
      <c r="C1078" s="205">
        <v>6000</v>
      </c>
      <c r="D1078" s="204">
        <f t="shared" si="58"/>
        <v>0.82625482625480939</v>
      </c>
      <c r="E1078" s="203">
        <f t="shared" si="59"/>
        <v>1.4896805530670999E-3</v>
      </c>
      <c r="F1078" s="203">
        <f t="shared" si="60"/>
        <v>0.38944841562305854</v>
      </c>
    </row>
    <row r="1079" spans="2:6" x14ac:dyDescent="0.2">
      <c r="B1079" s="238">
        <v>1543</v>
      </c>
      <c r="C1079" s="205">
        <v>6000</v>
      </c>
      <c r="D1079" s="204">
        <f t="shared" si="58"/>
        <v>0.82702702702701014</v>
      </c>
      <c r="E1079" s="203">
        <f t="shared" si="59"/>
        <v>1.4896805530670999E-3</v>
      </c>
      <c r="F1079" s="203">
        <f t="shared" si="60"/>
        <v>0.39093809617612563</v>
      </c>
    </row>
    <row r="1080" spans="2:6" x14ac:dyDescent="0.2">
      <c r="B1080" s="237">
        <v>1545</v>
      </c>
      <c r="C1080" s="114">
        <v>6000</v>
      </c>
      <c r="D1080" s="204">
        <f t="shared" si="58"/>
        <v>0.82779922779921089</v>
      </c>
      <c r="E1080" s="203">
        <f t="shared" si="59"/>
        <v>1.4896805530670999E-3</v>
      </c>
      <c r="F1080" s="203">
        <f t="shared" si="60"/>
        <v>0.39242777672919271</v>
      </c>
    </row>
    <row r="1081" spans="2:6" x14ac:dyDescent="0.2">
      <c r="B1081" s="238">
        <v>1645</v>
      </c>
      <c r="C1081" s="205">
        <v>6000</v>
      </c>
      <c r="D1081" s="204">
        <f t="shared" si="58"/>
        <v>0.82857142857141164</v>
      </c>
      <c r="E1081" s="203">
        <f t="shared" si="59"/>
        <v>1.4896805530670999E-3</v>
      </c>
      <c r="F1081" s="203">
        <f t="shared" si="60"/>
        <v>0.3939174572822598</v>
      </c>
    </row>
    <row r="1082" spans="2:6" x14ac:dyDescent="0.2">
      <c r="B1082" s="237">
        <v>1651</v>
      </c>
      <c r="C1082" s="114">
        <v>6000</v>
      </c>
      <c r="D1082" s="204">
        <f t="shared" si="58"/>
        <v>0.82934362934361239</v>
      </c>
      <c r="E1082" s="203">
        <f t="shared" si="59"/>
        <v>1.4896805530670999E-3</v>
      </c>
      <c r="F1082" s="203">
        <f t="shared" si="60"/>
        <v>0.39540713783532688</v>
      </c>
    </row>
    <row r="1083" spans="2:6" x14ac:dyDescent="0.2">
      <c r="B1083" s="238">
        <v>1720</v>
      </c>
      <c r="C1083" s="205">
        <v>6000</v>
      </c>
      <c r="D1083" s="204">
        <f t="shared" si="58"/>
        <v>0.83011583011581314</v>
      </c>
      <c r="E1083" s="203">
        <f t="shared" si="59"/>
        <v>1.4896805530670999E-3</v>
      </c>
      <c r="F1083" s="203">
        <f t="shared" si="60"/>
        <v>0.39689681838839397</v>
      </c>
    </row>
    <row r="1084" spans="2:6" x14ac:dyDescent="0.2">
      <c r="B1084" s="238">
        <v>1736</v>
      </c>
      <c r="C1084" s="205">
        <v>6000</v>
      </c>
      <c r="D1084" s="204">
        <f t="shared" si="58"/>
        <v>0.83088803088801388</v>
      </c>
      <c r="E1084" s="203">
        <f t="shared" si="59"/>
        <v>1.4896805530670999E-3</v>
      </c>
      <c r="F1084" s="203">
        <f t="shared" si="60"/>
        <v>0.39838649894146105</v>
      </c>
    </row>
    <row r="1085" spans="2:6" x14ac:dyDescent="0.2">
      <c r="B1085" s="237">
        <v>1795</v>
      </c>
      <c r="C1085" s="114">
        <v>6000</v>
      </c>
      <c r="D1085" s="204">
        <f t="shared" si="58"/>
        <v>0.83166023166021463</v>
      </c>
      <c r="E1085" s="203">
        <f t="shared" si="59"/>
        <v>1.4896805530670999E-3</v>
      </c>
      <c r="F1085" s="203">
        <f t="shared" si="60"/>
        <v>0.39987617949452814</v>
      </c>
    </row>
    <row r="1086" spans="2:6" x14ac:dyDescent="0.2">
      <c r="B1086" s="238">
        <v>1940</v>
      </c>
      <c r="C1086" s="205">
        <v>6000</v>
      </c>
      <c r="D1086" s="204">
        <f t="shared" si="58"/>
        <v>0.83243243243241538</v>
      </c>
      <c r="E1086" s="203">
        <f t="shared" si="59"/>
        <v>1.4896805530670999E-3</v>
      </c>
      <c r="F1086" s="203">
        <f t="shared" si="60"/>
        <v>0.40136586004759522</v>
      </c>
    </row>
    <row r="1087" spans="2:6" x14ac:dyDescent="0.2">
      <c r="B1087" s="237">
        <v>1944</v>
      </c>
      <c r="C1087" s="114">
        <v>6000</v>
      </c>
      <c r="D1087" s="204">
        <f t="shared" si="58"/>
        <v>0.83320463320461613</v>
      </c>
      <c r="E1087" s="203">
        <f t="shared" si="59"/>
        <v>1.4896805530670999E-3</v>
      </c>
      <c r="F1087" s="203">
        <f t="shared" si="60"/>
        <v>0.40285554060066231</v>
      </c>
    </row>
    <row r="1088" spans="2:6" x14ac:dyDescent="0.2">
      <c r="B1088" s="237">
        <v>1948</v>
      </c>
      <c r="C1088" s="114">
        <v>6000</v>
      </c>
      <c r="D1088" s="204">
        <f t="shared" si="58"/>
        <v>0.83397683397681688</v>
      </c>
      <c r="E1088" s="203">
        <f t="shared" si="59"/>
        <v>1.4896805530670999E-3</v>
      </c>
      <c r="F1088" s="203">
        <f t="shared" si="60"/>
        <v>0.40434522115372939</v>
      </c>
    </row>
    <row r="1089" spans="2:6" x14ac:dyDescent="0.2">
      <c r="B1089" s="237">
        <v>2059</v>
      </c>
      <c r="C1089" s="114">
        <v>6000</v>
      </c>
      <c r="D1089" s="204">
        <f t="shared" si="58"/>
        <v>0.83474903474901763</v>
      </c>
      <c r="E1089" s="203">
        <f t="shared" si="59"/>
        <v>1.4896805530670999E-3</v>
      </c>
      <c r="F1089" s="203">
        <f t="shared" si="60"/>
        <v>0.40583490170679648</v>
      </c>
    </row>
    <row r="1090" spans="2:6" x14ac:dyDescent="0.2">
      <c r="B1090" s="238">
        <v>2093</v>
      </c>
      <c r="C1090" s="205">
        <v>6000</v>
      </c>
      <c r="D1090" s="204">
        <f t="shared" si="58"/>
        <v>0.83552123552121838</v>
      </c>
      <c r="E1090" s="203">
        <f t="shared" si="59"/>
        <v>1.4896805530670999E-3</v>
      </c>
      <c r="F1090" s="203">
        <f t="shared" si="60"/>
        <v>0.40732458225986357</v>
      </c>
    </row>
    <row r="1091" spans="2:6" x14ac:dyDescent="0.2">
      <c r="B1091" s="238">
        <v>2133</v>
      </c>
      <c r="C1091" s="205">
        <v>6000</v>
      </c>
      <c r="D1091" s="204">
        <f t="shared" si="58"/>
        <v>0.83629343629341912</v>
      </c>
      <c r="E1091" s="203">
        <f t="shared" si="59"/>
        <v>1.4896805530670999E-3</v>
      </c>
      <c r="F1091" s="203">
        <f t="shared" si="60"/>
        <v>0.40881426281293065</v>
      </c>
    </row>
    <row r="1092" spans="2:6" x14ac:dyDescent="0.2">
      <c r="B1092" s="237">
        <v>1946</v>
      </c>
      <c r="C1092" s="114">
        <v>6170.4666666666672</v>
      </c>
      <c r="D1092" s="204">
        <f t="shared" si="58"/>
        <v>0.83706563706561987</v>
      </c>
      <c r="E1092" s="203">
        <f t="shared" si="59"/>
        <v>1.5320040327803507E-3</v>
      </c>
      <c r="F1092" s="203">
        <f t="shared" si="60"/>
        <v>0.41034626684571102</v>
      </c>
    </row>
    <row r="1093" spans="2:6" x14ac:dyDescent="0.2">
      <c r="B1093" s="237">
        <v>1299</v>
      </c>
      <c r="C1093" s="114">
        <v>6416.6666666666661</v>
      </c>
      <c r="D1093" s="204">
        <f t="shared" si="58"/>
        <v>0.83783783783782062</v>
      </c>
      <c r="E1093" s="203">
        <f t="shared" si="59"/>
        <v>1.5931305914745372E-3</v>
      </c>
      <c r="F1093" s="203">
        <f t="shared" si="60"/>
        <v>0.41193939743718555</v>
      </c>
    </row>
    <row r="1094" spans="2:6" x14ac:dyDescent="0.2">
      <c r="B1094" s="238">
        <v>33</v>
      </c>
      <c r="C1094" s="205">
        <v>7000</v>
      </c>
      <c r="D1094" s="204">
        <f t="shared" si="58"/>
        <v>0.83861003861002137</v>
      </c>
      <c r="E1094" s="203">
        <f t="shared" si="59"/>
        <v>1.7379606452449497E-3</v>
      </c>
      <c r="F1094" s="203">
        <f t="shared" si="60"/>
        <v>0.4136773580824305</v>
      </c>
    </row>
    <row r="1095" spans="2:6" x14ac:dyDescent="0.2">
      <c r="B1095" s="237">
        <v>173</v>
      </c>
      <c r="C1095" s="114">
        <v>7000</v>
      </c>
      <c r="D1095" s="204">
        <f t="shared" si="58"/>
        <v>0.83938223938222212</v>
      </c>
      <c r="E1095" s="203">
        <f t="shared" si="59"/>
        <v>1.7379606452449497E-3</v>
      </c>
      <c r="F1095" s="203">
        <f t="shared" si="60"/>
        <v>0.41541531872767545</v>
      </c>
    </row>
    <row r="1096" spans="2:6" x14ac:dyDescent="0.2">
      <c r="B1096" s="237">
        <v>196</v>
      </c>
      <c r="C1096" s="114">
        <v>7000</v>
      </c>
      <c r="D1096" s="204">
        <f t="shared" si="58"/>
        <v>0.84015444015442287</v>
      </c>
      <c r="E1096" s="203">
        <f t="shared" si="59"/>
        <v>1.7379606452449497E-3</v>
      </c>
      <c r="F1096" s="203">
        <f t="shared" si="60"/>
        <v>0.4171532793729204</v>
      </c>
    </row>
    <row r="1097" spans="2:6" x14ac:dyDescent="0.2">
      <c r="B1097" s="237">
        <v>218</v>
      </c>
      <c r="C1097" s="114">
        <v>7000</v>
      </c>
      <c r="D1097" s="204">
        <f t="shared" ref="D1097:D1160" si="61">D1096+1/$L$18</f>
        <v>0.84092664092662361</v>
      </c>
      <c r="E1097" s="203">
        <f t="shared" ref="E1097:E1160" si="62">C1097/$O$18</f>
        <v>1.7379606452449497E-3</v>
      </c>
      <c r="F1097" s="203">
        <f t="shared" ref="F1097:F1160" si="63">F1096+E1097</f>
        <v>0.41889124001816536</v>
      </c>
    </row>
    <row r="1098" spans="2:6" x14ac:dyDescent="0.2">
      <c r="B1098" s="237">
        <v>278</v>
      </c>
      <c r="C1098" s="114">
        <v>7000</v>
      </c>
      <c r="D1098" s="204">
        <f t="shared" si="61"/>
        <v>0.84169884169882436</v>
      </c>
      <c r="E1098" s="203">
        <f t="shared" si="62"/>
        <v>1.7379606452449497E-3</v>
      </c>
      <c r="F1098" s="203">
        <f t="shared" si="63"/>
        <v>0.42062920066341031</v>
      </c>
    </row>
    <row r="1099" spans="2:6" x14ac:dyDescent="0.2">
      <c r="B1099" s="238">
        <v>309</v>
      </c>
      <c r="C1099" s="205">
        <v>7000</v>
      </c>
      <c r="D1099" s="204">
        <f t="shared" si="61"/>
        <v>0.84247104247102511</v>
      </c>
      <c r="E1099" s="203">
        <f t="shared" si="62"/>
        <v>1.7379606452449497E-3</v>
      </c>
      <c r="F1099" s="203">
        <f t="shared" si="63"/>
        <v>0.42236716130865526</v>
      </c>
    </row>
    <row r="1100" spans="2:6" x14ac:dyDescent="0.2">
      <c r="B1100" s="238">
        <v>395</v>
      </c>
      <c r="C1100" s="205">
        <v>7000</v>
      </c>
      <c r="D1100" s="204">
        <f t="shared" si="61"/>
        <v>0.84324324324322586</v>
      </c>
      <c r="E1100" s="203">
        <f t="shared" si="62"/>
        <v>1.7379606452449497E-3</v>
      </c>
      <c r="F1100" s="203">
        <f t="shared" si="63"/>
        <v>0.42410512195390021</v>
      </c>
    </row>
    <row r="1101" spans="2:6" x14ac:dyDescent="0.2">
      <c r="B1101" s="237">
        <v>616</v>
      </c>
      <c r="C1101" s="114">
        <v>7000</v>
      </c>
      <c r="D1101" s="204">
        <f t="shared" si="61"/>
        <v>0.84401544401542661</v>
      </c>
      <c r="E1101" s="203">
        <f t="shared" si="62"/>
        <v>1.7379606452449497E-3</v>
      </c>
      <c r="F1101" s="203">
        <f t="shared" si="63"/>
        <v>0.42584308259914516</v>
      </c>
    </row>
    <row r="1102" spans="2:6" x14ac:dyDescent="0.2">
      <c r="B1102" s="237">
        <v>707</v>
      </c>
      <c r="C1102" s="114">
        <v>7000</v>
      </c>
      <c r="D1102" s="204">
        <f t="shared" si="61"/>
        <v>0.84478764478762736</v>
      </c>
      <c r="E1102" s="203">
        <f t="shared" si="62"/>
        <v>1.7379606452449497E-3</v>
      </c>
      <c r="F1102" s="203">
        <f t="shared" si="63"/>
        <v>0.42758104324439011</v>
      </c>
    </row>
    <row r="1103" spans="2:6" x14ac:dyDescent="0.2">
      <c r="B1103" s="237">
        <v>734</v>
      </c>
      <c r="C1103" s="114">
        <v>7000</v>
      </c>
      <c r="D1103" s="204">
        <f t="shared" si="61"/>
        <v>0.8455598455598281</v>
      </c>
      <c r="E1103" s="203">
        <f t="shared" si="62"/>
        <v>1.7379606452449497E-3</v>
      </c>
      <c r="F1103" s="203">
        <f t="shared" si="63"/>
        <v>0.42931900388963506</v>
      </c>
    </row>
    <row r="1104" spans="2:6" x14ac:dyDescent="0.2">
      <c r="B1104" s="237">
        <v>792</v>
      </c>
      <c r="C1104" s="114">
        <v>7000</v>
      </c>
      <c r="D1104" s="204">
        <f t="shared" si="61"/>
        <v>0.84633204633202885</v>
      </c>
      <c r="E1104" s="203">
        <f t="shared" si="62"/>
        <v>1.7379606452449497E-3</v>
      </c>
      <c r="F1104" s="203">
        <f t="shared" si="63"/>
        <v>0.43105696453488002</v>
      </c>
    </row>
    <row r="1105" spans="2:6" x14ac:dyDescent="0.2">
      <c r="B1105" s="237">
        <v>945</v>
      </c>
      <c r="C1105" s="114">
        <v>7000</v>
      </c>
      <c r="D1105" s="204">
        <f t="shared" si="61"/>
        <v>0.8471042471042296</v>
      </c>
      <c r="E1105" s="203">
        <f t="shared" si="62"/>
        <v>1.7379606452449497E-3</v>
      </c>
      <c r="F1105" s="203">
        <f t="shared" si="63"/>
        <v>0.43279492518012497</v>
      </c>
    </row>
    <row r="1106" spans="2:6" x14ac:dyDescent="0.2">
      <c r="B1106" s="238">
        <v>962</v>
      </c>
      <c r="C1106" s="205">
        <v>7000</v>
      </c>
      <c r="D1106" s="204">
        <f t="shared" si="61"/>
        <v>0.84787644787643035</v>
      </c>
      <c r="E1106" s="203">
        <f t="shared" si="62"/>
        <v>1.7379606452449497E-3</v>
      </c>
      <c r="F1106" s="203">
        <f t="shared" si="63"/>
        <v>0.43453288582536992</v>
      </c>
    </row>
    <row r="1107" spans="2:6" x14ac:dyDescent="0.2">
      <c r="B1107" s="238">
        <v>1082</v>
      </c>
      <c r="C1107" s="205">
        <v>7000</v>
      </c>
      <c r="D1107" s="204">
        <f t="shared" si="61"/>
        <v>0.8486486486486311</v>
      </c>
      <c r="E1107" s="203">
        <f t="shared" si="62"/>
        <v>1.7379606452449497E-3</v>
      </c>
      <c r="F1107" s="203">
        <f t="shared" si="63"/>
        <v>0.43627084647061487</v>
      </c>
    </row>
    <row r="1108" spans="2:6" x14ac:dyDescent="0.2">
      <c r="B1108" s="238">
        <v>1127</v>
      </c>
      <c r="C1108" s="205">
        <v>7000</v>
      </c>
      <c r="D1108" s="204">
        <f t="shared" si="61"/>
        <v>0.84942084942083185</v>
      </c>
      <c r="E1108" s="203">
        <f t="shared" si="62"/>
        <v>1.7379606452449497E-3</v>
      </c>
      <c r="F1108" s="203">
        <f t="shared" si="63"/>
        <v>0.43800880711585982</v>
      </c>
    </row>
    <row r="1109" spans="2:6" x14ac:dyDescent="0.2">
      <c r="B1109" s="237">
        <v>1161</v>
      </c>
      <c r="C1109" s="114">
        <v>7000</v>
      </c>
      <c r="D1109" s="204">
        <f t="shared" si="61"/>
        <v>0.8501930501930326</v>
      </c>
      <c r="E1109" s="203">
        <f t="shared" si="62"/>
        <v>1.7379606452449497E-3</v>
      </c>
      <c r="F1109" s="203">
        <f t="shared" si="63"/>
        <v>0.43974676776110477</v>
      </c>
    </row>
    <row r="1110" spans="2:6" x14ac:dyDescent="0.2">
      <c r="B1110" s="237">
        <v>1300</v>
      </c>
      <c r="C1110" s="114">
        <v>7000</v>
      </c>
      <c r="D1110" s="204">
        <f t="shared" si="61"/>
        <v>0.85096525096523334</v>
      </c>
      <c r="E1110" s="203">
        <f t="shared" si="62"/>
        <v>1.7379606452449497E-3</v>
      </c>
      <c r="F1110" s="203">
        <f t="shared" si="63"/>
        <v>0.44148472840634972</v>
      </c>
    </row>
    <row r="1111" spans="2:6" x14ac:dyDescent="0.2">
      <c r="B1111" s="238">
        <v>1442</v>
      </c>
      <c r="C1111" s="205">
        <v>7000</v>
      </c>
      <c r="D1111" s="204">
        <f t="shared" si="61"/>
        <v>0.85173745173743409</v>
      </c>
      <c r="E1111" s="203">
        <f t="shared" si="62"/>
        <v>1.7379606452449497E-3</v>
      </c>
      <c r="F1111" s="203">
        <f t="shared" si="63"/>
        <v>0.44322268905159468</v>
      </c>
    </row>
    <row r="1112" spans="2:6" x14ac:dyDescent="0.2">
      <c r="B1112" s="237">
        <v>1564</v>
      </c>
      <c r="C1112" s="114">
        <v>7000</v>
      </c>
      <c r="D1112" s="204">
        <f t="shared" si="61"/>
        <v>0.85250965250963484</v>
      </c>
      <c r="E1112" s="203">
        <f t="shared" si="62"/>
        <v>1.7379606452449497E-3</v>
      </c>
      <c r="F1112" s="203">
        <f t="shared" si="63"/>
        <v>0.44496064969683963</v>
      </c>
    </row>
    <row r="1113" spans="2:6" x14ac:dyDescent="0.2">
      <c r="B1113" s="237">
        <v>1657</v>
      </c>
      <c r="C1113" s="114">
        <v>7000</v>
      </c>
      <c r="D1113" s="204">
        <f t="shared" si="61"/>
        <v>0.85328185328183559</v>
      </c>
      <c r="E1113" s="203">
        <f t="shared" si="62"/>
        <v>1.7379606452449497E-3</v>
      </c>
      <c r="F1113" s="203">
        <f t="shared" si="63"/>
        <v>0.44669861034208458</v>
      </c>
    </row>
    <row r="1114" spans="2:6" x14ac:dyDescent="0.2">
      <c r="B1114" s="237">
        <v>1663</v>
      </c>
      <c r="C1114" s="114">
        <v>7000</v>
      </c>
      <c r="D1114" s="204">
        <f t="shared" si="61"/>
        <v>0.85405405405403634</v>
      </c>
      <c r="E1114" s="203">
        <f t="shared" si="62"/>
        <v>1.7379606452449497E-3</v>
      </c>
      <c r="F1114" s="203">
        <f t="shared" si="63"/>
        <v>0.44843657098732953</v>
      </c>
    </row>
    <row r="1115" spans="2:6" x14ac:dyDescent="0.2">
      <c r="B1115" s="237">
        <v>1670</v>
      </c>
      <c r="C1115" s="114">
        <v>7000</v>
      </c>
      <c r="D1115" s="204">
        <f t="shared" si="61"/>
        <v>0.85482625482623709</v>
      </c>
      <c r="E1115" s="203">
        <f t="shared" si="62"/>
        <v>1.7379606452449497E-3</v>
      </c>
      <c r="F1115" s="203">
        <f t="shared" si="63"/>
        <v>0.45017453163257448</v>
      </c>
    </row>
    <row r="1116" spans="2:6" x14ac:dyDescent="0.2">
      <c r="B1116" s="237">
        <v>1672</v>
      </c>
      <c r="C1116" s="114">
        <v>7000</v>
      </c>
      <c r="D1116" s="204">
        <f t="shared" si="61"/>
        <v>0.85559845559843783</v>
      </c>
      <c r="E1116" s="203">
        <f t="shared" si="62"/>
        <v>1.7379606452449497E-3</v>
      </c>
      <c r="F1116" s="203">
        <f t="shared" si="63"/>
        <v>0.45191249227781943</v>
      </c>
    </row>
    <row r="1117" spans="2:6" x14ac:dyDescent="0.2">
      <c r="B1117" s="238">
        <v>1713</v>
      </c>
      <c r="C1117" s="205">
        <v>7000</v>
      </c>
      <c r="D1117" s="204">
        <f t="shared" si="61"/>
        <v>0.85637065637063858</v>
      </c>
      <c r="E1117" s="203">
        <f t="shared" si="62"/>
        <v>1.7379606452449497E-3</v>
      </c>
      <c r="F1117" s="203">
        <f t="shared" si="63"/>
        <v>0.45365045292306438</v>
      </c>
    </row>
    <row r="1118" spans="2:6" x14ac:dyDescent="0.2">
      <c r="B1118" s="237">
        <v>1755</v>
      </c>
      <c r="C1118" s="114">
        <v>7000</v>
      </c>
      <c r="D1118" s="204">
        <f t="shared" si="61"/>
        <v>0.85714285714283933</v>
      </c>
      <c r="E1118" s="203">
        <f t="shared" si="62"/>
        <v>1.7379606452449497E-3</v>
      </c>
      <c r="F1118" s="203">
        <f t="shared" si="63"/>
        <v>0.45538841356830934</v>
      </c>
    </row>
    <row r="1119" spans="2:6" x14ac:dyDescent="0.2">
      <c r="B1119" s="237">
        <v>1787</v>
      </c>
      <c r="C1119" s="114">
        <v>7000</v>
      </c>
      <c r="D1119" s="204">
        <f t="shared" si="61"/>
        <v>0.85791505791504008</v>
      </c>
      <c r="E1119" s="203">
        <f t="shared" si="62"/>
        <v>1.7379606452449497E-3</v>
      </c>
      <c r="F1119" s="203">
        <f t="shared" si="63"/>
        <v>0.45712637421355429</v>
      </c>
    </row>
    <row r="1120" spans="2:6" x14ac:dyDescent="0.2">
      <c r="B1120" s="237">
        <v>1833</v>
      </c>
      <c r="C1120" s="114">
        <v>7000</v>
      </c>
      <c r="D1120" s="204">
        <f t="shared" si="61"/>
        <v>0.85868725868724083</v>
      </c>
      <c r="E1120" s="203">
        <f t="shared" si="62"/>
        <v>1.7379606452449497E-3</v>
      </c>
      <c r="F1120" s="203">
        <f t="shared" si="63"/>
        <v>0.45886433485879924</v>
      </c>
    </row>
    <row r="1121" spans="2:6" x14ac:dyDescent="0.2">
      <c r="B1121" s="237">
        <v>1834</v>
      </c>
      <c r="C1121" s="114">
        <v>7000</v>
      </c>
      <c r="D1121" s="204">
        <f t="shared" si="61"/>
        <v>0.85945945945944158</v>
      </c>
      <c r="E1121" s="203">
        <f t="shared" si="62"/>
        <v>1.7379606452449497E-3</v>
      </c>
      <c r="F1121" s="203">
        <f t="shared" si="63"/>
        <v>0.46060229550404419</v>
      </c>
    </row>
    <row r="1122" spans="2:6" x14ac:dyDescent="0.2">
      <c r="B1122" s="238">
        <v>1863</v>
      </c>
      <c r="C1122" s="205">
        <v>7000</v>
      </c>
      <c r="D1122" s="204">
        <f t="shared" si="61"/>
        <v>0.86023166023164233</v>
      </c>
      <c r="E1122" s="203">
        <f t="shared" si="62"/>
        <v>1.7379606452449497E-3</v>
      </c>
      <c r="F1122" s="203">
        <f t="shared" si="63"/>
        <v>0.46234025614928914</v>
      </c>
    </row>
    <row r="1123" spans="2:6" x14ac:dyDescent="0.2">
      <c r="B1123" s="237">
        <v>1876</v>
      </c>
      <c r="C1123" s="114">
        <v>7000</v>
      </c>
      <c r="D1123" s="204">
        <f t="shared" si="61"/>
        <v>0.86100386100384307</v>
      </c>
      <c r="E1123" s="203">
        <f t="shared" si="62"/>
        <v>1.7379606452449497E-3</v>
      </c>
      <c r="F1123" s="203">
        <f t="shared" si="63"/>
        <v>0.46407821679453409</v>
      </c>
    </row>
    <row r="1124" spans="2:6" x14ac:dyDescent="0.2">
      <c r="B1124" s="237">
        <v>1963</v>
      </c>
      <c r="C1124" s="114">
        <v>7000</v>
      </c>
      <c r="D1124" s="204">
        <f t="shared" si="61"/>
        <v>0.86177606177604382</v>
      </c>
      <c r="E1124" s="203">
        <f t="shared" si="62"/>
        <v>1.7379606452449497E-3</v>
      </c>
      <c r="F1124" s="203">
        <f t="shared" si="63"/>
        <v>0.46581617743977904</v>
      </c>
    </row>
    <row r="1125" spans="2:6" x14ac:dyDescent="0.2">
      <c r="B1125" s="237">
        <v>2029</v>
      </c>
      <c r="C1125" s="114">
        <v>7000</v>
      </c>
      <c r="D1125" s="204">
        <f t="shared" si="61"/>
        <v>0.86254826254824457</v>
      </c>
      <c r="E1125" s="203">
        <f t="shared" si="62"/>
        <v>1.7379606452449497E-3</v>
      </c>
      <c r="F1125" s="203">
        <f t="shared" si="63"/>
        <v>0.467554138085024</v>
      </c>
    </row>
    <row r="1126" spans="2:6" x14ac:dyDescent="0.2">
      <c r="B1126" s="237">
        <v>2100</v>
      </c>
      <c r="C1126" s="114">
        <v>7000</v>
      </c>
      <c r="D1126" s="204">
        <f t="shared" si="61"/>
        <v>0.86332046332044532</v>
      </c>
      <c r="E1126" s="203">
        <f t="shared" si="62"/>
        <v>1.7379606452449497E-3</v>
      </c>
      <c r="F1126" s="203">
        <f t="shared" si="63"/>
        <v>0.46929209873026895</v>
      </c>
    </row>
    <row r="1127" spans="2:6" x14ac:dyDescent="0.2">
      <c r="B1127" s="237">
        <v>2128</v>
      </c>
      <c r="C1127" s="114">
        <v>7000</v>
      </c>
      <c r="D1127" s="204">
        <f t="shared" si="61"/>
        <v>0.86409266409264607</v>
      </c>
      <c r="E1127" s="203">
        <f t="shared" si="62"/>
        <v>1.7379606452449497E-3</v>
      </c>
      <c r="F1127" s="203">
        <f t="shared" si="63"/>
        <v>0.4710300593755139</v>
      </c>
    </row>
    <row r="1128" spans="2:6" x14ac:dyDescent="0.2">
      <c r="B1128" s="237">
        <v>2153</v>
      </c>
      <c r="C1128" s="114">
        <v>7000</v>
      </c>
      <c r="D1128" s="204">
        <f t="shared" si="61"/>
        <v>0.86486486486484682</v>
      </c>
      <c r="E1128" s="203">
        <f t="shared" si="62"/>
        <v>1.7379606452449497E-3</v>
      </c>
      <c r="F1128" s="203">
        <f t="shared" si="63"/>
        <v>0.47276802002075885</v>
      </c>
    </row>
    <row r="1129" spans="2:6" x14ac:dyDescent="0.2">
      <c r="B1129" s="237">
        <v>2206</v>
      </c>
      <c r="C1129" s="114">
        <v>7000</v>
      </c>
      <c r="D1129" s="204">
        <f t="shared" si="61"/>
        <v>0.86563706563704756</v>
      </c>
      <c r="E1129" s="203">
        <f t="shared" si="62"/>
        <v>1.7379606452449497E-3</v>
      </c>
      <c r="F1129" s="203">
        <f t="shared" si="63"/>
        <v>0.4745059806660038</v>
      </c>
    </row>
    <row r="1130" spans="2:6" x14ac:dyDescent="0.2">
      <c r="B1130" s="237">
        <v>205</v>
      </c>
      <c r="C1130" s="114">
        <v>7632</v>
      </c>
      <c r="D1130" s="204">
        <f t="shared" si="61"/>
        <v>0.86640926640924831</v>
      </c>
      <c r="E1130" s="203">
        <f t="shared" si="62"/>
        <v>1.8948736635013509E-3</v>
      </c>
      <c r="F1130" s="203">
        <f t="shared" si="63"/>
        <v>0.47640085432950513</v>
      </c>
    </row>
    <row r="1131" spans="2:6" x14ac:dyDescent="0.2">
      <c r="B1131" s="237">
        <v>30</v>
      </c>
      <c r="C1131" s="114">
        <v>8000</v>
      </c>
      <c r="D1131" s="204">
        <f t="shared" si="61"/>
        <v>0.86718146718144906</v>
      </c>
      <c r="E1131" s="203">
        <f t="shared" si="62"/>
        <v>1.9862407374227997E-3</v>
      </c>
      <c r="F1131" s="203">
        <f t="shared" si="63"/>
        <v>0.47838709506692795</v>
      </c>
    </row>
    <row r="1132" spans="2:6" x14ac:dyDescent="0.2">
      <c r="B1132" s="237">
        <v>49</v>
      </c>
      <c r="C1132" s="114">
        <v>8000</v>
      </c>
      <c r="D1132" s="204">
        <f t="shared" si="61"/>
        <v>0.86795366795364981</v>
      </c>
      <c r="E1132" s="203">
        <f t="shared" si="62"/>
        <v>1.9862407374227997E-3</v>
      </c>
      <c r="F1132" s="203">
        <f t="shared" si="63"/>
        <v>0.48037333580435077</v>
      </c>
    </row>
    <row r="1133" spans="2:6" x14ac:dyDescent="0.2">
      <c r="B1133" s="237">
        <v>121</v>
      </c>
      <c r="C1133" s="114">
        <v>8000</v>
      </c>
      <c r="D1133" s="204">
        <f t="shared" si="61"/>
        <v>0.86872586872585056</v>
      </c>
      <c r="E1133" s="203">
        <f t="shared" si="62"/>
        <v>1.9862407374227997E-3</v>
      </c>
      <c r="F1133" s="203">
        <f t="shared" si="63"/>
        <v>0.48235957654177358</v>
      </c>
    </row>
    <row r="1134" spans="2:6" x14ac:dyDescent="0.2">
      <c r="B1134" s="237">
        <v>127</v>
      </c>
      <c r="C1134" s="114">
        <v>8000</v>
      </c>
      <c r="D1134" s="204">
        <f t="shared" si="61"/>
        <v>0.86949806949805131</v>
      </c>
      <c r="E1134" s="203">
        <f t="shared" si="62"/>
        <v>1.9862407374227997E-3</v>
      </c>
      <c r="F1134" s="203">
        <f t="shared" si="63"/>
        <v>0.4843458172791964</v>
      </c>
    </row>
    <row r="1135" spans="2:6" x14ac:dyDescent="0.2">
      <c r="B1135" s="238">
        <v>169</v>
      </c>
      <c r="C1135" s="205">
        <v>8000</v>
      </c>
      <c r="D1135" s="204">
        <f t="shared" si="61"/>
        <v>0.87027027027025206</v>
      </c>
      <c r="E1135" s="203">
        <f t="shared" si="62"/>
        <v>1.9862407374227997E-3</v>
      </c>
      <c r="F1135" s="203">
        <f t="shared" si="63"/>
        <v>0.48633205801661922</v>
      </c>
    </row>
    <row r="1136" spans="2:6" x14ac:dyDescent="0.2">
      <c r="B1136" s="238">
        <v>230</v>
      </c>
      <c r="C1136" s="205">
        <v>8000</v>
      </c>
      <c r="D1136" s="204">
        <f t="shared" si="61"/>
        <v>0.8710424710424528</v>
      </c>
      <c r="E1136" s="203">
        <f t="shared" si="62"/>
        <v>1.9862407374227997E-3</v>
      </c>
      <c r="F1136" s="203">
        <f t="shared" si="63"/>
        <v>0.48831829875404204</v>
      </c>
    </row>
    <row r="1137" spans="2:6" x14ac:dyDescent="0.2">
      <c r="B1137" s="237">
        <v>386</v>
      </c>
      <c r="C1137" s="114">
        <v>8000</v>
      </c>
      <c r="D1137" s="204">
        <f t="shared" si="61"/>
        <v>0.87181467181465355</v>
      </c>
      <c r="E1137" s="203">
        <f t="shared" si="62"/>
        <v>1.9862407374227997E-3</v>
      </c>
      <c r="F1137" s="203">
        <f t="shared" si="63"/>
        <v>0.49030453949146485</v>
      </c>
    </row>
    <row r="1138" spans="2:6" x14ac:dyDescent="0.2">
      <c r="B1138" s="237">
        <v>604</v>
      </c>
      <c r="C1138" s="114">
        <v>8000</v>
      </c>
      <c r="D1138" s="204">
        <f t="shared" si="61"/>
        <v>0.8725868725868543</v>
      </c>
      <c r="E1138" s="203">
        <f t="shared" si="62"/>
        <v>1.9862407374227997E-3</v>
      </c>
      <c r="F1138" s="203">
        <f t="shared" si="63"/>
        <v>0.49229078022888767</v>
      </c>
    </row>
    <row r="1139" spans="2:6" x14ac:dyDescent="0.2">
      <c r="B1139" s="237">
        <v>634</v>
      </c>
      <c r="C1139" s="114">
        <v>8000</v>
      </c>
      <c r="D1139" s="204">
        <f t="shared" si="61"/>
        <v>0.87335907335905505</v>
      </c>
      <c r="E1139" s="203">
        <f t="shared" si="62"/>
        <v>1.9862407374227997E-3</v>
      </c>
      <c r="F1139" s="203">
        <f t="shared" si="63"/>
        <v>0.49427702096631049</v>
      </c>
    </row>
    <row r="1140" spans="2:6" x14ac:dyDescent="0.2">
      <c r="B1140" s="237">
        <v>640</v>
      </c>
      <c r="C1140" s="114">
        <v>8000</v>
      </c>
      <c r="D1140" s="204">
        <f t="shared" si="61"/>
        <v>0.8741312741312558</v>
      </c>
      <c r="E1140" s="203">
        <f t="shared" si="62"/>
        <v>1.9862407374227997E-3</v>
      </c>
      <c r="F1140" s="203">
        <f t="shared" si="63"/>
        <v>0.4962632617037333</v>
      </c>
    </row>
    <row r="1141" spans="2:6" x14ac:dyDescent="0.2">
      <c r="B1141" s="237">
        <v>644</v>
      </c>
      <c r="C1141" s="114">
        <v>8000</v>
      </c>
      <c r="D1141" s="204">
        <f t="shared" si="61"/>
        <v>0.87490347490345655</v>
      </c>
      <c r="E1141" s="203">
        <f t="shared" si="62"/>
        <v>1.9862407374227997E-3</v>
      </c>
      <c r="F1141" s="203">
        <f t="shared" si="63"/>
        <v>0.49824950244115612</v>
      </c>
    </row>
    <row r="1142" spans="2:6" x14ac:dyDescent="0.2">
      <c r="B1142" s="237">
        <v>677</v>
      </c>
      <c r="C1142" s="114">
        <v>8000</v>
      </c>
      <c r="D1142" s="204">
        <f t="shared" si="61"/>
        <v>0.87567567567565729</v>
      </c>
      <c r="E1142" s="203">
        <f t="shared" si="62"/>
        <v>1.9862407374227997E-3</v>
      </c>
      <c r="F1142" s="203">
        <f t="shared" si="63"/>
        <v>0.50023574317857888</v>
      </c>
    </row>
    <row r="1143" spans="2:6" x14ac:dyDescent="0.2">
      <c r="B1143" s="238">
        <v>720</v>
      </c>
      <c r="C1143" s="205">
        <v>8000</v>
      </c>
      <c r="D1143" s="204">
        <f t="shared" si="61"/>
        <v>0.87644787644785804</v>
      </c>
      <c r="E1143" s="203">
        <f t="shared" si="62"/>
        <v>1.9862407374227997E-3</v>
      </c>
      <c r="F1143" s="203">
        <f t="shared" si="63"/>
        <v>0.5022219839160017</v>
      </c>
    </row>
    <row r="1144" spans="2:6" x14ac:dyDescent="0.2">
      <c r="B1144" s="237">
        <v>722</v>
      </c>
      <c r="C1144" s="114">
        <v>8000</v>
      </c>
      <c r="D1144" s="204">
        <f t="shared" si="61"/>
        <v>0.87722007722005879</v>
      </c>
      <c r="E1144" s="203">
        <f t="shared" si="62"/>
        <v>1.9862407374227997E-3</v>
      </c>
      <c r="F1144" s="203">
        <f t="shared" si="63"/>
        <v>0.50420822465342452</v>
      </c>
    </row>
    <row r="1145" spans="2:6" x14ac:dyDescent="0.2">
      <c r="B1145" s="237">
        <v>724</v>
      </c>
      <c r="C1145" s="114">
        <v>8000</v>
      </c>
      <c r="D1145" s="204">
        <f t="shared" si="61"/>
        <v>0.87799227799225954</v>
      </c>
      <c r="E1145" s="203">
        <f t="shared" si="62"/>
        <v>1.9862407374227997E-3</v>
      </c>
      <c r="F1145" s="203">
        <f t="shared" si="63"/>
        <v>0.50619446539084734</v>
      </c>
    </row>
    <row r="1146" spans="2:6" x14ac:dyDescent="0.2">
      <c r="B1146" s="238">
        <v>815</v>
      </c>
      <c r="C1146" s="205">
        <v>8000</v>
      </c>
      <c r="D1146" s="204">
        <f t="shared" si="61"/>
        <v>0.87876447876446029</v>
      </c>
      <c r="E1146" s="203">
        <f t="shared" si="62"/>
        <v>1.9862407374227997E-3</v>
      </c>
      <c r="F1146" s="203">
        <f t="shared" si="63"/>
        <v>0.50818070612827015</v>
      </c>
    </row>
    <row r="1147" spans="2:6" x14ac:dyDescent="0.2">
      <c r="B1147" s="237">
        <v>862</v>
      </c>
      <c r="C1147" s="114">
        <v>8000</v>
      </c>
      <c r="D1147" s="204">
        <f t="shared" si="61"/>
        <v>0.87953667953666104</v>
      </c>
      <c r="E1147" s="203">
        <f t="shared" si="62"/>
        <v>1.9862407374227997E-3</v>
      </c>
      <c r="F1147" s="203">
        <f t="shared" si="63"/>
        <v>0.51016694686569297</v>
      </c>
    </row>
    <row r="1148" spans="2:6" x14ac:dyDescent="0.2">
      <c r="B1148" s="238">
        <v>905</v>
      </c>
      <c r="C1148" s="205">
        <v>8000</v>
      </c>
      <c r="D1148" s="204">
        <f t="shared" si="61"/>
        <v>0.88030888030886179</v>
      </c>
      <c r="E1148" s="203">
        <f t="shared" si="62"/>
        <v>1.9862407374227997E-3</v>
      </c>
      <c r="F1148" s="203">
        <f t="shared" si="63"/>
        <v>0.51215318760311579</v>
      </c>
    </row>
    <row r="1149" spans="2:6" x14ac:dyDescent="0.2">
      <c r="B1149" s="238">
        <v>1003</v>
      </c>
      <c r="C1149" s="205">
        <v>8000</v>
      </c>
      <c r="D1149" s="204">
        <f t="shared" si="61"/>
        <v>0.88108108108106253</v>
      </c>
      <c r="E1149" s="203">
        <f t="shared" si="62"/>
        <v>1.9862407374227997E-3</v>
      </c>
      <c r="F1149" s="203">
        <f t="shared" si="63"/>
        <v>0.51413942834053861</v>
      </c>
    </row>
    <row r="1150" spans="2:6" x14ac:dyDescent="0.2">
      <c r="B1150" s="237">
        <v>1061</v>
      </c>
      <c r="C1150" s="114">
        <v>8000</v>
      </c>
      <c r="D1150" s="204">
        <f t="shared" si="61"/>
        <v>0.88185328185326328</v>
      </c>
      <c r="E1150" s="203">
        <f t="shared" si="62"/>
        <v>1.9862407374227997E-3</v>
      </c>
      <c r="F1150" s="203">
        <f t="shared" si="63"/>
        <v>0.51612566907796142</v>
      </c>
    </row>
    <row r="1151" spans="2:6" x14ac:dyDescent="0.2">
      <c r="B1151" s="238">
        <v>1226</v>
      </c>
      <c r="C1151" s="205">
        <v>8000</v>
      </c>
      <c r="D1151" s="204">
        <f t="shared" si="61"/>
        <v>0.88262548262546403</v>
      </c>
      <c r="E1151" s="203">
        <f t="shared" si="62"/>
        <v>1.9862407374227997E-3</v>
      </c>
      <c r="F1151" s="203">
        <f t="shared" si="63"/>
        <v>0.51811190981538424</v>
      </c>
    </row>
    <row r="1152" spans="2:6" x14ac:dyDescent="0.2">
      <c r="B1152" s="237">
        <v>1324</v>
      </c>
      <c r="C1152" s="114">
        <v>8000</v>
      </c>
      <c r="D1152" s="204">
        <f t="shared" si="61"/>
        <v>0.88339768339766478</v>
      </c>
      <c r="E1152" s="203">
        <f t="shared" si="62"/>
        <v>1.9862407374227997E-3</v>
      </c>
      <c r="F1152" s="203">
        <f t="shared" si="63"/>
        <v>0.52009815055280706</v>
      </c>
    </row>
    <row r="1153" spans="2:6" x14ac:dyDescent="0.2">
      <c r="B1153" s="237">
        <v>1326</v>
      </c>
      <c r="C1153" s="114">
        <v>8000</v>
      </c>
      <c r="D1153" s="204">
        <f t="shared" si="61"/>
        <v>0.88416988416986553</v>
      </c>
      <c r="E1153" s="203">
        <f t="shared" si="62"/>
        <v>1.9862407374227997E-3</v>
      </c>
      <c r="F1153" s="203">
        <f t="shared" si="63"/>
        <v>0.52208439129022988</v>
      </c>
    </row>
    <row r="1154" spans="2:6" x14ac:dyDescent="0.2">
      <c r="B1154" s="238">
        <v>1340</v>
      </c>
      <c r="C1154" s="205">
        <v>8000</v>
      </c>
      <c r="D1154" s="204">
        <f t="shared" si="61"/>
        <v>0.88494208494206628</v>
      </c>
      <c r="E1154" s="203">
        <f t="shared" si="62"/>
        <v>1.9862407374227997E-3</v>
      </c>
      <c r="F1154" s="203">
        <f t="shared" si="63"/>
        <v>0.52407063202765269</v>
      </c>
    </row>
    <row r="1155" spans="2:6" x14ac:dyDescent="0.2">
      <c r="B1155" s="238">
        <v>1371</v>
      </c>
      <c r="C1155" s="205">
        <v>8000</v>
      </c>
      <c r="D1155" s="204">
        <f t="shared" si="61"/>
        <v>0.88571428571426702</v>
      </c>
      <c r="E1155" s="203">
        <f t="shared" si="62"/>
        <v>1.9862407374227997E-3</v>
      </c>
      <c r="F1155" s="203">
        <f t="shared" si="63"/>
        <v>0.52605687276507551</v>
      </c>
    </row>
    <row r="1156" spans="2:6" x14ac:dyDescent="0.2">
      <c r="B1156" s="238">
        <v>1471</v>
      </c>
      <c r="C1156" s="205">
        <v>8000</v>
      </c>
      <c r="D1156" s="204">
        <f t="shared" si="61"/>
        <v>0.88648648648646777</v>
      </c>
      <c r="E1156" s="203">
        <f t="shared" si="62"/>
        <v>1.9862407374227997E-3</v>
      </c>
      <c r="F1156" s="203">
        <f t="shared" si="63"/>
        <v>0.52804311350249833</v>
      </c>
    </row>
    <row r="1157" spans="2:6" x14ac:dyDescent="0.2">
      <c r="B1157" s="237">
        <v>1524</v>
      </c>
      <c r="C1157" s="114">
        <v>8000</v>
      </c>
      <c r="D1157" s="204">
        <f t="shared" si="61"/>
        <v>0.88725868725866852</v>
      </c>
      <c r="E1157" s="203">
        <f t="shared" si="62"/>
        <v>1.9862407374227997E-3</v>
      </c>
      <c r="F1157" s="203">
        <f t="shared" si="63"/>
        <v>0.53002935423992115</v>
      </c>
    </row>
    <row r="1158" spans="2:6" x14ac:dyDescent="0.2">
      <c r="B1158" s="238">
        <v>1599</v>
      </c>
      <c r="C1158" s="205">
        <v>8000</v>
      </c>
      <c r="D1158" s="204">
        <f t="shared" si="61"/>
        <v>0.88803088803086927</v>
      </c>
      <c r="E1158" s="203">
        <f t="shared" si="62"/>
        <v>1.9862407374227997E-3</v>
      </c>
      <c r="F1158" s="203">
        <f t="shared" si="63"/>
        <v>0.53201559497734396</v>
      </c>
    </row>
    <row r="1159" spans="2:6" x14ac:dyDescent="0.2">
      <c r="B1159" s="237">
        <v>1668</v>
      </c>
      <c r="C1159" s="114">
        <v>8000</v>
      </c>
      <c r="D1159" s="204">
        <f t="shared" si="61"/>
        <v>0.88880308880307002</v>
      </c>
      <c r="E1159" s="203">
        <f t="shared" si="62"/>
        <v>1.9862407374227997E-3</v>
      </c>
      <c r="F1159" s="203">
        <f t="shared" si="63"/>
        <v>0.53400183571476678</v>
      </c>
    </row>
    <row r="1160" spans="2:6" x14ac:dyDescent="0.2">
      <c r="B1160" s="238">
        <v>1885</v>
      </c>
      <c r="C1160" s="205">
        <v>8000</v>
      </c>
      <c r="D1160" s="204">
        <f t="shared" si="61"/>
        <v>0.88957528957527077</v>
      </c>
      <c r="E1160" s="203">
        <f t="shared" si="62"/>
        <v>1.9862407374227997E-3</v>
      </c>
      <c r="F1160" s="203">
        <f t="shared" si="63"/>
        <v>0.5359880764521896</v>
      </c>
    </row>
    <row r="1161" spans="2:6" x14ac:dyDescent="0.2">
      <c r="B1161" s="237">
        <v>2189</v>
      </c>
      <c r="C1161" s="114">
        <v>8000</v>
      </c>
      <c r="D1161" s="204">
        <f t="shared" ref="D1161:D1224" si="64">D1160+1/$L$18</f>
        <v>0.89034749034747152</v>
      </c>
      <c r="E1161" s="203">
        <f t="shared" ref="E1161:E1224" si="65">C1161/$O$18</f>
        <v>1.9862407374227997E-3</v>
      </c>
      <c r="F1161" s="203">
        <f t="shared" ref="F1161:F1224" si="66">F1160+E1161</f>
        <v>0.53797431718961242</v>
      </c>
    </row>
    <row r="1162" spans="2:6" x14ac:dyDescent="0.2">
      <c r="B1162" s="237">
        <v>2194</v>
      </c>
      <c r="C1162" s="114">
        <v>8000</v>
      </c>
      <c r="D1162" s="204">
        <f t="shared" si="64"/>
        <v>0.89111969111967226</v>
      </c>
      <c r="E1162" s="203">
        <f t="shared" si="65"/>
        <v>1.9862407374227997E-3</v>
      </c>
      <c r="F1162" s="203">
        <f t="shared" si="66"/>
        <v>0.53996055792703523</v>
      </c>
    </row>
    <row r="1163" spans="2:6" x14ac:dyDescent="0.2">
      <c r="B1163" s="237">
        <v>2240</v>
      </c>
      <c r="C1163" s="114">
        <v>8000</v>
      </c>
      <c r="D1163" s="204">
        <f t="shared" si="64"/>
        <v>0.89189189189187301</v>
      </c>
      <c r="E1163" s="203">
        <f t="shared" si="65"/>
        <v>1.9862407374227997E-3</v>
      </c>
      <c r="F1163" s="203">
        <f t="shared" si="66"/>
        <v>0.54194679866445805</v>
      </c>
    </row>
    <row r="1164" spans="2:6" x14ac:dyDescent="0.2">
      <c r="B1164" s="238">
        <v>37</v>
      </c>
      <c r="C1164" s="205">
        <v>8904</v>
      </c>
      <c r="D1164" s="204">
        <f t="shared" si="64"/>
        <v>0.89266409266407376</v>
      </c>
      <c r="E1164" s="203">
        <f t="shared" si="65"/>
        <v>2.210685940751576E-3</v>
      </c>
      <c r="F1164" s="203">
        <f t="shared" si="66"/>
        <v>0.54415748460520963</v>
      </c>
    </row>
    <row r="1165" spans="2:6" x14ac:dyDescent="0.2">
      <c r="B1165" s="237">
        <v>63</v>
      </c>
      <c r="C1165" s="114">
        <v>9000</v>
      </c>
      <c r="D1165" s="204">
        <f t="shared" si="64"/>
        <v>0.89343629343627451</v>
      </c>
      <c r="E1165" s="203">
        <f t="shared" si="65"/>
        <v>2.2345208296006497E-3</v>
      </c>
      <c r="F1165" s="203">
        <f t="shared" si="66"/>
        <v>0.54639200543481026</v>
      </c>
    </row>
    <row r="1166" spans="2:6" x14ac:dyDescent="0.2">
      <c r="B1166" s="237">
        <v>156</v>
      </c>
      <c r="C1166" s="114">
        <v>9000</v>
      </c>
      <c r="D1166" s="204">
        <f t="shared" si="64"/>
        <v>0.89420849420847526</v>
      </c>
      <c r="E1166" s="203">
        <f t="shared" si="65"/>
        <v>2.2345208296006497E-3</v>
      </c>
      <c r="F1166" s="203">
        <f t="shared" si="66"/>
        <v>0.54862652626441089</v>
      </c>
    </row>
    <row r="1167" spans="2:6" x14ac:dyDescent="0.2">
      <c r="B1167" s="238">
        <v>217</v>
      </c>
      <c r="C1167" s="205">
        <v>9000</v>
      </c>
      <c r="D1167" s="204">
        <f t="shared" si="64"/>
        <v>0.89498069498067601</v>
      </c>
      <c r="E1167" s="203">
        <f t="shared" si="65"/>
        <v>2.2345208296006497E-3</v>
      </c>
      <c r="F1167" s="203">
        <f t="shared" si="66"/>
        <v>0.55086104709401151</v>
      </c>
    </row>
    <row r="1168" spans="2:6" x14ac:dyDescent="0.2">
      <c r="B1168" s="237">
        <v>315</v>
      </c>
      <c r="C1168" s="114">
        <v>9000</v>
      </c>
      <c r="D1168" s="204">
        <f t="shared" si="64"/>
        <v>0.89575289575287675</v>
      </c>
      <c r="E1168" s="203">
        <f t="shared" si="65"/>
        <v>2.2345208296006497E-3</v>
      </c>
      <c r="F1168" s="203">
        <f t="shared" si="66"/>
        <v>0.55309556792361214</v>
      </c>
    </row>
    <row r="1169" spans="2:6" x14ac:dyDescent="0.2">
      <c r="B1169" s="237">
        <v>414</v>
      </c>
      <c r="C1169" s="114">
        <v>9000</v>
      </c>
      <c r="D1169" s="204">
        <f t="shared" si="64"/>
        <v>0.8965250965250775</v>
      </c>
      <c r="E1169" s="203">
        <f t="shared" si="65"/>
        <v>2.2345208296006497E-3</v>
      </c>
      <c r="F1169" s="203">
        <f t="shared" si="66"/>
        <v>0.55533008875321277</v>
      </c>
    </row>
    <row r="1170" spans="2:6" x14ac:dyDescent="0.2">
      <c r="B1170" s="238">
        <v>565</v>
      </c>
      <c r="C1170" s="205">
        <v>9000</v>
      </c>
      <c r="D1170" s="204">
        <f t="shared" si="64"/>
        <v>0.89729729729727825</v>
      </c>
      <c r="E1170" s="203">
        <f t="shared" si="65"/>
        <v>2.2345208296006497E-3</v>
      </c>
      <c r="F1170" s="203">
        <f t="shared" si="66"/>
        <v>0.5575646095828134</v>
      </c>
    </row>
    <row r="1171" spans="2:6" x14ac:dyDescent="0.2">
      <c r="B1171" s="238">
        <v>581</v>
      </c>
      <c r="C1171" s="205">
        <v>9000</v>
      </c>
      <c r="D1171" s="204">
        <f t="shared" si="64"/>
        <v>0.898069498069479</v>
      </c>
      <c r="E1171" s="203">
        <f t="shared" si="65"/>
        <v>2.2345208296006497E-3</v>
      </c>
      <c r="F1171" s="203">
        <f t="shared" si="66"/>
        <v>0.55979913041241403</v>
      </c>
    </row>
    <row r="1172" spans="2:6" x14ac:dyDescent="0.2">
      <c r="B1172" s="238">
        <v>591</v>
      </c>
      <c r="C1172" s="205">
        <v>9000</v>
      </c>
      <c r="D1172" s="204">
        <f t="shared" si="64"/>
        <v>0.89884169884167975</v>
      </c>
      <c r="E1172" s="203">
        <f t="shared" si="65"/>
        <v>2.2345208296006497E-3</v>
      </c>
      <c r="F1172" s="203">
        <f t="shared" si="66"/>
        <v>0.56203365124201465</v>
      </c>
    </row>
    <row r="1173" spans="2:6" x14ac:dyDescent="0.2">
      <c r="B1173" s="238">
        <v>608</v>
      </c>
      <c r="C1173" s="205">
        <v>9000</v>
      </c>
      <c r="D1173" s="204">
        <f t="shared" si="64"/>
        <v>0.8996138996138805</v>
      </c>
      <c r="E1173" s="203">
        <f t="shared" si="65"/>
        <v>2.2345208296006497E-3</v>
      </c>
      <c r="F1173" s="203">
        <f t="shared" si="66"/>
        <v>0.56426817207161528</v>
      </c>
    </row>
    <row r="1174" spans="2:6" x14ac:dyDescent="0.2">
      <c r="B1174" s="237">
        <v>698</v>
      </c>
      <c r="C1174" s="114">
        <v>9000</v>
      </c>
      <c r="D1174" s="204">
        <f t="shared" si="64"/>
        <v>0.90038610038608125</v>
      </c>
      <c r="E1174" s="203">
        <f t="shared" si="65"/>
        <v>2.2345208296006497E-3</v>
      </c>
      <c r="F1174" s="203">
        <f t="shared" si="66"/>
        <v>0.56650269290121591</v>
      </c>
    </row>
    <row r="1175" spans="2:6" x14ac:dyDescent="0.2">
      <c r="B1175" s="237">
        <v>731</v>
      </c>
      <c r="C1175" s="114">
        <v>9000</v>
      </c>
      <c r="D1175" s="204">
        <f t="shared" si="64"/>
        <v>0.90115830115828199</v>
      </c>
      <c r="E1175" s="203">
        <f t="shared" si="65"/>
        <v>2.2345208296006497E-3</v>
      </c>
      <c r="F1175" s="203">
        <f t="shared" si="66"/>
        <v>0.56873721373081654</v>
      </c>
    </row>
    <row r="1176" spans="2:6" x14ac:dyDescent="0.2">
      <c r="B1176" s="238">
        <v>868</v>
      </c>
      <c r="C1176" s="205">
        <v>9000</v>
      </c>
      <c r="D1176" s="204">
        <f t="shared" si="64"/>
        <v>0.90193050193048274</v>
      </c>
      <c r="E1176" s="203">
        <f t="shared" si="65"/>
        <v>2.2345208296006497E-3</v>
      </c>
      <c r="F1176" s="203">
        <f t="shared" si="66"/>
        <v>0.57097173456041717</v>
      </c>
    </row>
    <row r="1177" spans="2:6" x14ac:dyDescent="0.2">
      <c r="B1177" s="238">
        <v>893</v>
      </c>
      <c r="C1177" s="205">
        <v>9000</v>
      </c>
      <c r="D1177" s="204">
        <f t="shared" si="64"/>
        <v>0.90270270270268349</v>
      </c>
      <c r="E1177" s="203">
        <f t="shared" si="65"/>
        <v>2.2345208296006497E-3</v>
      </c>
      <c r="F1177" s="203">
        <f t="shared" si="66"/>
        <v>0.57320625539001779</v>
      </c>
    </row>
    <row r="1178" spans="2:6" x14ac:dyDescent="0.2">
      <c r="B1178" s="237">
        <v>898</v>
      </c>
      <c r="C1178" s="114">
        <v>9000</v>
      </c>
      <c r="D1178" s="204">
        <f t="shared" si="64"/>
        <v>0.90347490347488424</v>
      </c>
      <c r="E1178" s="203">
        <f t="shared" si="65"/>
        <v>2.2345208296006497E-3</v>
      </c>
      <c r="F1178" s="203">
        <f t="shared" si="66"/>
        <v>0.57544077621961842</v>
      </c>
    </row>
    <row r="1179" spans="2:6" x14ac:dyDescent="0.2">
      <c r="B1179" s="237">
        <v>976</v>
      </c>
      <c r="C1179" s="114">
        <v>9000</v>
      </c>
      <c r="D1179" s="204">
        <f t="shared" si="64"/>
        <v>0.90424710424708499</v>
      </c>
      <c r="E1179" s="203">
        <f t="shared" si="65"/>
        <v>2.2345208296006497E-3</v>
      </c>
      <c r="F1179" s="203">
        <f t="shared" si="66"/>
        <v>0.57767529704921905</v>
      </c>
    </row>
    <row r="1180" spans="2:6" x14ac:dyDescent="0.2">
      <c r="B1180" s="238">
        <v>1010</v>
      </c>
      <c r="C1180" s="205">
        <v>9000</v>
      </c>
      <c r="D1180" s="204">
        <f t="shared" si="64"/>
        <v>0.90501930501928574</v>
      </c>
      <c r="E1180" s="203">
        <f t="shared" si="65"/>
        <v>2.2345208296006497E-3</v>
      </c>
      <c r="F1180" s="203">
        <f t="shared" si="66"/>
        <v>0.57990981787881968</v>
      </c>
    </row>
    <row r="1181" spans="2:6" x14ac:dyDescent="0.2">
      <c r="B1181" s="237">
        <v>1124</v>
      </c>
      <c r="C1181" s="114">
        <v>9000</v>
      </c>
      <c r="D1181" s="204">
        <f t="shared" si="64"/>
        <v>0.90579150579148648</v>
      </c>
      <c r="E1181" s="203">
        <f t="shared" si="65"/>
        <v>2.2345208296006497E-3</v>
      </c>
      <c r="F1181" s="203">
        <f t="shared" si="66"/>
        <v>0.58214433870842031</v>
      </c>
    </row>
    <row r="1182" spans="2:6" x14ac:dyDescent="0.2">
      <c r="B1182" s="237">
        <v>1141</v>
      </c>
      <c r="C1182" s="114">
        <v>9000</v>
      </c>
      <c r="D1182" s="204">
        <f t="shared" si="64"/>
        <v>0.90656370656368723</v>
      </c>
      <c r="E1182" s="203">
        <f t="shared" si="65"/>
        <v>2.2345208296006497E-3</v>
      </c>
      <c r="F1182" s="203">
        <f t="shared" si="66"/>
        <v>0.58437885953802093</v>
      </c>
    </row>
    <row r="1183" spans="2:6" x14ac:dyDescent="0.2">
      <c r="B1183" s="238">
        <v>1156</v>
      </c>
      <c r="C1183" s="205">
        <v>9000</v>
      </c>
      <c r="D1183" s="204">
        <f t="shared" si="64"/>
        <v>0.90733590733588798</v>
      </c>
      <c r="E1183" s="203">
        <f t="shared" si="65"/>
        <v>2.2345208296006497E-3</v>
      </c>
      <c r="F1183" s="203">
        <f t="shared" si="66"/>
        <v>0.58661338036762156</v>
      </c>
    </row>
    <row r="1184" spans="2:6" x14ac:dyDescent="0.2">
      <c r="B1184" s="238">
        <v>1183</v>
      </c>
      <c r="C1184" s="205">
        <v>9000</v>
      </c>
      <c r="D1184" s="204">
        <f t="shared" si="64"/>
        <v>0.90810810810808873</v>
      </c>
      <c r="E1184" s="203">
        <f t="shared" si="65"/>
        <v>2.2345208296006497E-3</v>
      </c>
      <c r="F1184" s="203">
        <f t="shared" si="66"/>
        <v>0.58884790119722219</v>
      </c>
    </row>
    <row r="1185" spans="2:6" x14ac:dyDescent="0.2">
      <c r="B1185" s="237">
        <v>1256</v>
      </c>
      <c r="C1185" s="114">
        <v>9000</v>
      </c>
      <c r="D1185" s="204">
        <f t="shared" si="64"/>
        <v>0.90888030888028948</v>
      </c>
      <c r="E1185" s="203">
        <f t="shared" si="65"/>
        <v>2.2345208296006497E-3</v>
      </c>
      <c r="F1185" s="203">
        <f t="shared" si="66"/>
        <v>0.59108242202682282</v>
      </c>
    </row>
    <row r="1186" spans="2:6" x14ac:dyDescent="0.2">
      <c r="B1186" s="238">
        <v>1268</v>
      </c>
      <c r="C1186" s="205">
        <v>9000</v>
      </c>
      <c r="D1186" s="204">
        <f t="shared" si="64"/>
        <v>0.90965250965249023</v>
      </c>
      <c r="E1186" s="203">
        <f t="shared" si="65"/>
        <v>2.2345208296006497E-3</v>
      </c>
      <c r="F1186" s="203">
        <f t="shared" si="66"/>
        <v>0.59331694285642345</v>
      </c>
    </row>
    <row r="1187" spans="2:6" x14ac:dyDescent="0.2">
      <c r="B1187" s="237">
        <v>1294</v>
      </c>
      <c r="C1187" s="114">
        <v>9000</v>
      </c>
      <c r="D1187" s="204">
        <f t="shared" si="64"/>
        <v>0.91042471042469097</v>
      </c>
      <c r="E1187" s="203">
        <f t="shared" si="65"/>
        <v>2.2345208296006497E-3</v>
      </c>
      <c r="F1187" s="203">
        <f t="shared" si="66"/>
        <v>0.59555146368602407</v>
      </c>
    </row>
    <row r="1188" spans="2:6" x14ac:dyDescent="0.2">
      <c r="B1188" s="237">
        <v>1303</v>
      </c>
      <c r="C1188" s="114">
        <v>9000</v>
      </c>
      <c r="D1188" s="204">
        <f t="shared" si="64"/>
        <v>0.91119691119689172</v>
      </c>
      <c r="E1188" s="203">
        <f t="shared" si="65"/>
        <v>2.2345208296006497E-3</v>
      </c>
      <c r="F1188" s="203">
        <f t="shared" si="66"/>
        <v>0.5977859845156247</v>
      </c>
    </row>
    <row r="1189" spans="2:6" x14ac:dyDescent="0.2">
      <c r="B1189" s="237">
        <v>1391</v>
      </c>
      <c r="C1189" s="114">
        <v>9000</v>
      </c>
      <c r="D1189" s="204">
        <f t="shared" si="64"/>
        <v>0.91196911196909247</v>
      </c>
      <c r="E1189" s="203">
        <f t="shared" si="65"/>
        <v>2.2345208296006497E-3</v>
      </c>
      <c r="F1189" s="203">
        <f t="shared" si="66"/>
        <v>0.60002050534522533</v>
      </c>
    </row>
    <row r="1190" spans="2:6" x14ac:dyDescent="0.2">
      <c r="B1190" s="238">
        <v>1412</v>
      </c>
      <c r="C1190" s="205">
        <v>9000</v>
      </c>
      <c r="D1190" s="204">
        <f t="shared" si="64"/>
        <v>0.91274131274129322</v>
      </c>
      <c r="E1190" s="203">
        <f t="shared" si="65"/>
        <v>2.2345208296006497E-3</v>
      </c>
      <c r="F1190" s="203">
        <f t="shared" si="66"/>
        <v>0.60225502617482596</v>
      </c>
    </row>
    <row r="1191" spans="2:6" x14ac:dyDescent="0.2">
      <c r="B1191" s="237">
        <v>1428</v>
      </c>
      <c r="C1191" s="114">
        <v>9000</v>
      </c>
      <c r="D1191" s="204">
        <f t="shared" si="64"/>
        <v>0.91351351351349397</v>
      </c>
      <c r="E1191" s="203">
        <f t="shared" si="65"/>
        <v>2.2345208296006497E-3</v>
      </c>
      <c r="F1191" s="203">
        <f t="shared" si="66"/>
        <v>0.60448954700442659</v>
      </c>
    </row>
    <row r="1192" spans="2:6" x14ac:dyDescent="0.2">
      <c r="B1192" s="238">
        <v>1436</v>
      </c>
      <c r="C1192" s="205">
        <v>9000</v>
      </c>
      <c r="D1192" s="204">
        <f t="shared" si="64"/>
        <v>0.91428571428569472</v>
      </c>
      <c r="E1192" s="203">
        <f t="shared" si="65"/>
        <v>2.2345208296006497E-3</v>
      </c>
      <c r="F1192" s="203">
        <f t="shared" si="66"/>
        <v>0.60672406783402721</v>
      </c>
    </row>
    <row r="1193" spans="2:6" x14ac:dyDescent="0.2">
      <c r="B1193" s="237">
        <v>1444</v>
      </c>
      <c r="C1193" s="114">
        <v>9000</v>
      </c>
      <c r="D1193" s="204">
        <f t="shared" si="64"/>
        <v>0.91505791505789547</v>
      </c>
      <c r="E1193" s="203">
        <f t="shared" si="65"/>
        <v>2.2345208296006497E-3</v>
      </c>
      <c r="F1193" s="203">
        <f t="shared" si="66"/>
        <v>0.60895858866362784</v>
      </c>
    </row>
    <row r="1194" spans="2:6" x14ac:dyDescent="0.2">
      <c r="B1194" s="238">
        <v>1485</v>
      </c>
      <c r="C1194" s="205">
        <v>9000</v>
      </c>
      <c r="D1194" s="204">
        <f t="shared" si="64"/>
        <v>0.91583011583009621</v>
      </c>
      <c r="E1194" s="203">
        <f t="shared" si="65"/>
        <v>2.2345208296006497E-3</v>
      </c>
      <c r="F1194" s="203">
        <f t="shared" si="66"/>
        <v>0.61119310949322847</v>
      </c>
    </row>
    <row r="1195" spans="2:6" x14ac:dyDescent="0.2">
      <c r="B1195" s="238">
        <v>1532</v>
      </c>
      <c r="C1195" s="205">
        <v>9000</v>
      </c>
      <c r="D1195" s="204">
        <f t="shared" si="64"/>
        <v>0.91660231660229696</v>
      </c>
      <c r="E1195" s="203">
        <f t="shared" si="65"/>
        <v>2.2345208296006497E-3</v>
      </c>
      <c r="F1195" s="203">
        <f t="shared" si="66"/>
        <v>0.6134276303228291</v>
      </c>
    </row>
    <row r="1196" spans="2:6" x14ac:dyDescent="0.2">
      <c r="B1196" s="238">
        <v>1551</v>
      </c>
      <c r="C1196" s="205">
        <v>9000</v>
      </c>
      <c r="D1196" s="204">
        <f t="shared" si="64"/>
        <v>0.91737451737449771</v>
      </c>
      <c r="E1196" s="203">
        <f t="shared" si="65"/>
        <v>2.2345208296006497E-3</v>
      </c>
      <c r="F1196" s="203">
        <f t="shared" si="66"/>
        <v>0.61566215115242973</v>
      </c>
    </row>
    <row r="1197" spans="2:6" x14ac:dyDescent="0.2">
      <c r="B1197" s="238">
        <v>1568</v>
      </c>
      <c r="C1197" s="205">
        <v>9000</v>
      </c>
      <c r="D1197" s="204">
        <f t="shared" si="64"/>
        <v>0.91814671814669846</v>
      </c>
      <c r="E1197" s="203">
        <f t="shared" si="65"/>
        <v>2.2345208296006497E-3</v>
      </c>
      <c r="F1197" s="203">
        <f t="shared" si="66"/>
        <v>0.61789667198203035</v>
      </c>
    </row>
    <row r="1198" spans="2:6" x14ac:dyDescent="0.2">
      <c r="B1198" s="238">
        <v>1571</v>
      </c>
      <c r="C1198" s="205">
        <v>9000</v>
      </c>
      <c r="D1198" s="204">
        <f t="shared" si="64"/>
        <v>0.91891891891889921</v>
      </c>
      <c r="E1198" s="203">
        <f t="shared" si="65"/>
        <v>2.2345208296006497E-3</v>
      </c>
      <c r="F1198" s="203">
        <f t="shared" si="66"/>
        <v>0.62013119281163098</v>
      </c>
    </row>
    <row r="1199" spans="2:6" x14ac:dyDescent="0.2">
      <c r="B1199" s="237">
        <v>1577</v>
      </c>
      <c r="C1199" s="114">
        <v>9000</v>
      </c>
      <c r="D1199" s="204">
        <f t="shared" si="64"/>
        <v>0.91969111969109996</v>
      </c>
      <c r="E1199" s="203">
        <f t="shared" si="65"/>
        <v>2.2345208296006497E-3</v>
      </c>
      <c r="F1199" s="203">
        <f t="shared" si="66"/>
        <v>0.62236571364123161</v>
      </c>
    </row>
    <row r="1200" spans="2:6" x14ac:dyDescent="0.2">
      <c r="B1200" s="237">
        <v>1828</v>
      </c>
      <c r="C1200" s="114">
        <v>9000</v>
      </c>
      <c r="D1200" s="204">
        <f t="shared" si="64"/>
        <v>0.9204633204633007</v>
      </c>
      <c r="E1200" s="203">
        <f t="shared" si="65"/>
        <v>2.2345208296006497E-3</v>
      </c>
      <c r="F1200" s="203">
        <f t="shared" si="66"/>
        <v>0.62460023447083224</v>
      </c>
    </row>
    <row r="1201" spans="2:6" x14ac:dyDescent="0.2">
      <c r="B1201" s="238">
        <v>1882</v>
      </c>
      <c r="C1201" s="205">
        <v>9000</v>
      </c>
      <c r="D1201" s="204">
        <f t="shared" si="64"/>
        <v>0.92123552123550145</v>
      </c>
      <c r="E1201" s="203">
        <f t="shared" si="65"/>
        <v>2.2345208296006497E-3</v>
      </c>
      <c r="F1201" s="203">
        <f t="shared" si="66"/>
        <v>0.62683475530043287</v>
      </c>
    </row>
    <row r="1202" spans="2:6" x14ac:dyDescent="0.2">
      <c r="B1202" s="238">
        <v>1887</v>
      </c>
      <c r="C1202" s="205">
        <v>9000</v>
      </c>
      <c r="D1202" s="204">
        <f t="shared" si="64"/>
        <v>0.9220077220077022</v>
      </c>
      <c r="E1202" s="203">
        <f t="shared" si="65"/>
        <v>2.2345208296006497E-3</v>
      </c>
      <c r="F1202" s="203">
        <f t="shared" si="66"/>
        <v>0.62906927613003349</v>
      </c>
    </row>
    <row r="1203" spans="2:6" x14ac:dyDescent="0.2">
      <c r="B1203" s="237">
        <v>1907</v>
      </c>
      <c r="C1203" s="114">
        <v>9000</v>
      </c>
      <c r="D1203" s="204">
        <f t="shared" si="64"/>
        <v>0.92277992277990295</v>
      </c>
      <c r="E1203" s="203">
        <f t="shared" si="65"/>
        <v>2.2345208296006497E-3</v>
      </c>
      <c r="F1203" s="203">
        <f t="shared" si="66"/>
        <v>0.63130379695963412</v>
      </c>
    </row>
    <row r="1204" spans="2:6" x14ac:dyDescent="0.2">
      <c r="B1204" s="237">
        <v>1956</v>
      </c>
      <c r="C1204" s="114">
        <v>9000</v>
      </c>
      <c r="D1204" s="204">
        <f t="shared" si="64"/>
        <v>0.9235521235521037</v>
      </c>
      <c r="E1204" s="203">
        <f t="shared" si="65"/>
        <v>2.2345208296006497E-3</v>
      </c>
      <c r="F1204" s="203">
        <f t="shared" si="66"/>
        <v>0.63353831778923475</v>
      </c>
    </row>
    <row r="1205" spans="2:6" x14ac:dyDescent="0.2">
      <c r="B1205" s="238">
        <v>1973</v>
      </c>
      <c r="C1205" s="205">
        <v>9000</v>
      </c>
      <c r="D1205" s="204">
        <f t="shared" si="64"/>
        <v>0.92432432432430445</v>
      </c>
      <c r="E1205" s="203">
        <f t="shared" si="65"/>
        <v>2.2345208296006497E-3</v>
      </c>
      <c r="F1205" s="203">
        <f t="shared" si="66"/>
        <v>0.63577283861883538</v>
      </c>
    </row>
    <row r="1206" spans="2:6" x14ac:dyDescent="0.2">
      <c r="B1206" s="237">
        <v>2060</v>
      </c>
      <c r="C1206" s="114">
        <v>9000</v>
      </c>
      <c r="D1206" s="204">
        <f t="shared" si="64"/>
        <v>0.9250965250965052</v>
      </c>
      <c r="E1206" s="203">
        <f t="shared" si="65"/>
        <v>2.2345208296006497E-3</v>
      </c>
      <c r="F1206" s="203">
        <f t="shared" si="66"/>
        <v>0.63800735944843601</v>
      </c>
    </row>
    <row r="1207" spans="2:6" x14ac:dyDescent="0.2">
      <c r="B1207" s="238">
        <v>2121</v>
      </c>
      <c r="C1207" s="205">
        <v>9000</v>
      </c>
      <c r="D1207" s="204">
        <f t="shared" si="64"/>
        <v>0.92586872586870594</v>
      </c>
      <c r="E1207" s="203">
        <f t="shared" si="65"/>
        <v>2.2345208296006497E-3</v>
      </c>
      <c r="F1207" s="203">
        <f t="shared" si="66"/>
        <v>0.64024188027803663</v>
      </c>
    </row>
    <row r="1208" spans="2:6" x14ac:dyDescent="0.2">
      <c r="B1208" s="237">
        <v>2135</v>
      </c>
      <c r="C1208" s="114">
        <v>9000</v>
      </c>
      <c r="D1208" s="204">
        <f t="shared" si="64"/>
        <v>0.92664092664090669</v>
      </c>
      <c r="E1208" s="203">
        <f t="shared" si="65"/>
        <v>2.2345208296006497E-3</v>
      </c>
      <c r="F1208" s="203">
        <f t="shared" si="66"/>
        <v>0.64247640110763726</v>
      </c>
    </row>
    <row r="1209" spans="2:6" x14ac:dyDescent="0.2">
      <c r="B1209" s="238">
        <v>2137</v>
      </c>
      <c r="C1209" s="205">
        <v>9000</v>
      </c>
      <c r="D1209" s="204">
        <f t="shared" si="64"/>
        <v>0.92741312741310744</v>
      </c>
      <c r="E1209" s="203">
        <f t="shared" si="65"/>
        <v>2.2345208296006497E-3</v>
      </c>
      <c r="F1209" s="203">
        <f t="shared" si="66"/>
        <v>0.64471092193723789</v>
      </c>
    </row>
    <row r="1210" spans="2:6" x14ac:dyDescent="0.2">
      <c r="B1210" s="238">
        <v>2269</v>
      </c>
      <c r="C1210" s="205">
        <v>9000</v>
      </c>
      <c r="D1210" s="204">
        <f t="shared" si="64"/>
        <v>0.92818532818530819</v>
      </c>
      <c r="E1210" s="203">
        <f t="shared" si="65"/>
        <v>2.2345208296006497E-3</v>
      </c>
      <c r="F1210" s="203">
        <f t="shared" si="66"/>
        <v>0.64694544276683852</v>
      </c>
    </row>
    <row r="1211" spans="2:6" x14ac:dyDescent="0.2">
      <c r="B1211" s="238">
        <v>2279</v>
      </c>
      <c r="C1211" s="205">
        <v>9000</v>
      </c>
      <c r="D1211" s="204">
        <f t="shared" si="64"/>
        <v>0.92895752895750894</v>
      </c>
      <c r="E1211" s="203">
        <f t="shared" si="65"/>
        <v>2.2345208296006497E-3</v>
      </c>
      <c r="F1211" s="203">
        <f t="shared" si="66"/>
        <v>0.64917996359643915</v>
      </c>
    </row>
    <row r="1212" spans="2:6" x14ac:dyDescent="0.2">
      <c r="B1212" s="237">
        <v>115</v>
      </c>
      <c r="C1212" s="114">
        <v>9222</v>
      </c>
      <c r="D1212" s="204">
        <f t="shared" si="64"/>
        <v>0.92972972972970969</v>
      </c>
      <c r="E1212" s="203">
        <f t="shared" si="65"/>
        <v>2.2896390100641323E-3</v>
      </c>
      <c r="F1212" s="203">
        <f t="shared" si="66"/>
        <v>0.65146960260650333</v>
      </c>
    </row>
    <row r="1213" spans="2:6" x14ac:dyDescent="0.2">
      <c r="B1213" s="237">
        <v>104</v>
      </c>
      <c r="C1213" s="114">
        <v>9891.0720000000001</v>
      </c>
      <c r="D1213" s="204">
        <f t="shared" si="64"/>
        <v>0.93050193050191043</v>
      </c>
      <c r="E1213" s="203">
        <f t="shared" si="65"/>
        <v>2.4557562678977508E-3</v>
      </c>
      <c r="F1213" s="203">
        <f t="shared" si="66"/>
        <v>0.65392535887440106</v>
      </c>
    </row>
    <row r="1214" spans="2:6" x14ac:dyDescent="0.2">
      <c r="B1214" s="238">
        <v>40</v>
      </c>
      <c r="C1214" s="205">
        <v>10000</v>
      </c>
      <c r="D1214" s="204">
        <f t="shared" si="64"/>
        <v>0.93127413127411118</v>
      </c>
      <c r="E1214" s="203">
        <f t="shared" si="65"/>
        <v>2.4828009217784997E-3</v>
      </c>
      <c r="F1214" s="203">
        <f t="shared" si="66"/>
        <v>0.65640815979617961</v>
      </c>
    </row>
    <row r="1215" spans="2:6" x14ac:dyDescent="0.2">
      <c r="B1215" s="238">
        <v>67</v>
      </c>
      <c r="C1215" s="205">
        <v>10000</v>
      </c>
      <c r="D1215" s="204">
        <f t="shared" si="64"/>
        <v>0.93204633204631193</v>
      </c>
      <c r="E1215" s="203">
        <f t="shared" si="65"/>
        <v>2.4828009217784997E-3</v>
      </c>
      <c r="F1215" s="203">
        <f t="shared" si="66"/>
        <v>0.65889096071795816</v>
      </c>
    </row>
    <row r="1216" spans="2:6" x14ac:dyDescent="0.2">
      <c r="B1216" s="238">
        <v>249</v>
      </c>
      <c r="C1216" s="205">
        <v>10000</v>
      </c>
      <c r="D1216" s="204">
        <f t="shared" si="64"/>
        <v>0.93281853281851268</v>
      </c>
      <c r="E1216" s="203">
        <f t="shared" si="65"/>
        <v>2.4828009217784997E-3</v>
      </c>
      <c r="F1216" s="203">
        <f t="shared" si="66"/>
        <v>0.66137376163973671</v>
      </c>
    </row>
    <row r="1217" spans="2:6" x14ac:dyDescent="0.2">
      <c r="B1217" s="237">
        <v>290</v>
      </c>
      <c r="C1217" s="114">
        <v>10000</v>
      </c>
      <c r="D1217" s="204">
        <f t="shared" si="64"/>
        <v>0.93359073359071343</v>
      </c>
      <c r="E1217" s="203">
        <f t="shared" si="65"/>
        <v>2.4828009217784997E-3</v>
      </c>
      <c r="F1217" s="203">
        <f t="shared" si="66"/>
        <v>0.66385656256151526</v>
      </c>
    </row>
    <row r="1218" spans="2:6" x14ac:dyDescent="0.2">
      <c r="B1218" s="237">
        <v>390</v>
      </c>
      <c r="C1218" s="114">
        <v>10000</v>
      </c>
      <c r="D1218" s="204">
        <f t="shared" si="64"/>
        <v>0.93436293436291418</v>
      </c>
      <c r="E1218" s="203">
        <f t="shared" si="65"/>
        <v>2.4828009217784997E-3</v>
      </c>
      <c r="F1218" s="203">
        <f t="shared" si="66"/>
        <v>0.66633936348329381</v>
      </c>
    </row>
    <row r="1219" spans="2:6" x14ac:dyDescent="0.2">
      <c r="B1219" s="237">
        <v>391</v>
      </c>
      <c r="C1219" s="114">
        <v>10000</v>
      </c>
      <c r="D1219" s="204">
        <f t="shared" si="64"/>
        <v>0.93513513513511493</v>
      </c>
      <c r="E1219" s="203">
        <f t="shared" si="65"/>
        <v>2.4828009217784997E-3</v>
      </c>
      <c r="F1219" s="203">
        <f t="shared" si="66"/>
        <v>0.66882216440507236</v>
      </c>
    </row>
    <row r="1220" spans="2:6" x14ac:dyDescent="0.2">
      <c r="B1220" s="237">
        <v>473</v>
      </c>
      <c r="C1220" s="114">
        <v>10000</v>
      </c>
      <c r="D1220" s="204">
        <f t="shared" si="64"/>
        <v>0.93590733590731567</v>
      </c>
      <c r="E1220" s="203">
        <f t="shared" si="65"/>
        <v>2.4828009217784997E-3</v>
      </c>
      <c r="F1220" s="203">
        <f t="shared" si="66"/>
        <v>0.67130496532685091</v>
      </c>
    </row>
    <row r="1221" spans="2:6" x14ac:dyDescent="0.2">
      <c r="B1221" s="237">
        <v>539</v>
      </c>
      <c r="C1221" s="114">
        <v>10000</v>
      </c>
      <c r="D1221" s="204">
        <f t="shared" si="64"/>
        <v>0.93667953667951642</v>
      </c>
      <c r="E1221" s="203">
        <f t="shared" si="65"/>
        <v>2.4828009217784997E-3</v>
      </c>
      <c r="F1221" s="203">
        <f t="shared" si="66"/>
        <v>0.67378776624862946</v>
      </c>
    </row>
    <row r="1222" spans="2:6" x14ac:dyDescent="0.2">
      <c r="B1222" s="237">
        <v>551</v>
      </c>
      <c r="C1222" s="114">
        <v>10000</v>
      </c>
      <c r="D1222" s="204">
        <f t="shared" si="64"/>
        <v>0.93745173745171717</v>
      </c>
      <c r="E1222" s="203">
        <f t="shared" si="65"/>
        <v>2.4828009217784997E-3</v>
      </c>
      <c r="F1222" s="203">
        <f t="shared" si="66"/>
        <v>0.67627056717040801</v>
      </c>
    </row>
    <row r="1223" spans="2:6" x14ac:dyDescent="0.2">
      <c r="B1223" s="238">
        <v>662</v>
      </c>
      <c r="C1223" s="205">
        <v>10000</v>
      </c>
      <c r="D1223" s="204">
        <f t="shared" si="64"/>
        <v>0.93822393822391792</v>
      </c>
      <c r="E1223" s="203">
        <f t="shared" si="65"/>
        <v>2.4828009217784997E-3</v>
      </c>
      <c r="F1223" s="203">
        <f t="shared" si="66"/>
        <v>0.67875336809218656</v>
      </c>
    </row>
    <row r="1224" spans="2:6" x14ac:dyDescent="0.2">
      <c r="B1224" s="237">
        <v>676</v>
      </c>
      <c r="C1224" s="114">
        <v>10000</v>
      </c>
      <c r="D1224" s="204">
        <f t="shared" si="64"/>
        <v>0.93899613899611867</v>
      </c>
      <c r="E1224" s="203">
        <f t="shared" si="65"/>
        <v>2.4828009217784997E-3</v>
      </c>
      <c r="F1224" s="203">
        <f t="shared" si="66"/>
        <v>0.68123616901396511</v>
      </c>
    </row>
    <row r="1225" spans="2:6" x14ac:dyDescent="0.2">
      <c r="B1225" s="238">
        <v>727</v>
      </c>
      <c r="C1225" s="205">
        <v>10000</v>
      </c>
      <c r="D1225" s="204">
        <f t="shared" ref="D1225:D1288" si="67">D1224+1/$L$18</f>
        <v>0.93976833976831942</v>
      </c>
      <c r="E1225" s="203">
        <f t="shared" ref="E1225:E1288" si="68">C1225/$O$18</f>
        <v>2.4828009217784997E-3</v>
      </c>
      <c r="F1225" s="203">
        <f t="shared" ref="F1225:F1288" si="69">F1224+E1225</f>
        <v>0.68371896993574366</v>
      </c>
    </row>
    <row r="1226" spans="2:6" x14ac:dyDescent="0.2">
      <c r="B1226" s="238">
        <v>728</v>
      </c>
      <c r="C1226" s="205">
        <v>10000</v>
      </c>
      <c r="D1226" s="204">
        <f t="shared" si="67"/>
        <v>0.94054054054052016</v>
      </c>
      <c r="E1226" s="203">
        <f t="shared" si="68"/>
        <v>2.4828009217784997E-3</v>
      </c>
      <c r="F1226" s="203">
        <f t="shared" si="69"/>
        <v>0.68620177085752221</v>
      </c>
    </row>
    <row r="1227" spans="2:6" x14ac:dyDescent="0.2">
      <c r="B1227" s="238">
        <v>759</v>
      </c>
      <c r="C1227" s="205">
        <v>10000</v>
      </c>
      <c r="D1227" s="204">
        <f t="shared" si="67"/>
        <v>0.94131274131272091</v>
      </c>
      <c r="E1227" s="203">
        <f t="shared" si="68"/>
        <v>2.4828009217784997E-3</v>
      </c>
      <c r="F1227" s="203">
        <f t="shared" si="69"/>
        <v>0.68868457177930076</v>
      </c>
    </row>
    <row r="1228" spans="2:6" x14ac:dyDescent="0.2">
      <c r="B1228" s="238">
        <v>770</v>
      </c>
      <c r="C1228" s="205">
        <v>10000</v>
      </c>
      <c r="D1228" s="204">
        <f t="shared" si="67"/>
        <v>0.94208494208492166</v>
      </c>
      <c r="E1228" s="203">
        <f t="shared" si="68"/>
        <v>2.4828009217784997E-3</v>
      </c>
      <c r="F1228" s="203">
        <f t="shared" si="69"/>
        <v>0.69116737270107931</v>
      </c>
    </row>
    <row r="1229" spans="2:6" x14ac:dyDescent="0.2">
      <c r="B1229" s="237">
        <v>887</v>
      </c>
      <c r="C1229" s="114">
        <v>10000</v>
      </c>
      <c r="D1229" s="204">
        <f t="shared" si="67"/>
        <v>0.94285714285712241</v>
      </c>
      <c r="E1229" s="203">
        <f t="shared" si="68"/>
        <v>2.4828009217784997E-3</v>
      </c>
      <c r="F1229" s="203">
        <f t="shared" si="69"/>
        <v>0.69365017362285786</v>
      </c>
    </row>
    <row r="1230" spans="2:6" x14ac:dyDescent="0.2">
      <c r="B1230" s="238">
        <v>908</v>
      </c>
      <c r="C1230" s="205">
        <v>10000</v>
      </c>
      <c r="D1230" s="204">
        <f t="shared" si="67"/>
        <v>0.94362934362932316</v>
      </c>
      <c r="E1230" s="203">
        <f t="shared" si="68"/>
        <v>2.4828009217784997E-3</v>
      </c>
      <c r="F1230" s="203">
        <f t="shared" si="69"/>
        <v>0.69613297454463641</v>
      </c>
    </row>
    <row r="1231" spans="2:6" x14ac:dyDescent="0.2">
      <c r="B1231" s="237">
        <v>917</v>
      </c>
      <c r="C1231" s="114">
        <v>10000</v>
      </c>
      <c r="D1231" s="204">
        <f t="shared" si="67"/>
        <v>0.94440154440152391</v>
      </c>
      <c r="E1231" s="203">
        <f t="shared" si="68"/>
        <v>2.4828009217784997E-3</v>
      </c>
      <c r="F1231" s="203">
        <f t="shared" si="69"/>
        <v>0.69861577546641496</v>
      </c>
    </row>
    <row r="1232" spans="2:6" x14ac:dyDescent="0.2">
      <c r="B1232" s="238">
        <v>957</v>
      </c>
      <c r="C1232" s="205">
        <v>10000</v>
      </c>
      <c r="D1232" s="204">
        <f t="shared" si="67"/>
        <v>0.94517374517372466</v>
      </c>
      <c r="E1232" s="203">
        <f t="shared" si="68"/>
        <v>2.4828009217784997E-3</v>
      </c>
      <c r="F1232" s="203">
        <f t="shared" si="69"/>
        <v>0.70109857638819351</v>
      </c>
    </row>
    <row r="1233" spans="2:6" x14ac:dyDescent="0.2">
      <c r="B1233" s="238">
        <v>960</v>
      </c>
      <c r="C1233" s="205">
        <v>10000</v>
      </c>
      <c r="D1233" s="204">
        <f t="shared" si="67"/>
        <v>0.9459459459459254</v>
      </c>
      <c r="E1233" s="203">
        <f t="shared" si="68"/>
        <v>2.4828009217784997E-3</v>
      </c>
      <c r="F1233" s="203">
        <f t="shared" si="69"/>
        <v>0.70358137730997206</v>
      </c>
    </row>
    <row r="1234" spans="2:6" x14ac:dyDescent="0.2">
      <c r="B1234" s="238">
        <v>988</v>
      </c>
      <c r="C1234" s="205">
        <v>10000</v>
      </c>
      <c r="D1234" s="204">
        <f t="shared" si="67"/>
        <v>0.94671814671812615</v>
      </c>
      <c r="E1234" s="203">
        <f t="shared" si="68"/>
        <v>2.4828009217784997E-3</v>
      </c>
      <c r="F1234" s="203">
        <f t="shared" si="69"/>
        <v>0.70606417823175061</v>
      </c>
    </row>
    <row r="1235" spans="2:6" x14ac:dyDescent="0.2">
      <c r="B1235" s="237">
        <v>1056</v>
      </c>
      <c r="C1235" s="114">
        <v>10000</v>
      </c>
      <c r="D1235" s="204">
        <f t="shared" si="67"/>
        <v>0.9474903474903269</v>
      </c>
      <c r="E1235" s="203">
        <f t="shared" si="68"/>
        <v>2.4828009217784997E-3</v>
      </c>
      <c r="F1235" s="203">
        <f t="shared" si="69"/>
        <v>0.70854697915352916</v>
      </c>
    </row>
    <row r="1236" spans="2:6" x14ac:dyDescent="0.2">
      <c r="B1236" s="238">
        <v>1057</v>
      </c>
      <c r="C1236" s="205">
        <v>10000</v>
      </c>
      <c r="D1236" s="204">
        <f t="shared" si="67"/>
        <v>0.94826254826252765</v>
      </c>
      <c r="E1236" s="203">
        <f t="shared" si="68"/>
        <v>2.4828009217784997E-3</v>
      </c>
      <c r="F1236" s="203">
        <f t="shared" si="69"/>
        <v>0.7110297800753077</v>
      </c>
    </row>
    <row r="1237" spans="2:6" x14ac:dyDescent="0.2">
      <c r="B1237" s="237">
        <v>1083</v>
      </c>
      <c r="C1237" s="114">
        <v>10000</v>
      </c>
      <c r="D1237" s="204">
        <f t="shared" si="67"/>
        <v>0.9490347490347284</v>
      </c>
      <c r="E1237" s="203">
        <f t="shared" si="68"/>
        <v>2.4828009217784997E-3</v>
      </c>
      <c r="F1237" s="203">
        <f t="shared" si="69"/>
        <v>0.71351258099708625</v>
      </c>
    </row>
    <row r="1238" spans="2:6" x14ac:dyDescent="0.2">
      <c r="B1238" s="237">
        <v>1108</v>
      </c>
      <c r="C1238" s="114">
        <v>10000</v>
      </c>
      <c r="D1238" s="204">
        <f t="shared" si="67"/>
        <v>0.94980694980692915</v>
      </c>
      <c r="E1238" s="203">
        <f t="shared" si="68"/>
        <v>2.4828009217784997E-3</v>
      </c>
      <c r="F1238" s="203">
        <f t="shared" si="69"/>
        <v>0.7159953819188648</v>
      </c>
    </row>
    <row r="1239" spans="2:6" x14ac:dyDescent="0.2">
      <c r="B1239" s="237">
        <v>1109</v>
      </c>
      <c r="C1239" s="114">
        <v>10000</v>
      </c>
      <c r="D1239" s="204">
        <f t="shared" si="67"/>
        <v>0.95057915057912989</v>
      </c>
      <c r="E1239" s="203">
        <f t="shared" si="68"/>
        <v>2.4828009217784997E-3</v>
      </c>
      <c r="F1239" s="203">
        <f t="shared" si="69"/>
        <v>0.71847818284064335</v>
      </c>
    </row>
    <row r="1240" spans="2:6" x14ac:dyDescent="0.2">
      <c r="B1240" s="238">
        <v>1135</v>
      </c>
      <c r="C1240" s="205">
        <v>10000</v>
      </c>
      <c r="D1240" s="204">
        <f t="shared" si="67"/>
        <v>0.95135135135133064</v>
      </c>
      <c r="E1240" s="203">
        <f t="shared" si="68"/>
        <v>2.4828009217784997E-3</v>
      </c>
      <c r="F1240" s="203">
        <f t="shared" si="69"/>
        <v>0.7209609837624219</v>
      </c>
    </row>
    <row r="1241" spans="2:6" x14ac:dyDescent="0.2">
      <c r="B1241" s="237">
        <v>1138</v>
      </c>
      <c r="C1241" s="114">
        <v>10000</v>
      </c>
      <c r="D1241" s="204">
        <f t="shared" si="67"/>
        <v>0.95212355212353139</v>
      </c>
      <c r="E1241" s="203">
        <f t="shared" si="68"/>
        <v>2.4828009217784997E-3</v>
      </c>
      <c r="F1241" s="203">
        <f t="shared" si="69"/>
        <v>0.72344378468420045</v>
      </c>
    </row>
    <row r="1242" spans="2:6" x14ac:dyDescent="0.2">
      <c r="B1242" s="238">
        <v>1148</v>
      </c>
      <c r="C1242" s="205">
        <v>10000</v>
      </c>
      <c r="D1242" s="204">
        <f t="shared" si="67"/>
        <v>0.95289575289573214</v>
      </c>
      <c r="E1242" s="203">
        <f t="shared" si="68"/>
        <v>2.4828009217784997E-3</v>
      </c>
      <c r="F1242" s="203">
        <f t="shared" si="69"/>
        <v>0.725926585605979</v>
      </c>
    </row>
    <row r="1243" spans="2:6" x14ac:dyDescent="0.2">
      <c r="B1243" s="237">
        <v>1231</v>
      </c>
      <c r="C1243" s="114">
        <v>10000</v>
      </c>
      <c r="D1243" s="204">
        <f t="shared" si="67"/>
        <v>0.95366795366793289</v>
      </c>
      <c r="E1243" s="203">
        <f t="shared" si="68"/>
        <v>2.4828009217784997E-3</v>
      </c>
      <c r="F1243" s="203">
        <f t="shared" si="69"/>
        <v>0.72840938652775755</v>
      </c>
    </row>
    <row r="1244" spans="2:6" x14ac:dyDescent="0.2">
      <c r="B1244" s="237">
        <v>1260</v>
      </c>
      <c r="C1244" s="114">
        <v>10000</v>
      </c>
      <c r="D1244" s="204">
        <f t="shared" si="67"/>
        <v>0.95444015444013364</v>
      </c>
      <c r="E1244" s="203">
        <f t="shared" si="68"/>
        <v>2.4828009217784997E-3</v>
      </c>
      <c r="F1244" s="203">
        <f t="shared" si="69"/>
        <v>0.7308921874495361</v>
      </c>
    </row>
    <row r="1245" spans="2:6" x14ac:dyDescent="0.2">
      <c r="B1245" s="237">
        <v>1266</v>
      </c>
      <c r="C1245" s="114">
        <v>10000</v>
      </c>
      <c r="D1245" s="204">
        <f t="shared" si="67"/>
        <v>0.95521235521233439</v>
      </c>
      <c r="E1245" s="203">
        <f t="shared" si="68"/>
        <v>2.4828009217784997E-3</v>
      </c>
      <c r="F1245" s="203">
        <f t="shared" si="69"/>
        <v>0.73337498837131465</v>
      </c>
    </row>
    <row r="1246" spans="2:6" x14ac:dyDescent="0.2">
      <c r="B1246" s="238">
        <v>1276</v>
      </c>
      <c r="C1246" s="205">
        <v>10000</v>
      </c>
      <c r="D1246" s="204">
        <f t="shared" si="67"/>
        <v>0.95598455598453513</v>
      </c>
      <c r="E1246" s="203">
        <f t="shared" si="68"/>
        <v>2.4828009217784997E-3</v>
      </c>
      <c r="F1246" s="203">
        <f t="shared" si="69"/>
        <v>0.7358577892930932</v>
      </c>
    </row>
    <row r="1247" spans="2:6" x14ac:dyDescent="0.2">
      <c r="B1247" s="237">
        <v>1282</v>
      </c>
      <c r="C1247" s="114">
        <v>10000</v>
      </c>
      <c r="D1247" s="204">
        <f t="shared" si="67"/>
        <v>0.95675675675673588</v>
      </c>
      <c r="E1247" s="203">
        <f t="shared" si="68"/>
        <v>2.4828009217784997E-3</v>
      </c>
      <c r="F1247" s="203">
        <f t="shared" si="69"/>
        <v>0.73834059021487175</v>
      </c>
    </row>
    <row r="1248" spans="2:6" x14ac:dyDescent="0.2">
      <c r="B1248" s="237">
        <v>1297</v>
      </c>
      <c r="C1248" s="114">
        <v>10000</v>
      </c>
      <c r="D1248" s="204">
        <f t="shared" si="67"/>
        <v>0.95752895752893663</v>
      </c>
      <c r="E1248" s="203">
        <f t="shared" si="68"/>
        <v>2.4828009217784997E-3</v>
      </c>
      <c r="F1248" s="203">
        <f t="shared" si="69"/>
        <v>0.7408233911366503</v>
      </c>
    </row>
    <row r="1249" spans="2:6" x14ac:dyDescent="0.2">
      <c r="B1249" s="237">
        <v>1352</v>
      </c>
      <c r="C1249" s="114">
        <v>10000</v>
      </c>
      <c r="D1249" s="204">
        <f t="shared" si="67"/>
        <v>0.95830115830113738</v>
      </c>
      <c r="E1249" s="203">
        <f t="shared" si="68"/>
        <v>2.4828009217784997E-3</v>
      </c>
      <c r="F1249" s="203">
        <f t="shared" si="69"/>
        <v>0.74330619205842885</v>
      </c>
    </row>
    <row r="1250" spans="2:6" x14ac:dyDescent="0.2">
      <c r="B1250" s="237">
        <v>1393</v>
      </c>
      <c r="C1250" s="114">
        <v>10000</v>
      </c>
      <c r="D1250" s="204">
        <f t="shared" si="67"/>
        <v>0.95907335907333813</v>
      </c>
      <c r="E1250" s="203">
        <f t="shared" si="68"/>
        <v>2.4828009217784997E-3</v>
      </c>
      <c r="F1250" s="203">
        <f t="shared" si="69"/>
        <v>0.7457889929802074</v>
      </c>
    </row>
    <row r="1251" spans="2:6" x14ac:dyDescent="0.2">
      <c r="B1251" s="237">
        <v>1402</v>
      </c>
      <c r="C1251" s="114">
        <v>10000</v>
      </c>
      <c r="D1251" s="204">
        <f t="shared" si="67"/>
        <v>0.95984555984553888</v>
      </c>
      <c r="E1251" s="203">
        <f t="shared" si="68"/>
        <v>2.4828009217784997E-3</v>
      </c>
      <c r="F1251" s="203">
        <f t="shared" si="69"/>
        <v>0.74827179390198595</v>
      </c>
    </row>
    <row r="1252" spans="2:6" x14ac:dyDescent="0.2">
      <c r="B1252" s="237">
        <v>1451</v>
      </c>
      <c r="C1252" s="114">
        <v>10000</v>
      </c>
      <c r="D1252" s="204">
        <f t="shared" si="67"/>
        <v>0.96061776061773962</v>
      </c>
      <c r="E1252" s="203">
        <f t="shared" si="68"/>
        <v>2.4828009217784997E-3</v>
      </c>
      <c r="F1252" s="203">
        <f t="shared" si="69"/>
        <v>0.7507545948237645</v>
      </c>
    </row>
    <row r="1253" spans="2:6" x14ac:dyDescent="0.2">
      <c r="B1253" s="237">
        <v>1467</v>
      </c>
      <c r="C1253" s="114">
        <v>10000</v>
      </c>
      <c r="D1253" s="204">
        <f t="shared" si="67"/>
        <v>0.96138996138994037</v>
      </c>
      <c r="E1253" s="203">
        <f t="shared" si="68"/>
        <v>2.4828009217784997E-3</v>
      </c>
      <c r="F1253" s="203">
        <f t="shared" si="69"/>
        <v>0.75323739574554305</v>
      </c>
    </row>
    <row r="1254" spans="2:6" x14ac:dyDescent="0.2">
      <c r="B1254" s="237">
        <v>1517</v>
      </c>
      <c r="C1254" s="114">
        <v>10000</v>
      </c>
      <c r="D1254" s="204">
        <f t="shared" si="67"/>
        <v>0.96216216216214112</v>
      </c>
      <c r="E1254" s="203">
        <f t="shared" si="68"/>
        <v>2.4828009217784997E-3</v>
      </c>
      <c r="F1254" s="203">
        <f t="shared" si="69"/>
        <v>0.7557201966673216</v>
      </c>
    </row>
    <row r="1255" spans="2:6" x14ac:dyDescent="0.2">
      <c r="B1255" s="238">
        <v>1583</v>
      </c>
      <c r="C1255" s="205">
        <v>10000</v>
      </c>
      <c r="D1255" s="204">
        <f t="shared" si="67"/>
        <v>0.96293436293434187</v>
      </c>
      <c r="E1255" s="203">
        <f t="shared" si="68"/>
        <v>2.4828009217784997E-3</v>
      </c>
      <c r="F1255" s="203">
        <f t="shared" si="69"/>
        <v>0.75820299758910015</v>
      </c>
    </row>
    <row r="1256" spans="2:6" x14ac:dyDescent="0.2">
      <c r="B1256" s="237">
        <v>1618</v>
      </c>
      <c r="C1256" s="114">
        <v>10000</v>
      </c>
      <c r="D1256" s="204">
        <f t="shared" si="67"/>
        <v>0.96370656370654262</v>
      </c>
      <c r="E1256" s="203">
        <f t="shared" si="68"/>
        <v>2.4828009217784997E-3</v>
      </c>
      <c r="F1256" s="203">
        <f t="shared" si="69"/>
        <v>0.7606857985108787</v>
      </c>
    </row>
    <row r="1257" spans="2:6" x14ac:dyDescent="0.2">
      <c r="B1257" s="238">
        <v>1624</v>
      </c>
      <c r="C1257" s="205">
        <v>10000</v>
      </c>
      <c r="D1257" s="204">
        <f t="shared" si="67"/>
        <v>0.96447876447874337</v>
      </c>
      <c r="E1257" s="203">
        <f t="shared" si="68"/>
        <v>2.4828009217784997E-3</v>
      </c>
      <c r="F1257" s="203">
        <f t="shared" si="69"/>
        <v>0.76316859943265725</v>
      </c>
    </row>
    <row r="1258" spans="2:6" x14ac:dyDescent="0.2">
      <c r="B1258" s="238">
        <v>1687</v>
      </c>
      <c r="C1258" s="205">
        <v>10000</v>
      </c>
      <c r="D1258" s="204">
        <f t="shared" si="67"/>
        <v>0.96525096525094412</v>
      </c>
      <c r="E1258" s="203">
        <f t="shared" si="68"/>
        <v>2.4828009217784997E-3</v>
      </c>
      <c r="F1258" s="203">
        <f t="shared" si="69"/>
        <v>0.7656514003544358</v>
      </c>
    </row>
    <row r="1259" spans="2:6" x14ac:dyDescent="0.2">
      <c r="B1259" s="237">
        <v>1694</v>
      </c>
      <c r="C1259" s="114">
        <v>10000</v>
      </c>
      <c r="D1259" s="204">
        <f t="shared" si="67"/>
        <v>0.96602316602314486</v>
      </c>
      <c r="E1259" s="203">
        <f t="shared" si="68"/>
        <v>2.4828009217784997E-3</v>
      </c>
      <c r="F1259" s="203">
        <f t="shared" si="69"/>
        <v>0.76813420127621435</v>
      </c>
    </row>
    <row r="1260" spans="2:6" x14ac:dyDescent="0.2">
      <c r="B1260" s="237">
        <v>1712</v>
      </c>
      <c r="C1260" s="114">
        <v>10000</v>
      </c>
      <c r="D1260" s="204">
        <f t="shared" si="67"/>
        <v>0.96679536679534561</v>
      </c>
      <c r="E1260" s="203">
        <f t="shared" si="68"/>
        <v>2.4828009217784997E-3</v>
      </c>
      <c r="F1260" s="203">
        <f t="shared" si="69"/>
        <v>0.7706170021979929</v>
      </c>
    </row>
    <row r="1261" spans="2:6" x14ac:dyDescent="0.2">
      <c r="B1261" s="238">
        <v>1715</v>
      </c>
      <c r="C1261" s="205">
        <v>10000</v>
      </c>
      <c r="D1261" s="204">
        <f t="shared" si="67"/>
        <v>0.96756756756754636</v>
      </c>
      <c r="E1261" s="203">
        <f t="shared" si="68"/>
        <v>2.4828009217784997E-3</v>
      </c>
      <c r="F1261" s="203">
        <f t="shared" si="69"/>
        <v>0.77309980311977144</v>
      </c>
    </row>
    <row r="1262" spans="2:6" x14ac:dyDescent="0.2">
      <c r="B1262" s="237">
        <v>1849</v>
      </c>
      <c r="C1262" s="114">
        <v>10000</v>
      </c>
      <c r="D1262" s="204">
        <f t="shared" si="67"/>
        <v>0.96833976833974711</v>
      </c>
      <c r="E1262" s="203">
        <f t="shared" si="68"/>
        <v>2.4828009217784997E-3</v>
      </c>
      <c r="F1262" s="203">
        <f t="shared" si="69"/>
        <v>0.77558260404154999</v>
      </c>
    </row>
    <row r="1263" spans="2:6" x14ac:dyDescent="0.2">
      <c r="B1263" s="238">
        <v>1850</v>
      </c>
      <c r="C1263" s="205">
        <v>10000</v>
      </c>
      <c r="D1263" s="204">
        <f t="shared" si="67"/>
        <v>0.96911196911194786</v>
      </c>
      <c r="E1263" s="203">
        <f t="shared" si="68"/>
        <v>2.4828009217784997E-3</v>
      </c>
      <c r="F1263" s="203">
        <f t="shared" si="69"/>
        <v>0.77806540496332854</v>
      </c>
    </row>
    <row r="1264" spans="2:6" x14ac:dyDescent="0.2">
      <c r="B1264" s="237">
        <v>1884</v>
      </c>
      <c r="C1264" s="114">
        <v>10000</v>
      </c>
      <c r="D1264" s="204">
        <f t="shared" si="67"/>
        <v>0.96988416988414861</v>
      </c>
      <c r="E1264" s="203">
        <f t="shared" si="68"/>
        <v>2.4828009217784997E-3</v>
      </c>
      <c r="F1264" s="203">
        <f t="shared" si="69"/>
        <v>0.78054820588510709</v>
      </c>
    </row>
    <row r="1265" spans="2:6" x14ac:dyDescent="0.2">
      <c r="B1265" s="237">
        <v>1904</v>
      </c>
      <c r="C1265" s="114">
        <v>10000</v>
      </c>
      <c r="D1265" s="204">
        <f t="shared" si="67"/>
        <v>0.97065637065634935</v>
      </c>
      <c r="E1265" s="203">
        <f t="shared" si="68"/>
        <v>2.4828009217784997E-3</v>
      </c>
      <c r="F1265" s="203">
        <f t="shared" si="69"/>
        <v>0.78303100680688564</v>
      </c>
    </row>
    <row r="1266" spans="2:6" x14ac:dyDescent="0.2">
      <c r="B1266" s="237">
        <v>1922</v>
      </c>
      <c r="C1266" s="114">
        <v>10000</v>
      </c>
      <c r="D1266" s="204">
        <f t="shared" si="67"/>
        <v>0.9714285714285501</v>
      </c>
      <c r="E1266" s="203">
        <f t="shared" si="68"/>
        <v>2.4828009217784997E-3</v>
      </c>
      <c r="F1266" s="203">
        <f t="shared" si="69"/>
        <v>0.78551380772866419</v>
      </c>
    </row>
    <row r="1267" spans="2:6" x14ac:dyDescent="0.2">
      <c r="B1267" s="237">
        <v>2003</v>
      </c>
      <c r="C1267" s="114">
        <v>10000</v>
      </c>
      <c r="D1267" s="204">
        <f t="shared" si="67"/>
        <v>0.97220077220075085</v>
      </c>
      <c r="E1267" s="203">
        <f t="shared" si="68"/>
        <v>2.4828009217784997E-3</v>
      </c>
      <c r="F1267" s="203">
        <f t="shared" si="69"/>
        <v>0.78799660865044274</v>
      </c>
    </row>
    <row r="1268" spans="2:6" x14ac:dyDescent="0.2">
      <c r="B1268" s="237">
        <v>2024</v>
      </c>
      <c r="C1268" s="114">
        <v>10000</v>
      </c>
      <c r="D1268" s="204">
        <f t="shared" si="67"/>
        <v>0.9729729729729516</v>
      </c>
      <c r="E1268" s="203">
        <f t="shared" si="68"/>
        <v>2.4828009217784997E-3</v>
      </c>
      <c r="F1268" s="203">
        <f t="shared" si="69"/>
        <v>0.79047940957222129</v>
      </c>
    </row>
    <row r="1269" spans="2:6" x14ac:dyDescent="0.2">
      <c r="B1269" s="238">
        <v>2073</v>
      </c>
      <c r="C1269" s="205">
        <v>10000</v>
      </c>
      <c r="D1269" s="204">
        <f t="shared" si="67"/>
        <v>0.97374517374515235</v>
      </c>
      <c r="E1269" s="203">
        <f t="shared" si="68"/>
        <v>2.4828009217784997E-3</v>
      </c>
      <c r="F1269" s="203">
        <f t="shared" si="69"/>
        <v>0.79296221049399984</v>
      </c>
    </row>
    <row r="1270" spans="2:6" x14ac:dyDescent="0.2">
      <c r="B1270" s="237">
        <v>2074</v>
      </c>
      <c r="C1270" s="114">
        <v>10000</v>
      </c>
      <c r="D1270" s="204">
        <f t="shared" si="67"/>
        <v>0.9745173745173531</v>
      </c>
      <c r="E1270" s="203">
        <f t="shared" si="68"/>
        <v>2.4828009217784997E-3</v>
      </c>
      <c r="F1270" s="203">
        <f t="shared" si="69"/>
        <v>0.79544501141577839</v>
      </c>
    </row>
    <row r="1271" spans="2:6" x14ac:dyDescent="0.2">
      <c r="B1271" s="237">
        <v>2118</v>
      </c>
      <c r="C1271" s="114">
        <v>10000</v>
      </c>
      <c r="D1271" s="204">
        <f t="shared" si="67"/>
        <v>0.97528957528955385</v>
      </c>
      <c r="E1271" s="203">
        <f t="shared" si="68"/>
        <v>2.4828009217784997E-3</v>
      </c>
      <c r="F1271" s="203">
        <f t="shared" si="69"/>
        <v>0.79792781233755694</v>
      </c>
    </row>
    <row r="1272" spans="2:6" x14ac:dyDescent="0.2">
      <c r="B1272" s="237">
        <v>2136</v>
      </c>
      <c r="C1272" s="114">
        <v>10000</v>
      </c>
      <c r="D1272" s="204">
        <f t="shared" si="67"/>
        <v>0.97606177606175459</v>
      </c>
      <c r="E1272" s="203">
        <f t="shared" si="68"/>
        <v>2.4828009217784997E-3</v>
      </c>
      <c r="F1272" s="203">
        <f t="shared" si="69"/>
        <v>0.80041061325933549</v>
      </c>
    </row>
    <row r="1273" spans="2:6" x14ac:dyDescent="0.2">
      <c r="B1273" s="238">
        <v>2174</v>
      </c>
      <c r="C1273" s="205">
        <v>10000</v>
      </c>
      <c r="D1273" s="204">
        <f t="shared" si="67"/>
        <v>0.97683397683395534</v>
      </c>
      <c r="E1273" s="203">
        <f t="shared" si="68"/>
        <v>2.4828009217784997E-3</v>
      </c>
      <c r="F1273" s="203">
        <f t="shared" si="69"/>
        <v>0.80289341418111404</v>
      </c>
    </row>
    <row r="1274" spans="2:6" x14ac:dyDescent="0.2">
      <c r="B1274" s="238">
        <v>2176</v>
      </c>
      <c r="C1274" s="205">
        <v>10000</v>
      </c>
      <c r="D1274" s="204">
        <f t="shared" si="67"/>
        <v>0.97760617760615609</v>
      </c>
      <c r="E1274" s="203">
        <f t="shared" si="68"/>
        <v>2.4828009217784997E-3</v>
      </c>
      <c r="F1274" s="203">
        <f t="shared" si="69"/>
        <v>0.80537621510289259</v>
      </c>
    </row>
    <row r="1275" spans="2:6" x14ac:dyDescent="0.2">
      <c r="B1275" s="237">
        <v>2225</v>
      </c>
      <c r="C1275" s="114">
        <v>10000</v>
      </c>
      <c r="D1275" s="204">
        <f t="shared" si="67"/>
        <v>0.97837837837835684</v>
      </c>
      <c r="E1275" s="203">
        <f t="shared" si="68"/>
        <v>2.4828009217784997E-3</v>
      </c>
      <c r="F1275" s="203">
        <f t="shared" si="69"/>
        <v>0.80785901602467114</v>
      </c>
    </row>
    <row r="1276" spans="2:6" x14ac:dyDescent="0.2">
      <c r="B1276" s="238">
        <v>2254</v>
      </c>
      <c r="C1276" s="205">
        <v>10000</v>
      </c>
      <c r="D1276" s="204">
        <f t="shared" si="67"/>
        <v>0.97915057915055759</v>
      </c>
      <c r="E1276" s="203">
        <f t="shared" si="68"/>
        <v>2.4828009217784997E-3</v>
      </c>
      <c r="F1276" s="203">
        <f t="shared" si="69"/>
        <v>0.81034181694644969</v>
      </c>
    </row>
    <row r="1277" spans="2:6" x14ac:dyDescent="0.2">
      <c r="B1277" s="237">
        <v>120</v>
      </c>
      <c r="C1277" s="114">
        <v>10200</v>
      </c>
      <c r="D1277" s="204">
        <f t="shared" si="67"/>
        <v>0.97992277992275834</v>
      </c>
      <c r="E1277" s="203">
        <f t="shared" si="68"/>
        <v>2.5324569402140696E-3</v>
      </c>
      <c r="F1277" s="203">
        <f t="shared" si="69"/>
        <v>0.81287427388666378</v>
      </c>
    </row>
    <row r="1278" spans="2:6" x14ac:dyDescent="0.2">
      <c r="B1278" s="237">
        <v>89</v>
      </c>
      <c r="C1278" s="114">
        <v>10800</v>
      </c>
      <c r="D1278" s="204">
        <f t="shared" si="67"/>
        <v>0.98069498069495908</v>
      </c>
      <c r="E1278" s="203">
        <f t="shared" si="68"/>
        <v>2.6814249955207795E-3</v>
      </c>
      <c r="F1278" s="203">
        <f t="shared" si="69"/>
        <v>0.8155556988821846</v>
      </c>
    </row>
    <row r="1279" spans="2:6" x14ac:dyDescent="0.2">
      <c r="B1279" s="238">
        <v>148</v>
      </c>
      <c r="C1279" s="205">
        <v>11000</v>
      </c>
      <c r="D1279" s="204">
        <f t="shared" si="67"/>
        <v>0.98146718146715983</v>
      </c>
      <c r="E1279" s="203">
        <f t="shared" si="68"/>
        <v>2.7310810139563498E-3</v>
      </c>
      <c r="F1279" s="203">
        <f t="shared" si="69"/>
        <v>0.81828677989614096</v>
      </c>
    </row>
    <row r="1280" spans="2:6" x14ac:dyDescent="0.2">
      <c r="B1280" s="237">
        <v>219</v>
      </c>
      <c r="C1280" s="114">
        <v>11610</v>
      </c>
      <c r="D1280" s="204">
        <f t="shared" si="67"/>
        <v>0.98223938223936058</v>
      </c>
      <c r="E1280" s="203">
        <f t="shared" si="68"/>
        <v>2.8825318701848381E-3</v>
      </c>
      <c r="F1280" s="203">
        <f t="shared" si="69"/>
        <v>0.82116931176632579</v>
      </c>
    </row>
    <row r="1281" spans="2:6" x14ac:dyDescent="0.2">
      <c r="B1281" s="238">
        <v>1374</v>
      </c>
      <c r="C1281" s="205">
        <v>12120</v>
      </c>
      <c r="D1281" s="204">
        <f t="shared" si="67"/>
        <v>0.98301158301156133</v>
      </c>
      <c r="E1281" s="203">
        <f t="shared" si="68"/>
        <v>3.0091547171955417E-3</v>
      </c>
      <c r="F1281" s="203">
        <f t="shared" si="69"/>
        <v>0.82417846648352133</v>
      </c>
    </row>
    <row r="1282" spans="2:6" x14ac:dyDescent="0.2">
      <c r="B1282" s="237">
        <v>2281</v>
      </c>
      <c r="C1282" s="114">
        <v>14286</v>
      </c>
      <c r="D1282" s="204">
        <f t="shared" si="67"/>
        <v>0.98378378378376208</v>
      </c>
      <c r="E1282" s="203">
        <f t="shared" si="68"/>
        <v>3.5469293968527645E-3</v>
      </c>
      <c r="F1282" s="203">
        <f t="shared" si="69"/>
        <v>0.82772539588037408</v>
      </c>
    </row>
    <row r="1283" spans="2:6" x14ac:dyDescent="0.2">
      <c r="B1283" s="238">
        <v>1858</v>
      </c>
      <c r="C1283" s="205">
        <v>17000</v>
      </c>
      <c r="D1283" s="204">
        <f t="shared" si="67"/>
        <v>0.98455598455596283</v>
      </c>
      <c r="E1283" s="203">
        <f t="shared" si="68"/>
        <v>4.220761567023449E-3</v>
      </c>
      <c r="F1283" s="203">
        <f t="shared" si="69"/>
        <v>0.83194615744739753</v>
      </c>
    </row>
    <row r="1284" spans="2:6" x14ac:dyDescent="0.2">
      <c r="B1284" s="237">
        <v>2259</v>
      </c>
      <c r="C1284" s="114">
        <v>17000</v>
      </c>
      <c r="D1284" s="204">
        <f t="shared" si="67"/>
        <v>0.98532818532816357</v>
      </c>
      <c r="E1284" s="203">
        <f t="shared" si="68"/>
        <v>4.220761567023449E-3</v>
      </c>
      <c r="F1284" s="203">
        <f t="shared" si="69"/>
        <v>0.83616691901442097</v>
      </c>
    </row>
    <row r="1285" spans="2:6" x14ac:dyDescent="0.2">
      <c r="B1285" s="237">
        <v>128</v>
      </c>
      <c r="C1285" s="114">
        <v>17172</v>
      </c>
      <c r="D1285" s="204">
        <f t="shared" si="67"/>
        <v>0.98610038610036432</v>
      </c>
      <c r="E1285" s="203">
        <f t="shared" si="68"/>
        <v>4.2634657428780396E-3</v>
      </c>
      <c r="F1285" s="203">
        <f t="shared" si="69"/>
        <v>0.84043038475729903</v>
      </c>
    </row>
    <row r="1286" spans="2:6" x14ac:dyDescent="0.2">
      <c r="B1286" s="237">
        <v>687</v>
      </c>
      <c r="C1286" s="114">
        <v>20000</v>
      </c>
      <c r="D1286" s="204">
        <f t="shared" si="67"/>
        <v>0.98687258687256507</v>
      </c>
      <c r="E1286" s="203">
        <f t="shared" si="68"/>
        <v>4.9656018435569995E-3</v>
      </c>
      <c r="F1286" s="203">
        <f t="shared" si="69"/>
        <v>0.84539598660085602</v>
      </c>
    </row>
    <row r="1287" spans="2:6" x14ac:dyDescent="0.2">
      <c r="B1287" s="237">
        <v>1041</v>
      </c>
      <c r="C1287" s="114">
        <v>20000</v>
      </c>
      <c r="D1287" s="204">
        <f t="shared" si="67"/>
        <v>0.98764478764476582</v>
      </c>
      <c r="E1287" s="203">
        <f t="shared" si="68"/>
        <v>4.9656018435569995E-3</v>
      </c>
      <c r="F1287" s="203">
        <f t="shared" si="69"/>
        <v>0.85036158844441301</v>
      </c>
    </row>
    <row r="1288" spans="2:6" x14ac:dyDescent="0.2">
      <c r="B1288" s="238">
        <v>1267</v>
      </c>
      <c r="C1288" s="205">
        <v>20000</v>
      </c>
      <c r="D1288" s="204">
        <f t="shared" si="67"/>
        <v>0.98841698841696657</v>
      </c>
      <c r="E1288" s="203">
        <f t="shared" si="68"/>
        <v>4.9656018435569995E-3</v>
      </c>
      <c r="F1288" s="203">
        <f t="shared" si="69"/>
        <v>0.85532719028797</v>
      </c>
    </row>
    <row r="1289" spans="2:6" x14ac:dyDescent="0.2">
      <c r="B1289" s="237">
        <v>1714</v>
      </c>
      <c r="C1289" s="114">
        <v>20000</v>
      </c>
      <c r="D1289" s="204">
        <f t="shared" ref="D1289:D1303" si="70">D1288+1/$L$18</f>
        <v>0.98918918918916732</v>
      </c>
      <c r="E1289" s="203">
        <f t="shared" ref="E1289:E1303" si="71">C1289/$O$18</f>
        <v>4.9656018435569995E-3</v>
      </c>
      <c r="F1289" s="203">
        <f t="shared" ref="F1289:F1303" si="72">F1288+E1289</f>
        <v>0.86029279213152698</v>
      </c>
    </row>
    <row r="1290" spans="2:6" x14ac:dyDescent="0.2">
      <c r="B1290" s="238">
        <v>1835</v>
      </c>
      <c r="C1290" s="205">
        <v>20000</v>
      </c>
      <c r="D1290" s="204">
        <f t="shared" si="70"/>
        <v>0.98996138996136807</v>
      </c>
      <c r="E1290" s="203">
        <f t="shared" si="71"/>
        <v>4.9656018435569995E-3</v>
      </c>
      <c r="F1290" s="203">
        <f t="shared" si="72"/>
        <v>0.86525839397508397</v>
      </c>
    </row>
    <row r="1291" spans="2:6" x14ac:dyDescent="0.2">
      <c r="B1291" s="237">
        <v>1874</v>
      </c>
      <c r="C1291" s="114">
        <v>20000</v>
      </c>
      <c r="D1291" s="204">
        <f t="shared" si="70"/>
        <v>0.99073359073356881</v>
      </c>
      <c r="E1291" s="203">
        <f t="shared" si="71"/>
        <v>4.9656018435569995E-3</v>
      </c>
      <c r="F1291" s="203">
        <f t="shared" si="72"/>
        <v>0.87022399581864096</v>
      </c>
    </row>
    <row r="1292" spans="2:6" x14ac:dyDescent="0.2">
      <c r="B1292" s="238">
        <v>1878</v>
      </c>
      <c r="C1292" s="205">
        <v>20000</v>
      </c>
      <c r="D1292" s="204">
        <f t="shared" si="70"/>
        <v>0.99150579150576956</v>
      </c>
      <c r="E1292" s="203">
        <f t="shared" si="71"/>
        <v>4.9656018435569995E-3</v>
      </c>
      <c r="F1292" s="203">
        <f t="shared" si="72"/>
        <v>0.87518959766219795</v>
      </c>
    </row>
    <row r="1293" spans="2:6" x14ac:dyDescent="0.2">
      <c r="B1293" s="237">
        <v>1891</v>
      </c>
      <c r="C1293" s="114">
        <v>20000</v>
      </c>
      <c r="D1293" s="204">
        <f t="shared" si="70"/>
        <v>0.99227799227797031</v>
      </c>
      <c r="E1293" s="203">
        <f t="shared" si="71"/>
        <v>4.9656018435569995E-3</v>
      </c>
      <c r="F1293" s="203">
        <f t="shared" si="72"/>
        <v>0.88015519950575494</v>
      </c>
    </row>
    <row r="1294" spans="2:6" x14ac:dyDescent="0.2">
      <c r="B1294" s="238">
        <v>2005</v>
      </c>
      <c r="C1294" s="205">
        <v>20000</v>
      </c>
      <c r="D1294" s="204">
        <f t="shared" si="70"/>
        <v>0.99305019305017106</v>
      </c>
      <c r="E1294" s="203">
        <f t="shared" si="71"/>
        <v>4.9656018435569995E-3</v>
      </c>
      <c r="F1294" s="203">
        <f t="shared" si="72"/>
        <v>0.88512080134931193</v>
      </c>
    </row>
    <row r="1295" spans="2:6" x14ac:dyDescent="0.2">
      <c r="B1295" s="237">
        <v>2233</v>
      </c>
      <c r="C1295" s="114">
        <v>20000</v>
      </c>
      <c r="D1295" s="204">
        <f t="shared" si="70"/>
        <v>0.99382239382237181</v>
      </c>
      <c r="E1295" s="203">
        <f t="shared" si="71"/>
        <v>4.9656018435569995E-3</v>
      </c>
      <c r="F1295" s="203">
        <f t="shared" si="72"/>
        <v>0.89008640319286891</v>
      </c>
    </row>
    <row r="1296" spans="2:6" x14ac:dyDescent="0.2">
      <c r="B1296" s="237">
        <v>2265</v>
      </c>
      <c r="C1296" s="114">
        <v>20000</v>
      </c>
      <c r="D1296" s="204">
        <f t="shared" si="70"/>
        <v>0.99459459459457256</v>
      </c>
      <c r="E1296" s="203">
        <f t="shared" si="71"/>
        <v>4.9656018435569995E-3</v>
      </c>
      <c r="F1296" s="203">
        <f t="shared" si="72"/>
        <v>0.8950520050364259</v>
      </c>
    </row>
    <row r="1297" spans="2:6" x14ac:dyDescent="0.2">
      <c r="B1297" s="237">
        <v>1744</v>
      </c>
      <c r="C1297" s="114">
        <v>24200</v>
      </c>
      <c r="D1297" s="204">
        <f t="shared" si="70"/>
        <v>0.9953667953667733</v>
      </c>
      <c r="E1297" s="203">
        <f t="shared" si="71"/>
        <v>6.0083782307039689E-3</v>
      </c>
      <c r="F1297" s="203">
        <f t="shared" si="72"/>
        <v>0.90106038326712989</v>
      </c>
    </row>
    <row r="1298" spans="2:6" x14ac:dyDescent="0.2">
      <c r="B1298" s="237">
        <v>342</v>
      </c>
      <c r="C1298" s="114">
        <v>27000</v>
      </c>
      <c r="D1298" s="204">
        <f t="shared" si="70"/>
        <v>0.99613899613897405</v>
      </c>
      <c r="E1298" s="203">
        <f t="shared" si="71"/>
        <v>6.7035624888019492E-3</v>
      </c>
      <c r="F1298" s="203">
        <f t="shared" si="72"/>
        <v>0.90776394575593189</v>
      </c>
    </row>
    <row r="1299" spans="2:6" x14ac:dyDescent="0.2">
      <c r="B1299" s="237">
        <v>2226</v>
      </c>
      <c r="C1299" s="114">
        <v>31500</v>
      </c>
      <c r="D1299" s="204">
        <f t="shared" si="70"/>
        <v>0.9969111969111748</v>
      </c>
      <c r="E1299" s="203">
        <f t="shared" si="71"/>
        <v>7.8208229036022744E-3</v>
      </c>
      <c r="F1299" s="203">
        <f t="shared" si="72"/>
        <v>0.9155847686595342</v>
      </c>
    </row>
    <row r="1300" spans="2:6" x14ac:dyDescent="0.2">
      <c r="B1300" s="238">
        <v>1396</v>
      </c>
      <c r="C1300" s="205">
        <v>40000</v>
      </c>
      <c r="D1300" s="204">
        <f t="shared" si="70"/>
        <v>0.99768339768337555</v>
      </c>
      <c r="E1300" s="203">
        <f t="shared" si="71"/>
        <v>9.9312036871139989E-3</v>
      </c>
      <c r="F1300" s="203">
        <f t="shared" si="72"/>
        <v>0.92551597234664817</v>
      </c>
    </row>
    <row r="1301" spans="2:6" x14ac:dyDescent="0.2">
      <c r="B1301" s="237">
        <v>2154</v>
      </c>
      <c r="C1301" s="114">
        <v>40000</v>
      </c>
      <c r="D1301" s="204">
        <f t="shared" si="70"/>
        <v>0.9984555984555763</v>
      </c>
      <c r="E1301" s="203">
        <f t="shared" si="71"/>
        <v>9.9312036871139989E-3</v>
      </c>
      <c r="F1301" s="203">
        <f t="shared" si="72"/>
        <v>0.93544717603376215</v>
      </c>
    </row>
    <row r="1302" spans="2:6" x14ac:dyDescent="0.2">
      <c r="B1302" s="237">
        <v>1254</v>
      </c>
      <c r="C1302" s="114">
        <v>60000</v>
      </c>
      <c r="D1302" s="204">
        <f t="shared" si="70"/>
        <v>0.99922779922777705</v>
      </c>
      <c r="E1302" s="203">
        <f t="shared" si="71"/>
        <v>1.4896805530670998E-2</v>
      </c>
      <c r="F1302" s="203">
        <f t="shared" si="72"/>
        <v>0.95034398156443312</v>
      </c>
    </row>
    <row r="1303" spans="2:6" x14ac:dyDescent="0.2">
      <c r="B1303" s="238">
        <v>796</v>
      </c>
      <c r="C1303" s="205">
        <v>200000</v>
      </c>
      <c r="D1303" s="204">
        <f t="shared" si="70"/>
        <v>0.9999999999999778</v>
      </c>
      <c r="E1303" s="203">
        <f t="shared" si="71"/>
        <v>4.9656018435569993E-2</v>
      </c>
      <c r="F1303" s="203">
        <f t="shared" si="72"/>
        <v>1.0000000000000031</v>
      </c>
    </row>
  </sheetData>
  <mergeCells count="5">
    <mergeCell ref="B2:Q2"/>
    <mergeCell ref="B4:Q4"/>
    <mergeCell ref="J7:K7"/>
    <mergeCell ref="J18:K18"/>
    <mergeCell ref="I48:K5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525B-2154-44F1-B90A-22289E7BEC3C}">
  <sheetPr>
    <tabColor theme="0" tint="-0.499984740745262"/>
  </sheetPr>
  <dimension ref="B1:T32"/>
  <sheetViews>
    <sheetView zoomScaleNormal="100" workbookViewId="0"/>
  </sheetViews>
  <sheetFormatPr defaultRowHeight="13.5" customHeight="1" x14ac:dyDescent="0.2"/>
  <cols>
    <col min="1" max="1" width="2.5703125" customWidth="1"/>
  </cols>
  <sheetData>
    <row r="1" spans="2:20" ht="13.5" customHeight="1" thickBot="1" x14ac:dyDescent="0.25"/>
    <row r="2" spans="2:20" ht="42" customHeight="1" thickBot="1" x14ac:dyDescent="0.25">
      <c r="B2" s="291" t="s">
        <v>3278</v>
      </c>
      <c r="C2" s="292"/>
      <c r="D2" s="292"/>
      <c r="E2" s="292"/>
      <c r="F2" s="292"/>
      <c r="G2" s="292"/>
      <c r="H2" s="292"/>
      <c r="I2" s="292"/>
      <c r="J2" s="293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6" customHeight="1" thickBot="1" x14ac:dyDescent="0.25"/>
    <row r="4" spans="2:20" ht="13.5" customHeight="1" thickBot="1" x14ac:dyDescent="0.25">
      <c r="B4" s="291" t="s">
        <v>3202</v>
      </c>
      <c r="C4" s="292"/>
      <c r="D4" s="292"/>
      <c r="E4" s="292"/>
      <c r="F4" s="292"/>
      <c r="G4" s="292"/>
      <c r="H4" s="292"/>
      <c r="I4" s="292"/>
      <c r="J4" s="293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s="1" customFormat="1" ht="13.5" customHeight="1" thickBot="1" x14ac:dyDescent="0.25">
      <c r="B5" s="2"/>
      <c r="C5" s="2"/>
      <c r="D5" s="2"/>
      <c r="E5" s="2"/>
      <c r="F5" s="2"/>
      <c r="G5" s="2"/>
      <c r="H5" s="2"/>
      <c r="I5" s="2"/>
      <c r="J5" s="2"/>
    </row>
    <row r="6" spans="2:20" s="8" customFormat="1" ht="13.5" customHeight="1" thickBot="1" x14ac:dyDescent="0.25"/>
    <row r="7" spans="2:20" ht="13.5" customHeight="1" thickBot="1" x14ac:dyDescent="0.25">
      <c r="B7" s="233">
        <v>2014</v>
      </c>
      <c r="C7" s="232">
        <v>2017</v>
      </c>
      <c r="D7" s="231">
        <v>2020</v>
      </c>
    </row>
    <row r="8" spans="2:20" ht="13.5" customHeight="1" x14ac:dyDescent="0.2">
      <c r="B8" s="230">
        <v>1.7</v>
      </c>
      <c r="C8" s="230">
        <v>1</v>
      </c>
      <c r="D8" s="230">
        <v>1.2</v>
      </c>
    </row>
    <row r="9" spans="2:20" ht="13.5" customHeight="1" x14ac:dyDescent="0.2">
      <c r="B9" s="229">
        <v>1.8</v>
      </c>
      <c r="C9" s="229">
        <v>1.4</v>
      </c>
      <c r="D9" s="229">
        <v>1.6</v>
      </c>
    </row>
    <row r="10" spans="2:20" ht="13.5" customHeight="1" x14ac:dyDescent="0.2">
      <c r="B10" s="229">
        <v>2.2000000000000002</v>
      </c>
      <c r="C10" s="229">
        <v>1.7</v>
      </c>
      <c r="D10" s="229">
        <v>2</v>
      </c>
      <c r="G10" s="5"/>
      <c r="H10" s="5"/>
    </row>
    <row r="11" spans="2:20" ht="13.5" customHeight="1" x14ac:dyDescent="0.2">
      <c r="B11" s="229">
        <v>2.4</v>
      </c>
      <c r="C11" s="229">
        <v>2.2999999999999998</v>
      </c>
      <c r="D11" s="229">
        <v>2.1</v>
      </c>
    </row>
    <row r="12" spans="2:20" ht="13.5" customHeight="1" x14ac:dyDescent="0.2">
      <c r="B12" s="229">
        <v>9.8000000000000007</v>
      </c>
      <c r="C12" s="229">
        <v>9.5</v>
      </c>
      <c r="D12" s="229">
        <v>12.1</v>
      </c>
    </row>
    <row r="13" spans="2:20" ht="13.5" customHeight="1" x14ac:dyDescent="0.2">
      <c r="B13" s="229">
        <v>3</v>
      </c>
      <c r="C13" s="229">
        <v>2.4</v>
      </c>
      <c r="D13" s="229">
        <v>2.4</v>
      </c>
    </row>
    <row r="14" spans="2:20" ht="13.5" customHeight="1" x14ac:dyDescent="0.2">
      <c r="B14" s="229">
        <v>3.3</v>
      </c>
      <c r="C14" s="229">
        <v>2.9</v>
      </c>
      <c r="D14" s="229">
        <v>3.1</v>
      </c>
    </row>
    <row r="15" spans="2:20" ht="13.5" customHeight="1" x14ac:dyDescent="0.2">
      <c r="B15" s="229">
        <v>4.2</v>
      </c>
      <c r="C15" s="229">
        <v>4.0999999999999996</v>
      </c>
      <c r="D15" s="229">
        <v>4.3</v>
      </c>
    </row>
    <row r="16" spans="2:20" ht="13.5" customHeight="1" x14ac:dyDescent="0.2">
      <c r="B16" s="229">
        <v>6.2</v>
      </c>
      <c r="C16" s="229">
        <v>5.7</v>
      </c>
      <c r="D16" s="229">
        <v>5.4</v>
      </c>
    </row>
    <row r="17" spans="2:16" ht="13.5" customHeight="1" thickBot="1" x14ac:dyDescent="0.25">
      <c r="B17" s="228">
        <v>65.400000000000006</v>
      </c>
      <c r="C17" s="228">
        <v>69</v>
      </c>
      <c r="D17" s="228">
        <v>65.8</v>
      </c>
    </row>
    <row r="18" spans="2:16" ht="13.5" customHeight="1" thickBot="1" x14ac:dyDescent="0.25">
      <c r="B18" s="55">
        <f>SUM(B8:B17)</f>
        <v>100</v>
      </c>
      <c r="C18" s="55">
        <f>SUM(C8:C17)</f>
        <v>100</v>
      </c>
      <c r="D18" s="55">
        <f>SUM(D8:D17)</f>
        <v>100</v>
      </c>
    </row>
    <row r="19" spans="2:16" ht="13.5" customHeight="1" thickBot="1" x14ac:dyDescent="0.25"/>
    <row r="20" spans="2:16" ht="13.5" customHeight="1" x14ac:dyDescent="0.2">
      <c r="B20" s="288" t="s">
        <v>3201</v>
      </c>
      <c r="C20" s="289"/>
      <c r="D20" s="289"/>
      <c r="E20" s="290"/>
    </row>
    <row r="21" spans="2:16" ht="13.5" customHeight="1" thickBot="1" x14ac:dyDescent="0.25">
      <c r="B21" s="54" t="s">
        <v>3200</v>
      </c>
      <c r="C21" s="21">
        <v>2014</v>
      </c>
      <c r="D21" s="21">
        <v>2017</v>
      </c>
      <c r="E21" s="7">
        <v>2020</v>
      </c>
    </row>
    <row r="22" spans="2:16" ht="13.5" customHeight="1" x14ac:dyDescent="0.2">
      <c r="B22" s="53">
        <v>0</v>
      </c>
      <c r="C22" s="52">
        <v>0</v>
      </c>
      <c r="D22" s="52">
        <v>0</v>
      </c>
      <c r="E22" s="52">
        <v>0</v>
      </c>
    </row>
    <row r="23" spans="2:16" ht="13.5" customHeight="1" x14ac:dyDescent="0.2">
      <c r="B23" s="51">
        <f t="shared" ref="B23:B32" si="0">B22+10</f>
        <v>10</v>
      </c>
      <c r="C23" s="50">
        <f>B8</f>
        <v>1.7</v>
      </c>
      <c r="D23" s="50">
        <f>C8</f>
        <v>1</v>
      </c>
      <c r="E23" s="50">
        <f>D8</f>
        <v>1.2</v>
      </c>
    </row>
    <row r="24" spans="2:16" ht="13.5" customHeight="1" x14ac:dyDescent="0.2">
      <c r="B24" s="51">
        <f t="shared" si="0"/>
        <v>20</v>
      </c>
      <c r="C24" s="50">
        <f t="shared" ref="C24:C32" si="1">C23+B9</f>
        <v>3.5</v>
      </c>
      <c r="D24" s="50">
        <f t="shared" ref="D24:D32" si="2">D23+C9</f>
        <v>2.4</v>
      </c>
      <c r="E24" s="50">
        <f t="shared" ref="E24:E32" si="3">E23+D9</f>
        <v>2.8</v>
      </c>
    </row>
    <row r="25" spans="2:16" ht="13.5" customHeight="1" x14ac:dyDescent="0.2">
      <c r="B25" s="51">
        <f t="shared" si="0"/>
        <v>30</v>
      </c>
      <c r="C25" s="50">
        <f t="shared" si="1"/>
        <v>5.7</v>
      </c>
      <c r="D25" s="50">
        <f t="shared" si="2"/>
        <v>4.0999999999999996</v>
      </c>
      <c r="E25" s="50">
        <f t="shared" si="3"/>
        <v>4.8</v>
      </c>
    </row>
    <row r="26" spans="2:16" ht="13.5" customHeight="1" x14ac:dyDescent="0.2">
      <c r="B26" s="51">
        <f t="shared" si="0"/>
        <v>40</v>
      </c>
      <c r="C26" s="50">
        <f t="shared" si="1"/>
        <v>8.1</v>
      </c>
      <c r="D26" s="50">
        <f t="shared" si="2"/>
        <v>6.3999999999999995</v>
      </c>
      <c r="E26" s="50">
        <f t="shared" si="3"/>
        <v>6.9</v>
      </c>
    </row>
    <row r="27" spans="2:16" ht="13.5" customHeight="1" x14ac:dyDescent="0.2">
      <c r="B27" s="51">
        <f t="shared" si="0"/>
        <v>50</v>
      </c>
      <c r="C27" s="50">
        <f t="shared" si="1"/>
        <v>17.899999999999999</v>
      </c>
      <c r="D27" s="50">
        <f t="shared" si="2"/>
        <v>15.899999999999999</v>
      </c>
      <c r="E27" s="50">
        <f t="shared" si="3"/>
        <v>19</v>
      </c>
    </row>
    <row r="28" spans="2:16" ht="13.5" customHeight="1" x14ac:dyDescent="0.2">
      <c r="B28" s="51">
        <f t="shared" si="0"/>
        <v>60</v>
      </c>
      <c r="C28" s="50">
        <f t="shared" si="1"/>
        <v>20.9</v>
      </c>
      <c r="D28" s="50">
        <f t="shared" si="2"/>
        <v>18.299999999999997</v>
      </c>
      <c r="E28" s="50">
        <f t="shared" si="3"/>
        <v>21.4</v>
      </c>
    </row>
    <row r="29" spans="2:16" ht="13.5" customHeight="1" x14ac:dyDescent="0.2">
      <c r="B29" s="51">
        <f t="shared" si="0"/>
        <v>70</v>
      </c>
      <c r="C29" s="50">
        <f t="shared" si="1"/>
        <v>24.2</v>
      </c>
      <c r="D29" s="50">
        <f t="shared" si="2"/>
        <v>21.199999999999996</v>
      </c>
      <c r="E29" s="50">
        <f t="shared" si="3"/>
        <v>24.5</v>
      </c>
    </row>
    <row r="30" spans="2:16" ht="13.5" customHeight="1" x14ac:dyDescent="0.25">
      <c r="B30" s="51">
        <f t="shared" si="0"/>
        <v>80</v>
      </c>
      <c r="C30" s="50">
        <f t="shared" si="1"/>
        <v>28.4</v>
      </c>
      <c r="D30" s="50">
        <f t="shared" si="2"/>
        <v>25.299999999999997</v>
      </c>
      <c r="E30" s="50">
        <f t="shared" si="3"/>
        <v>28.8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2:16" ht="13.5" customHeight="1" x14ac:dyDescent="0.25">
      <c r="B31" s="51">
        <f t="shared" si="0"/>
        <v>90</v>
      </c>
      <c r="C31" s="50">
        <f t="shared" si="1"/>
        <v>34.6</v>
      </c>
      <c r="D31" s="50">
        <f t="shared" si="2"/>
        <v>30.999999999999996</v>
      </c>
      <c r="E31" s="50">
        <f t="shared" si="3"/>
        <v>34.200000000000003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3.5" customHeight="1" x14ac:dyDescent="0.25">
      <c r="B32" s="51">
        <f t="shared" si="0"/>
        <v>100</v>
      </c>
      <c r="C32" s="50">
        <f t="shared" si="1"/>
        <v>100</v>
      </c>
      <c r="D32" s="50">
        <f t="shared" si="2"/>
        <v>100</v>
      </c>
      <c r="E32" s="50">
        <f t="shared" si="3"/>
        <v>100</v>
      </c>
      <c r="F32" s="49"/>
    </row>
  </sheetData>
  <mergeCells count="3">
    <mergeCell ref="B20:E20"/>
    <mergeCell ref="B2:J2"/>
    <mergeCell ref="B4:J4"/>
  </mergeCells>
  <pageMargins left="0.75" right="0.75" top="1" bottom="1" header="0.5" footer="0.5"/>
  <pageSetup scale="74"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23"/>
  </sheetPr>
  <dimension ref="A1:T68"/>
  <sheetViews>
    <sheetView zoomScaleNormal="100" workbookViewId="0"/>
  </sheetViews>
  <sheetFormatPr defaultColWidth="9.140625" defaultRowHeight="13.5" customHeight="1" x14ac:dyDescent="0.25"/>
  <cols>
    <col min="1" max="1" width="2.5703125" style="59" customWidth="1"/>
    <col min="2" max="4" width="17.28515625" style="59" customWidth="1"/>
    <col min="5" max="5" width="8.85546875" style="59" customWidth="1"/>
    <col min="6" max="8" width="17.28515625" style="59" customWidth="1"/>
    <col min="9" max="9" width="9.140625" style="59"/>
    <col min="10" max="10" width="20.7109375" style="59" customWidth="1"/>
    <col min="11" max="12" width="14.7109375" style="59" customWidth="1"/>
    <col min="13" max="13" width="9.5703125" style="59" bestFit="1" customWidth="1"/>
    <col min="14" max="15" width="9.140625" style="59"/>
    <col min="16" max="16" width="13.42578125" style="59" customWidth="1"/>
    <col min="17" max="17" width="10.28515625" style="59" customWidth="1"/>
    <col min="18" max="19" width="11.140625" style="59" customWidth="1"/>
    <col min="20" max="20" width="15.7109375" style="59" customWidth="1"/>
    <col min="21" max="21" width="14.140625" style="59" customWidth="1"/>
    <col min="22" max="22" width="11.85546875" style="59" customWidth="1"/>
    <col min="23" max="16384" width="9.140625" style="59"/>
  </cols>
  <sheetData>
    <row r="1" spans="2:20" ht="13.5" customHeight="1" thickBot="1" x14ac:dyDescent="0.3"/>
    <row r="2" spans="2:20" customFormat="1" ht="27" customHeight="1" thickBot="1" x14ac:dyDescent="0.25">
      <c r="B2" s="298" t="s">
        <v>3228</v>
      </c>
      <c r="C2" s="299"/>
      <c r="D2" s="299"/>
      <c r="E2" s="299"/>
      <c r="F2" s="299"/>
      <c r="G2" s="299"/>
      <c r="H2" s="300"/>
      <c r="I2" s="89"/>
      <c r="J2" s="89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customFormat="1" ht="13.5" customHeight="1" thickBot="1" x14ac:dyDescent="0.25"/>
    <row r="4" spans="2:20" ht="13.5" customHeight="1" thickBot="1" x14ac:dyDescent="0.3">
      <c r="B4" s="83" t="s">
        <v>3224</v>
      </c>
      <c r="C4" s="95" t="s">
        <v>3207</v>
      </c>
      <c r="D4" s="94" t="s">
        <v>3206</v>
      </c>
    </row>
    <row r="5" spans="2:20" ht="13.5" customHeight="1" x14ac:dyDescent="0.25">
      <c r="B5" s="78" t="s">
        <v>3221</v>
      </c>
      <c r="C5" s="93">
        <v>232283</v>
      </c>
      <c r="D5" s="93">
        <v>173969</v>
      </c>
    </row>
    <row r="6" spans="2:20" ht="13.5" customHeight="1" x14ac:dyDescent="0.25">
      <c r="B6" s="71" t="s">
        <v>3220</v>
      </c>
      <c r="C6" s="92">
        <v>116218</v>
      </c>
      <c r="D6" s="92">
        <v>79407</v>
      </c>
    </row>
    <row r="7" spans="2:20" ht="13.5" customHeight="1" x14ac:dyDescent="0.25">
      <c r="B7" s="71" t="s">
        <v>3217</v>
      </c>
      <c r="C7" s="92">
        <v>20327</v>
      </c>
      <c r="D7" s="92">
        <v>10651</v>
      </c>
    </row>
    <row r="8" spans="2:20" ht="13.5" customHeight="1" x14ac:dyDescent="0.25">
      <c r="B8" s="71" t="s">
        <v>3216</v>
      </c>
      <c r="C8" s="92">
        <v>61154</v>
      </c>
      <c r="D8" s="92">
        <v>44610</v>
      </c>
    </row>
    <row r="9" spans="2:20" ht="13.5" customHeight="1" x14ac:dyDescent="0.25">
      <c r="B9" s="71" t="s">
        <v>3215</v>
      </c>
      <c r="C9" s="92">
        <v>274381</v>
      </c>
      <c r="D9" s="92">
        <v>0</v>
      </c>
    </row>
    <row r="10" spans="2:20" ht="13.5" customHeight="1" x14ac:dyDescent="0.25">
      <c r="B10" s="71" t="s">
        <v>3214</v>
      </c>
      <c r="C10" s="92">
        <v>79565</v>
      </c>
      <c r="D10" s="92">
        <v>58561</v>
      </c>
    </row>
    <row r="11" spans="2:20" ht="13.5" customHeight="1" x14ac:dyDescent="0.25">
      <c r="B11" s="71" t="s">
        <v>3213</v>
      </c>
      <c r="C11" s="92">
        <v>74143</v>
      </c>
      <c r="D11" s="92">
        <v>61811</v>
      </c>
    </row>
    <row r="12" spans="2:20" ht="13.5" customHeight="1" thickBot="1" x14ac:dyDescent="0.3">
      <c r="B12" s="69" t="s">
        <v>3212</v>
      </c>
      <c r="C12" s="91">
        <v>31734</v>
      </c>
      <c r="D12" s="91">
        <v>19149</v>
      </c>
    </row>
    <row r="13" spans="2:20" ht="13.5" customHeight="1" thickBot="1" x14ac:dyDescent="0.3">
      <c r="B13" s="85" t="s">
        <v>4</v>
      </c>
      <c r="C13" s="90">
        <f>SUM(C5:C12)</f>
        <v>889805</v>
      </c>
      <c r="D13" s="90">
        <f>SUM(D5:D12)</f>
        <v>448158</v>
      </c>
    </row>
    <row r="14" spans="2:20" ht="13.5" customHeight="1" thickBot="1" x14ac:dyDescent="0.3"/>
    <row r="15" spans="2:20" customFormat="1" ht="67.5" customHeight="1" thickBot="1" x14ac:dyDescent="0.25">
      <c r="B15" s="298" t="s">
        <v>3258</v>
      </c>
      <c r="C15" s="299"/>
      <c r="D15" s="299"/>
      <c r="E15" s="299"/>
      <c r="F15" s="299"/>
      <c r="G15" s="299"/>
      <c r="H15" s="300"/>
      <c r="I15" s="89"/>
      <c r="J15" s="89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2:20" s="1" customFormat="1" ht="13.5" customHeight="1" thickBot="1" x14ac:dyDescent="0.25">
      <c r="B16" s="2"/>
      <c r="C16" s="2"/>
      <c r="D16" s="2"/>
      <c r="E16" s="2"/>
      <c r="F16" s="2"/>
      <c r="G16" s="2"/>
      <c r="H16" s="2"/>
      <c r="I16" s="2"/>
      <c r="J16" s="2"/>
    </row>
    <row r="17" spans="2:10" s="8" customFormat="1" ht="13.5" customHeight="1" thickBot="1" x14ac:dyDescent="0.25"/>
    <row r="18" spans="2:10" s="8" customFormat="1" ht="13.5" customHeight="1" thickBot="1" x14ac:dyDescent="0.25">
      <c r="B18" s="294" t="s">
        <v>3227</v>
      </c>
      <c r="C18" s="295"/>
      <c r="D18" s="296"/>
    </row>
    <row r="19" spans="2:10" ht="13.5" customHeight="1" thickBot="1" x14ac:dyDescent="0.3"/>
    <row r="20" spans="2:10" ht="13.5" customHeight="1" thickBot="1" x14ac:dyDescent="0.3">
      <c r="B20" s="83" t="s">
        <v>3224</v>
      </c>
      <c r="C20" s="6" t="s">
        <v>3219</v>
      </c>
      <c r="D20" s="15" t="s">
        <v>3218</v>
      </c>
    </row>
    <row r="21" spans="2:10" ht="13.5" customHeight="1" x14ac:dyDescent="0.25">
      <c r="B21" s="88" t="s">
        <v>3221</v>
      </c>
      <c r="C21" s="81">
        <f t="shared" ref="C21:D28" si="0">C5/C$13*100</f>
        <v>26.104933103320388</v>
      </c>
      <c r="D21" s="81">
        <f t="shared" si="0"/>
        <v>38.818675556388591</v>
      </c>
    </row>
    <row r="22" spans="2:10" ht="13.5" customHeight="1" x14ac:dyDescent="0.25">
      <c r="B22" s="87" t="s">
        <v>3220</v>
      </c>
      <c r="C22" s="81">
        <f t="shared" si="0"/>
        <v>13.061063940975831</v>
      </c>
      <c r="D22" s="81">
        <f t="shared" si="0"/>
        <v>17.718527840627633</v>
      </c>
    </row>
    <row r="23" spans="2:10" ht="13.5" customHeight="1" x14ac:dyDescent="0.25">
      <c r="B23" s="87" t="s">
        <v>3217</v>
      </c>
      <c r="C23" s="81">
        <f t="shared" si="0"/>
        <v>2.2844331061299945</v>
      </c>
      <c r="D23" s="81">
        <f t="shared" si="0"/>
        <v>2.3766171751926777</v>
      </c>
    </row>
    <row r="24" spans="2:10" ht="13.5" customHeight="1" x14ac:dyDescent="0.25">
      <c r="B24" s="87" t="s">
        <v>3216</v>
      </c>
      <c r="C24" s="81">
        <f t="shared" si="0"/>
        <v>6.8727417805024702</v>
      </c>
      <c r="D24" s="81">
        <f t="shared" si="0"/>
        <v>9.9540786954600833</v>
      </c>
    </row>
    <row r="25" spans="2:10" ht="13.5" customHeight="1" x14ac:dyDescent="0.25">
      <c r="B25" s="87" t="s">
        <v>3215</v>
      </c>
      <c r="C25" s="81">
        <f t="shared" si="0"/>
        <v>30.836082062923897</v>
      </c>
      <c r="D25" s="81">
        <f t="shared" si="0"/>
        <v>0</v>
      </c>
    </row>
    <row r="26" spans="2:10" ht="13.5" customHeight="1" x14ac:dyDescent="0.25">
      <c r="B26" s="87" t="s">
        <v>3214</v>
      </c>
      <c r="C26" s="81">
        <f t="shared" si="0"/>
        <v>8.941846809132338</v>
      </c>
      <c r="D26" s="81">
        <f t="shared" si="0"/>
        <v>13.067043319543552</v>
      </c>
    </row>
    <row r="27" spans="2:10" ht="13.5" customHeight="1" x14ac:dyDescent="0.25">
      <c r="B27" s="87" t="s">
        <v>3213</v>
      </c>
      <c r="C27" s="81">
        <f t="shared" si="0"/>
        <v>8.3324998173757177</v>
      </c>
      <c r="D27" s="81">
        <f t="shared" si="0"/>
        <v>13.792233988905696</v>
      </c>
    </row>
    <row r="28" spans="2:10" ht="13.5" customHeight="1" thickBot="1" x14ac:dyDescent="0.3">
      <c r="B28" s="86" t="s">
        <v>3212</v>
      </c>
      <c r="C28" s="81">
        <f t="shared" si="0"/>
        <v>3.5663993796393596</v>
      </c>
      <c r="D28" s="81">
        <f t="shared" si="0"/>
        <v>4.2728234238817562</v>
      </c>
    </row>
    <row r="29" spans="2:10" ht="13.5" customHeight="1" thickBot="1" x14ac:dyDescent="0.3">
      <c r="B29" s="85" t="s">
        <v>4</v>
      </c>
      <c r="C29" s="84">
        <f>SUM(C21:C28)</f>
        <v>100.00000000000001</v>
      </c>
      <c r="D29" s="84">
        <f>SUM(D21:D28)</f>
        <v>100</v>
      </c>
    </row>
    <row r="30" spans="2:10" ht="13.5" customHeight="1" thickBot="1" x14ac:dyDescent="0.3">
      <c r="F30" s="82"/>
      <c r="G30" s="82"/>
      <c r="H30" s="82"/>
      <c r="I30" s="82"/>
      <c r="J30" s="82"/>
    </row>
    <row r="31" spans="2:10" ht="13.5" customHeight="1" thickBot="1" x14ac:dyDescent="0.3">
      <c r="B31" s="294" t="s">
        <v>3226</v>
      </c>
      <c r="C31" s="301"/>
      <c r="D31" s="302"/>
      <c r="E31" s="8"/>
      <c r="F31" s="294" t="s">
        <v>3225</v>
      </c>
      <c r="G31" s="301"/>
      <c r="H31" s="302"/>
      <c r="I31" s="82"/>
      <c r="J31" s="82"/>
    </row>
    <row r="32" spans="2:10" ht="13.5" customHeight="1" thickBot="1" x14ac:dyDescent="0.3">
      <c r="I32" s="82"/>
      <c r="J32" s="82"/>
    </row>
    <row r="33" spans="1:10" ht="13.5" customHeight="1" thickBot="1" x14ac:dyDescent="0.3">
      <c r="B33" s="83" t="s">
        <v>3224</v>
      </c>
      <c r="C33" s="6" t="s">
        <v>3219</v>
      </c>
      <c r="D33" s="15" t="s">
        <v>3218</v>
      </c>
      <c r="F33" s="83" t="s">
        <v>3224</v>
      </c>
      <c r="G33" s="6" t="s">
        <v>3219</v>
      </c>
      <c r="H33" s="15" t="s">
        <v>3218</v>
      </c>
      <c r="I33" s="82"/>
      <c r="J33" s="82"/>
    </row>
    <row r="34" spans="1:10" ht="13.5" customHeight="1" x14ac:dyDescent="0.25">
      <c r="B34" s="78" t="s">
        <v>3215</v>
      </c>
      <c r="C34" s="81">
        <v>30.836082062923897</v>
      </c>
      <c r="D34" s="81">
        <v>0</v>
      </c>
      <c r="F34" s="78" t="s">
        <v>3221</v>
      </c>
      <c r="G34" s="81">
        <v>26.104933103320388</v>
      </c>
      <c r="H34" s="81">
        <v>38.818675556388591</v>
      </c>
      <c r="I34" s="82"/>
      <c r="J34" s="82"/>
    </row>
    <row r="35" spans="1:10" ht="13.5" customHeight="1" x14ac:dyDescent="0.25">
      <c r="B35" s="71" t="s">
        <v>3221</v>
      </c>
      <c r="C35" s="81">
        <v>26.104933103320388</v>
      </c>
      <c r="D35" s="81">
        <v>38.818675556388591</v>
      </c>
      <c r="F35" s="71" t="s">
        <v>3220</v>
      </c>
      <c r="G35" s="81">
        <v>13.061063940975831</v>
      </c>
      <c r="H35" s="81">
        <v>17.718527840627633</v>
      </c>
      <c r="I35" s="82"/>
      <c r="J35" s="82"/>
    </row>
    <row r="36" spans="1:10" ht="13.5" customHeight="1" x14ac:dyDescent="0.25">
      <c r="B36" s="71" t="s">
        <v>3220</v>
      </c>
      <c r="C36" s="81">
        <v>13.061063940975831</v>
      </c>
      <c r="D36" s="81">
        <v>17.718527840627633</v>
      </c>
      <c r="F36" s="71" t="s">
        <v>3213</v>
      </c>
      <c r="G36" s="81">
        <v>8.3324998173757177</v>
      </c>
      <c r="H36" s="81">
        <v>13.792233988905696</v>
      </c>
      <c r="I36" s="82"/>
      <c r="J36" s="82"/>
    </row>
    <row r="37" spans="1:10" ht="13.5" customHeight="1" x14ac:dyDescent="0.25">
      <c r="B37" s="71" t="s">
        <v>3214</v>
      </c>
      <c r="C37" s="81">
        <v>8.941846809132338</v>
      </c>
      <c r="D37" s="81">
        <v>13.067043319543552</v>
      </c>
      <c r="F37" s="71" t="s">
        <v>3214</v>
      </c>
      <c r="G37" s="81">
        <v>8.941846809132338</v>
      </c>
      <c r="H37" s="81">
        <v>13.067043319543552</v>
      </c>
      <c r="I37" s="82"/>
      <c r="J37" s="82"/>
    </row>
    <row r="38" spans="1:10" ht="13.5" customHeight="1" x14ac:dyDescent="0.25">
      <c r="B38" s="71" t="s">
        <v>3213</v>
      </c>
      <c r="C38" s="81">
        <v>8.3324998173757177</v>
      </c>
      <c r="D38" s="81">
        <v>13.792233988905696</v>
      </c>
      <c r="F38" s="71" t="s">
        <v>3216</v>
      </c>
      <c r="G38" s="81">
        <v>6.8727417805024702</v>
      </c>
      <c r="H38" s="81">
        <v>9.9540786954600833</v>
      </c>
      <c r="I38" s="82"/>
      <c r="J38" s="82"/>
    </row>
    <row r="39" spans="1:10" ht="13.5" customHeight="1" x14ac:dyDescent="0.25">
      <c r="B39" s="71" t="s">
        <v>3216</v>
      </c>
      <c r="C39" s="81">
        <v>6.8727417805024702</v>
      </c>
      <c r="D39" s="81">
        <v>9.9540786954600833</v>
      </c>
      <c r="F39" s="71" t="s">
        <v>3212</v>
      </c>
      <c r="G39" s="81">
        <v>3.5663993796393596</v>
      </c>
      <c r="H39" s="81">
        <v>4.2728234238817562</v>
      </c>
      <c r="I39" s="82"/>
      <c r="J39" s="82"/>
    </row>
    <row r="40" spans="1:10" ht="13.5" customHeight="1" x14ac:dyDescent="0.25">
      <c r="B40" s="71" t="s">
        <v>3212</v>
      </c>
      <c r="C40" s="81">
        <v>3.5663993796393596</v>
      </c>
      <c r="D40" s="81">
        <v>4.2728234238817562</v>
      </c>
      <c r="F40" s="71" t="s">
        <v>3217</v>
      </c>
      <c r="G40" s="81">
        <v>2.2844331061299945</v>
      </c>
      <c r="H40" s="81">
        <v>2.3766171751926777</v>
      </c>
      <c r="I40" s="82"/>
      <c r="J40" s="82"/>
    </row>
    <row r="41" spans="1:10" ht="13.5" customHeight="1" x14ac:dyDescent="0.25">
      <c r="B41" s="71" t="s">
        <v>3217</v>
      </c>
      <c r="C41" s="81">
        <v>2.2844331061299945</v>
      </c>
      <c r="D41" s="81">
        <v>2.3766171751926777</v>
      </c>
      <c r="F41" s="71" t="s">
        <v>3215</v>
      </c>
      <c r="G41" s="81">
        <v>30.836082062923897</v>
      </c>
      <c r="H41" s="81">
        <v>0</v>
      </c>
      <c r="I41" s="82"/>
      <c r="J41" s="82"/>
    </row>
    <row r="42" spans="1:10" ht="13.5" customHeight="1" thickBot="1" x14ac:dyDescent="0.3">
      <c r="F42" s="82"/>
      <c r="G42" s="82"/>
      <c r="H42" s="82"/>
      <c r="I42" s="82"/>
      <c r="J42" s="82"/>
    </row>
    <row r="43" spans="1:10" ht="13.5" customHeight="1" thickBot="1" x14ac:dyDescent="0.3">
      <c r="A43" s="59" t="s">
        <v>1</v>
      </c>
      <c r="B43" s="294" t="s">
        <v>3173</v>
      </c>
      <c r="C43" s="295"/>
      <c r="D43" s="295"/>
      <c r="E43" s="295"/>
      <c r="F43" s="295"/>
      <c r="G43" s="295"/>
      <c r="H43" s="296"/>
    </row>
    <row r="44" spans="1:10" ht="13.5" customHeight="1" thickBot="1" x14ac:dyDescent="0.3"/>
    <row r="45" spans="1:10" ht="13.5" customHeight="1" thickBot="1" x14ac:dyDescent="0.3">
      <c r="B45" s="77" t="s">
        <v>3223</v>
      </c>
      <c r="C45" s="6" t="s">
        <v>3219</v>
      </c>
      <c r="D45" s="15" t="s">
        <v>3218</v>
      </c>
      <c r="F45" s="80" t="s">
        <v>3222</v>
      </c>
      <c r="G45" s="6" t="s">
        <v>3219</v>
      </c>
      <c r="H45" s="15" t="s">
        <v>3218</v>
      </c>
    </row>
    <row r="46" spans="1:10" ht="13.5" customHeight="1" thickBot="1" x14ac:dyDescent="0.3">
      <c r="B46" s="73" t="s">
        <v>3167</v>
      </c>
      <c r="C46" s="79" cm="1">
        <f t="array" ref="C46">SUM((C21:C28/100)^2)</f>
        <v>0.20174824768879643</v>
      </c>
      <c r="D46" s="79" cm="1">
        <f t="array" ref="D46">SUM((D21:D28/100)^2)</f>
        <v>0.2304798152195317</v>
      </c>
      <c r="F46" s="78" t="s">
        <v>3221</v>
      </c>
      <c r="G46" s="70">
        <f t="shared" ref="G46:H53" si="1">(C21/100)^2</f>
        <v>6.8146753232883259E-2</v>
      </c>
      <c r="H46" s="70">
        <f t="shared" si="1"/>
        <v>0.15068895719521613</v>
      </c>
    </row>
    <row r="47" spans="1:10" ht="13.5" customHeight="1" thickBot="1" x14ac:dyDescent="0.3">
      <c r="F47" s="71" t="s">
        <v>3220</v>
      </c>
      <c r="G47" s="70">
        <f t="shared" si="1"/>
        <v>1.7059139127025912E-2</v>
      </c>
      <c r="H47" s="70">
        <f t="shared" si="1"/>
        <v>3.1394622883909651E-2</v>
      </c>
    </row>
    <row r="48" spans="1:10" ht="13.5" customHeight="1" thickBot="1" x14ac:dyDescent="0.3">
      <c r="B48" s="77" t="s">
        <v>3171</v>
      </c>
      <c r="C48" s="6" t="s">
        <v>3219</v>
      </c>
      <c r="D48" s="15" t="s">
        <v>3218</v>
      </c>
      <c r="F48" s="71" t="s">
        <v>3217</v>
      </c>
      <c r="G48" s="70">
        <f t="shared" si="1"/>
        <v>5.2186346163827352E-4</v>
      </c>
      <c r="H48" s="70">
        <f t="shared" si="1"/>
        <v>5.648309197420823E-4</v>
      </c>
    </row>
    <row r="49" spans="1:8" ht="13.5" customHeight="1" x14ac:dyDescent="0.25">
      <c r="B49" s="76" t="s">
        <v>9</v>
      </c>
      <c r="C49" s="60">
        <f>STDEVP(C21:C28)</f>
        <v>9.7946571972170364</v>
      </c>
      <c r="D49" s="60">
        <f>STDEVP(D21:D28)</f>
        <v>11.482585467760062</v>
      </c>
      <c r="F49" s="71" t="s">
        <v>3216</v>
      </c>
      <c r="G49" s="70">
        <f t="shared" si="1"/>
        <v>4.7234579581464263E-3</v>
      </c>
      <c r="H49" s="70">
        <f t="shared" si="1"/>
        <v>9.9083682675412312E-3</v>
      </c>
    </row>
    <row r="50" spans="1:8" ht="13.5" customHeight="1" x14ac:dyDescent="0.25">
      <c r="B50" s="75" t="s">
        <v>3</v>
      </c>
      <c r="C50" s="60">
        <f>AVERAGE(C21:C28)</f>
        <v>12.500000000000002</v>
      </c>
      <c r="D50" s="60">
        <f>AVERAGE(D21:D28)</f>
        <v>12.5</v>
      </c>
      <c r="F50" s="71" t="s">
        <v>3215</v>
      </c>
      <c r="G50" s="70">
        <f t="shared" si="1"/>
        <v>9.5086395699137696E-2</v>
      </c>
      <c r="H50" s="70">
        <f t="shared" si="1"/>
        <v>0</v>
      </c>
    </row>
    <row r="51" spans="1:8" ht="13.5" customHeight="1" thickBot="1" x14ac:dyDescent="0.3">
      <c r="B51" s="74" t="s">
        <v>3168</v>
      </c>
      <c r="C51" s="60">
        <f>C49/C50</f>
        <v>0.78357257577736283</v>
      </c>
      <c r="D51" s="60">
        <f>D49/D50</f>
        <v>0.91860683742080496</v>
      </c>
      <c r="F51" s="71" t="s">
        <v>3214</v>
      </c>
      <c r="G51" s="70">
        <f t="shared" si="1"/>
        <v>7.9956624357990173E-3</v>
      </c>
      <c r="H51" s="70">
        <f t="shared" si="1"/>
        <v>1.7074762111482782E-2</v>
      </c>
    </row>
    <row r="52" spans="1:8" ht="13.5" customHeight="1" thickBot="1" x14ac:dyDescent="0.3">
      <c r="B52" s="73" t="s">
        <v>3167</v>
      </c>
      <c r="C52" s="72">
        <f>(C51^2+1)/8</f>
        <v>0.20174824768879637</v>
      </c>
      <c r="D52" s="72">
        <f>(D51^2+1)/8</f>
        <v>0.23047981521953165</v>
      </c>
      <c r="F52" s="71" t="s">
        <v>3213</v>
      </c>
      <c r="G52" s="70">
        <f t="shared" si="1"/>
        <v>6.9430553206566359E-3</v>
      </c>
      <c r="H52" s="70">
        <f t="shared" si="1"/>
        <v>1.9022571840472555E-2</v>
      </c>
    </row>
    <row r="53" spans="1:8" ht="13.5" customHeight="1" thickBot="1" x14ac:dyDescent="0.3">
      <c r="F53" s="69" t="s">
        <v>3212</v>
      </c>
      <c r="G53" s="68">
        <f t="shared" si="1"/>
        <v>1.2719204535092008E-3</v>
      </c>
      <c r="H53" s="68">
        <f t="shared" si="1"/>
        <v>1.8257020011672612E-3</v>
      </c>
    </row>
    <row r="54" spans="1:8" ht="13.5" customHeight="1" thickBot="1" x14ac:dyDescent="0.3">
      <c r="F54" s="67" t="s">
        <v>3167</v>
      </c>
      <c r="G54" s="66">
        <f>SUM(G46:G53)</f>
        <v>0.20174824768879643</v>
      </c>
      <c r="H54" s="66">
        <f>SUM(H46:H53)</f>
        <v>0.2304798152195317</v>
      </c>
    </row>
    <row r="55" spans="1:8" ht="13.5" customHeight="1" thickBot="1" x14ac:dyDescent="0.3"/>
    <row r="56" spans="1:8" ht="13.5" customHeight="1" thickBot="1" x14ac:dyDescent="0.3">
      <c r="A56" s="59" t="s">
        <v>2</v>
      </c>
      <c r="B56" s="294" t="s">
        <v>3211</v>
      </c>
      <c r="C56" s="295"/>
      <c r="D56" s="295"/>
      <c r="E56" s="295"/>
      <c r="F56" s="295"/>
      <c r="G56" s="295"/>
      <c r="H56" s="296"/>
    </row>
    <row r="57" spans="1:8" ht="13.5" customHeight="1" thickBot="1" x14ac:dyDescent="0.3"/>
    <row r="58" spans="1:8" ht="13.5" customHeight="1" x14ac:dyDescent="0.25">
      <c r="B58" s="303" t="s">
        <v>3210</v>
      </c>
      <c r="C58" s="297" t="s">
        <v>3209</v>
      </c>
      <c r="D58" s="267"/>
      <c r="F58" s="303" t="s">
        <v>3185</v>
      </c>
      <c r="G58" s="297" t="s">
        <v>3208</v>
      </c>
      <c r="H58" s="267"/>
    </row>
    <row r="59" spans="1:8" ht="13.5" customHeight="1" thickBot="1" x14ac:dyDescent="0.3">
      <c r="B59" s="304"/>
      <c r="C59" s="21" t="s">
        <v>3207</v>
      </c>
      <c r="D59" s="7" t="s">
        <v>3206</v>
      </c>
      <c r="E59" s="65"/>
      <c r="F59" s="304"/>
      <c r="G59" s="21" t="s">
        <v>3205</v>
      </c>
      <c r="H59" s="7" t="s">
        <v>3204</v>
      </c>
    </row>
    <row r="60" spans="1:8" ht="13.5" customHeight="1" x14ac:dyDescent="0.25">
      <c r="B60" s="64">
        <v>0</v>
      </c>
      <c r="C60" s="60">
        <v>0</v>
      </c>
      <c r="D60" s="60">
        <v>0</v>
      </c>
      <c r="E60" s="62"/>
      <c r="F60" s="61">
        <f t="shared" ref="F60:F68" si="2">B60*1/8</f>
        <v>0</v>
      </c>
      <c r="G60" s="60">
        <f>C60</f>
        <v>0</v>
      </c>
      <c r="H60" s="60">
        <f>D60</f>
        <v>0</v>
      </c>
    </row>
    <row r="61" spans="1:8" ht="13.5" customHeight="1" x14ac:dyDescent="0.25">
      <c r="B61" s="63">
        <v>1</v>
      </c>
      <c r="C61" s="60">
        <f t="shared" ref="C61:D68" si="3">SMALL(C$34:C$41,$B61)/100</f>
        <v>2.2844331061299947E-2</v>
      </c>
      <c r="D61" s="60">
        <f t="shared" si="3"/>
        <v>0</v>
      </c>
      <c r="E61" s="62"/>
      <c r="F61" s="61">
        <f t="shared" si="2"/>
        <v>0.125</v>
      </c>
      <c r="G61" s="60">
        <f t="shared" ref="G61:H68" si="4">G60+C61</f>
        <v>2.2844331061299947E-2</v>
      </c>
      <c r="H61" s="60">
        <f t="shared" si="4"/>
        <v>0</v>
      </c>
    </row>
    <row r="62" spans="1:8" ht="13.5" customHeight="1" x14ac:dyDescent="0.25">
      <c r="B62" s="63">
        <v>2</v>
      </c>
      <c r="C62" s="60">
        <f t="shared" si="3"/>
        <v>3.5663993796393595E-2</v>
      </c>
      <c r="D62" s="60">
        <f t="shared" si="3"/>
        <v>2.3766171751926777E-2</v>
      </c>
      <c r="E62" s="62"/>
      <c r="F62" s="61">
        <f t="shared" si="2"/>
        <v>0.25</v>
      </c>
      <c r="G62" s="60">
        <f t="shared" si="4"/>
        <v>5.8508324857693542E-2</v>
      </c>
      <c r="H62" s="60">
        <f t="shared" si="4"/>
        <v>2.3766171751926777E-2</v>
      </c>
    </row>
    <row r="63" spans="1:8" ht="13.5" customHeight="1" x14ac:dyDescent="0.25">
      <c r="B63" s="64">
        <v>3</v>
      </c>
      <c r="C63" s="60">
        <f t="shared" si="3"/>
        <v>6.8727417805024699E-2</v>
      </c>
      <c r="D63" s="60">
        <f t="shared" si="3"/>
        <v>4.272823423881756E-2</v>
      </c>
      <c r="E63" s="62"/>
      <c r="F63" s="61">
        <f t="shared" si="2"/>
        <v>0.375</v>
      </c>
      <c r="G63" s="60">
        <f t="shared" si="4"/>
        <v>0.12723574266271825</v>
      </c>
      <c r="H63" s="60">
        <f t="shared" si="4"/>
        <v>6.649440599074434E-2</v>
      </c>
    </row>
    <row r="64" spans="1:8" ht="13.5" customHeight="1" x14ac:dyDescent="0.25">
      <c r="B64" s="63">
        <v>4</v>
      </c>
      <c r="C64" s="60">
        <f t="shared" si="3"/>
        <v>8.3324998173757173E-2</v>
      </c>
      <c r="D64" s="60">
        <f t="shared" si="3"/>
        <v>9.9540786954600835E-2</v>
      </c>
      <c r="E64" s="62"/>
      <c r="F64" s="61">
        <f t="shared" si="2"/>
        <v>0.5</v>
      </c>
      <c r="G64" s="60">
        <f t="shared" si="4"/>
        <v>0.21056074083647541</v>
      </c>
      <c r="H64" s="60">
        <f t="shared" si="4"/>
        <v>0.16603519294534519</v>
      </c>
    </row>
    <row r="65" spans="2:8" ht="13.5" customHeight="1" x14ac:dyDescent="0.25">
      <c r="B65" s="63">
        <v>5</v>
      </c>
      <c r="C65" s="60">
        <f t="shared" si="3"/>
        <v>8.941846809132338E-2</v>
      </c>
      <c r="D65" s="60">
        <f t="shared" si="3"/>
        <v>0.13067043319543553</v>
      </c>
      <c r="E65" s="62"/>
      <c r="F65" s="61">
        <f t="shared" si="2"/>
        <v>0.625</v>
      </c>
      <c r="G65" s="60">
        <f t="shared" si="4"/>
        <v>0.29997920892779878</v>
      </c>
      <c r="H65" s="60">
        <f t="shared" si="4"/>
        <v>0.29670562614078072</v>
      </c>
    </row>
    <row r="66" spans="2:8" ht="13.5" customHeight="1" x14ac:dyDescent="0.25">
      <c r="B66" s="64">
        <v>6</v>
      </c>
      <c r="C66" s="60">
        <f t="shared" si="3"/>
        <v>0.13061063940975831</v>
      </c>
      <c r="D66" s="60">
        <f t="shared" si="3"/>
        <v>0.13792233988905697</v>
      </c>
      <c r="E66" s="62"/>
      <c r="F66" s="61">
        <f t="shared" si="2"/>
        <v>0.75</v>
      </c>
      <c r="G66" s="60">
        <f t="shared" si="4"/>
        <v>0.43058984833755709</v>
      </c>
      <c r="H66" s="60">
        <f t="shared" si="4"/>
        <v>0.43462796602983766</v>
      </c>
    </row>
    <row r="67" spans="2:8" ht="13.5" customHeight="1" x14ac:dyDescent="0.25">
      <c r="B67" s="63">
        <v>7</v>
      </c>
      <c r="C67" s="60">
        <f t="shared" si="3"/>
        <v>0.26104933103320388</v>
      </c>
      <c r="D67" s="60">
        <f t="shared" si="3"/>
        <v>0.17718527840627632</v>
      </c>
      <c r="E67" s="62"/>
      <c r="F67" s="61">
        <f t="shared" si="2"/>
        <v>0.875</v>
      </c>
      <c r="G67" s="60">
        <f t="shared" si="4"/>
        <v>0.69163917937076103</v>
      </c>
      <c r="H67" s="60">
        <f t="shared" si="4"/>
        <v>0.61181324443611396</v>
      </c>
    </row>
    <row r="68" spans="2:8" ht="13.5" customHeight="1" x14ac:dyDescent="0.25">
      <c r="B68" s="63">
        <v>8</v>
      </c>
      <c r="C68" s="60">
        <f t="shared" si="3"/>
        <v>0.30836082062923897</v>
      </c>
      <c r="D68" s="60">
        <f t="shared" si="3"/>
        <v>0.38818675556388593</v>
      </c>
      <c r="E68" s="62"/>
      <c r="F68" s="61">
        <f t="shared" si="2"/>
        <v>1</v>
      </c>
      <c r="G68" s="60">
        <f t="shared" si="4"/>
        <v>1</v>
      </c>
      <c r="H68" s="60">
        <f t="shared" si="4"/>
        <v>0.99999999999999989</v>
      </c>
    </row>
  </sheetData>
  <mergeCells count="11">
    <mergeCell ref="B56:H56"/>
    <mergeCell ref="G58:H58"/>
    <mergeCell ref="B2:H2"/>
    <mergeCell ref="B15:H15"/>
    <mergeCell ref="B18:D18"/>
    <mergeCell ref="B31:D31"/>
    <mergeCell ref="C58:D58"/>
    <mergeCell ref="B58:B59"/>
    <mergeCell ref="F58:F59"/>
    <mergeCell ref="F31:H31"/>
    <mergeCell ref="B43:H43"/>
  </mergeCells>
  <pageMargins left="0.75" right="0.75" top="1" bottom="1" header="0.5" footer="0.5"/>
  <pageSetup paperSize="9" scale="48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499984740745262"/>
  </sheetPr>
  <dimension ref="B1:G44"/>
  <sheetViews>
    <sheetView zoomScaleNormal="100" workbookViewId="0"/>
  </sheetViews>
  <sheetFormatPr defaultRowHeight="13.5" customHeight="1" x14ac:dyDescent="0.2"/>
  <cols>
    <col min="1" max="1" width="2.5703125" customWidth="1"/>
    <col min="2" max="2" width="36.7109375" customWidth="1"/>
    <col min="3" max="3" width="20.7109375" customWidth="1"/>
    <col min="4" max="4" width="15.28515625" customWidth="1"/>
  </cols>
  <sheetData>
    <row r="1" spans="2:7" ht="13.5" customHeight="1" thickBot="1" x14ac:dyDescent="0.25"/>
    <row r="2" spans="2:7" ht="13.5" customHeight="1" thickBot="1" x14ac:dyDescent="0.25">
      <c r="B2" s="263" t="s">
        <v>3248</v>
      </c>
      <c r="C2" s="264"/>
      <c r="D2" s="264"/>
      <c r="E2" s="264"/>
      <c r="F2" s="265"/>
      <c r="G2" s="4"/>
    </row>
    <row r="3" spans="2:7" ht="13.5" customHeight="1" thickBot="1" x14ac:dyDescent="0.25"/>
    <row r="4" spans="2:7" ht="28.5" customHeight="1" thickBot="1" x14ac:dyDescent="0.25">
      <c r="B4" s="25" t="s">
        <v>3246</v>
      </c>
      <c r="C4" s="112" t="s">
        <v>3245</v>
      </c>
    </row>
    <row r="5" spans="2:7" ht="13.5" customHeight="1" x14ac:dyDescent="0.2">
      <c r="B5" s="111" t="s">
        <v>3244</v>
      </c>
      <c r="C5" s="108">
        <v>4657</v>
      </c>
    </row>
    <row r="6" spans="2:7" ht="13.5" customHeight="1" x14ac:dyDescent="0.2">
      <c r="B6" s="110" t="s">
        <v>3243</v>
      </c>
      <c r="C6" s="108">
        <v>2207</v>
      </c>
    </row>
    <row r="7" spans="2:7" ht="13.5" customHeight="1" x14ac:dyDescent="0.2">
      <c r="B7" s="110" t="s">
        <v>3242</v>
      </c>
      <c r="C7" s="108">
        <v>2148</v>
      </c>
    </row>
    <row r="8" spans="2:7" ht="13.5" customHeight="1" x14ac:dyDescent="0.2">
      <c r="B8" s="110" t="s">
        <v>3241</v>
      </c>
      <c r="C8" s="108">
        <v>2854</v>
      </c>
    </row>
    <row r="9" spans="2:7" ht="13.5" customHeight="1" x14ac:dyDescent="0.2">
      <c r="B9" s="110" t="s">
        <v>3240</v>
      </c>
      <c r="C9" s="108">
        <v>2295</v>
      </c>
    </row>
    <row r="10" spans="2:7" ht="13.5" customHeight="1" thickBot="1" x14ac:dyDescent="0.25">
      <c r="B10" s="109" t="s">
        <v>3239</v>
      </c>
      <c r="C10" s="108">
        <v>1997</v>
      </c>
    </row>
    <row r="11" spans="2:7" ht="13.5" customHeight="1" thickBot="1" x14ac:dyDescent="0.25">
      <c r="B11" s="113" t="s">
        <v>4</v>
      </c>
      <c r="C11" s="106">
        <v>16158</v>
      </c>
    </row>
    <row r="12" spans="2:7" ht="13.5" customHeight="1" thickBot="1" x14ac:dyDescent="0.25"/>
    <row r="13" spans="2:7" ht="28.5" customHeight="1" thickBot="1" x14ac:dyDescent="0.25">
      <c r="B13" s="25" t="s">
        <v>3238</v>
      </c>
      <c r="C13" s="112" t="s">
        <v>3237</v>
      </c>
    </row>
    <row r="14" spans="2:7" ht="13.5" customHeight="1" x14ac:dyDescent="0.2">
      <c r="B14" s="111" t="s">
        <v>3236</v>
      </c>
      <c r="C14" s="108">
        <v>1143</v>
      </c>
    </row>
    <row r="15" spans="2:7" ht="13.5" customHeight="1" x14ac:dyDescent="0.2">
      <c r="B15" s="110" t="s">
        <v>3235</v>
      </c>
      <c r="C15" s="108">
        <v>994</v>
      </c>
    </row>
    <row r="16" spans="2:7" ht="13.5" customHeight="1" x14ac:dyDescent="0.2">
      <c r="B16" s="110" t="s">
        <v>3234</v>
      </c>
      <c r="C16" s="108">
        <v>495</v>
      </c>
    </row>
    <row r="17" spans="2:7" ht="13.5" customHeight="1" x14ac:dyDescent="0.2">
      <c r="B17" s="110" t="s">
        <v>3233</v>
      </c>
      <c r="C17" s="108">
        <v>379</v>
      </c>
    </row>
    <row r="18" spans="2:7" ht="13.5" customHeight="1" x14ac:dyDescent="0.2">
      <c r="B18" s="110" t="s">
        <v>3232</v>
      </c>
      <c r="C18" s="108">
        <v>320</v>
      </c>
    </row>
    <row r="19" spans="2:7" ht="13.5" customHeight="1" thickBot="1" x14ac:dyDescent="0.25">
      <c r="B19" s="109" t="s">
        <v>3231</v>
      </c>
      <c r="C19" s="108">
        <v>309</v>
      </c>
    </row>
    <row r="20" spans="2:7" ht="13.5" customHeight="1" thickBot="1" x14ac:dyDescent="0.25">
      <c r="B20" s="107" t="s">
        <v>4</v>
      </c>
      <c r="C20" s="106">
        <f>SUM(C14:C19)</f>
        <v>3640</v>
      </c>
    </row>
    <row r="21" spans="2:7" ht="13.5" customHeight="1" thickBot="1" x14ac:dyDescent="0.25"/>
    <row r="22" spans="2:7" ht="13.5" customHeight="1" thickBot="1" x14ac:dyDescent="0.25">
      <c r="B22" s="263" t="s">
        <v>3247</v>
      </c>
      <c r="C22" s="264"/>
      <c r="D22" s="264"/>
      <c r="E22" s="264"/>
      <c r="F22" s="265"/>
      <c r="G22" s="4"/>
    </row>
    <row r="23" spans="2:7" s="1" customFormat="1" ht="13.5" customHeight="1" thickBot="1" x14ac:dyDescent="0.25">
      <c r="B23" s="2"/>
      <c r="C23" s="2"/>
      <c r="D23" s="2"/>
      <c r="E23" s="2"/>
      <c r="F23" s="2"/>
    </row>
    <row r="24" spans="2:7" ht="13.5" customHeight="1" thickBot="1" x14ac:dyDescent="0.25"/>
    <row r="25" spans="2:7" ht="27" customHeight="1" thickBot="1" x14ac:dyDescent="0.25">
      <c r="B25" s="25" t="s">
        <v>3246</v>
      </c>
      <c r="C25" s="9" t="s">
        <v>3245</v>
      </c>
      <c r="D25" s="15" t="s">
        <v>8</v>
      </c>
    </row>
    <row r="26" spans="2:7" ht="13.5" customHeight="1" x14ac:dyDescent="0.2">
      <c r="B26" s="104" t="s">
        <v>3244</v>
      </c>
      <c r="C26" s="101">
        <v>4657</v>
      </c>
      <c r="D26" s="70">
        <f t="shared" ref="D26:D31" si="0">C26/$C$32</f>
        <v>0.28821636341131329</v>
      </c>
    </row>
    <row r="27" spans="2:7" ht="13.5" customHeight="1" x14ac:dyDescent="0.2">
      <c r="B27" s="103" t="s">
        <v>3243</v>
      </c>
      <c r="C27" s="101">
        <v>2207</v>
      </c>
      <c r="D27" s="70">
        <f t="shared" si="0"/>
        <v>0.13658868671865329</v>
      </c>
    </row>
    <row r="28" spans="2:7" ht="13.5" customHeight="1" x14ac:dyDescent="0.2">
      <c r="B28" s="103" t="s">
        <v>3242</v>
      </c>
      <c r="C28" s="101">
        <v>2148</v>
      </c>
      <c r="D28" s="70">
        <f t="shared" si="0"/>
        <v>0.13293724470850352</v>
      </c>
    </row>
    <row r="29" spans="2:7" ht="13.5" customHeight="1" x14ac:dyDescent="0.2">
      <c r="B29" s="103" t="s">
        <v>3241</v>
      </c>
      <c r="C29" s="101">
        <v>2854</v>
      </c>
      <c r="D29" s="70">
        <f t="shared" si="0"/>
        <v>0.17663077113504147</v>
      </c>
    </row>
    <row r="30" spans="2:7" ht="13.5" customHeight="1" x14ac:dyDescent="0.2">
      <c r="B30" s="103" t="s">
        <v>3240</v>
      </c>
      <c r="C30" s="101">
        <v>2295</v>
      </c>
      <c r="D30" s="70">
        <f t="shared" si="0"/>
        <v>0.14203490531006313</v>
      </c>
    </row>
    <row r="31" spans="2:7" ht="13.5" customHeight="1" thickBot="1" x14ac:dyDescent="0.25">
      <c r="B31" s="102" t="s">
        <v>3239</v>
      </c>
      <c r="C31" s="101">
        <v>1997</v>
      </c>
      <c r="D31" s="70">
        <f t="shared" si="0"/>
        <v>0.1235920287164253</v>
      </c>
    </row>
    <row r="32" spans="2:7" ht="13.5" customHeight="1" thickBot="1" x14ac:dyDescent="0.25">
      <c r="B32" s="100" t="s">
        <v>4</v>
      </c>
      <c r="C32" s="99">
        <f>SUM(C26:C31)</f>
        <v>16158</v>
      </c>
      <c r="D32" s="66">
        <f>SUM(D26:D31)</f>
        <v>1</v>
      </c>
    </row>
    <row r="33" spans="2:4" ht="13.5" customHeight="1" thickBot="1" x14ac:dyDescent="0.25">
      <c r="B33" s="105"/>
    </row>
    <row r="34" spans="2:4" ht="27" customHeight="1" thickBot="1" x14ac:dyDescent="0.25">
      <c r="B34" s="25" t="s">
        <v>3238</v>
      </c>
      <c r="C34" s="9" t="s">
        <v>3237</v>
      </c>
      <c r="D34" s="15" t="s">
        <v>8</v>
      </c>
    </row>
    <row r="35" spans="2:4" ht="13.5" customHeight="1" x14ac:dyDescent="0.2">
      <c r="B35" s="104" t="s">
        <v>3236</v>
      </c>
      <c r="C35" s="101">
        <v>1143</v>
      </c>
      <c r="D35" s="70">
        <f t="shared" ref="D35:D40" si="1">C35/$C$41</f>
        <v>0.31401098901098901</v>
      </c>
    </row>
    <row r="36" spans="2:4" ht="13.5" customHeight="1" x14ac:dyDescent="0.2">
      <c r="B36" s="103" t="s">
        <v>3235</v>
      </c>
      <c r="C36" s="101">
        <v>994</v>
      </c>
      <c r="D36" s="70">
        <f t="shared" si="1"/>
        <v>0.27307692307692305</v>
      </c>
    </row>
    <row r="37" spans="2:4" ht="13.5" customHeight="1" x14ac:dyDescent="0.2">
      <c r="B37" s="103" t="s">
        <v>3234</v>
      </c>
      <c r="C37" s="101">
        <v>495</v>
      </c>
      <c r="D37" s="70">
        <f t="shared" si="1"/>
        <v>0.13598901098901098</v>
      </c>
    </row>
    <row r="38" spans="2:4" ht="13.5" customHeight="1" x14ac:dyDescent="0.2">
      <c r="B38" s="103" t="s">
        <v>3233</v>
      </c>
      <c r="C38" s="101">
        <v>379</v>
      </c>
      <c r="D38" s="70">
        <f t="shared" si="1"/>
        <v>0.10412087912087913</v>
      </c>
    </row>
    <row r="39" spans="2:4" ht="13.5" customHeight="1" x14ac:dyDescent="0.2">
      <c r="B39" s="103" t="s">
        <v>3232</v>
      </c>
      <c r="C39" s="101">
        <v>320</v>
      </c>
      <c r="D39" s="70">
        <f t="shared" si="1"/>
        <v>8.7912087912087919E-2</v>
      </c>
    </row>
    <row r="40" spans="2:4" ht="13.5" customHeight="1" thickBot="1" x14ac:dyDescent="0.25">
      <c r="B40" s="102" t="s">
        <v>3231</v>
      </c>
      <c r="C40" s="101">
        <v>309</v>
      </c>
      <c r="D40" s="70">
        <f t="shared" si="1"/>
        <v>8.4890109890109894E-2</v>
      </c>
    </row>
    <row r="41" spans="2:4" ht="13.5" customHeight="1" thickBot="1" x14ac:dyDescent="0.25">
      <c r="B41" s="100" t="s">
        <v>4</v>
      </c>
      <c r="C41" s="99">
        <f>SUM(C35:C40)</f>
        <v>3640</v>
      </c>
      <c r="D41" s="66">
        <f>SUM(D35:D40)</f>
        <v>0.99999999999999989</v>
      </c>
    </row>
    <row r="43" spans="2:4" ht="13.5" customHeight="1" x14ac:dyDescent="0.2">
      <c r="B43" s="98" t="s">
        <v>3230</v>
      </c>
      <c r="C43" s="96" cm="1">
        <f t="array" ref="C43">SUM(D26:D31^2)</f>
        <v>0.18604478570869684</v>
      </c>
    </row>
    <row r="44" spans="2:4" ht="13.5" customHeight="1" x14ac:dyDescent="0.2">
      <c r="B44" s="97" t="s">
        <v>3229</v>
      </c>
      <c r="C44" s="96" cm="1">
        <f t="array" ref="C44">SUM(D35:D40^2)</f>
        <v>0.21744294167371087</v>
      </c>
    </row>
  </sheetData>
  <mergeCells count="2">
    <mergeCell ref="B2:F2"/>
    <mergeCell ref="B22:F22"/>
  </mergeCells>
  <pageMargins left="0.75" right="0.75" top="1" bottom="1" header="0.5" footer="0.5"/>
  <pageSetup paperSize="9"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9</vt:i4>
      </vt:variant>
      <vt:variant>
        <vt:lpstr>Névvel ellátott tartományok</vt:lpstr>
      </vt:variant>
      <vt:variant>
        <vt:i4>7</vt:i4>
      </vt:variant>
    </vt:vector>
  </HeadingPairs>
  <TitlesOfParts>
    <vt:vector size="16" baseType="lpstr">
      <vt:lpstr>E5.1</vt:lpstr>
      <vt:lpstr>Gy2.28</vt:lpstr>
      <vt:lpstr>Gy2.27</vt:lpstr>
      <vt:lpstr>Gy2.24</vt:lpstr>
      <vt:lpstr>E5.2</vt:lpstr>
      <vt:lpstr>E5.3</vt:lpstr>
      <vt:lpstr>E5.4</vt:lpstr>
      <vt:lpstr>B.2.4.bc</vt:lpstr>
      <vt:lpstr>Gy2.25</vt:lpstr>
      <vt:lpstr>B.2.4.bc!Nyomtatási_terület</vt:lpstr>
      <vt:lpstr>E5.2!Nyomtatási_terület</vt:lpstr>
      <vt:lpstr>E5.4!Nyomtatási_terület</vt:lpstr>
      <vt:lpstr>Gy2.24!Nyomtatási_terület</vt:lpstr>
      <vt:lpstr>Gy2.25!Nyomtatási_terület</vt:lpstr>
      <vt:lpstr>Gy2.27!Nyomtatási_terület</vt:lpstr>
      <vt:lpstr>Gy2.28!Nyomtatási_terület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cp:lastPrinted>2012-09-05T10:47:12Z</cp:lastPrinted>
  <dcterms:created xsi:type="dcterms:W3CDTF">1997-01-17T14:02:09Z</dcterms:created>
  <dcterms:modified xsi:type="dcterms:W3CDTF">2026-10-15T05:27:32Z</dcterms:modified>
</cp:coreProperties>
</file>