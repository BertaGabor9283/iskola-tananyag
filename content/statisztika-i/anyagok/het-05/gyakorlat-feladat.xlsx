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32" documentId="8_{324207D6-C5A7-4790-83F8-1BB649EED7A7}" xr6:coauthVersionLast="47" xr6:coauthVersionMax="47" xr10:uidLastSave="{88B14DC6-AD2D-4E8A-A7F4-5C17D7F35569}"/>
  <bookViews>
    <workbookView xWindow="-120" yWindow="-120" windowWidth="29040" windowHeight="15720" xr2:uid="{00000000-000D-0000-FFFF-FFFF00000000}"/>
  </bookViews>
  <sheets>
    <sheet name="E5.1" sheetId="66" r:id="rId1"/>
    <sheet name="Gy2.28" sheetId="69" r:id="rId2"/>
    <sheet name="Gy2.27" sheetId="70" r:id="rId3"/>
    <sheet name="Gy2.24" sheetId="68" r:id="rId4"/>
    <sheet name="E5.2" sheetId="99" r:id="rId5"/>
    <sheet name="E5.3" sheetId="104" r:id="rId6"/>
    <sheet name="E5.4" sheetId="105" r:id="rId7"/>
    <sheet name="B.2.4.bc" sheetId="71" r:id="rId8"/>
    <sheet name="Gy2.25" sheetId="72" r:id="rId9"/>
  </sheets>
  <definedNames>
    <definedName name="_xlnm._FilterDatabase" localSheetId="0" hidden="1">'E5.1'!$B$7:$C$608</definedName>
    <definedName name="_xlnm._FilterDatabase" localSheetId="5" hidden="1">'E5.3'!$B$7:$C$608</definedName>
    <definedName name="_xlnm.Print_Area" localSheetId="7">'B.2.4.bc'!$A$1:$H$91</definedName>
    <definedName name="_xlnm.Print_Area" localSheetId="4">'E5.2'!$A$1:$N$6</definedName>
    <definedName name="_xlnm.Print_Area" localSheetId="6">'E5.4'!$A$1:$N$32</definedName>
    <definedName name="_xlnm.Print_Area" localSheetId="3">'Gy2.24'!$A$1:$I$27</definedName>
    <definedName name="_xlnm.Print_Area" localSheetId="8">'Gy2.25'!$A$1:$F$44</definedName>
    <definedName name="_xlnm.Print_Area" localSheetId="2">'Gy2.27'!$A$1:$N$32</definedName>
    <definedName name="_xlnm.Print_Area" localSheetId="1">'Gy2.28'!$A$1:$M$39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99" l="1"/>
  <c r="F9" i="99" s="1"/>
  <c r="F10" i="99" s="1"/>
  <c r="F11" i="99" s="1"/>
  <c r="F12" i="99" s="1"/>
  <c r="F13" i="99" s="1"/>
  <c r="F14" i="99" s="1"/>
  <c r="F15" i="99" s="1"/>
  <c r="F16" i="99" s="1"/>
  <c r="F17" i="99" s="1"/>
  <c r="F18" i="99" s="1"/>
  <c r="F19" i="99" s="1"/>
  <c r="F20" i="99" s="1"/>
  <c r="F21" i="99" s="1"/>
  <c r="F22" i="99" s="1"/>
  <c r="F23" i="99" s="1"/>
  <c r="F24" i="99" s="1"/>
  <c r="H8" i="99"/>
  <c r="I8" i="99"/>
  <c r="J8" i="99" s="1"/>
  <c r="H9" i="99"/>
  <c r="K9" i="99" s="1"/>
  <c r="I9" i="99"/>
  <c r="J9" i="99" s="1"/>
  <c r="H10" i="99"/>
  <c r="K10" i="99" s="1"/>
  <c r="I10" i="99"/>
  <c r="J10" i="99" s="1"/>
  <c r="H11" i="99"/>
  <c r="K11" i="99" s="1"/>
  <c r="I11" i="99"/>
  <c r="J11" i="99" s="1"/>
  <c r="H12" i="99"/>
  <c r="K12" i="99" s="1"/>
  <c r="I12" i="99"/>
  <c r="J12" i="99" s="1"/>
  <c r="H13" i="99"/>
  <c r="K13" i="99" s="1"/>
  <c r="I13" i="99"/>
  <c r="H14" i="99"/>
  <c r="K14" i="99" s="1"/>
  <c r="I14" i="99"/>
  <c r="H15" i="99"/>
  <c r="K15" i="99" s="1"/>
  <c r="I15" i="99"/>
  <c r="H16" i="99"/>
  <c r="K16" i="99" s="1"/>
  <c r="I16" i="99"/>
  <c r="J16" i="99" s="1"/>
  <c r="H17" i="99"/>
  <c r="K17" i="99" s="1"/>
  <c r="I17" i="99"/>
  <c r="H18" i="99"/>
  <c r="K18" i="99" s="1"/>
  <c r="I18" i="99"/>
  <c r="J18" i="99" s="1"/>
  <c r="H19" i="99"/>
  <c r="K19" i="99" s="1"/>
  <c r="I19" i="99"/>
  <c r="J19" i="99" s="1"/>
  <c r="H20" i="99"/>
  <c r="K20" i="99" s="1"/>
  <c r="I20" i="99"/>
  <c r="J20" i="99" s="1"/>
  <c r="H21" i="99"/>
  <c r="K21" i="99" s="1"/>
  <c r="I21" i="99"/>
  <c r="H22" i="99"/>
  <c r="K22" i="99" s="1"/>
  <c r="I22" i="99"/>
  <c r="H23" i="99"/>
  <c r="K23" i="99" s="1"/>
  <c r="I23" i="99"/>
  <c r="J23" i="99" s="1"/>
  <c r="H24" i="99"/>
  <c r="K24" i="99" s="1"/>
  <c r="I24" i="99"/>
  <c r="J24" i="99" s="1"/>
  <c r="D25" i="99"/>
  <c r="E9" i="99" s="1"/>
  <c r="J22" i="99" l="1"/>
  <c r="J14" i="99"/>
  <c r="J13" i="99"/>
  <c r="E23" i="99"/>
  <c r="E21" i="99"/>
  <c r="E19" i="99"/>
  <c r="E17" i="99"/>
  <c r="E15" i="99"/>
  <c r="E13" i="99"/>
  <c r="E11" i="99"/>
  <c r="K8" i="99"/>
  <c r="E8" i="99"/>
  <c r="E10" i="99"/>
  <c r="E12" i="99"/>
  <c r="E14" i="99"/>
  <c r="E16" i="99"/>
  <c r="E18" i="99"/>
  <c r="E20" i="99"/>
  <c r="E22" i="99"/>
  <c r="E24" i="99"/>
  <c r="J21" i="99"/>
  <c r="J17" i="99"/>
  <c r="J15" i="99"/>
  <c r="G8" i="99" l="1"/>
  <c r="E25" i="99"/>
  <c r="M8" i="99"/>
  <c r="M9" i="99" s="1"/>
  <c r="M10" i="99" s="1"/>
  <c r="M11" i="99" s="1"/>
  <c r="M12" i="99" s="1"/>
  <c r="M13" i="99" s="1"/>
  <c r="M14" i="99" s="1"/>
  <c r="M15" i="99" s="1"/>
  <c r="M16" i="99" s="1"/>
  <c r="M17" i="99" s="1"/>
  <c r="M18" i="99" s="1"/>
  <c r="M19" i="99" s="1"/>
  <c r="M20" i="99" s="1"/>
  <c r="M21" i="99" s="1"/>
  <c r="M22" i="99" s="1"/>
  <c r="M23" i="99" s="1"/>
  <c r="M24" i="99" s="1"/>
  <c r="K25" i="99"/>
  <c r="L8" i="99" s="1"/>
  <c r="G9" i="99" l="1"/>
  <c r="N8" i="99"/>
  <c r="L24" i="99"/>
  <c r="L20" i="99"/>
  <c r="L16" i="99"/>
  <c r="L12" i="99"/>
  <c r="L23" i="99"/>
  <c r="L19" i="99"/>
  <c r="L15" i="99"/>
  <c r="L11" i="99"/>
  <c r="L22" i="99"/>
  <c r="L18" i="99"/>
  <c r="L14" i="99"/>
  <c r="L10" i="99"/>
  <c r="L21" i="99"/>
  <c r="L17" i="99"/>
  <c r="L13" i="99"/>
  <c r="L9" i="99"/>
  <c r="G10" i="99" l="1"/>
  <c r="L25" i="99"/>
  <c r="N9" i="99"/>
  <c r="N10" i="99" l="1"/>
  <c r="G11" i="99"/>
  <c r="G12" i="99" l="1"/>
  <c r="N11" i="99"/>
  <c r="N12" i="99" l="1"/>
  <c r="G13" i="99"/>
  <c r="G14" i="99" l="1"/>
  <c r="N13" i="99"/>
  <c r="N14" i="99" l="1"/>
  <c r="G15" i="99"/>
  <c r="G16" i="99" l="1"/>
  <c r="N15" i="99"/>
  <c r="N16" i="99" l="1"/>
  <c r="G17" i="99"/>
  <c r="G18" i="99" l="1"/>
  <c r="N17" i="99"/>
  <c r="N18" i="99" l="1"/>
  <c r="G19" i="99"/>
  <c r="G20" i="99" l="1"/>
  <c r="N19" i="99"/>
  <c r="N20" i="99" l="1"/>
  <c r="G21" i="99"/>
  <c r="C20" i="72"/>
  <c r="C32" i="72"/>
  <c r="C41" i="72"/>
  <c r="C13" i="71"/>
  <c r="D13" i="71"/>
  <c r="F60" i="71"/>
  <c r="F61" i="71"/>
  <c r="F62" i="71"/>
  <c r="F63" i="71"/>
  <c r="F64" i="71"/>
  <c r="F65" i="71"/>
  <c r="F66" i="71"/>
  <c r="F67" i="71"/>
  <c r="F68" i="71"/>
  <c r="C11" i="69"/>
  <c r="D11" i="69"/>
  <c r="E11" i="69"/>
  <c r="G22" i="99" l="1"/>
  <c r="N21" i="99"/>
  <c r="N22" i="99" l="1"/>
  <c r="G23" i="99"/>
  <c r="G24" i="99" l="1"/>
  <c r="N23" i="99"/>
  <c r="N24" i="9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49C0DA8B-8F7D-446D-8C37-56007392BB5A}">
      <text>
        <r>
          <rPr>
            <sz val="9"/>
            <color indexed="81"/>
            <rFont val="Tahoma"/>
            <family val="2"/>
          </rPr>
          <t>https://www.valasztas.hu/telepulesek-lakossag-es-valasztopolgarszama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K7" authorId="0" shapeId="0" xr:uid="{1E3FC9E6-BD7C-4632-A533-005870CEA465}">
      <text>
        <r>
          <rPr>
            <sz val="9"/>
            <color indexed="81"/>
            <rFont val="Tahoma"/>
            <family val="2"/>
          </rPr>
          <t>millió Ft-ban</t>
        </r>
      </text>
    </comment>
    <comment ref="M7" authorId="0" shapeId="0" xr:uid="{6852FA4F-BECB-453C-BE35-92DDE7EDB38D}">
      <text>
        <r>
          <rPr>
            <sz val="9"/>
            <color indexed="81"/>
            <rFont val="Tahoma"/>
            <family val="2"/>
          </rPr>
          <t>millió Ft-ban</t>
        </r>
      </text>
    </comment>
    <comment ref="H8" authorId="0" shapeId="0" xr:uid="{FAC6925E-A94F-43DF-B6A1-68186E31BE64}">
      <text>
        <r>
          <rPr>
            <sz val="9"/>
            <color indexed="81"/>
            <rFont val="Tahoma"/>
            <family val="2"/>
          </rPr>
          <t>Ha a határokat szigorúan vesszük, akkor 1-gyel növelni kell az értéket. Ezzel nem szoktunk foglalkozni, így is jó, növelés nélkül is.</t>
        </r>
      </text>
    </comment>
    <comment ref="I8" authorId="0" shapeId="0" xr:uid="{E8A18650-EF26-4819-BE2B-23AC7376E683}">
      <text>
        <r>
          <rPr>
            <sz val="9"/>
            <color indexed="81"/>
            <rFont val="Tahoma"/>
            <family val="2"/>
          </rPr>
          <t>Ha a határokat szigorúan vesszük, akkor 1-gyel növelni kell az értéket. Ezzel nem szoktunk foglalkozni, így is jó, növelés nélkül is.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C7" authorId="0" shapeId="0" xr:uid="{AC544FAE-F923-40B3-97C9-72201BB06D0F}">
      <text>
        <r>
          <rPr>
            <sz val="9"/>
            <color indexed="81"/>
            <rFont val="Tahoma"/>
            <family val="2"/>
          </rPr>
          <t>Nagyság szerint rendezve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19C1708A-D3A7-49C0-9B1D-828D5091FD26}">
      <text>
        <r>
          <rPr>
            <sz val="9"/>
            <color indexed="81"/>
            <rFont val="Tahoma"/>
            <family val="2"/>
          </rPr>
          <t>Adatforrás: https://sta.mnb.hu/Reports/powerbi/STA/HaztVagyon_HU?rs:embed=true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31" authorId="0" shapeId="0" xr:uid="{00000000-0006-0000-0800-000001000000}">
      <text>
        <r>
          <rPr>
            <sz val="8"/>
            <color indexed="81"/>
            <rFont val="Arial"/>
            <family val="2"/>
            <charset val="238"/>
          </rPr>
          <t>Megvalósítás: adatok átmásolása értékként, majd rendezés</t>
        </r>
      </text>
    </comment>
    <comment ref="F45" authorId="0" shapeId="0" xr:uid="{00000000-0006-0000-0800-000002000000}">
      <text>
        <r>
          <rPr>
            <sz val="8"/>
            <color indexed="81"/>
            <rFont val="Arial"/>
            <family val="2"/>
            <charset val="238"/>
          </rPr>
          <t>Alternatív megoldási lehetőség</t>
        </r>
      </text>
    </comment>
    <comment ref="B58" authorId="0" shapeId="0" xr:uid="{00000000-0006-0000-0800-000003000000}">
      <text>
        <r>
          <rPr>
            <sz val="8"/>
            <color indexed="81"/>
            <rFont val="Arial"/>
            <family val="2"/>
            <charset val="238"/>
          </rPr>
          <t>a nagyság szerinti sorbarendezés sorszámai</t>
        </r>
      </text>
    </comment>
    <comment ref="C58" authorId="0" shapeId="0" xr:uid="{00000000-0006-0000-0800-000004000000}">
      <text>
        <r>
          <rPr>
            <sz val="8"/>
            <color indexed="81"/>
            <rFont val="Arial"/>
            <family val="2"/>
            <charset val="238"/>
          </rPr>
          <t>a két szempont szerint más-más újságokat kerülnek a rendezett listába !</t>
        </r>
      </text>
    </comment>
  </commentList>
</comments>
</file>

<file path=xl/sharedStrings.xml><?xml version="1.0" encoding="utf-8"?>
<sst xmlns="http://schemas.openxmlformats.org/spreadsheetml/2006/main" count="3420" uniqueCount="3308">
  <si>
    <t>a)</t>
  </si>
  <si>
    <t>b)</t>
  </si>
  <si>
    <t>c)</t>
  </si>
  <si>
    <t>Átlag</t>
  </si>
  <si>
    <t>Összesen</t>
  </si>
  <si>
    <t>─</t>
  </si>
  <si>
    <r>
      <t>g</t>
    </r>
    <r>
      <rPr>
        <b/>
        <vertAlign val="subscript"/>
        <sz val="10"/>
        <color indexed="9"/>
        <rFont val="Arial CE"/>
        <charset val="238"/>
      </rPr>
      <t>i</t>
    </r>
  </si>
  <si>
    <t>Népességnagyság-csoport (fő)</t>
  </si>
  <si>
    <t>Megoszlás</t>
  </si>
  <si>
    <t>Szórás</t>
  </si>
  <si>
    <t>Zsurk</t>
  </si>
  <si>
    <t>Zsujta</t>
  </si>
  <si>
    <t>Zsombó</t>
  </si>
  <si>
    <t>Zsira</t>
  </si>
  <si>
    <t>Zsennye</t>
  </si>
  <si>
    <t>Zselicszentpál</t>
  </si>
  <si>
    <t>Zselickislak</t>
  </si>
  <si>
    <t>Zselickisfalud</t>
  </si>
  <si>
    <t>Zsédeny</t>
  </si>
  <si>
    <t>Zsebeháza</t>
  </si>
  <si>
    <t>Zsarolyán</t>
  </si>
  <si>
    <t>Zsana</t>
  </si>
  <si>
    <t>Zsámbok</t>
  </si>
  <si>
    <t>Zsámbék</t>
  </si>
  <si>
    <t>Zsáka</t>
  </si>
  <si>
    <t>Zsadány</t>
  </si>
  <si>
    <t>Zubogy</t>
  </si>
  <si>
    <t>Zomba</t>
  </si>
  <si>
    <t>Zók</t>
  </si>
  <si>
    <t>Zirc</t>
  </si>
  <si>
    <t>Zimány</t>
  </si>
  <si>
    <t>Ziliz</t>
  </si>
  <si>
    <t>Zics</t>
  </si>
  <si>
    <t>Zichyújfalu</t>
  </si>
  <si>
    <t>Zengővárkony</t>
  </si>
  <si>
    <t>Zemplénagárd</t>
  </si>
  <si>
    <t>Zebegény</t>
  </si>
  <si>
    <t>Zebecke</t>
  </si>
  <si>
    <t>Závod</t>
  </si>
  <si>
    <t>Zaránk</t>
  </si>
  <si>
    <t>Zánka</t>
  </si>
  <si>
    <t>Zámoly</t>
  </si>
  <si>
    <t>Zamárdi</t>
  </si>
  <si>
    <t>Zalkod</t>
  </si>
  <si>
    <t>Zalavég</t>
  </si>
  <si>
    <t>Zalavár</t>
  </si>
  <si>
    <t>Zalaújlak</t>
  </si>
  <si>
    <t>Zalatárnok</t>
  </si>
  <si>
    <t>Zaláta</t>
  </si>
  <si>
    <t>Zalaszombatfa</t>
  </si>
  <si>
    <t>Zalaszentmihály</t>
  </si>
  <si>
    <t>Zalaszentmárton</t>
  </si>
  <si>
    <t>Zalaszentlőrinc</t>
  </si>
  <si>
    <t>Zalaszentlászló</t>
  </si>
  <si>
    <t>Zalaszentjakab</t>
  </si>
  <si>
    <t>Zalaszentiván</t>
  </si>
  <si>
    <t>Zalaszentgyörgy</t>
  </si>
  <si>
    <t>Zalaszentgrót</t>
  </si>
  <si>
    <t>Zalaszentbalázs</t>
  </si>
  <si>
    <t>Zalaszegvár</t>
  </si>
  <si>
    <t>Zalaszántó</t>
  </si>
  <si>
    <t>Zalaszabar</t>
  </si>
  <si>
    <t>Zalasárszeg</t>
  </si>
  <si>
    <t>Zalamerenye</t>
  </si>
  <si>
    <t>Zalameggyes</t>
  </si>
  <si>
    <t>Zalalövő</t>
  </si>
  <si>
    <t>Zalaköveskút</t>
  </si>
  <si>
    <t>Zalakomár</t>
  </si>
  <si>
    <t>Zalakaros</t>
  </si>
  <si>
    <t>Zalaistvánd</t>
  </si>
  <si>
    <t>Zalaigrice</t>
  </si>
  <si>
    <t>Zalaháshágy</t>
  </si>
  <si>
    <t>Zalahaláp</t>
  </si>
  <si>
    <t>Zalagyömörő</t>
  </si>
  <si>
    <t>Zalaerdőd</t>
  </si>
  <si>
    <t>Zalaegerszeg</t>
  </si>
  <si>
    <t>Zalacséb</t>
  </si>
  <si>
    <t>Zalacsány</t>
  </si>
  <si>
    <t>Zalaboldogfa</t>
  </si>
  <si>
    <t>Zalabér</t>
  </si>
  <si>
    <t>Zalabaksa</t>
  </si>
  <si>
    <t>Zalaapáti</t>
  </si>
  <si>
    <t>Zala</t>
  </si>
  <si>
    <t>Zákányszék</t>
  </si>
  <si>
    <t>Zákányfalu</t>
  </si>
  <si>
    <t>Zákány</t>
  </si>
  <si>
    <t>Zajta</t>
  </si>
  <si>
    <t>Zajk</t>
  </si>
  <si>
    <t>Záhony</t>
  </si>
  <si>
    <t>Zagyvaszántó</t>
  </si>
  <si>
    <t>Zagyvarékas</t>
  </si>
  <si>
    <t>Zádorfalva</t>
  </si>
  <si>
    <t>Zádor</t>
  </si>
  <si>
    <t>Zabar</t>
  </si>
  <si>
    <t>Vörs</t>
  </si>
  <si>
    <t>Vöröstó</t>
  </si>
  <si>
    <t>Vönöck</t>
  </si>
  <si>
    <t>Völcsej</t>
  </si>
  <si>
    <t>Vöckönd</t>
  </si>
  <si>
    <t>Vonyarcvashegy</t>
  </si>
  <si>
    <t>Vokány</t>
  </si>
  <si>
    <t>Vizsoly</t>
  </si>
  <si>
    <t>Vizslás</t>
  </si>
  <si>
    <t>Vízvár</t>
  </si>
  <si>
    <t>Vitnyéd</t>
  </si>
  <si>
    <t>Visznek</t>
  </si>
  <si>
    <t>Viszló</t>
  </si>
  <si>
    <t>Viszák</t>
  </si>
  <si>
    <t>Visz</t>
  </si>
  <si>
    <t>Viss</t>
  </si>
  <si>
    <t>Visonta</t>
  </si>
  <si>
    <t>Visnye</t>
  </si>
  <si>
    <t>Visegrád</t>
  </si>
  <si>
    <t>Vindornyaszőlős</t>
  </si>
  <si>
    <t>Vindornyalak</t>
  </si>
  <si>
    <t>Vindornyafok</t>
  </si>
  <si>
    <t>Vinár</t>
  </si>
  <si>
    <t>Vilyvitány</t>
  </si>
  <si>
    <t>Vilonya</t>
  </si>
  <si>
    <t>Vilmány</t>
  </si>
  <si>
    <t>Villánykövesd</t>
  </si>
  <si>
    <t>Villány</t>
  </si>
  <si>
    <t>Vigántpetend</t>
  </si>
  <si>
    <t>Vid</t>
  </si>
  <si>
    <t>Vezseny</t>
  </si>
  <si>
    <t>Vésztő</t>
  </si>
  <si>
    <t>Veszprémvarsány</t>
  </si>
  <si>
    <t>Veszprémgalsa</t>
  </si>
  <si>
    <t>Veszprémfajsz</t>
  </si>
  <si>
    <t>Veszprém</t>
  </si>
  <si>
    <t>Veszkény</t>
  </si>
  <si>
    <t>Vése</t>
  </si>
  <si>
    <t>Vértesszőlős</t>
  </si>
  <si>
    <t>Vértestolna</t>
  </si>
  <si>
    <t>Vértessomló</t>
  </si>
  <si>
    <t>Vérteskethely</t>
  </si>
  <si>
    <t>Vértesboglár</t>
  </si>
  <si>
    <t>Vértesacsa</t>
  </si>
  <si>
    <t>Versend</t>
  </si>
  <si>
    <t>Verseg</t>
  </si>
  <si>
    <t>Verpelét</t>
  </si>
  <si>
    <t>Verőce</t>
  </si>
  <si>
    <t>Veresegyház</t>
  </si>
  <si>
    <t>Vereb</t>
  </si>
  <si>
    <t>Vép</t>
  </si>
  <si>
    <t>Vének</t>
  </si>
  <si>
    <t>Véménd</t>
  </si>
  <si>
    <t>Velény</t>
  </si>
  <si>
    <t>Velence</t>
  </si>
  <si>
    <t>Velemér</t>
  </si>
  <si>
    <t>Velem</t>
  </si>
  <si>
    <t>Vekerd</t>
  </si>
  <si>
    <t>Vékény</t>
  </si>
  <si>
    <t>Vejti</t>
  </si>
  <si>
    <t>Végegyháza</t>
  </si>
  <si>
    <t>Vecsés</t>
  </si>
  <si>
    <t>Vécs</t>
  </si>
  <si>
    <t>Vázsnok</t>
  </si>
  <si>
    <t>Vatta</t>
  </si>
  <si>
    <t>Vát</t>
  </si>
  <si>
    <t>Vasszilvágy</t>
  </si>
  <si>
    <t>Vasszentmihály</t>
  </si>
  <si>
    <t>Vasszécseny</t>
  </si>
  <si>
    <t>Vászoly</t>
  </si>
  <si>
    <t>Vaszar</t>
  </si>
  <si>
    <t>Vasvár</t>
  </si>
  <si>
    <t>Vassurány</t>
  </si>
  <si>
    <t>Vaspör</t>
  </si>
  <si>
    <t>Vasmegyer</t>
  </si>
  <si>
    <t>Vaskút</t>
  </si>
  <si>
    <t>Vaskeresztes</t>
  </si>
  <si>
    <t>Vashosszúfalu</t>
  </si>
  <si>
    <t>Vasegerszeg</t>
  </si>
  <si>
    <t>Vasboldogasszony</t>
  </si>
  <si>
    <t>Vasasszonyfa</t>
  </si>
  <si>
    <t>Vásárosnamény</t>
  </si>
  <si>
    <t>Vásárosmiske</t>
  </si>
  <si>
    <t>Vásárosfalu</t>
  </si>
  <si>
    <t>Vásárosdombó</t>
  </si>
  <si>
    <t>Vásárosbéc</t>
  </si>
  <si>
    <t>Vasalja</t>
  </si>
  <si>
    <t>Vasad</t>
  </si>
  <si>
    <t>Várvölgy</t>
  </si>
  <si>
    <t>Varsány</t>
  </si>
  <si>
    <t>Varsád</t>
  </si>
  <si>
    <t>Várpalota</t>
  </si>
  <si>
    <t>Városlőd</t>
  </si>
  <si>
    <t>Városföld</t>
  </si>
  <si>
    <t>Várong</t>
  </si>
  <si>
    <t>Várkesző</t>
  </si>
  <si>
    <t>Várgesztes</t>
  </si>
  <si>
    <t>Varga</t>
  </si>
  <si>
    <t>Várfölde</t>
  </si>
  <si>
    <t>Várdomb</t>
  </si>
  <si>
    <t>Várda</t>
  </si>
  <si>
    <t>Varbóc</t>
  </si>
  <si>
    <t>Varbó</t>
  </si>
  <si>
    <t>Várbalog</t>
  </si>
  <si>
    <t>Váraszó</t>
  </si>
  <si>
    <t>Varászló</t>
  </si>
  <si>
    <t>Váralja</t>
  </si>
  <si>
    <t>Várad</t>
  </si>
  <si>
    <t>Vanyola</t>
  </si>
  <si>
    <t>Vanyarc</t>
  </si>
  <si>
    <t>Váncsod</t>
  </si>
  <si>
    <t>Vámosszabadi</t>
  </si>
  <si>
    <t>Vámosújfalu</t>
  </si>
  <si>
    <t>Vámospércs</t>
  </si>
  <si>
    <t>Vámosoroszi</t>
  </si>
  <si>
    <t>Vámosmikola</t>
  </si>
  <si>
    <t>Vámosgyörk</t>
  </si>
  <si>
    <t>Vámoscsalád</t>
  </si>
  <si>
    <t>Vámosatya</t>
  </si>
  <si>
    <t>Vállus</t>
  </si>
  <si>
    <t>Vállaj</t>
  </si>
  <si>
    <t>Valkonya</t>
  </si>
  <si>
    <t>Valkó</t>
  </si>
  <si>
    <t>Vál</t>
  </si>
  <si>
    <t>Vajta</t>
  </si>
  <si>
    <t>Vajszló</t>
  </si>
  <si>
    <t>Vajdácska</t>
  </si>
  <si>
    <t>Vaja</t>
  </si>
  <si>
    <t>Vágáshuta</t>
  </si>
  <si>
    <t>Vág</t>
  </si>
  <si>
    <t>Vadosfa</t>
  </si>
  <si>
    <t>Vadna</t>
  </si>
  <si>
    <t>Vácszentlászló</t>
  </si>
  <si>
    <t>Vácrátót</t>
  </si>
  <si>
    <t>Váckisújfalu</t>
  </si>
  <si>
    <t>Váchartyán</t>
  </si>
  <si>
    <t>Vácegres</t>
  </si>
  <si>
    <t>Vácduka</t>
  </si>
  <si>
    <t>Vác</t>
  </si>
  <si>
    <t>Üröm</t>
  </si>
  <si>
    <t>Üllő</t>
  </si>
  <si>
    <t>Üllés</t>
  </si>
  <si>
    <t>Uzsa</t>
  </si>
  <si>
    <t>Uszód</t>
  </si>
  <si>
    <t>Uszka</t>
  </si>
  <si>
    <t>Úrkút</t>
  </si>
  <si>
    <t>Úri</t>
  </si>
  <si>
    <t>Úrhida</t>
  </si>
  <si>
    <t>Uraiújfalu</t>
  </si>
  <si>
    <t>Ura</t>
  </si>
  <si>
    <t>Uppony</t>
  </si>
  <si>
    <t>Úny</t>
  </si>
  <si>
    <t>Und</t>
  </si>
  <si>
    <t>Ukk</t>
  </si>
  <si>
    <t>Újvárfalva</t>
  </si>
  <si>
    <t>Újudvar</t>
  </si>
  <si>
    <t>Újtikos</t>
  </si>
  <si>
    <t>Újtelek</t>
  </si>
  <si>
    <t>Újszilvás</t>
  </si>
  <si>
    <t>Újszentmargita</t>
  </si>
  <si>
    <t>Újszentiván</t>
  </si>
  <si>
    <t>Újszász</t>
  </si>
  <si>
    <t>Újszalonta</t>
  </si>
  <si>
    <t>Újsolt</t>
  </si>
  <si>
    <t>Újrónafő</t>
  </si>
  <si>
    <t>Újpetre</t>
  </si>
  <si>
    <t>Újlőrincfalva</t>
  </si>
  <si>
    <t>Újléta</t>
  </si>
  <si>
    <t>Újlengyel</t>
  </si>
  <si>
    <t>Újkígyós</t>
  </si>
  <si>
    <t>Újkér</t>
  </si>
  <si>
    <t>Újkenéz</t>
  </si>
  <si>
    <t>Újireg</t>
  </si>
  <si>
    <t>Újiráz</t>
  </si>
  <si>
    <t>Újhartyán</t>
  </si>
  <si>
    <t>Újfehértó</t>
  </si>
  <si>
    <t>Újdombrád</t>
  </si>
  <si>
    <t>Újcsanálos</t>
  </si>
  <si>
    <t>Újbarok</t>
  </si>
  <si>
    <t>Ugod</t>
  </si>
  <si>
    <t>Udvari</t>
  </si>
  <si>
    <t>Udvar</t>
  </si>
  <si>
    <t>Tyukod</t>
  </si>
  <si>
    <t>Tüskevár</t>
  </si>
  <si>
    <t>Türje</t>
  </si>
  <si>
    <t>Tuzsér</t>
  </si>
  <si>
    <t>Túrricse</t>
  </si>
  <si>
    <t>Túrony</t>
  </si>
  <si>
    <t>Túrkeve</t>
  </si>
  <si>
    <t>Túristvándi</t>
  </si>
  <si>
    <t>Tura</t>
  </si>
  <si>
    <t>Tunyogmatolcs</t>
  </si>
  <si>
    <t>Trizs</t>
  </si>
  <si>
    <t>Töttös</t>
  </si>
  <si>
    <t>Törtel</t>
  </si>
  <si>
    <t>Törökszentmiklós</t>
  </si>
  <si>
    <t>Törökkoppány</t>
  </si>
  <si>
    <t>Törökbálint</t>
  </si>
  <si>
    <t>Tömörkény</t>
  </si>
  <si>
    <t>Tömörd</t>
  </si>
  <si>
    <t>Töltéstava</t>
  </si>
  <si>
    <t>Tököl</t>
  </si>
  <si>
    <t>Tök</t>
  </si>
  <si>
    <t>Tótvázsony</t>
  </si>
  <si>
    <t>Tótújfalu</t>
  </si>
  <si>
    <t>Tótszerdahely</t>
  </si>
  <si>
    <t>Tótszentmárton</t>
  </si>
  <si>
    <t>Tótszentgyörgy</t>
  </si>
  <si>
    <t>Tótkomlós</t>
  </si>
  <si>
    <t>Tószeg</t>
  </si>
  <si>
    <t>Torvaj</t>
  </si>
  <si>
    <t>Torony</t>
  </si>
  <si>
    <t>Tornyospálca</t>
  </si>
  <si>
    <t>Tornyosnémeti</t>
  </si>
  <si>
    <t>Tornyiszentmiklós</t>
  </si>
  <si>
    <t>Tornaszentjakab</t>
  </si>
  <si>
    <t>Tornaszentandrás</t>
  </si>
  <si>
    <t>Tornanádaska</t>
  </si>
  <si>
    <t>Tornakápolna</t>
  </si>
  <si>
    <t>Tornabarakony</t>
  </si>
  <si>
    <t>Tormásliget</t>
  </si>
  <si>
    <t>Tormás</t>
  </si>
  <si>
    <t>Tormafölde</t>
  </si>
  <si>
    <t>Tordas</t>
  </si>
  <si>
    <t>Tompaládony</t>
  </si>
  <si>
    <t>Tompa</t>
  </si>
  <si>
    <t>Tomor</t>
  </si>
  <si>
    <t>Tomajmonostora</t>
  </si>
  <si>
    <t>Tolnanémedi</t>
  </si>
  <si>
    <t>Tolna</t>
  </si>
  <si>
    <t>Tolmács</t>
  </si>
  <si>
    <t>Told</t>
  </si>
  <si>
    <t>Tolcsva</t>
  </si>
  <si>
    <t>Tokorcs</t>
  </si>
  <si>
    <t>Tokodaltáró</t>
  </si>
  <si>
    <t>Tokod</t>
  </si>
  <si>
    <t>Tokaj</t>
  </si>
  <si>
    <t>Tófű</t>
  </si>
  <si>
    <t>Tófej</t>
  </si>
  <si>
    <t>Tófalu</t>
  </si>
  <si>
    <t>Tóalmás</t>
  </si>
  <si>
    <t>Tivadar</t>
  </si>
  <si>
    <t>Tisztaberek</t>
  </si>
  <si>
    <t>Tiszavid</t>
  </si>
  <si>
    <t>Tiszavasvári</t>
  </si>
  <si>
    <t>Tiszavárkony</t>
  </si>
  <si>
    <t>Tiszavalk</t>
  </si>
  <si>
    <t>Tiszaújváros</t>
  </si>
  <si>
    <t>Tiszaug</t>
  </si>
  <si>
    <t>Tiszatenyő</t>
  </si>
  <si>
    <t>Tiszatelek</t>
  </si>
  <si>
    <t>Tiszatarján</t>
  </si>
  <si>
    <t>Tiszatardos</t>
  </si>
  <si>
    <t>Tiszaszőlős</t>
  </si>
  <si>
    <t>Tiszasziget</t>
  </si>
  <si>
    <t>Tiszaszentmárton</t>
  </si>
  <si>
    <t>Tiszaszentimre</t>
  </si>
  <si>
    <t>Tiszaszalka</t>
  </si>
  <si>
    <t>Tiszasüly</t>
  </si>
  <si>
    <t>Tiszasas</t>
  </si>
  <si>
    <t>Tiszaroff</t>
  </si>
  <si>
    <t>Tiszarád</t>
  </si>
  <si>
    <t>Tiszapüspöki</t>
  </si>
  <si>
    <t>Tiszapalkonya</t>
  </si>
  <si>
    <t>Tiszaörs</t>
  </si>
  <si>
    <t>Tiszanána</t>
  </si>
  <si>
    <t>Tiszanagyfalu</t>
  </si>
  <si>
    <t>Tiszamogyorós</t>
  </si>
  <si>
    <t>Tiszalúc</t>
  </si>
  <si>
    <t>Tiszalök</t>
  </si>
  <si>
    <t>Tiszaladány</t>
  </si>
  <si>
    <t>Tiszakürt</t>
  </si>
  <si>
    <t>Tiszakóród</t>
  </si>
  <si>
    <t>Tiszakeszi</t>
  </si>
  <si>
    <t>Tiszakerecseny</t>
  </si>
  <si>
    <t>Tiszakécske</t>
  </si>
  <si>
    <t>Tiszakarád</t>
  </si>
  <si>
    <t>Tiszakanyár</t>
  </si>
  <si>
    <t>Tiszajenő</t>
  </si>
  <si>
    <t>Tiszainoka</t>
  </si>
  <si>
    <t>Tiszaigar</t>
  </si>
  <si>
    <t>Tiszagyulaháza</t>
  </si>
  <si>
    <t>Tiszagyenda</t>
  </si>
  <si>
    <t>Tiszafüred</t>
  </si>
  <si>
    <t>Tiszaföldvár</t>
  </si>
  <si>
    <t>Tiszaeszlár</t>
  </si>
  <si>
    <t>Tiszadorogma</t>
  </si>
  <si>
    <t>Tiszadob</t>
  </si>
  <si>
    <t>Tiszaderzs</t>
  </si>
  <si>
    <t>Tiszadada</t>
  </si>
  <si>
    <t>Tiszacsermely</t>
  </si>
  <si>
    <t>Tiszacsege</t>
  </si>
  <si>
    <t>Tiszacsécse</t>
  </si>
  <si>
    <t>Tiszabura</t>
  </si>
  <si>
    <t>Tiszabő</t>
  </si>
  <si>
    <t>Tiszabezdéd</t>
  </si>
  <si>
    <t>Tiszabercel</t>
  </si>
  <si>
    <t>Tiszabecs</t>
  </si>
  <si>
    <t>Tiszabábolna</t>
  </si>
  <si>
    <t>Tiszaalpár</t>
  </si>
  <si>
    <t>Tiszaadony</t>
  </si>
  <si>
    <t>Tinnye</t>
  </si>
  <si>
    <t>Timár</t>
  </si>
  <si>
    <t>Tilaj</t>
  </si>
  <si>
    <t>Tikos</t>
  </si>
  <si>
    <t>Tihany</t>
  </si>
  <si>
    <t>Tiborszállás</t>
  </si>
  <si>
    <t>Tibolddaróc</t>
  </si>
  <si>
    <t>Tevel</t>
  </si>
  <si>
    <t>Tetétlen</t>
  </si>
  <si>
    <t>Tét</t>
  </si>
  <si>
    <t>Teskánd</t>
  </si>
  <si>
    <t>Téseny</t>
  </si>
  <si>
    <t>Tésenfa</t>
  </si>
  <si>
    <t>Tésa</t>
  </si>
  <si>
    <t>Tés</t>
  </si>
  <si>
    <t>Terpes</t>
  </si>
  <si>
    <t>Teresztenye</t>
  </si>
  <si>
    <t>Tereske</t>
  </si>
  <si>
    <t>Terény</t>
  </si>
  <si>
    <t>Terem</t>
  </si>
  <si>
    <t>Tépe</t>
  </si>
  <si>
    <t>Tényő</t>
  </si>
  <si>
    <t>Tenk</t>
  </si>
  <si>
    <t>Tengőd</t>
  </si>
  <si>
    <t>Tengeri</t>
  </si>
  <si>
    <t>Tengelic</t>
  </si>
  <si>
    <t>Telkibánya</t>
  </si>
  <si>
    <t>Telki</t>
  </si>
  <si>
    <t>Teleki</t>
  </si>
  <si>
    <t>Telekgerendás</t>
  </si>
  <si>
    <t>Telekes</t>
  </si>
  <si>
    <t>Teklafalu</t>
  </si>
  <si>
    <t>Tékes</t>
  </si>
  <si>
    <t>Tekenye</t>
  </si>
  <si>
    <t>Téglás</t>
  </si>
  <si>
    <t>Tázlár</t>
  </si>
  <si>
    <t>Tatárszentgyörgy</t>
  </si>
  <si>
    <t>Tataháza</t>
  </si>
  <si>
    <t>Tatabánya</t>
  </si>
  <si>
    <t>Tata</t>
  </si>
  <si>
    <t>Tát</t>
  </si>
  <si>
    <t>Taszár</t>
  </si>
  <si>
    <t>Tass</t>
  </si>
  <si>
    <t>Táska</t>
  </si>
  <si>
    <t>Tarrós</t>
  </si>
  <si>
    <t>Tarpa</t>
  </si>
  <si>
    <t>Tárnokréti</t>
  </si>
  <si>
    <t>Tárnok</t>
  </si>
  <si>
    <t>Tarnazsadány</t>
  </si>
  <si>
    <t>Tarnaszentmiklós</t>
  </si>
  <si>
    <t>Tarnaszentmária</t>
  </si>
  <si>
    <t>Tarnaörs</t>
  </si>
  <si>
    <t>Tarnaméra</t>
  </si>
  <si>
    <t>Tarnalelesz</t>
  </si>
  <si>
    <t>Tarnabod</t>
  </si>
  <si>
    <t>Tárkány</t>
  </si>
  <si>
    <t>Tarjánpuszta</t>
  </si>
  <si>
    <t>Tarján</t>
  </si>
  <si>
    <t>Tarhos</t>
  </si>
  <si>
    <t>Tardos</t>
  </si>
  <si>
    <t>Tardona</t>
  </si>
  <si>
    <t>Tard</t>
  </si>
  <si>
    <t>Tarcal</t>
  </si>
  <si>
    <t>Tarany</t>
  </si>
  <si>
    <t>Tar</t>
  </si>
  <si>
    <t>Tápszentmiklós</t>
  </si>
  <si>
    <t>Tapsony</t>
  </si>
  <si>
    <t>Tapolca</t>
  </si>
  <si>
    <t>Táplánszentkereszt</t>
  </si>
  <si>
    <t>Tápiószőlős</t>
  </si>
  <si>
    <t>Tápiószentmárton</t>
  </si>
  <si>
    <t>Tápiószele</t>
  </si>
  <si>
    <t>Tápiószecső</t>
  </si>
  <si>
    <t>Tápióság</t>
  </si>
  <si>
    <t>Tápiógyörgye</t>
  </si>
  <si>
    <t>Tápióbicske</t>
  </si>
  <si>
    <t>Táp</t>
  </si>
  <si>
    <t>Tanakajd</t>
  </si>
  <si>
    <t>Tamási</t>
  </si>
  <si>
    <t>Tállya</t>
  </si>
  <si>
    <t>Taliándörögd</t>
  </si>
  <si>
    <t>Taktaszada</t>
  </si>
  <si>
    <t>Taktakenéz</t>
  </si>
  <si>
    <t>Taktaharkány</t>
  </si>
  <si>
    <t>Taktabáj</t>
  </si>
  <si>
    <t>Taksony</t>
  </si>
  <si>
    <t>Tákos</t>
  </si>
  <si>
    <t>Takácsi</t>
  </si>
  <si>
    <t>Tahitótfalu</t>
  </si>
  <si>
    <t>Tagyon</t>
  </si>
  <si>
    <t>Tác</t>
  </si>
  <si>
    <t>Táborfalva</t>
  </si>
  <si>
    <t>Tabdi</t>
  </si>
  <si>
    <t>Tabajd</t>
  </si>
  <si>
    <t>Tab</t>
  </si>
  <si>
    <t>Szűr</t>
  </si>
  <si>
    <t>Szügy</t>
  </si>
  <si>
    <t>Szűcsi</t>
  </si>
  <si>
    <t>Szurdokpüspöki</t>
  </si>
  <si>
    <t>Szulok</t>
  </si>
  <si>
    <t>Szulimán</t>
  </si>
  <si>
    <t>Szuhogy</t>
  </si>
  <si>
    <t>Szuhakálló</t>
  </si>
  <si>
    <t>Szuhafő</t>
  </si>
  <si>
    <t>Szuha</t>
  </si>
  <si>
    <t>Szúcs</t>
  </si>
  <si>
    <t>Szörény</t>
  </si>
  <si>
    <t>Szőlősgyörök</t>
  </si>
  <si>
    <t>Szőlősardó</t>
  </si>
  <si>
    <t>Szőkedencs</t>
  </si>
  <si>
    <t>Szőkéd</t>
  </si>
  <si>
    <t>Szőke</t>
  </si>
  <si>
    <t>Szögliget</t>
  </si>
  <si>
    <t>Sződliget</t>
  </si>
  <si>
    <t>Sződ</t>
  </si>
  <si>
    <t>Szőce</t>
  </si>
  <si>
    <t>Szőc</t>
  </si>
  <si>
    <t>Szorosad</t>
  </si>
  <si>
    <t>Szorgalmatos</t>
  </si>
  <si>
    <t>Szomor</t>
  </si>
  <si>
    <t>Szomolya</t>
  </si>
  <si>
    <t>Szomód</t>
  </si>
  <si>
    <t>Szombathely</t>
  </si>
  <si>
    <t>Szolnok</t>
  </si>
  <si>
    <t>Szólád</t>
  </si>
  <si>
    <t>Szokolya</t>
  </si>
  <si>
    <t>Szob</t>
  </si>
  <si>
    <t>Szirmabesenyő</t>
  </si>
  <si>
    <t>Szirák</t>
  </si>
  <si>
    <t>Szinpetri</t>
  </si>
  <si>
    <t>Szin</t>
  </si>
  <si>
    <t>Szilvásszentmárton</t>
  </si>
  <si>
    <t>Szilvásvárad</t>
  </si>
  <si>
    <t>Szilvás</t>
  </si>
  <si>
    <t>Szilvágy</t>
  </si>
  <si>
    <t>Szilsárkány</t>
  </si>
  <si>
    <t>Szilaspogony</t>
  </si>
  <si>
    <t>Szilágy</t>
  </si>
  <si>
    <t>Szil</t>
  </si>
  <si>
    <t>Szikszó</t>
  </si>
  <si>
    <t>Szijártóháza</t>
  </si>
  <si>
    <t>Szihalom</t>
  </si>
  <si>
    <t>Szigliget</t>
  </si>
  <si>
    <t>Szigetvár</t>
  </si>
  <si>
    <t>Szigetújfalu</t>
  </si>
  <si>
    <t>Szigetszentmiklós</t>
  </si>
  <si>
    <t>Szigetszentmárton</t>
  </si>
  <si>
    <t>Szigetmonostor</t>
  </si>
  <si>
    <t>Szigethalom</t>
  </si>
  <si>
    <t>Szigetcsép</t>
  </si>
  <si>
    <t>Szigetbecse</t>
  </si>
  <si>
    <t>Szergény</t>
  </si>
  <si>
    <t>Szerep</t>
  </si>
  <si>
    <t>Szerencs</t>
  </si>
  <si>
    <t>Szeremle</t>
  </si>
  <si>
    <t>Szerecseny</t>
  </si>
  <si>
    <t>Szepetnek</t>
  </si>
  <si>
    <t>Szenyér</t>
  </si>
  <si>
    <t>Szentpéterúr</t>
  </si>
  <si>
    <t>Szentpéterszeg</t>
  </si>
  <si>
    <t>Szentpéterfölde</t>
  </si>
  <si>
    <t>Szentpéterfa</t>
  </si>
  <si>
    <t>Szentmártonkáta</t>
  </si>
  <si>
    <t>Szentmargitfalva</t>
  </si>
  <si>
    <t>Szentlőrinckáta</t>
  </si>
  <si>
    <t>Szentlőrinc</t>
  </si>
  <si>
    <t>Szentliszló</t>
  </si>
  <si>
    <t>Szentlászló</t>
  </si>
  <si>
    <t>Szentkozmadombja</t>
  </si>
  <si>
    <t>Szentkirályszabadja</t>
  </si>
  <si>
    <t>Szentkirály</t>
  </si>
  <si>
    <t>Szentkatalin</t>
  </si>
  <si>
    <t>Szentjakabfa</t>
  </si>
  <si>
    <t>Szentistvánbaksa</t>
  </si>
  <si>
    <t>Szentistván</t>
  </si>
  <si>
    <t>Szentimrefalva</t>
  </si>
  <si>
    <t>Szentgyörgyvölgy</t>
  </si>
  <si>
    <t>Szentgyörgyvár</t>
  </si>
  <si>
    <t>Szentgotthárd</t>
  </si>
  <si>
    <t>Szentgáloskér</t>
  </si>
  <si>
    <t>Szentgál</t>
  </si>
  <si>
    <t>Szentes</t>
  </si>
  <si>
    <t>Szentendre</t>
  </si>
  <si>
    <t>Szentegát</t>
  </si>
  <si>
    <t>Szente</t>
  </si>
  <si>
    <t>Szentdomonkos</t>
  </si>
  <si>
    <t>Szentdénes</t>
  </si>
  <si>
    <t>Szentborbás</t>
  </si>
  <si>
    <t>Szentbékkálla</t>
  </si>
  <si>
    <t>Szentbalázs</t>
  </si>
  <si>
    <t>Szentantalfa</t>
  </si>
  <si>
    <t>Szenta</t>
  </si>
  <si>
    <t>Szenna</t>
  </si>
  <si>
    <t>Szendrőlád</t>
  </si>
  <si>
    <t>Szendrő</t>
  </si>
  <si>
    <t>Szendehely</t>
  </si>
  <si>
    <t>Szemere</t>
  </si>
  <si>
    <t>Szemenye</t>
  </si>
  <si>
    <t>Szemely</t>
  </si>
  <si>
    <t>Szellő</t>
  </si>
  <si>
    <t>Szelevény</t>
  </si>
  <si>
    <t>Szeleste</t>
  </si>
  <si>
    <t>Szekszárd</t>
  </si>
  <si>
    <t>Székkutas</t>
  </si>
  <si>
    <t>Székesfehérvár</t>
  </si>
  <si>
    <t>Székelyszabar</t>
  </si>
  <si>
    <t>Székely</t>
  </si>
  <si>
    <t>Szegvár</t>
  </si>
  <si>
    <t>Szegilong</t>
  </si>
  <si>
    <t>Szegi</t>
  </si>
  <si>
    <t>Szeghalom</t>
  </si>
  <si>
    <t>Szegerdő</t>
  </si>
  <si>
    <t>Szeged</t>
  </si>
  <si>
    <t>Szedres</t>
  </si>
  <si>
    <t>Szederkény</t>
  </si>
  <si>
    <t>Szécsisziget</t>
  </si>
  <si>
    <t>Szécsényfelfalu</t>
  </si>
  <si>
    <t>Szécsény</t>
  </si>
  <si>
    <t>Szécsénke</t>
  </si>
  <si>
    <t>Szebény</t>
  </si>
  <si>
    <t>Százhalombatta</t>
  </si>
  <si>
    <t>Szava</t>
  </si>
  <si>
    <t>Szatymaz</t>
  </si>
  <si>
    <t>Szatta</t>
  </si>
  <si>
    <t>Szátok</t>
  </si>
  <si>
    <t>Szatmárcseke</t>
  </si>
  <si>
    <t>Szászvár</t>
  </si>
  <si>
    <t>Szászfa</t>
  </si>
  <si>
    <t>Szászberek</t>
  </si>
  <si>
    <t>Szarvaskő</t>
  </si>
  <si>
    <t>Szarvaskend</t>
  </si>
  <si>
    <t>Szarvasgede</t>
  </si>
  <si>
    <t>Szarvas</t>
  </si>
  <si>
    <t>Szárliget</t>
  </si>
  <si>
    <t>Szárföld</t>
  </si>
  <si>
    <t>Szárazd</t>
  </si>
  <si>
    <t>Szárász</t>
  </si>
  <si>
    <t>Szár</t>
  </si>
  <si>
    <t>Szaporca</t>
  </si>
  <si>
    <t>Szápár</t>
  </si>
  <si>
    <t>Szany</t>
  </si>
  <si>
    <t>Szántód</t>
  </si>
  <si>
    <t>Szank</t>
  </si>
  <si>
    <t>Szanda</t>
  </si>
  <si>
    <t>Szamosszeg</t>
  </si>
  <si>
    <t>Szamosújlak</t>
  </si>
  <si>
    <t>Szamostatárfalva</t>
  </si>
  <si>
    <t>Szamossályi</t>
  </si>
  <si>
    <t>Szamoskér</t>
  </si>
  <si>
    <t>Szamosbecs</t>
  </si>
  <si>
    <t>Szamosangyalos</t>
  </si>
  <si>
    <t>Szalonna</t>
  </si>
  <si>
    <t>Szalmatercs</t>
  </si>
  <si>
    <t>Szalkszentmárton</t>
  </si>
  <si>
    <t>Szálka</t>
  </si>
  <si>
    <t>Szalatnak</t>
  </si>
  <si>
    <t>Szalaszend</t>
  </si>
  <si>
    <t>Szalapa</t>
  </si>
  <si>
    <t>Szalánta</t>
  </si>
  <si>
    <t>Szalafő</t>
  </si>
  <si>
    <t>Szákszend</t>
  </si>
  <si>
    <t>Szakonyfalu</t>
  </si>
  <si>
    <t>Szakony</t>
  </si>
  <si>
    <t>Szakoly</t>
  </si>
  <si>
    <t>Szaknyér</t>
  </si>
  <si>
    <t>Szakmár</t>
  </si>
  <si>
    <t>Szakcs</t>
  </si>
  <si>
    <t>Szakály</t>
  </si>
  <si>
    <t>Szakáld</t>
  </si>
  <si>
    <t>Szakadát</t>
  </si>
  <si>
    <t>Szakácsi</t>
  </si>
  <si>
    <t>Szajol</t>
  </si>
  <si>
    <t>Szajla</t>
  </si>
  <si>
    <t>Szajk</t>
  </si>
  <si>
    <t>Szágy</t>
  </si>
  <si>
    <t>Szada</t>
  </si>
  <si>
    <t>Szabolcsveresmart</t>
  </si>
  <si>
    <t>Szabolcsbáka</t>
  </si>
  <si>
    <t>Szabolcs</t>
  </si>
  <si>
    <t>Szabás</t>
  </si>
  <si>
    <t>Szabadszentkirály</t>
  </si>
  <si>
    <t>Szabadszállás</t>
  </si>
  <si>
    <t>Szabadkígyós</t>
  </si>
  <si>
    <t>Szabadi</t>
  </si>
  <si>
    <t>Szabadhídvég</t>
  </si>
  <si>
    <t>Szabadegyháza</t>
  </si>
  <si>
    <t>Szabadbattyán</t>
  </si>
  <si>
    <t>Süttő</t>
  </si>
  <si>
    <t>Sümegprága</t>
  </si>
  <si>
    <t>Sümegcsehi</t>
  </si>
  <si>
    <t>Sümeg</t>
  </si>
  <si>
    <t>Sülysáp</t>
  </si>
  <si>
    <t>Sükösd</t>
  </si>
  <si>
    <t>Surd</t>
  </si>
  <si>
    <t>Súr</t>
  </si>
  <si>
    <t>Sumony</t>
  </si>
  <si>
    <t>Sukoró</t>
  </si>
  <si>
    <t>Söréd</t>
  </si>
  <si>
    <t>Söpte</t>
  </si>
  <si>
    <t>Söjtör</t>
  </si>
  <si>
    <t>Sótony</t>
  </si>
  <si>
    <t>Sósvertike</t>
  </si>
  <si>
    <t>Sóstófalva</t>
  </si>
  <si>
    <t>Sóskút</t>
  </si>
  <si>
    <t>Sóshartyán</t>
  </si>
  <si>
    <t>Sorokpolány</t>
  </si>
  <si>
    <t>Sormás</t>
  </si>
  <si>
    <t>Sorkikápolna</t>
  </si>
  <si>
    <t>Sorkifalud</t>
  </si>
  <si>
    <t>Sopronnémeti</t>
  </si>
  <si>
    <t>Sopronkövesd</t>
  </si>
  <si>
    <t>Sopronhorpács</t>
  </si>
  <si>
    <t>Sopron</t>
  </si>
  <si>
    <t>Soponya</t>
  </si>
  <si>
    <t>Sonkád</t>
  </si>
  <si>
    <t>Somoskőújfalu</t>
  </si>
  <si>
    <t>Somogyzsitfa</t>
  </si>
  <si>
    <t>Somogyviszló</t>
  </si>
  <si>
    <t>Somogyvár</t>
  </si>
  <si>
    <t>Somogyvámos</t>
  </si>
  <si>
    <t>Somogyudvarhely</t>
  </si>
  <si>
    <t>Somogytúr</t>
  </si>
  <si>
    <t>Somogyszob</t>
  </si>
  <si>
    <t>Somogyszil</t>
  </si>
  <si>
    <t>Somogyszentpál</t>
  </si>
  <si>
    <t>Somogysimonyi</t>
  </si>
  <si>
    <t>Somogysárd</t>
  </si>
  <si>
    <t>Somogysámson</t>
  </si>
  <si>
    <t>Somogymeggyes</t>
  </si>
  <si>
    <t>Somogyjád</t>
  </si>
  <si>
    <t>Somogyhatvan</t>
  </si>
  <si>
    <t>Somogyhárságy</t>
  </si>
  <si>
    <t>Somogygeszti</t>
  </si>
  <si>
    <t>Somogyfajsz</t>
  </si>
  <si>
    <t>Somogyegres</t>
  </si>
  <si>
    <t>Somogydöröcske</t>
  </si>
  <si>
    <t>Somogycsicsó</t>
  </si>
  <si>
    <t>Somogybükkösd</t>
  </si>
  <si>
    <t>Somogybabod</t>
  </si>
  <si>
    <t>Somogyaszaló</t>
  </si>
  <si>
    <t>Somogyaracs</t>
  </si>
  <si>
    <t>Somogyapáti</t>
  </si>
  <si>
    <t>Somogyacsa</t>
  </si>
  <si>
    <t>Somodor</t>
  </si>
  <si>
    <t>Somlóvecse</t>
  </si>
  <si>
    <t>Somlóvásárhely</t>
  </si>
  <si>
    <t>Somlószőlős</t>
  </si>
  <si>
    <t>Somlójenő</t>
  </si>
  <si>
    <t>Somberek</t>
  </si>
  <si>
    <t>Som</t>
  </si>
  <si>
    <t>Solymár</t>
  </si>
  <si>
    <t>Sóly</t>
  </si>
  <si>
    <t>Soltvadkert</t>
  </si>
  <si>
    <t>Soltszentimre</t>
  </si>
  <si>
    <t>Solt</t>
  </si>
  <si>
    <t>Sokorópátka</t>
  </si>
  <si>
    <t>Sobor</t>
  </si>
  <si>
    <t>Sitke</t>
  </si>
  <si>
    <t>Sirok</t>
  </si>
  <si>
    <t>Siójut</t>
  </si>
  <si>
    <t>Siófok</t>
  </si>
  <si>
    <t>Sióagárd</t>
  </si>
  <si>
    <t>Simontornya</t>
  </si>
  <si>
    <t>Simonfa</t>
  </si>
  <si>
    <t>Simaság</t>
  </si>
  <si>
    <t>Sima</t>
  </si>
  <si>
    <t>Siklósnagyfalu</t>
  </si>
  <si>
    <t>Siklósbodony</t>
  </si>
  <si>
    <t>Siklós</t>
  </si>
  <si>
    <t>Sikátor</t>
  </si>
  <si>
    <t>Sérsekszőlős</t>
  </si>
  <si>
    <t>Serényfalva</t>
  </si>
  <si>
    <t>Seregélyes</t>
  </si>
  <si>
    <t>Sényő</t>
  </si>
  <si>
    <t>Sénye</t>
  </si>
  <si>
    <t>Semjénháza</t>
  </si>
  <si>
    <t>Semjén</t>
  </si>
  <si>
    <t>Sellye</t>
  </si>
  <si>
    <t>Selyeb</t>
  </si>
  <si>
    <t>Segesd</t>
  </si>
  <si>
    <t>Sé</t>
  </si>
  <si>
    <t>Sávoly</t>
  </si>
  <si>
    <t>Sátorhely</t>
  </si>
  <si>
    <t>Sátoraljaújhely</t>
  </si>
  <si>
    <t>Sáta</t>
  </si>
  <si>
    <t>Sáska</t>
  </si>
  <si>
    <t>Sásd</t>
  </si>
  <si>
    <t>Sárvár</t>
  </si>
  <si>
    <t>Sarud</t>
  </si>
  <si>
    <t>Sárszentmihály</t>
  </si>
  <si>
    <t>Sárszentlőrinc</t>
  </si>
  <si>
    <t>Sárszentágota</t>
  </si>
  <si>
    <t>Sarród</t>
  </si>
  <si>
    <t>Sárrétudvari</t>
  </si>
  <si>
    <t>Sárpilis</t>
  </si>
  <si>
    <t>Sárospatak</t>
  </si>
  <si>
    <t>Sárosd</t>
  </si>
  <si>
    <t>Sárok</t>
  </si>
  <si>
    <t>Sármellék</t>
  </si>
  <si>
    <t>Sárkeszi</t>
  </si>
  <si>
    <t>Sárkeresztúr</t>
  </si>
  <si>
    <t>Sárkeresztes</t>
  </si>
  <si>
    <t>Sarkadkeresztúr</t>
  </si>
  <si>
    <t>Sarkad</t>
  </si>
  <si>
    <t>Sárisáp</t>
  </si>
  <si>
    <t>Sárhida</t>
  </si>
  <si>
    <t>Sárfimizdó</t>
  </si>
  <si>
    <t>Sáregres</t>
  </si>
  <si>
    <t>Sárbogárd</t>
  </si>
  <si>
    <t>Sárazsadány</t>
  </si>
  <si>
    <t>Sáránd</t>
  </si>
  <si>
    <t>Sáp</t>
  </si>
  <si>
    <t>Sántos</t>
  </si>
  <si>
    <t>Sándorfalva</t>
  </si>
  <si>
    <t>Sand</t>
  </si>
  <si>
    <t>Sámsonháza</t>
  </si>
  <si>
    <t>Sámod</t>
  </si>
  <si>
    <t>Sály</t>
  </si>
  <si>
    <t>Salomvár</t>
  </si>
  <si>
    <t>Salköveskút</t>
  </si>
  <si>
    <t>Salgótarján</t>
  </si>
  <si>
    <t>Salföld</t>
  </si>
  <si>
    <t>Sajtoskál</t>
  </si>
  <si>
    <t>Sajóvelezd</t>
  </si>
  <si>
    <t>Sajóvámos</t>
  </si>
  <si>
    <t>Sajószöged</t>
  </si>
  <si>
    <t>Sajószentpéter</t>
  </si>
  <si>
    <t>Sajósenye</t>
  </si>
  <si>
    <t>Sajópüspöki</t>
  </si>
  <si>
    <t>Sajópetri</t>
  </si>
  <si>
    <t>Sajópálfala</t>
  </si>
  <si>
    <t>Sajóörös</t>
  </si>
  <si>
    <t>Sajónémeti</t>
  </si>
  <si>
    <t>Sajómercse</t>
  </si>
  <si>
    <t>Sajólászlófalva</t>
  </si>
  <si>
    <t>Sajólád</t>
  </si>
  <si>
    <t>Sajókeresztúr</t>
  </si>
  <si>
    <t>Sajókaza</t>
  </si>
  <si>
    <t>Sajókápolna</t>
  </si>
  <si>
    <t>Sajóivánka</t>
  </si>
  <si>
    <t>Sajóhídvég</t>
  </si>
  <si>
    <t>Sajógalgóc</t>
  </si>
  <si>
    <t>Sajóecseg</t>
  </si>
  <si>
    <t>Sajóbábony</t>
  </si>
  <si>
    <t>Ságvár</t>
  </si>
  <si>
    <t>Ságújfalu</t>
  </si>
  <si>
    <t>Ruzsa</t>
  </si>
  <si>
    <t>Rum</t>
  </si>
  <si>
    <t>Rudolftelep</t>
  </si>
  <si>
    <t>Rudabánya</t>
  </si>
  <si>
    <t>Röszke</t>
  </si>
  <si>
    <t>Rönök</t>
  </si>
  <si>
    <t>Röjtökmuzsaj</t>
  </si>
  <si>
    <t>Rózsaszentmárton</t>
  </si>
  <si>
    <t>Rozsály</t>
  </si>
  <si>
    <t>Rózsafa</t>
  </si>
  <si>
    <t>Romonya</t>
  </si>
  <si>
    <t>Romhány</t>
  </si>
  <si>
    <t>Románd</t>
  </si>
  <si>
    <t>Rohod</t>
  </si>
  <si>
    <t>Rinyaújnép</t>
  </si>
  <si>
    <t>Rinyaújlak</t>
  </si>
  <si>
    <t>Rinyaszentkirály</t>
  </si>
  <si>
    <t>Rinyakovácsi</t>
  </si>
  <si>
    <t>Rinyabesenyő</t>
  </si>
  <si>
    <t>Rimóc</t>
  </si>
  <si>
    <t>Rigyác</t>
  </si>
  <si>
    <t>Rigács</t>
  </si>
  <si>
    <t>Ricse</t>
  </si>
  <si>
    <t>Rezi</t>
  </si>
  <si>
    <t>Révleányvár</t>
  </si>
  <si>
    <t>Révfülöp</t>
  </si>
  <si>
    <t>Rétság</t>
  </si>
  <si>
    <t>Rétközberencs</t>
  </si>
  <si>
    <t>Rétalap</t>
  </si>
  <si>
    <t>Resznek</t>
  </si>
  <si>
    <t>Répcevis</t>
  </si>
  <si>
    <t>Répceszentgyörgy</t>
  </si>
  <si>
    <t>Répceszemere</t>
  </si>
  <si>
    <t>Répcelak</t>
  </si>
  <si>
    <t>Répáshuta</t>
  </si>
  <si>
    <t>Remeteszőlős</t>
  </si>
  <si>
    <t>Rém</t>
  </si>
  <si>
    <t>Regöly</t>
  </si>
  <si>
    <t>Regenye</t>
  </si>
  <si>
    <t>Regéc</t>
  </si>
  <si>
    <t>Rédics</t>
  </si>
  <si>
    <t>Réde</t>
  </si>
  <si>
    <t>Recsk</t>
  </si>
  <si>
    <t>Ravazd</t>
  </si>
  <si>
    <t>Rátót</t>
  </si>
  <si>
    <t>Rátka</t>
  </si>
  <si>
    <t>Rásonysápberencs</t>
  </si>
  <si>
    <t>Raposka</t>
  </si>
  <si>
    <t>Rápolt</t>
  </si>
  <si>
    <t>Ramocsaháza</t>
  </si>
  <si>
    <t>Ramocsa</t>
  </si>
  <si>
    <t>Ráksi</t>
  </si>
  <si>
    <t>Rákócziújfalu</t>
  </si>
  <si>
    <t>Rákóczifalva</t>
  </si>
  <si>
    <t>Rákóczibánya</t>
  </si>
  <si>
    <t>Rakamaz</t>
  </si>
  <si>
    <t>Rakacaszend</t>
  </si>
  <si>
    <t>Rakaca</t>
  </si>
  <si>
    <t>Rajka</t>
  </si>
  <si>
    <t>Ragály</t>
  </si>
  <si>
    <t>Radostyán</t>
  </si>
  <si>
    <t>Rádóckölked</t>
  </si>
  <si>
    <t>Rádfalva</t>
  </si>
  <si>
    <t>Rád</t>
  </si>
  <si>
    <t>Ráckeve</t>
  </si>
  <si>
    <t>Ráckeresztúr</t>
  </si>
  <si>
    <t>Rácalmás</t>
  </si>
  <si>
    <t>Rábcakapi</t>
  </si>
  <si>
    <t>Rábatöttös</t>
  </si>
  <si>
    <t>Rábatamási</t>
  </si>
  <si>
    <t>Rábaszentmiklós</t>
  </si>
  <si>
    <t>Rábaszentmihály</t>
  </si>
  <si>
    <t>Rábaszentandrás</t>
  </si>
  <si>
    <t>Rábasebes</t>
  </si>
  <si>
    <t>Rábapordány</t>
  </si>
  <si>
    <t>Rábapaty</t>
  </si>
  <si>
    <t>Rábapatona</t>
  </si>
  <si>
    <t>Rábakecöl</t>
  </si>
  <si>
    <t>Rábahídvég</t>
  </si>
  <si>
    <t>Rábagyarmat</t>
  </si>
  <si>
    <t>Rábacsécsény</t>
  </si>
  <si>
    <t>Rábacsanak</t>
  </si>
  <si>
    <t>Püspökszilágy</t>
  </si>
  <si>
    <t>Püspökmolnári</t>
  </si>
  <si>
    <t>Püspökladány</t>
  </si>
  <si>
    <t>Püspökhatvan</t>
  </si>
  <si>
    <t>Püski</t>
  </si>
  <si>
    <t>Putnok</t>
  </si>
  <si>
    <t>Pusztazámor</t>
  </si>
  <si>
    <t>Pusztavám</t>
  </si>
  <si>
    <t>Pusztavacs</t>
  </si>
  <si>
    <t>Pusztaszer</t>
  </si>
  <si>
    <t>Pusztaszentlászló</t>
  </si>
  <si>
    <t>Pusztaszemes</t>
  </si>
  <si>
    <t>Pusztaszabolcs</t>
  </si>
  <si>
    <t>Pusztaradvány</t>
  </si>
  <si>
    <t>Pusztaottlaka</t>
  </si>
  <si>
    <t>Pusztamonostor</t>
  </si>
  <si>
    <t>Pusztamiske</t>
  </si>
  <si>
    <t>Pusztamérges</t>
  </si>
  <si>
    <t>Pusztamagyaród</t>
  </si>
  <si>
    <t>Pusztakovácsi</t>
  </si>
  <si>
    <t>Pusztahencse</t>
  </si>
  <si>
    <t>Pusztaföldvár</t>
  </si>
  <si>
    <t>Pusztafalu</t>
  </si>
  <si>
    <t>Pusztaederics</t>
  </si>
  <si>
    <t>Pusztadobos</t>
  </si>
  <si>
    <t>Pusztacsó</t>
  </si>
  <si>
    <t>Pusztacsalád</t>
  </si>
  <si>
    <t>Pusztaberki</t>
  </si>
  <si>
    <t>Pusztaapáti</t>
  </si>
  <si>
    <t>Pula</t>
  </si>
  <si>
    <t>Prügy</t>
  </si>
  <si>
    <t>Pötréte</t>
  </si>
  <si>
    <t>Pördefölde</t>
  </si>
  <si>
    <t>Pörböly</t>
  </si>
  <si>
    <t>Pölöskefő</t>
  </si>
  <si>
    <t>Pölöske</t>
  </si>
  <si>
    <t>Potyond</t>
  </si>
  <si>
    <t>Potony</t>
  </si>
  <si>
    <t>Pósfa</t>
  </si>
  <si>
    <t>Porva</t>
  </si>
  <si>
    <t>Pórszombat</t>
  </si>
  <si>
    <t>Porrogszentpál</t>
  </si>
  <si>
    <t>Porrogszentkirály</t>
  </si>
  <si>
    <t>Porrog</t>
  </si>
  <si>
    <t>Porpác</t>
  </si>
  <si>
    <t>Poroszló</t>
  </si>
  <si>
    <t>Pornóapáti</t>
  </si>
  <si>
    <t>Porcsalma</t>
  </si>
  <si>
    <t>Pomáz</t>
  </si>
  <si>
    <t>Polgárdi</t>
  </si>
  <si>
    <t>Polgár</t>
  </si>
  <si>
    <t>Polány</t>
  </si>
  <si>
    <t>Pókaszepetk</t>
  </si>
  <si>
    <t>Pogányszentpéter</t>
  </si>
  <si>
    <t>Pogány</t>
  </si>
  <si>
    <t>Pócspetri</t>
  </si>
  <si>
    <t>Pócsmegyer</t>
  </si>
  <si>
    <t>Pocsaj</t>
  </si>
  <si>
    <t>Pócsa</t>
  </si>
  <si>
    <t>Pitvaros</t>
  </si>
  <si>
    <t>Piskó</t>
  </si>
  <si>
    <t>Pirtó</t>
  </si>
  <si>
    <t>Piricse</t>
  </si>
  <si>
    <t>Pinnye</t>
  </si>
  <si>
    <t>Pinkamindszent</t>
  </si>
  <si>
    <t>Pincehely</t>
  </si>
  <si>
    <t>Pilisszentlászló</t>
  </si>
  <si>
    <t>Pilisszentkereszt</t>
  </si>
  <si>
    <t>Pilisszentiván</t>
  </si>
  <si>
    <t>Pilisszántó</t>
  </si>
  <si>
    <t>Pilisvörösvár</t>
  </si>
  <si>
    <t>Pilismarót</t>
  </si>
  <si>
    <t>Pilisjászfalu</t>
  </si>
  <si>
    <t>Piliscsév</t>
  </si>
  <si>
    <t>Piliscsaba</t>
  </si>
  <si>
    <t>Pilisborosjenő</t>
  </si>
  <si>
    <t>Pilis</t>
  </si>
  <si>
    <t>Piliny</t>
  </si>
  <si>
    <t>Pettend</t>
  </si>
  <si>
    <t>Petrivente</t>
  </si>
  <si>
    <t>Petrikeresztúr</t>
  </si>
  <si>
    <t>Petőmihályfa</t>
  </si>
  <si>
    <t>Petőháza</t>
  </si>
  <si>
    <t>Petőfiszállás</t>
  </si>
  <si>
    <t>Petőfibánya</t>
  </si>
  <si>
    <t>Petneháza</t>
  </si>
  <si>
    <t>Pethőhenye</t>
  </si>
  <si>
    <t>Pétfürdő</t>
  </si>
  <si>
    <t>Pétervására</t>
  </si>
  <si>
    <t>Péteri</t>
  </si>
  <si>
    <t>Péterhida</t>
  </si>
  <si>
    <t>Peterd</t>
  </si>
  <si>
    <t>Perőcsény</t>
  </si>
  <si>
    <t>Perkupa</t>
  </si>
  <si>
    <t>Perkáta</t>
  </si>
  <si>
    <t>Pereszteg</t>
  </si>
  <si>
    <t>Peresznye</t>
  </si>
  <si>
    <t>Perenye</t>
  </si>
  <si>
    <t>Pereked</t>
  </si>
  <si>
    <t>Perecse</t>
  </si>
  <si>
    <t>Pere</t>
  </si>
  <si>
    <t>Perbál</t>
  </si>
  <si>
    <t>Pér</t>
  </si>
  <si>
    <t>Penyige</t>
  </si>
  <si>
    <t>Pénzesgyőr</t>
  </si>
  <si>
    <t>Penészlek</t>
  </si>
  <si>
    <t>Penc</t>
  </si>
  <si>
    <t>Pély</t>
  </si>
  <si>
    <t>Pellérd</t>
  </si>
  <si>
    <t>Pécsvárad</t>
  </si>
  <si>
    <t>Pécsudvard</t>
  </si>
  <si>
    <t>Pécsely</t>
  </si>
  <si>
    <t>Pécsdevecser</t>
  </si>
  <si>
    <t>Pécsbagota</t>
  </si>
  <si>
    <t>Pécs</t>
  </si>
  <si>
    <t>Pecöl</t>
  </si>
  <si>
    <t>Pécel</t>
  </si>
  <si>
    <t>Pázmándfalu</t>
  </si>
  <si>
    <t>Pázmánd</t>
  </si>
  <si>
    <t>Pátyod</t>
  </si>
  <si>
    <t>Páty</t>
  </si>
  <si>
    <t>Patvarc</t>
  </si>
  <si>
    <t>Pátroha</t>
  </si>
  <si>
    <t>Patosfa</t>
  </si>
  <si>
    <t>Pátka</t>
  </si>
  <si>
    <t>Patca</t>
  </si>
  <si>
    <t>Patapoklosi</t>
  </si>
  <si>
    <t>Patalom</t>
  </si>
  <si>
    <t>Patak</t>
  </si>
  <si>
    <t>Pat</t>
  </si>
  <si>
    <t>Pásztori</t>
  </si>
  <si>
    <t>Pásztó</t>
  </si>
  <si>
    <t>Paszab</t>
  </si>
  <si>
    <t>Pári</t>
  </si>
  <si>
    <t>Parasznya</t>
  </si>
  <si>
    <t>Parádsasvár</t>
  </si>
  <si>
    <t>Parád</t>
  </si>
  <si>
    <t>Páprád</t>
  </si>
  <si>
    <t>Papos</t>
  </si>
  <si>
    <t>Pápoc</t>
  </si>
  <si>
    <t>Papkeszi</t>
  </si>
  <si>
    <t>Pápateszér</t>
  </si>
  <si>
    <t>Pápasalamon</t>
  </si>
  <si>
    <t>Pápakovácsi</t>
  </si>
  <si>
    <t>Pápadereske</t>
  </si>
  <si>
    <t>Pápa</t>
  </si>
  <si>
    <t>Pap</t>
  </si>
  <si>
    <t>Panyola</t>
  </si>
  <si>
    <t>Pányok</t>
  </si>
  <si>
    <t>Pannonhalma</t>
  </si>
  <si>
    <t>Pankasz</t>
  </si>
  <si>
    <t>Pánd</t>
  </si>
  <si>
    <t>Pamuk</t>
  </si>
  <si>
    <t>Pamlény</t>
  </si>
  <si>
    <t>Paloznak</t>
  </si>
  <si>
    <t>Palotás</t>
  </si>
  <si>
    <t>Palotabozsok</t>
  </si>
  <si>
    <t>Pálosvörösmart</t>
  </si>
  <si>
    <t>Pálmonostora</t>
  </si>
  <si>
    <t>Pálmajor</t>
  </si>
  <si>
    <t>Palkonya</t>
  </si>
  <si>
    <t>Páli</t>
  </si>
  <si>
    <t>Pálháza</t>
  </si>
  <si>
    <t>Pálfiszeg</t>
  </si>
  <si>
    <t>Pálfa</t>
  </si>
  <si>
    <t>Palé</t>
  </si>
  <si>
    <t>Paks</t>
  </si>
  <si>
    <t>Pákozd</t>
  </si>
  <si>
    <t>Pakod</t>
  </si>
  <si>
    <t>Páka</t>
  </si>
  <si>
    <t>Páhi</t>
  </si>
  <si>
    <t>Padár</t>
  </si>
  <si>
    <t>Pácsony</t>
  </si>
  <si>
    <t>Pacsa</t>
  </si>
  <si>
    <t>Pácin</t>
  </si>
  <si>
    <t>Ötvöskónyi</t>
  </si>
  <si>
    <t>Öttömös</t>
  </si>
  <si>
    <t>Öttevény</t>
  </si>
  <si>
    <t>Öskü</t>
  </si>
  <si>
    <t>Ősi</t>
  </si>
  <si>
    <t>Ősagárd</t>
  </si>
  <si>
    <t>Örvényes</t>
  </si>
  <si>
    <t>Őrtilos</t>
  </si>
  <si>
    <t>Örménykút</t>
  </si>
  <si>
    <t>Örményes</t>
  </si>
  <si>
    <t>Örkény</t>
  </si>
  <si>
    <t>Őriszentpéter</t>
  </si>
  <si>
    <t>Őrimagyarósd</t>
  </si>
  <si>
    <t>Őrhalom</t>
  </si>
  <si>
    <t>Öreglak</t>
  </si>
  <si>
    <t>Öregcsertő</t>
  </si>
  <si>
    <t>Őrbottyán</t>
  </si>
  <si>
    <t>Őr</t>
  </si>
  <si>
    <t>Ömböly</t>
  </si>
  <si>
    <t>Ölbő</t>
  </si>
  <si>
    <t>Ököritófülpös</t>
  </si>
  <si>
    <t>Öcsöd</t>
  </si>
  <si>
    <t>Őcsény</t>
  </si>
  <si>
    <t>Öcs</t>
  </si>
  <si>
    <t>Ozora</t>
  </si>
  <si>
    <t>Ozmánbük</t>
  </si>
  <si>
    <t>Ózdfalu</t>
  </si>
  <si>
    <t>Ózd</t>
  </si>
  <si>
    <t>Osztopán</t>
  </si>
  <si>
    <t>Oszlár</t>
  </si>
  <si>
    <t>Oszkó</t>
  </si>
  <si>
    <t>Ostoros</t>
  </si>
  <si>
    <t>Ostffyasszonyfa</t>
  </si>
  <si>
    <t>Osli</t>
  </si>
  <si>
    <t>Ortaháza</t>
  </si>
  <si>
    <t>Orosztony</t>
  </si>
  <si>
    <t>Oroszló</t>
  </si>
  <si>
    <t>Oroszlány</t>
  </si>
  <si>
    <t>Oroszi</t>
  </si>
  <si>
    <t>Orosháza</t>
  </si>
  <si>
    <t>Ormosbánya</t>
  </si>
  <si>
    <t>Ormándlak</t>
  </si>
  <si>
    <t>Orgovány</t>
  </si>
  <si>
    <t>Orfű</t>
  </si>
  <si>
    <t>Orfalu</t>
  </si>
  <si>
    <t>Ordas</t>
  </si>
  <si>
    <t>Ordacsehi</t>
  </si>
  <si>
    <t>Orci</t>
  </si>
  <si>
    <t>Orbányosfa</t>
  </si>
  <si>
    <t>Ópusztaszer</t>
  </si>
  <si>
    <t>Ópályi</t>
  </si>
  <si>
    <t>Ónod</t>
  </si>
  <si>
    <t>Onga</t>
  </si>
  <si>
    <t>Oltárc</t>
  </si>
  <si>
    <t>Ólmod</t>
  </si>
  <si>
    <t>Old</t>
  </si>
  <si>
    <t>Olcsvaapáti</t>
  </si>
  <si>
    <t>Olcsva</t>
  </si>
  <si>
    <t>Olaszliszka</t>
  </si>
  <si>
    <t>Olaszfalu</t>
  </si>
  <si>
    <t>Olaszfa</t>
  </si>
  <si>
    <t>Olasz</t>
  </si>
  <si>
    <t>Okorvölgy</t>
  </si>
  <si>
    <t>Okorág</t>
  </si>
  <si>
    <t>Okány</t>
  </si>
  <si>
    <t>Óhíd</t>
  </si>
  <si>
    <t>Óföldeák</t>
  </si>
  <si>
    <t>Ófehértó</t>
  </si>
  <si>
    <t>Ófalu</t>
  </si>
  <si>
    <t>Ócsárd</t>
  </si>
  <si>
    <t>Ócsa</t>
  </si>
  <si>
    <t>Óbudavár</t>
  </si>
  <si>
    <t>Óbarok</t>
  </si>
  <si>
    <t>Óbánya</t>
  </si>
  <si>
    <t>Nyúl</t>
  </si>
  <si>
    <t>Nyugotszenterzsébet</t>
  </si>
  <si>
    <t>Nyőgér</t>
  </si>
  <si>
    <t>Nyomár</t>
  </si>
  <si>
    <t>Nyírvasvári</t>
  </si>
  <si>
    <t>Nyírtura</t>
  </si>
  <si>
    <t>Nyírtét</t>
  </si>
  <si>
    <t>Nyírtelek</t>
  </si>
  <si>
    <t>Nyírtass</t>
  </si>
  <si>
    <t>Nyírpilis</t>
  </si>
  <si>
    <t>Nyírpazony</t>
  </si>
  <si>
    <t>Nyírparasznya</t>
  </si>
  <si>
    <t>Nyírmihálydi</t>
  </si>
  <si>
    <t>Nyírmeggyes</t>
  </si>
  <si>
    <t>Nyírmártonfalva</t>
  </si>
  <si>
    <t>Nyírmada</t>
  </si>
  <si>
    <t>Nyírlugos</t>
  </si>
  <si>
    <t>Nyírlövő</t>
  </si>
  <si>
    <t>Nyírkércs</t>
  </si>
  <si>
    <t>Nyírkáta</t>
  </si>
  <si>
    <t>Nyírkarász</t>
  </si>
  <si>
    <t>Nyírjákó</t>
  </si>
  <si>
    <t>Nyíribrony</t>
  </si>
  <si>
    <t>Nyíri</t>
  </si>
  <si>
    <t>Nyírgyulaj</t>
  </si>
  <si>
    <t>Nyírgelse</t>
  </si>
  <si>
    <t>Nyíregyháza</t>
  </si>
  <si>
    <t>Nyírderzs</t>
  </si>
  <si>
    <t>Nyírcsászári</t>
  </si>
  <si>
    <t>Nyírcsaholy</t>
  </si>
  <si>
    <t>Nyírbogdány</t>
  </si>
  <si>
    <t>Nyírbogát</t>
  </si>
  <si>
    <t>Nyírbéltek</t>
  </si>
  <si>
    <t>Nyírbátor</t>
  </si>
  <si>
    <t>Nyíradony</t>
  </si>
  <si>
    <t>Nyirád</t>
  </si>
  <si>
    <t>Nyíracsád</t>
  </si>
  <si>
    <t>Nyírábrány</t>
  </si>
  <si>
    <t>Nyim</t>
  </si>
  <si>
    <t>Nyésta</t>
  </si>
  <si>
    <t>Nyergesújfalu</t>
  </si>
  <si>
    <t>Nyékládháza</t>
  </si>
  <si>
    <t>Nyársapát</t>
  </si>
  <si>
    <t>Nyárlőrinc</t>
  </si>
  <si>
    <t>Nyáregyháza</t>
  </si>
  <si>
    <t>Nyárád</t>
  </si>
  <si>
    <t>Nyalka</t>
  </si>
  <si>
    <t>Nőtincs</t>
  </si>
  <si>
    <t>Novajidrány</t>
  </si>
  <si>
    <t>Novaj</t>
  </si>
  <si>
    <t>Nova</t>
  </si>
  <si>
    <t>Noszvaj</t>
  </si>
  <si>
    <t>Noszlop</t>
  </si>
  <si>
    <t>Nóráp</t>
  </si>
  <si>
    <t>Nógrádszakál</t>
  </si>
  <si>
    <t>Nógrádsipek</t>
  </si>
  <si>
    <t>Nógrádsáp</t>
  </si>
  <si>
    <t>Nógrádmegyer</t>
  </si>
  <si>
    <t>Nógrádmarcal</t>
  </si>
  <si>
    <t>Nógrádkövesd</t>
  </si>
  <si>
    <t>Nógrád</t>
  </si>
  <si>
    <t>Nikla</t>
  </si>
  <si>
    <t>Nick</t>
  </si>
  <si>
    <t>Nézsa</t>
  </si>
  <si>
    <t>Neszmély</t>
  </si>
  <si>
    <t>Nemti</t>
  </si>
  <si>
    <t>Németkér</t>
  </si>
  <si>
    <t>Németfalu</t>
  </si>
  <si>
    <t>Németbánya</t>
  </si>
  <si>
    <t>Nemesszentandrás</t>
  </si>
  <si>
    <t>Nemesszalók</t>
  </si>
  <si>
    <t>Nemesvita</t>
  </si>
  <si>
    <t>Nemesvid</t>
  </si>
  <si>
    <t>Nemesvámos</t>
  </si>
  <si>
    <t>Nemessándorháza</t>
  </si>
  <si>
    <t>Nemesrempehollós</t>
  </si>
  <si>
    <t>Nemesrádó</t>
  </si>
  <si>
    <t>Nemespátró</t>
  </si>
  <si>
    <t>Nemesnép</t>
  </si>
  <si>
    <t>Nemesnádudvar</t>
  </si>
  <si>
    <t>Nemesmedves</t>
  </si>
  <si>
    <t>Nemesládony</t>
  </si>
  <si>
    <t>Nemeskolta</t>
  </si>
  <si>
    <t>Nemeskocs</t>
  </si>
  <si>
    <t>Nemeskisfalud</t>
  </si>
  <si>
    <t>Nemeskeresztúr</t>
  </si>
  <si>
    <t>Nemeskér</t>
  </si>
  <si>
    <t>Nemeske</t>
  </si>
  <si>
    <t>Nemeshetés</t>
  </si>
  <si>
    <t>Nemeshany</t>
  </si>
  <si>
    <t>Nemesgulács</t>
  </si>
  <si>
    <t>Nemesgörzsöny</t>
  </si>
  <si>
    <t>Nemesdéd</t>
  </si>
  <si>
    <t>Nemescsó</t>
  </si>
  <si>
    <t>Nemesbük</t>
  </si>
  <si>
    <t>Nemesbőd</t>
  </si>
  <si>
    <t>Nemesborzova</t>
  </si>
  <si>
    <t>Nemesbikk</t>
  </si>
  <si>
    <t>Nemesapáti</t>
  </si>
  <si>
    <t>Nekézseny</t>
  </si>
  <si>
    <t>Négyes</t>
  </si>
  <si>
    <t>Naszály</t>
  </si>
  <si>
    <t>Narda</t>
  </si>
  <si>
    <t>Nárai</t>
  </si>
  <si>
    <t>Napkor</t>
  </si>
  <si>
    <t>Nak</t>
  </si>
  <si>
    <t>Nagyvisnyó</t>
  </si>
  <si>
    <t>Nagyvenyim</t>
  </si>
  <si>
    <t>Nagyveleg</t>
  </si>
  <si>
    <t>Nagyvejke</t>
  </si>
  <si>
    <t>Nagyvázsony</t>
  </si>
  <si>
    <t>Nagyváty</t>
  </si>
  <si>
    <t>Nagyvarsány</t>
  </si>
  <si>
    <t>Nagyút</t>
  </si>
  <si>
    <t>Nagytőke</t>
  </si>
  <si>
    <t>Nagytótfalu</t>
  </si>
  <si>
    <t>Nagytilaj</t>
  </si>
  <si>
    <t>Nagytevel</t>
  </si>
  <si>
    <t>Nagytarcsa</t>
  </si>
  <si>
    <t>Nagytálya</t>
  </si>
  <si>
    <t>Nagyszokoly</t>
  </si>
  <si>
    <t>Nagyszentjános</t>
  </si>
  <si>
    <t>Nagyszénás</t>
  </si>
  <si>
    <t>Nagyszekeres</t>
  </si>
  <si>
    <t>Nagyszékely</t>
  </si>
  <si>
    <t>Nagyszakácsi</t>
  </si>
  <si>
    <t>Nagysimonyi</t>
  </si>
  <si>
    <t>Nagysáp</t>
  </si>
  <si>
    <t>Nagyrozvágy</t>
  </si>
  <si>
    <t>Nagyrév</t>
  </si>
  <si>
    <t>Nagyréde</t>
  </si>
  <si>
    <t>Nagyrécse</t>
  </si>
  <si>
    <t>Nagyrákos</t>
  </si>
  <si>
    <t>Nagyrada</t>
  </si>
  <si>
    <t>Nagyrábé</t>
  </si>
  <si>
    <t>Nagypirit</t>
  </si>
  <si>
    <t>Nagypeterd</t>
  </si>
  <si>
    <t>Nagypall</t>
  </si>
  <si>
    <t>Nagypáli</t>
  </si>
  <si>
    <t>Nagyoroszi</t>
  </si>
  <si>
    <t>Nagynyárád</t>
  </si>
  <si>
    <t>Nagymizdó</t>
  </si>
  <si>
    <t>Nagymaros</t>
  </si>
  <si>
    <t>Nagymányok</t>
  </si>
  <si>
    <t>Nagymágocs</t>
  </si>
  <si>
    <t>Nagylózs</t>
  </si>
  <si>
    <t>Nagylók</t>
  </si>
  <si>
    <t>Nagylóc</t>
  </si>
  <si>
    <t>Nagylengyel</t>
  </si>
  <si>
    <t>Nagylak</t>
  </si>
  <si>
    <t>Nagykutas</t>
  </si>
  <si>
    <t>Nagykörű</t>
  </si>
  <si>
    <t>Nagykőrös</t>
  </si>
  <si>
    <t>Nagykölked</t>
  </si>
  <si>
    <t>Nagykökényes</t>
  </si>
  <si>
    <t>Nagykozár</t>
  </si>
  <si>
    <t>Nagykovácsi</t>
  </si>
  <si>
    <t>Nagykorpád</t>
  </si>
  <si>
    <t>Nagykónyi</t>
  </si>
  <si>
    <t>Nagykinizs</t>
  </si>
  <si>
    <t>Nagykeresztúr</t>
  </si>
  <si>
    <t>Nagykereki</t>
  </si>
  <si>
    <t>Nagykáta</t>
  </si>
  <si>
    <t>Nagykarácsony</t>
  </si>
  <si>
    <t>Nagykapornak</t>
  </si>
  <si>
    <t>Nagykanizsa</t>
  </si>
  <si>
    <t>Nagykamarás</t>
  </si>
  <si>
    <t>Nagykálló</t>
  </si>
  <si>
    <t>Nagyiván</t>
  </si>
  <si>
    <t>Nagyigmánd</t>
  </si>
  <si>
    <t>Nagyhuta</t>
  </si>
  <si>
    <t>Nagyhódos</t>
  </si>
  <si>
    <t>Nagyhegyes</t>
  </si>
  <si>
    <t>Nagyharsány</t>
  </si>
  <si>
    <t>Nagyhalász</t>
  </si>
  <si>
    <t>Nagyhajmás</t>
  </si>
  <si>
    <t>Nagygyimót</t>
  </si>
  <si>
    <t>Nagygörbő</t>
  </si>
  <si>
    <t>Nagygeresd</t>
  </si>
  <si>
    <t>Nagyfüged</t>
  </si>
  <si>
    <t>Nagyesztergár</t>
  </si>
  <si>
    <t>Nagyér</t>
  </si>
  <si>
    <t>Nagyecsed</t>
  </si>
  <si>
    <t>Nagydorog</t>
  </si>
  <si>
    <t>Nagydobsza</t>
  </si>
  <si>
    <t>Nagydobos</t>
  </si>
  <si>
    <t>Nagydém</t>
  </si>
  <si>
    <t>Nagycserkesz</t>
  </si>
  <si>
    <t>Nagycsepely</t>
  </si>
  <si>
    <t>Nagycsécs</t>
  </si>
  <si>
    <t>Nagycsány</t>
  </si>
  <si>
    <t>Nagycenk</t>
  </si>
  <si>
    <t>Nagybudmér</t>
  </si>
  <si>
    <t>Nagybörzsöny</t>
  </si>
  <si>
    <t>Nagyberki</t>
  </si>
  <si>
    <t>Nagyberény</t>
  </si>
  <si>
    <t>Nagybárkány</t>
  </si>
  <si>
    <t>Nagybarca</t>
  </si>
  <si>
    <t>Nagybaracska</t>
  </si>
  <si>
    <t>Nagybánhegyes</t>
  </si>
  <si>
    <t>Nagybakónak</t>
  </si>
  <si>
    <t>Nagybajom</t>
  </si>
  <si>
    <t>Nagybajcs</t>
  </si>
  <si>
    <t>Nagyatád</t>
  </si>
  <si>
    <t>Nagyar</t>
  </si>
  <si>
    <t>Nagyalásony</t>
  </si>
  <si>
    <t>Nagyacsád</t>
  </si>
  <si>
    <t>Nágocs</t>
  </si>
  <si>
    <t>Nádudvar</t>
  </si>
  <si>
    <t>Nádasdladány</t>
  </si>
  <si>
    <t>Nádasd</t>
  </si>
  <si>
    <t>Nadap</t>
  </si>
  <si>
    <t>Nábrád</t>
  </si>
  <si>
    <t>Murony</t>
  </si>
  <si>
    <t>Murga</t>
  </si>
  <si>
    <t>Muraszemenye</t>
  </si>
  <si>
    <t>Murarátka</t>
  </si>
  <si>
    <t>Murakeresztúr</t>
  </si>
  <si>
    <t>Muhi</t>
  </si>
  <si>
    <t>Múcsony</t>
  </si>
  <si>
    <t>Mucsi</t>
  </si>
  <si>
    <t>Mucsfa</t>
  </si>
  <si>
    <t>Mőcsény</t>
  </si>
  <si>
    <t>Mozsgó</t>
  </si>
  <si>
    <t>Mosonudvar</t>
  </si>
  <si>
    <t>Mosonszolnok</t>
  </si>
  <si>
    <t>Mosonszentmiklós</t>
  </si>
  <si>
    <t>Mosonmagyaróvár</t>
  </si>
  <si>
    <t>Mosdós</t>
  </si>
  <si>
    <t>Mórichida</t>
  </si>
  <si>
    <t>Móricgát</t>
  </si>
  <si>
    <t>Mórahalom</t>
  </si>
  <si>
    <t>Mórágy</t>
  </si>
  <si>
    <t>Mór</t>
  </si>
  <si>
    <t>Monyoród</t>
  </si>
  <si>
    <t>Monoszló</t>
  </si>
  <si>
    <t>Monostorpályi</t>
  </si>
  <si>
    <t>Monostorapáti</t>
  </si>
  <si>
    <t>Mónosbél</t>
  </si>
  <si>
    <t>Monorierdő</t>
  </si>
  <si>
    <t>Monor</t>
  </si>
  <si>
    <t>Monok</t>
  </si>
  <si>
    <t>Monaj</t>
  </si>
  <si>
    <t>Molvány</t>
  </si>
  <si>
    <t>Molnaszecsőd</t>
  </si>
  <si>
    <t>Molnári</t>
  </si>
  <si>
    <t>Mohora</t>
  </si>
  <si>
    <t>Mohács</t>
  </si>
  <si>
    <t>Moha</t>
  </si>
  <si>
    <t>Mogyoróska</t>
  </si>
  <si>
    <t>Mogyorósbánya</t>
  </si>
  <si>
    <t>Mogyoród</t>
  </si>
  <si>
    <t>Mocsa</t>
  </si>
  <si>
    <t>Miszla</t>
  </si>
  <si>
    <t>Miskolc</t>
  </si>
  <si>
    <t>Miske</t>
  </si>
  <si>
    <t>Misefa</t>
  </si>
  <si>
    <t>Mindszentkálla</t>
  </si>
  <si>
    <t>Mindszentgodisa</t>
  </si>
  <si>
    <t>Mindszent</t>
  </si>
  <si>
    <t>Milota</t>
  </si>
  <si>
    <t>Milejszeg</t>
  </si>
  <si>
    <t>Mikosszéplak</t>
  </si>
  <si>
    <t>Mikóháza</t>
  </si>
  <si>
    <t>Mikófalva</t>
  </si>
  <si>
    <t>Miklósi</t>
  </si>
  <si>
    <t>Mikepércs</t>
  </si>
  <si>
    <t>Mikekarácsonyfa</t>
  </si>
  <si>
    <t>Mikebuda</t>
  </si>
  <si>
    <t>Mike</t>
  </si>
  <si>
    <t>Mihályi</t>
  </si>
  <si>
    <t>Mihályháza</t>
  </si>
  <si>
    <t>Mihálygerge</t>
  </si>
  <si>
    <t>Mihályfa</t>
  </si>
  <si>
    <t>Miháld</t>
  </si>
  <si>
    <t>Mezőzombor</t>
  </si>
  <si>
    <t>Mezőtúr</t>
  </si>
  <si>
    <t>Mezőtárkány</t>
  </si>
  <si>
    <t>Mezőszilas</t>
  </si>
  <si>
    <t>Mezőszentgyörgy</t>
  </si>
  <si>
    <t>Mezőszemere</t>
  </si>
  <si>
    <t>Mezősas</t>
  </si>
  <si>
    <t>Mezőpeterd</t>
  </si>
  <si>
    <t>Mezőörs</t>
  </si>
  <si>
    <t>Mezőnyárád</t>
  </si>
  <si>
    <t>Mezőnagymihály</t>
  </si>
  <si>
    <t>Mezőlak</t>
  </si>
  <si>
    <t>Mezőladány</t>
  </si>
  <si>
    <t>Mezőkövesd</t>
  </si>
  <si>
    <t>Mezőkovácsháza</t>
  </si>
  <si>
    <t>Mezőkomárom</t>
  </si>
  <si>
    <t>Mezőkeresztes</t>
  </si>
  <si>
    <t>Mezőhék</t>
  </si>
  <si>
    <t>Mezőhegyes</t>
  </si>
  <si>
    <t>Mezőgyán</t>
  </si>
  <si>
    <t>Mezőfalva</t>
  </si>
  <si>
    <t>Meződ</t>
  </si>
  <si>
    <t>Mezőcsokonya</t>
  </si>
  <si>
    <t>Mezőcsát</t>
  </si>
  <si>
    <t>Mezőberény</t>
  </si>
  <si>
    <t>Mesztegnyő</t>
  </si>
  <si>
    <t>Meszlen</t>
  </si>
  <si>
    <t>Meszes</t>
  </si>
  <si>
    <t>Mesterszállás</t>
  </si>
  <si>
    <t>Mesteri</t>
  </si>
  <si>
    <t>Mesterháza</t>
  </si>
  <si>
    <t>Mersevát</t>
  </si>
  <si>
    <t>Mernye</t>
  </si>
  <si>
    <t>Mérk</t>
  </si>
  <si>
    <t>Mérges</t>
  </si>
  <si>
    <t>Merenye</t>
  </si>
  <si>
    <t>Méra</t>
  </si>
  <si>
    <t>Mende</t>
  </si>
  <si>
    <t>Mencshely</t>
  </si>
  <si>
    <t>Mélykút</t>
  </si>
  <si>
    <t>Mekényes</t>
  </si>
  <si>
    <t>Méhtelek</t>
  </si>
  <si>
    <t>Méhkerék</t>
  </si>
  <si>
    <t>Meggyeskovácsi</t>
  </si>
  <si>
    <t>Megyer</t>
  </si>
  <si>
    <t>Megyehíd</t>
  </si>
  <si>
    <t>Megyaszó</t>
  </si>
  <si>
    <t>Medina</t>
  </si>
  <si>
    <t>Medgyesegyháza</t>
  </si>
  <si>
    <t>Medgyesbodzás</t>
  </si>
  <si>
    <t>Mecsér</t>
  </si>
  <si>
    <t>Mecsekpölöske</t>
  </si>
  <si>
    <t>Mecseknádasd</t>
  </si>
  <si>
    <t>Máza</t>
  </si>
  <si>
    <t>Mátyus</t>
  </si>
  <si>
    <t>Matty</t>
  </si>
  <si>
    <t>Mátyásdomb</t>
  </si>
  <si>
    <t>Mátraverebély</t>
  </si>
  <si>
    <t>Mátraterenye</t>
  </si>
  <si>
    <t>Mátraszőlős</t>
  </si>
  <si>
    <t>Mátraszentimre</t>
  </si>
  <si>
    <t>Mátraszele</t>
  </si>
  <si>
    <t>Mátranovák</t>
  </si>
  <si>
    <t>Mátramindszent</t>
  </si>
  <si>
    <t>Mátraderecske</t>
  </si>
  <si>
    <t>Mátraballa</t>
  </si>
  <si>
    <t>Mátételke</t>
  </si>
  <si>
    <t>Mátészalka</t>
  </si>
  <si>
    <t>Martonyi</t>
  </si>
  <si>
    <t>Martonvásár</t>
  </si>
  <si>
    <t>Martonfa</t>
  </si>
  <si>
    <t>Martfű</t>
  </si>
  <si>
    <t>Mártély</t>
  </si>
  <si>
    <t>Maroslele</t>
  </si>
  <si>
    <t>Márokpapi</t>
  </si>
  <si>
    <t>Márokföld</t>
  </si>
  <si>
    <t>Márok</t>
  </si>
  <si>
    <t>Marócsa</t>
  </si>
  <si>
    <t>Maróc</t>
  </si>
  <si>
    <t>Markotabödöge</t>
  </si>
  <si>
    <t>Markóc</t>
  </si>
  <si>
    <t>Márkó</t>
  </si>
  <si>
    <t>Márkháza</t>
  </si>
  <si>
    <t>Markaz</t>
  </si>
  <si>
    <t>Máriapócs</t>
  </si>
  <si>
    <t>Márianosztra</t>
  </si>
  <si>
    <t>Máriakéménd</t>
  </si>
  <si>
    <t>Máriakálnok</t>
  </si>
  <si>
    <t>Máriahalom</t>
  </si>
  <si>
    <t>Márfa</t>
  </si>
  <si>
    <t>Marcaltő</t>
  </si>
  <si>
    <t>Marcali</t>
  </si>
  <si>
    <t>Marcalgergelyi</t>
  </si>
  <si>
    <t>Maráza</t>
  </si>
  <si>
    <t>Mány</t>
  </si>
  <si>
    <t>Mánfa</t>
  </si>
  <si>
    <t>Mándok</t>
  </si>
  <si>
    <t>Mánd</t>
  </si>
  <si>
    <t>Mályinka</t>
  </si>
  <si>
    <t>Mályi</t>
  </si>
  <si>
    <t>Malomsok</t>
  </si>
  <si>
    <t>Makó</t>
  </si>
  <si>
    <t>Maklár</t>
  </si>
  <si>
    <t>Makkoshotyka</t>
  </si>
  <si>
    <t>Makád</t>
  </si>
  <si>
    <t>Majs</t>
  </si>
  <si>
    <t>Majosháza</t>
  </si>
  <si>
    <t>Magyartelek</t>
  </si>
  <si>
    <t>Magyarszombatfa</t>
  </si>
  <si>
    <t>Magyarszerdahely</t>
  </si>
  <si>
    <t>Magyarszentmiklós</t>
  </si>
  <si>
    <t>Magyarszék</t>
  </si>
  <si>
    <t>Magyarszecsőd</t>
  </si>
  <si>
    <t>Magyarsarlós</t>
  </si>
  <si>
    <t>Magyarpolány</t>
  </si>
  <si>
    <t>Magyarnándor</t>
  </si>
  <si>
    <t>Magyarnádalja</t>
  </si>
  <si>
    <t>Magyarmecske</t>
  </si>
  <si>
    <t>Magyarlukafa</t>
  </si>
  <si>
    <t>Magyarlak</t>
  </si>
  <si>
    <t>Magyarkeszi</t>
  </si>
  <si>
    <t>Magyarkeresztúr</t>
  </si>
  <si>
    <t>Magyarhomorog</t>
  </si>
  <si>
    <t>Magyarhertelend</t>
  </si>
  <si>
    <t>Magyargencs</t>
  </si>
  <si>
    <t>Magyargéc</t>
  </si>
  <si>
    <t>Magyarföld</t>
  </si>
  <si>
    <t>Magyaregres</t>
  </si>
  <si>
    <t>Magyaregregy</t>
  </si>
  <si>
    <t>Magyardombegyház</t>
  </si>
  <si>
    <t>Magyarcsanád</t>
  </si>
  <si>
    <t>Magyarbóly</t>
  </si>
  <si>
    <t>Magyarbánhegyes</t>
  </si>
  <si>
    <t>Magyaratád</t>
  </si>
  <si>
    <t>Magyaralmás</t>
  </si>
  <si>
    <t>Magy</t>
  </si>
  <si>
    <t>Magosliget</t>
  </si>
  <si>
    <t>Mágocs</t>
  </si>
  <si>
    <t>Maglód</t>
  </si>
  <si>
    <t>Maglóca</t>
  </si>
  <si>
    <t>Madocsa</t>
  </si>
  <si>
    <t>Madaras</t>
  </si>
  <si>
    <t>Mád</t>
  </si>
  <si>
    <t>Lúzsok</t>
  </si>
  <si>
    <t>Lulla</t>
  </si>
  <si>
    <t>Lukácsháza</t>
  </si>
  <si>
    <t>Ludas</t>
  </si>
  <si>
    <t>Ludányhalászi</t>
  </si>
  <si>
    <t>Lucfalva</t>
  </si>
  <si>
    <t>Lövőpetri</t>
  </si>
  <si>
    <t>Lövő</t>
  </si>
  <si>
    <t>Lőrinci</t>
  </si>
  <si>
    <t>Lőkösháza</t>
  </si>
  <si>
    <t>Lovászpatona</t>
  </si>
  <si>
    <t>Lovászi</t>
  </si>
  <si>
    <t>Lovászhetény</t>
  </si>
  <si>
    <t>Lovasberény</t>
  </si>
  <si>
    <t>Lovas</t>
  </si>
  <si>
    <t>Lothárd</t>
  </si>
  <si>
    <t>Lórév</t>
  </si>
  <si>
    <t>Lónya</t>
  </si>
  <si>
    <t>Lókút</t>
  </si>
  <si>
    <t>Lócs</t>
  </si>
  <si>
    <t>Litke</t>
  </si>
  <si>
    <t>Litka</t>
  </si>
  <si>
    <t>Litér</t>
  </si>
  <si>
    <t>Liszó</t>
  </si>
  <si>
    <t>Lispeszentadorján</t>
  </si>
  <si>
    <t>Liptód</t>
  </si>
  <si>
    <t>Lippó</t>
  </si>
  <si>
    <t>Lipót</t>
  </si>
  <si>
    <t>Ligetfalva</t>
  </si>
  <si>
    <t>Liget</t>
  </si>
  <si>
    <t>Lickóvadamos</t>
  </si>
  <si>
    <t>Libickozma</t>
  </si>
  <si>
    <t>Levelek</t>
  </si>
  <si>
    <t>Levél</t>
  </si>
  <si>
    <t>Letkés</t>
  </si>
  <si>
    <t>Letenye</t>
  </si>
  <si>
    <t>Létavértes</t>
  </si>
  <si>
    <t>Lesencetomaj</t>
  </si>
  <si>
    <t>Lesenceistvánd</t>
  </si>
  <si>
    <t>Lesencefalu</t>
  </si>
  <si>
    <t>Lepsény</t>
  </si>
  <si>
    <t>Lenti</t>
  </si>
  <si>
    <t>Lengyeltóti</t>
  </si>
  <si>
    <t>Lengyel</t>
  </si>
  <si>
    <t>Lendvajakabfa</t>
  </si>
  <si>
    <t>Lendvadedes</t>
  </si>
  <si>
    <t>Lénárddaróc</t>
  </si>
  <si>
    <t>Léh</t>
  </si>
  <si>
    <t>Legyesbénye</t>
  </si>
  <si>
    <t>Legénd</t>
  </si>
  <si>
    <t>Lébény</t>
  </si>
  <si>
    <t>Leányvár</t>
  </si>
  <si>
    <t>Leányfalu</t>
  </si>
  <si>
    <t>Lázi</t>
  </si>
  <si>
    <t>Látrány</t>
  </si>
  <si>
    <t>Lasztonya</t>
  </si>
  <si>
    <t>Laskod</t>
  </si>
  <si>
    <t>Lapáncsa</t>
  </si>
  <si>
    <t>Lápafő</t>
  </si>
  <si>
    <t>Lánycsók</t>
  </si>
  <si>
    <t>Lakócsa</t>
  </si>
  <si>
    <t>Lakitelek</t>
  </si>
  <si>
    <t>Lakhegy</t>
  </si>
  <si>
    <t>Lak</t>
  </si>
  <si>
    <t>Lajosmizse</t>
  </si>
  <si>
    <t>Lajoskomárom</t>
  </si>
  <si>
    <t>Ládbesenyő</t>
  </si>
  <si>
    <t>Ladánybene</t>
  </si>
  <si>
    <t>Lad</t>
  </si>
  <si>
    <t>Lácacséke</t>
  </si>
  <si>
    <t>Lábod</t>
  </si>
  <si>
    <t>Lábatlan</t>
  </si>
  <si>
    <t>Küngös</t>
  </si>
  <si>
    <t>Külsővat</t>
  </si>
  <si>
    <t>Külsősárd</t>
  </si>
  <si>
    <t>Kübekháza</t>
  </si>
  <si>
    <t>Kutasó</t>
  </si>
  <si>
    <t>Kutas</t>
  </si>
  <si>
    <t>Kustánszeg</t>
  </si>
  <si>
    <t>Kurityán</t>
  </si>
  <si>
    <t>Kurd</t>
  </si>
  <si>
    <t>Kupa</t>
  </si>
  <si>
    <t>Kup</t>
  </si>
  <si>
    <t>Kunsziget</t>
  </si>
  <si>
    <t>Kunszentmiklós</t>
  </si>
  <si>
    <t>Kunszentmárton</t>
  </si>
  <si>
    <t>Kunszállás</t>
  </si>
  <si>
    <t>Kunpeszér</t>
  </si>
  <si>
    <t>Kunmadaras</t>
  </si>
  <si>
    <t>Kunhegyes</t>
  </si>
  <si>
    <t>Kunfehértó</t>
  </si>
  <si>
    <t>Kuncsorba</t>
  </si>
  <si>
    <t>Kunbaracs</t>
  </si>
  <si>
    <t>Kunbaja</t>
  </si>
  <si>
    <t>Kunágota</t>
  </si>
  <si>
    <t>Kunadacs</t>
  </si>
  <si>
    <t>Kulcs</t>
  </si>
  <si>
    <t>Krasznokvajda</t>
  </si>
  <si>
    <t>Köveskál</t>
  </si>
  <si>
    <t>Kövegy</t>
  </si>
  <si>
    <t>Kővágótöttös</t>
  </si>
  <si>
    <t>Kővágószőlős</t>
  </si>
  <si>
    <t>Kővágóörs</t>
  </si>
  <si>
    <t>Kőtelek</t>
  </si>
  <si>
    <t>Kötegyán</t>
  </si>
  <si>
    <t>Kötcse</t>
  </si>
  <si>
    <t>Kőszegszerdahely</t>
  </si>
  <si>
    <t>Kőszegpaty</t>
  </si>
  <si>
    <t>Kőszegdoroszló</t>
  </si>
  <si>
    <t>Kőszeg</t>
  </si>
  <si>
    <t>Kőszárhegy</t>
  </si>
  <si>
    <t>Körösszegapáti</t>
  </si>
  <si>
    <t>Körösszakál</t>
  </si>
  <si>
    <t>Körösújfalu</t>
  </si>
  <si>
    <t>Kőröstetétlen</t>
  </si>
  <si>
    <t>Köröstarcsa</t>
  </si>
  <si>
    <t>Körösnagyharsány</t>
  </si>
  <si>
    <t>Körösladány</t>
  </si>
  <si>
    <t>Kőröshegy</t>
  </si>
  <si>
    <t>Köröm</t>
  </si>
  <si>
    <t>Környe</t>
  </si>
  <si>
    <t>Körmend</t>
  </si>
  <si>
    <t>Kömpöc</t>
  </si>
  <si>
    <t>Kömörő</t>
  </si>
  <si>
    <t>Kömlőd</t>
  </si>
  <si>
    <t>Kömlő</t>
  </si>
  <si>
    <t>Kölked</t>
  </si>
  <si>
    <t>Kölesd</t>
  </si>
  <si>
    <t>Kölcse</t>
  </si>
  <si>
    <t>Kőkút</t>
  </si>
  <si>
    <t>Kökény</t>
  </si>
  <si>
    <t>Köcsk</t>
  </si>
  <si>
    <t>Köblény</t>
  </si>
  <si>
    <t>Kozmadombja</t>
  </si>
  <si>
    <t>Kozármisleny</t>
  </si>
  <si>
    <t>Kozárd</t>
  </si>
  <si>
    <t>Kovácsvágás</t>
  </si>
  <si>
    <t>Kovácsszénája</t>
  </si>
  <si>
    <t>Kovácshida</t>
  </si>
  <si>
    <t>Kótaj</t>
  </si>
  <si>
    <t>Kóspallag</t>
  </si>
  <si>
    <t>Kosd</t>
  </si>
  <si>
    <t>Kórós</t>
  </si>
  <si>
    <t>Koroncó</t>
  </si>
  <si>
    <t>Korlát</t>
  </si>
  <si>
    <t>Koppányszántó</t>
  </si>
  <si>
    <t>Kópháza</t>
  </si>
  <si>
    <t>Konyár</t>
  </si>
  <si>
    <t>Kóny</t>
  </si>
  <si>
    <t>Kondoros</t>
  </si>
  <si>
    <t>Kondorfa</t>
  </si>
  <si>
    <t>Kondó</t>
  </si>
  <si>
    <t>Kompolt</t>
  </si>
  <si>
    <t>Komoró</t>
  </si>
  <si>
    <t>Komlóska</t>
  </si>
  <si>
    <t>Komlósd</t>
  </si>
  <si>
    <t>Komlódtótfalu</t>
  </si>
  <si>
    <t>Komló</t>
  </si>
  <si>
    <t>Komjáti</t>
  </si>
  <si>
    <t>Komárom</t>
  </si>
  <si>
    <t>Komádi</t>
  </si>
  <si>
    <t>Kolontár</t>
  </si>
  <si>
    <t>Kokad</t>
  </si>
  <si>
    <t>Kóka</t>
  </si>
  <si>
    <t>Kocsord</t>
  </si>
  <si>
    <t>Kocsola</t>
  </si>
  <si>
    <t>Kocsér</t>
  </si>
  <si>
    <t>Kocs</t>
  </si>
  <si>
    <t>Klárafalva</t>
  </si>
  <si>
    <t>Kisszőlős</t>
  </si>
  <si>
    <t>Kissziget</t>
  </si>
  <si>
    <t>Kisszentmárton</t>
  </si>
  <si>
    <t>Kisszekeres</t>
  </si>
  <si>
    <t>Kisszékely</t>
  </si>
  <si>
    <t>Kisszállás</t>
  </si>
  <si>
    <t>Kiszsidány</t>
  </si>
  <si>
    <t>Kiszombor</t>
  </si>
  <si>
    <t>Kisvejke</t>
  </si>
  <si>
    <t>Kisvaszar</t>
  </si>
  <si>
    <t>Kisvásárhely</t>
  </si>
  <si>
    <t>Kisvarsány</t>
  </si>
  <si>
    <t>Kisvárda</t>
  </si>
  <si>
    <t>Kisunyom</t>
  </si>
  <si>
    <t>Kisújszállás</t>
  </si>
  <si>
    <t>Kistótfalu</t>
  </si>
  <si>
    <t>Kistormás</t>
  </si>
  <si>
    <t>Kistolmács</t>
  </si>
  <si>
    <t>Kistokaj</t>
  </si>
  <si>
    <t>Kistelek</t>
  </si>
  <si>
    <t>Kistarcsa</t>
  </si>
  <si>
    <t>Kistapolca</t>
  </si>
  <si>
    <t>Kistamási</t>
  </si>
  <si>
    <t>Kissomlyó</t>
  </si>
  <si>
    <t>Kissikátor</t>
  </si>
  <si>
    <t>Kisrozvágy</t>
  </si>
  <si>
    <t>Kisrécse</t>
  </si>
  <si>
    <t>Kisrákos</t>
  </si>
  <si>
    <t>Kispirit</t>
  </si>
  <si>
    <t>Kispáli</t>
  </si>
  <si>
    <t>Kispalád</t>
  </si>
  <si>
    <t>Kisoroszi</t>
  </si>
  <si>
    <t>Kisnyárád</t>
  </si>
  <si>
    <t>Kisnémedi</t>
  </si>
  <si>
    <t>Kisnána</t>
  </si>
  <si>
    <t>Kisnamény</t>
  </si>
  <si>
    <t>Kismaros</t>
  </si>
  <si>
    <t>Kismarja</t>
  </si>
  <si>
    <t>Kismányok</t>
  </si>
  <si>
    <t>Kislőd</t>
  </si>
  <si>
    <t>Kislippó</t>
  </si>
  <si>
    <t>Kisléta</t>
  </si>
  <si>
    <t>Kisláng</t>
  </si>
  <si>
    <t>Kiskutas</t>
  </si>
  <si>
    <t>Kiskunmajsa</t>
  </si>
  <si>
    <t>Kiskunlacháza</t>
  </si>
  <si>
    <t>Kiskunhalas</t>
  </si>
  <si>
    <t>Kiskunfélegyháza</t>
  </si>
  <si>
    <t>Kiskőrös</t>
  </si>
  <si>
    <t>Kisköre</t>
  </si>
  <si>
    <t>Kiskorpád</t>
  </si>
  <si>
    <t>Kiskinizs</t>
  </si>
  <si>
    <t>Kiskassa</t>
  </si>
  <si>
    <t>Kisjakabfalva</t>
  </si>
  <si>
    <t>Kisigmánd</t>
  </si>
  <si>
    <t>Kishuta</t>
  </si>
  <si>
    <t>Kishódos</t>
  </si>
  <si>
    <t>Kisherend</t>
  </si>
  <si>
    <t>Kishartyán</t>
  </si>
  <si>
    <t>Kisharsány</t>
  </si>
  <si>
    <t>Kishajmás</t>
  </si>
  <si>
    <t>Kisgyőr</t>
  </si>
  <si>
    <t>Kisgyalán</t>
  </si>
  <si>
    <t>Kisgörbő</t>
  </si>
  <si>
    <t>Kisfüzes</t>
  </si>
  <si>
    <t>Kisfalud</t>
  </si>
  <si>
    <t>Kisecset</t>
  </si>
  <si>
    <t>Kisdorog</t>
  </si>
  <si>
    <t>Kisdombegyház</t>
  </si>
  <si>
    <t>Kisdobsza</t>
  </si>
  <si>
    <t>Kisdér</t>
  </si>
  <si>
    <t>Kiscsősz</t>
  </si>
  <si>
    <t>Kiscsehi</t>
  </si>
  <si>
    <t>Kiscsécs</t>
  </si>
  <si>
    <t>Kisbudmér</t>
  </si>
  <si>
    <t>Kisbucsa</t>
  </si>
  <si>
    <t>Kisbodak</t>
  </si>
  <si>
    <t>Kisbeszterce</t>
  </si>
  <si>
    <t>Kisberzseny</t>
  </si>
  <si>
    <t>Kisberény</t>
  </si>
  <si>
    <t>Kisbér</t>
  </si>
  <si>
    <t>Kisbárkány</t>
  </si>
  <si>
    <t>Kisbárapáti</t>
  </si>
  <si>
    <t>Kisbajom</t>
  </si>
  <si>
    <t>Kisbajcs</t>
  </si>
  <si>
    <t>Kisbágyon</t>
  </si>
  <si>
    <t>Kisbabot</t>
  </si>
  <si>
    <t>Kisasszonyfa</t>
  </si>
  <si>
    <t>Kisasszond</t>
  </si>
  <si>
    <t>Kisar</t>
  </si>
  <si>
    <t>Kisapostag</t>
  </si>
  <si>
    <t>Kisapáti</t>
  </si>
  <si>
    <t>Királyszentistván</t>
  </si>
  <si>
    <t>Királyhegyes</t>
  </si>
  <si>
    <t>Királyegyháza</t>
  </si>
  <si>
    <t>Királd</t>
  </si>
  <si>
    <t>Kincsesbánya</t>
  </si>
  <si>
    <t>Kimle</t>
  </si>
  <si>
    <t>Kilimán</t>
  </si>
  <si>
    <t>Kevermes</t>
  </si>
  <si>
    <t>Kéty</t>
  </si>
  <si>
    <t>Kétvölgy</t>
  </si>
  <si>
    <t>Kétújfalu</t>
  </si>
  <si>
    <t>Kétsoprony</t>
  </si>
  <si>
    <t>Kétpó</t>
  </si>
  <si>
    <t>Kéthely</t>
  </si>
  <si>
    <t>Kétegyháza</t>
  </si>
  <si>
    <t>Kétbodony</t>
  </si>
  <si>
    <t>Keszü</t>
  </si>
  <si>
    <t>Kesztölc</t>
  </si>
  <si>
    <t>Keszthely</t>
  </si>
  <si>
    <t>Keszőhidegkút</t>
  </si>
  <si>
    <t>Kesznyéten</t>
  </si>
  <si>
    <t>Keszeg</t>
  </si>
  <si>
    <t>Kertészsziget</t>
  </si>
  <si>
    <t>Kerta</t>
  </si>
  <si>
    <t>Kérsemjén</t>
  </si>
  <si>
    <t>Kerkateskánd</t>
  </si>
  <si>
    <t>Kerkaszentkirály</t>
  </si>
  <si>
    <t>Kerkáskápolna</t>
  </si>
  <si>
    <t>Kerkakutas</t>
  </si>
  <si>
    <t>Kerkafalva</t>
  </si>
  <si>
    <t>Kerkabarabás</t>
  </si>
  <si>
    <t>Keresztéte</t>
  </si>
  <si>
    <t>Kerepes</t>
  </si>
  <si>
    <t>Kerékteleki</t>
  </si>
  <si>
    <t>Kereki</t>
  </si>
  <si>
    <t>Kerekharaszt</t>
  </si>
  <si>
    <t>Kerekegyháza</t>
  </si>
  <si>
    <t>Kerecseny</t>
  </si>
  <si>
    <t>Kerecsend</t>
  </si>
  <si>
    <t>Kercseliget</t>
  </si>
  <si>
    <t>Kercaszomor</t>
  </si>
  <si>
    <t>Kenyeri</t>
  </si>
  <si>
    <t>Kengyel</t>
  </si>
  <si>
    <t>Kenézlő</t>
  </si>
  <si>
    <t>Kenéz</t>
  </si>
  <si>
    <t>Kenderes</t>
  </si>
  <si>
    <t>Kemse</t>
  </si>
  <si>
    <t>Kemestaródfa</t>
  </si>
  <si>
    <t>Kémes</t>
  </si>
  <si>
    <t>Keménfa</t>
  </si>
  <si>
    <t>Kemenesszentpéter</t>
  </si>
  <si>
    <t>Kemenesszentmárton</t>
  </si>
  <si>
    <t>Kemenessömjén</t>
  </si>
  <si>
    <t>Kemenespálfa</t>
  </si>
  <si>
    <t>Kemenesmihályfa</t>
  </si>
  <si>
    <t>Kemenesmagasi</t>
  </si>
  <si>
    <t>Kemeneskápolna</t>
  </si>
  <si>
    <t>Kemeneshőgyész</t>
  </si>
  <si>
    <t>Kemendollár</t>
  </si>
  <si>
    <t>Kemence</t>
  </si>
  <si>
    <t>Kemecse</t>
  </si>
  <si>
    <t>Kelevíz</t>
  </si>
  <si>
    <t>Kéleshalom</t>
  </si>
  <si>
    <t>Kelemér</t>
  </si>
  <si>
    <t>Keléd</t>
  </si>
  <si>
    <t>Kelebia</t>
  </si>
  <si>
    <t>Kékkút</t>
  </si>
  <si>
    <t>Kékesd</t>
  </si>
  <si>
    <t>Kéked</t>
  </si>
  <si>
    <t>Kékcse</t>
  </si>
  <si>
    <t>Kék</t>
  </si>
  <si>
    <t>Kehidakustány</t>
  </si>
  <si>
    <t>Kecskemét</t>
  </si>
  <si>
    <t>Kecskéd</t>
  </si>
  <si>
    <t>Kecel</t>
  </si>
  <si>
    <t>Kazsok</t>
  </si>
  <si>
    <t>Kázsmárk</t>
  </si>
  <si>
    <t>Kazincbarcika</t>
  </si>
  <si>
    <t>Kazár</t>
  </si>
  <si>
    <t>Kávás</t>
  </si>
  <si>
    <t>Káva</t>
  </si>
  <si>
    <t>Katymár</t>
  </si>
  <si>
    <t>Kátoly</t>
  </si>
  <si>
    <t>Katafa</t>
  </si>
  <si>
    <t>Katádfa</t>
  </si>
  <si>
    <t>Kaszó</t>
  </si>
  <si>
    <t>Kaszaper</t>
  </si>
  <si>
    <t>Kastélyosdombó</t>
  </si>
  <si>
    <t>Kaskantyú</t>
  </si>
  <si>
    <t>Kásád</t>
  </si>
  <si>
    <t>Kartal</t>
  </si>
  <si>
    <t>Karos</t>
  </si>
  <si>
    <t>Károlyháza</t>
  </si>
  <si>
    <t>Karmacs</t>
  </si>
  <si>
    <t>Kardoskút</t>
  </si>
  <si>
    <t>Kardos</t>
  </si>
  <si>
    <t>Karcsa</t>
  </si>
  <si>
    <t>Karcag</t>
  </si>
  <si>
    <t>Kárász</t>
  </si>
  <si>
    <t>Karancsság</t>
  </si>
  <si>
    <t>Karancslapujtő</t>
  </si>
  <si>
    <t>Karancskeszi</t>
  </si>
  <si>
    <t>Karancsberény</t>
  </si>
  <si>
    <t>Karancsalja</t>
  </si>
  <si>
    <t>Karakószörcsök</t>
  </si>
  <si>
    <t>Karakó</t>
  </si>
  <si>
    <t>Karád</t>
  </si>
  <si>
    <t>Karácsond</t>
  </si>
  <si>
    <t>Kára</t>
  </si>
  <si>
    <t>Kapuvár</t>
  </si>
  <si>
    <t>Káptalantóti</t>
  </si>
  <si>
    <t>Káptalanfa</t>
  </si>
  <si>
    <t>Kaposszerdahely</t>
  </si>
  <si>
    <t>Kaposszekcső</t>
  </si>
  <si>
    <t>Kaposvár</t>
  </si>
  <si>
    <t>Kaposújlak</t>
  </si>
  <si>
    <t>Kapospula</t>
  </si>
  <si>
    <t>Kaposmérő</t>
  </si>
  <si>
    <t>Kaposkeresztúr</t>
  </si>
  <si>
    <t>Kaposhomok</t>
  </si>
  <si>
    <t>Kaposgyarmat</t>
  </si>
  <si>
    <t>Kaposfő</t>
  </si>
  <si>
    <t>Kapoly</t>
  </si>
  <si>
    <t>Kápolnásnyék</t>
  </si>
  <si>
    <t>Kápolna</t>
  </si>
  <si>
    <t>Kapolcs</t>
  </si>
  <si>
    <t>Kányavár</t>
  </si>
  <si>
    <t>Kánya</t>
  </si>
  <si>
    <t>Kány</t>
  </si>
  <si>
    <t>Kántorjánosi</t>
  </si>
  <si>
    <t>Kánó</t>
  </si>
  <si>
    <t>Kamut</t>
  </si>
  <si>
    <t>Kamond</t>
  </si>
  <si>
    <t>Kám</t>
  </si>
  <si>
    <t>Káloz</t>
  </si>
  <si>
    <t>Kalocsa</t>
  </si>
  <si>
    <t>Kálócfa</t>
  </si>
  <si>
    <t>Kálmánháza</t>
  </si>
  <si>
    <t>Kálmáncsa</t>
  </si>
  <si>
    <t>Kállósemjén</t>
  </si>
  <si>
    <t>Kallósd</t>
  </si>
  <si>
    <t>Kálló</t>
  </si>
  <si>
    <t>Káld</t>
  </si>
  <si>
    <t>Kalaznó</t>
  </si>
  <si>
    <t>Kál</t>
  </si>
  <si>
    <t>Kakucs</t>
  </si>
  <si>
    <t>Kákics</t>
  </si>
  <si>
    <t>Kakasd</t>
  </si>
  <si>
    <t>Kajdacs</t>
  </si>
  <si>
    <t>Kajászó</t>
  </si>
  <si>
    <t>Kajárpéc</t>
  </si>
  <si>
    <t>Kadarkút</t>
  </si>
  <si>
    <t>Kacsóta</t>
  </si>
  <si>
    <t>Kács</t>
  </si>
  <si>
    <t>Kacorlak</t>
  </si>
  <si>
    <t>Kaba</t>
  </si>
  <si>
    <t>Juta</t>
  </si>
  <si>
    <t>Jósvafő</t>
  </si>
  <si>
    <t>Jobbágyi</t>
  </si>
  <si>
    <t>Jobaháza</t>
  </si>
  <si>
    <t>Jenő</t>
  </si>
  <si>
    <t>Jéke</t>
  </si>
  <si>
    <t>Jásztelek</t>
  </si>
  <si>
    <t>Jászszentlászló</t>
  </si>
  <si>
    <t>Jászszentandrás</t>
  </si>
  <si>
    <t>Jászladány</t>
  </si>
  <si>
    <t>Jászkisér</t>
  </si>
  <si>
    <t>Jászkarajenő</t>
  </si>
  <si>
    <t>Jászjákóhalma</t>
  </si>
  <si>
    <t>Jászivány</t>
  </si>
  <si>
    <t>Jászfényszaru</t>
  </si>
  <si>
    <t>Jászfelsőszentgyörgy</t>
  </si>
  <si>
    <t>Jászdózsa</t>
  </si>
  <si>
    <t>Jászboldogháza</t>
  </si>
  <si>
    <t>Jászberény</t>
  </si>
  <si>
    <t>Jászárokszállás</t>
  </si>
  <si>
    <t>Jászapáti</t>
  </si>
  <si>
    <t>Jászalsószentgyörgy</t>
  </si>
  <si>
    <t>Jászágó</t>
  </si>
  <si>
    <t>Jásd</t>
  </si>
  <si>
    <t>Jármi</t>
  </si>
  <si>
    <t>Járdánháza</t>
  </si>
  <si>
    <t>Jánossomorja</t>
  </si>
  <si>
    <t>Jánoshida</t>
  </si>
  <si>
    <t>Jánosháza</t>
  </si>
  <si>
    <t>Jánoshalma</t>
  </si>
  <si>
    <t>Jánkmajtis</t>
  </si>
  <si>
    <t>Jánd</t>
  </si>
  <si>
    <t>Jákó</t>
  </si>
  <si>
    <t>Jákfalva</t>
  </si>
  <si>
    <t>Jákfa</t>
  </si>
  <si>
    <t>Jakabszállás</t>
  </si>
  <si>
    <t>Ják</t>
  </si>
  <si>
    <t>Jágónak</t>
  </si>
  <si>
    <t>Izsófalva</t>
  </si>
  <si>
    <t>Izsák</t>
  </si>
  <si>
    <t>Izmény</t>
  </si>
  <si>
    <t>Ivándárda</t>
  </si>
  <si>
    <t>Iváncsa</t>
  </si>
  <si>
    <t>Ivánc</t>
  </si>
  <si>
    <t>Ivánbattyán</t>
  </si>
  <si>
    <t>Iván</t>
  </si>
  <si>
    <t>Ivád</t>
  </si>
  <si>
    <t>Isztimér</t>
  </si>
  <si>
    <t>Iszkáz</t>
  </si>
  <si>
    <t>Iszkaszentgyörgy</t>
  </si>
  <si>
    <t>Istvándi</t>
  </si>
  <si>
    <t>Istenmezeje</t>
  </si>
  <si>
    <t>Ispánk</t>
  </si>
  <si>
    <t>Isaszeg</t>
  </si>
  <si>
    <t>Irota</t>
  </si>
  <si>
    <t>Iregszemcse</t>
  </si>
  <si>
    <t>Ipolyvece</t>
  </si>
  <si>
    <t>Ipolytölgyes</t>
  </si>
  <si>
    <t>Ipolytarnóc</t>
  </si>
  <si>
    <t>Ipolyszög</t>
  </si>
  <si>
    <t>Ipolydamásd</t>
  </si>
  <si>
    <t>Ipacsfa</t>
  </si>
  <si>
    <t>Inke</t>
  </si>
  <si>
    <t>Inárcs</t>
  </si>
  <si>
    <t>Ináncs</t>
  </si>
  <si>
    <t>Imrehegy</t>
  </si>
  <si>
    <t>Imola</t>
  </si>
  <si>
    <t>Illocska</t>
  </si>
  <si>
    <t>Ilk</t>
  </si>
  <si>
    <t>Iliny</t>
  </si>
  <si>
    <t>Ikrény</t>
  </si>
  <si>
    <t>Iklódbördőce</t>
  </si>
  <si>
    <t>Iklanberény</t>
  </si>
  <si>
    <t>Iklad</t>
  </si>
  <si>
    <t>Ikervár</t>
  </si>
  <si>
    <t>Iharosberény</t>
  </si>
  <si>
    <t>Iharos</t>
  </si>
  <si>
    <t>Igrici</t>
  </si>
  <si>
    <t>Igar</t>
  </si>
  <si>
    <t>Igal</t>
  </si>
  <si>
    <t>Ibrány</t>
  </si>
  <si>
    <t>Iborfia</t>
  </si>
  <si>
    <t>Ibafa</t>
  </si>
  <si>
    <t>Husztót</t>
  </si>
  <si>
    <t>Hunyadfalva</t>
  </si>
  <si>
    <t>Hunya</t>
  </si>
  <si>
    <t>Hugyag</t>
  </si>
  <si>
    <t>Hövej</t>
  </si>
  <si>
    <t>Hőgyész</t>
  </si>
  <si>
    <t>Hottó</t>
  </si>
  <si>
    <t>Hosztót</t>
  </si>
  <si>
    <t>Hosszúvölgy</t>
  </si>
  <si>
    <t>Hosszúvíz</t>
  </si>
  <si>
    <t>Hosszúpereszteg</t>
  </si>
  <si>
    <t>Hosszúpályi</t>
  </si>
  <si>
    <t>Hosszúhetény</t>
  </si>
  <si>
    <t>Horvátzsidány</t>
  </si>
  <si>
    <t>Horvátlövő</t>
  </si>
  <si>
    <t>Horváthertelend</t>
  </si>
  <si>
    <t>Hortobágy</t>
  </si>
  <si>
    <t>Hort</t>
  </si>
  <si>
    <t>Horpács</t>
  </si>
  <si>
    <t>Hont</t>
  </si>
  <si>
    <t>Homrogd</t>
  </si>
  <si>
    <t>Homorúd</t>
  </si>
  <si>
    <t>Homokszentgyörgy</t>
  </si>
  <si>
    <t>Homokmégy</t>
  </si>
  <si>
    <t>Homokkomárom</t>
  </si>
  <si>
    <t>Homokbödöge</t>
  </si>
  <si>
    <t>Hollókő</t>
  </si>
  <si>
    <t>Hollóháza</t>
  </si>
  <si>
    <t>Hollád</t>
  </si>
  <si>
    <t>Hódmezővásárhely</t>
  </si>
  <si>
    <t>Hodász</t>
  </si>
  <si>
    <t>Hobol</t>
  </si>
  <si>
    <t>Hirics</t>
  </si>
  <si>
    <t>Himod</t>
  </si>
  <si>
    <t>Himesháza</t>
  </si>
  <si>
    <t>Hidvégardó</t>
  </si>
  <si>
    <t>Hidegség</t>
  </si>
  <si>
    <t>Hidegkút</t>
  </si>
  <si>
    <t>Hidasnémeti</t>
  </si>
  <si>
    <t>Hidas</t>
  </si>
  <si>
    <t>Hévízgyörk</t>
  </si>
  <si>
    <t>Hévíz</t>
  </si>
  <si>
    <t>Hevesvezekény</t>
  </si>
  <si>
    <t>Hevesaranyos</t>
  </si>
  <si>
    <t>Heves</t>
  </si>
  <si>
    <t>Hetyefő</t>
  </si>
  <si>
    <t>Hetvehely</t>
  </si>
  <si>
    <t>Hetes</t>
  </si>
  <si>
    <t>Hetefejércse</t>
  </si>
  <si>
    <t>Hét</t>
  </si>
  <si>
    <t>Hernyék</t>
  </si>
  <si>
    <t>Hernádvécse</t>
  </si>
  <si>
    <t>Hernádszurdok</t>
  </si>
  <si>
    <t>Hernádszentandrás</t>
  </si>
  <si>
    <t>Hernádpetri</t>
  </si>
  <si>
    <t>Hernádnémeti</t>
  </si>
  <si>
    <t>Hernádkércs</t>
  </si>
  <si>
    <t>Hernádkak</t>
  </si>
  <si>
    <t>Hernádcéce</t>
  </si>
  <si>
    <t>Hernádbűd</t>
  </si>
  <si>
    <t>Hernád</t>
  </si>
  <si>
    <t>Hermánszeg</t>
  </si>
  <si>
    <t>Heresznye</t>
  </si>
  <si>
    <t>Herend</t>
  </si>
  <si>
    <t>Herencsény</t>
  </si>
  <si>
    <t>Héreg</t>
  </si>
  <si>
    <t>Heréd</t>
  </si>
  <si>
    <t>Hercegszántó</t>
  </si>
  <si>
    <t>Hercegkút</t>
  </si>
  <si>
    <t>Herceghalom</t>
  </si>
  <si>
    <t>Hencse</t>
  </si>
  <si>
    <t>Hencida</t>
  </si>
  <si>
    <t>Helvécia</t>
  </si>
  <si>
    <t>Helesfa</t>
  </si>
  <si>
    <t>Hejőszalonta</t>
  </si>
  <si>
    <t>Hejőpapi</t>
  </si>
  <si>
    <t>Hejőkürt</t>
  </si>
  <si>
    <t>Hejőkeresztúr</t>
  </si>
  <si>
    <t>Hejőbába</t>
  </si>
  <si>
    <t>Hejce</t>
  </si>
  <si>
    <t>Héhalom</t>
  </si>
  <si>
    <t>Hegyszentmárton</t>
  </si>
  <si>
    <t>Hegymeg</t>
  </si>
  <si>
    <t>Hegymagas</t>
  </si>
  <si>
    <t>Hegykő</t>
  </si>
  <si>
    <t>Hegyhátszentpéter</t>
  </si>
  <si>
    <t>Hegyhátszentmárton</t>
  </si>
  <si>
    <t>Hegyhátszentjakab</t>
  </si>
  <si>
    <t>Hegyhátsál</t>
  </si>
  <si>
    <t>Hegyhátmaróc</t>
  </si>
  <si>
    <t>Hegyháthodász</t>
  </si>
  <si>
    <t>Hegyfalu</t>
  </si>
  <si>
    <t>Hegyeshalom</t>
  </si>
  <si>
    <t>Hegyesd</t>
  </si>
  <si>
    <t>Hedrehely</t>
  </si>
  <si>
    <t>Hédervár</t>
  </si>
  <si>
    <t>Hatvan</t>
  </si>
  <si>
    <t>Hásságy</t>
  </si>
  <si>
    <t>Harta</t>
  </si>
  <si>
    <t>Hárskút</t>
  </si>
  <si>
    <t>Harsány</t>
  </si>
  <si>
    <t>Háromhuta</t>
  </si>
  <si>
    <t>Háromfa</t>
  </si>
  <si>
    <t>Harkány</t>
  </si>
  <si>
    <t>Harkakötöny</t>
  </si>
  <si>
    <t>Harka</t>
  </si>
  <si>
    <t>Harc</t>
  </si>
  <si>
    <t>Harasztifalu</t>
  </si>
  <si>
    <t>Hantos</t>
  </si>
  <si>
    <t>Hangony</t>
  </si>
  <si>
    <t>Hangács</t>
  </si>
  <si>
    <t>Halogy</t>
  </si>
  <si>
    <t>Halmajugra</t>
  </si>
  <si>
    <t>Halmaj</t>
  </si>
  <si>
    <t>Halimba</t>
  </si>
  <si>
    <t>Halásztelek</t>
  </si>
  <si>
    <t>Halászi</t>
  </si>
  <si>
    <t>Halastó</t>
  </si>
  <si>
    <t>Hajós</t>
  </si>
  <si>
    <t>Hajmáskér</t>
  </si>
  <si>
    <t>Hajmás</t>
  </si>
  <si>
    <t>Hajdúszovát</t>
  </si>
  <si>
    <t>Hajdúszoboszló</t>
  </si>
  <si>
    <t>Hajdúsámson</t>
  </si>
  <si>
    <t>Hajdúnánás</t>
  </si>
  <si>
    <t>Hajdúhadház</t>
  </si>
  <si>
    <t>Hajdúdorog</t>
  </si>
  <si>
    <t>Hajdúböszörmény</t>
  </si>
  <si>
    <t>Hajdúbagos</t>
  </si>
  <si>
    <t>Hahót</t>
  </si>
  <si>
    <t>Hagyárosbörönd</t>
  </si>
  <si>
    <t>Hács</t>
  </si>
  <si>
    <t>Gyűrűs</t>
  </si>
  <si>
    <t>Gyüre</t>
  </si>
  <si>
    <t>Gyügye</t>
  </si>
  <si>
    <t>Gyúró</t>
  </si>
  <si>
    <t>Gyulakeszi</t>
  </si>
  <si>
    <t>Gyulaj</t>
  </si>
  <si>
    <t>Gyulaháza</t>
  </si>
  <si>
    <t>Gyula</t>
  </si>
  <si>
    <t>Gyugy</t>
  </si>
  <si>
    <t>Győrzámoly</t>
  </si>
  <si>
    <t>Győrvár</t>
  </si>
  <si>
    <t>Győrújfalu</t>
  </si>
  <si>
    <t>Győrújbarát</t>
  </si>
  <si>
    <t>Győrtelek</t>
  </si>
  <si>
    <t>Győrszemere</t>
  </si>
  <si>
    <t>Győrsövényház</t>
  </si>
  <si>
    <t>Győrság</t>
  </si>
  <si>
    <t>Győröcske</t>
  </si>
  <si>
    <t>Győrladamér</t>
  </si>
  <si>
    <t>Györköny</t>
  </si>
  <si>
    <t>Györgytarló</t>
  </si>
  <si>
    <t>Györe</t>
  </si>
  <si>
    <t>Győrasszonyfa</t>
  </si>
  <si>
    <t>Győr</t>
  </si>
  <si>
    <t>Gyönk</t>
  </si>
  <si>
    <t>Gyöngyöstarján</t>
  </si>
  <si>
    <t>Gyöngyössolymos</t>
  </si>
  <si>
    <t>Gyöngyöspata</t>
  </si>
  <si>
    <t>Gyöngyösoroszi</t>
  </si>
  <si>
    <t>Gyöngyösmellék</t>
  </si>
  <si>
    <t>Gyöngyöshalász</t>
  </si>
  <si>
    <t>Gyöngyösfalu</t>
  </si>
  <si>
    <t>Gyöngyös</t>
  </si>
  <si>
    <t>Gyöngyfa</t>
  </si>
  <si>
    <t>Gyömrő</t>
  </si>
  <si>
    <t>Gyömöre</t>
  </si>
  <si>
    <t>Gyóró</t>
  </si>
  <si>
    <t>Gyomaendrőd</t>
  </si>
  <si>
    <t>Gyód</t>
  </si>
  <si>
    <t>Gyermely</t>
  </si>
  <si>
    <t>Gyepükaján</t>
  </si>
  <si>
    <t>Gyenesdiás</t>
  </si>
  <si>
    <t>Gyékényes</t>
  </si>
  <si>
    <t>Gyarmat</t>
  </si>
  <si>
    <t>Gyanógeregye</t>
  </si>
  <si>
    <t>Gyalóka</t>
  </si>
  <si>
    <t>Gyál</t>
  </si>
  <si>
    <t>Gutorfölde</t>
  </si>
  <si>
    <t>Gulács</t>
  </si>
  <si>
    <t>Grábóc</t>
  </si>
  <si>
    <t>Gősfa</t>
  </si>
  <si>
    <t>Görgeteg</t>
  </si>
  <si>
    <t>Görcsönydoboka</t>
  </si>
  <si>
    <t>Görcsöny</t>
  </si>
  <si>
    <t>Görbeháza</t>
  </si>
  <si>
    <t>Gönyű</t>
  </si>
  <si>
    <t>Göncruszka</t>
  </si>
  <si>
    <t>Gönc</t>
  </si>
  <si>
    <t>Gömörszőlős</t>
  </si>
  <si>
    <t>Gölle</t>
  </si>
  <si>
    <t>Gödre</t>
  </si>
  <si>
    <t>Gödöllő</t>
  </si>
  <si>
    <t>Göd</t>
  </si>
  <si>
    <t>Gosztola</t>
  </si>
  <si>
    <t>Gordisa</t>
  </si>
  <si>
    <t>Gór</t>
  </si>
  <si>
    <t>Gombosszeg</t>
  </si>
  <si>
    <t>Gomba</t>
  </si>
  <si>
    <t>Golop</t>
  </si>
  <si>
    <t>Gógánfa</t>
  </si>
  <si>
    <t>Girincs</t>
  </si>
  <si>
    <t>Gilvánfa</t>
  </si>
  <si>
    <t>Gige</t>
  </si>
  <si>
    <t>Gic</t>
  </si>
  <si>
    <t>Gibárt</t>
  </si>
  <si>
    <t>Gétye</t>
  </si>
  <si>
    <t>Geszteréd</t>
  </si>
  <si>
    <t>Gesztely</t>
  </si>
  <si>
    <t>Geszt</t>
  </si>
  <si>
    <t>Gersekarát</t>
  </si>
  <si>
    <t>Gerjen</t>
  </si>
  <si>
    <t>Geresdlak</t>
  </si>
  <si>
    <t>Gerényes</t>
  </si>
  <si>
    <t>Gerendás</t>
  </si>
  <si>
    <t>Gerde</t>
  </si>
  <si>
    <t>Gérce</t>
  </si>
  <si>
    <t>Gencsapáti</t>
  </si>
  <si>
    <t>Gemzse</t>
  </si>
  <si>
    <t>Gelsesziget</t>
  </si>
  <si>
    <t>Gelse</t>
  </si>
  <si>
    <t>Gellénháza</t>
  </si>
  <si>
    <t>Gelénes</t>
  </si>
  <si>
    <t>Gelej</t>
  </si>
  <si>
    <t>Gégény</t>
  </si>
  <si>
    <t>Géderlak</t>
  </si>
  <si>
    <t>Gecse</t>
  </si>
  <si>
    <t>Géberjén</t>
  </si>
  <si>
    <t>Gávavencsellő</t>
  </si>
  <si>
    <t>Gátér</t>
  </si>
  <si>
    <t>Gasztony</t>
  </si>
  <si>
    <t>Garé</t>
  </si>
  <si>
    <t>Gárdony</t>
  </si>
  <si>
    <t>Garbolc</t>
  </si>
  <si>
    <t>Garadna</t>
  </si>
  <si>
    <t>Garabonc</t>
  </si>
  <si>
    <t>Garáb</t>
  </si>
  <si>
    <t>Gara</t>
  </si>
  <si>
    <t>Gánt</t>
  </si>
  <si>
    <t>Ganna</t>
  </si>
  <si>
    <t>Gamás</t>
  </si>
  <si>
    <t>Galvács</t>
  </si>
  <si>
    <t>Gálosfa</t>
  </si>
  <si>
    <t>Galgamácsa</t>
  </si>
  <si>
    <t>Galgahévíz</t>
  </si>
  <si>
    <t>Galgagyörk</t>
  </si>
  <si>
    <t>Galgaguta</t>
  </si>
  <si>
    <t>Galambok</t>
  </si>
  <si>
    <t>Gagyvendégi</t>
  </si>
  <si>
    <t>Gagybátor</t>
  </si>
  <si>
    <t>Gagyapáti</t>
  </si>
  <si>
    <t>Gádoros</t>
  </si>
  <si>
    <t>Gadna</t>
  </si>
  <si>
    <t>Gadány</t>
  </si>
  <si>
    <t>Gadács</t>
  </si>
  <si>
    <t>Gacsály</t>
  </si>
  <si>
    <t>Gáborjánháza</t>
  </si>
  <si>
    <t>Gáborján</t>
  </si>
  <si>
    <t>Fűzvölgy</t>
  </si>
  <si>
    <t>Füzesgyarmat</t>
  </si>
  <si>
    <t>Füzesabony</t>
  </si>
  <si>
    <t>Füzérradvány</t>
  </si>
  <si>
    <t>Füzérkomlós</t>
  </si>
  <si>
    <t>Füzérkajata</t>
  </si>
  <si>
    <t>Füzér</t>
  </si>
  <si>
    <t>Fürged</t>
  </si>
  <si>
    <t>Fülpösdaróc</t>
  </si>
  <si>
    <t>Fülöpszállás</t>
  </si>
  <si>
    <t>Fülöpjakab</t>
  </si>
  <si>
    <t>Fülöpháza</t>
  </si>
  <si>
    <t>Fülöp</t>
  </si>
  <si>
    <t>Fülesd</t>
  </si>
  <si>
    <t>Füle</t>
  </si>
  <si>
    <t>Furta</t>
  </si>
  <si>
    <t>Fulókércs</t>
  </si>
  <si>
    <t>Főnyed</t>
  </si>
  <si>
    <t>Földes</t>
  </si>
  <si>
    <t>Földeák</t>
  </si>
  <si>
    <t>Fót</t>
  </si>
  <si>
    <t>Forró</t>
  </si>
  <si>
    <t>Forráskút</t>
  </si>
  <si>
    <t>Fonyód</t>
  </si>
  <si>
    <t>Fony</t>
  </si>
  <si>
    <t>Fonó</t>
  </si>
  <si>
    <t>Folyás</t>
  </si>
  <si>
    <t>Foktő</t>
  </si>
  <si>
    <t>Fityeház</t>
  </si>
  <si>
    <t>Filkeháza</t>
  </si>
  <si>
    <t>Fiad</t>
  </si>
  <si>
    <t>Fertőszéplak</t>
  </si>
  <si>
    <t>Fertőszentmiklós</t>
  </si>
  <si>
    <t>Fertőrákos</t>
  </si>
  <si>
    <t>Fertőhomok</t>
  </si>
  <si>
    <t>Fertőendréd</t>
  </si>
  <si>
    <t>Fertőd</t>
  </si>
  <si>
    <t>Fertőboz</t>
  </si>
  <si>
    <t>Ferencszállás</t>
  </si>
  <si>
    <t>Fenyőfő</t>
  </si>
  <si>
    <t>Fényeslitke</t>
  </si>
  <si>
    <t>Felsőzsolca</t>
  </si>
  <si>
    <t>Felsővadász</t>
  </si>
  <si>
    <t>Felsőtold</t>
  </si>
  <si>
    <t>Felsőtelekes</t>
  </si>
  <si>
    <t>Felsőtárkány</t>
  </si>
  <si>
    <t>Felsőszölnök</t>
  </si>
  <si>
    <t>Felsőszentmárton</t>
  </si>
  <si>
    <t>Felsőszentiván</t>
  </si>
  <si>
    <t>Felsőszenterzsébet</t>
  </si>
  <si>
    <t>Felsőregmec</t>
  </si>
  <si>
    <t>Felsőrajk</t>
  </si>
  <si>
    <t>Felsőpetény</t>
  </si>
  <si>
    <t>Felsőpakony</t>
  </si>
  <si>
    <t>Felsőpáhok</t>
  </si>
  <si>
    <t>Felsőörs</t>
  </si>
  <si>
    <t>Felsőnyék</t>
  </si>
  <si>
    <t>Felsőnyárád</t>
  </si>
  <si>
    <t>Felsőnána</t>
  </si>
  <si>
    <t>Felsőmocsolád</t>
  </si>
  <si>
    <t>Felsőmarác</t>
  </si>
  <si>
    <t>Felsőlajos</t>
  </si>
  <si>
    <t>Felsőkelecsény</t>
  </si>
  <si>
    <t>Felsőjánosfa</t>
  </si>
  <si>
    <t>Felsőgagy</t>
  </si>
  <si>
    <t>Felsőegerszeg</t>
  </si>
  <si>
    <t>Felsődobsza</t>
  </si>
  <si>
    <t>Felsőcsatár</t>
  </si>
  <si>
    <t>Felsőberecki</t>
  </si>
  <si>
    <t>Felpéc</t>
  </si>
  <si>
    <t>Felgyő</t>
  </si>
  <si>
    <t>Feldebrő</t>
  </si>
  <si>
    <t>Felcsút</t>
  </si>
  <si>
    <t>Feketeerdő</t>
  </si>
  <si>
    <t>Feked</t>
  </si>
  <si>
    <t>Fehérvárcsurgó</t>
  </si>
  <si>
    <t>Fehértó</t>
  </si>
  <si>
    <t>Fehérgyarmat</t>
  </si>
  <si>
    <t>Fegyvernek</t>
  </si>
  <si>
    <t>Fedémes</t>
  </si>
  <si>
    <t>Fazekasboda</t>
  </si>
  <si>
    <t>Farmos</t>
  </si>
  <si>
    <t>Farkaslyuk</t>
  </si>
  <si>
    <t>Farkasgyepű</t>
  </si>
  <si>
    <t>Farád</t>
  </si>
  <si>
    <t>Fancsal</t>
  </si>
  <si>
    <t>Fajsz</t>
  </si>
  <si>
    <t>Fáj</t>
  </si>
  <si>
    <t>Fadd</t>
  </si>
  <si>
    <t>Fácánkert</t>
  </si>
  <si>
    <t>Fábiánsebestyén</t>
  </si>
  <si>
    <t>Fábiánháza</t>
  </si>
  <si>
    <t>Etyek</t>
  </si>
  <si>
    <t>Etes</t>
  </si>
  <si>
    <t>Ete</t>
  </si>
  <si>
    <t>Esztergom</t>
  </si>
  <si>
    <t>Esztergályhorváti</t>
  </si>
  <si>
    <t>Eszteregnye</t>
  </si>
  <si>
    <t>Esztár</t>
  </si>
  <si>
    <t>Erzsébet</t>
  </si>
  <si>
    <t>Értény</t>
  </si>
  <si>
    <t>Érsekvadkert</t>
  </si>
  <si>
    <t>Érsekhalma</t>
  </si>
  <si>
    <t>Érsekcsanád</t>
  </si>
  <si>
    <t>Érpatak</t>
  </si>
  <si>
    <t>Erk</t>
  </si>
  <si>
    <t>Erdőtelek</t>
  </si>
  <si>
    <t>Erdőtarcsa</t>
  </si>
  <si>
    <t>Erdősmecske</t>
  </si>
  <si>
    <t>Erdősmárok</t>
  </si>
  <si>
    <t>Erdőkürt</t>
  </si>
  <si>
    <t>Erdőkövesd</t>
  </si>
  <si>
    <t>Erdőkertes</t>
  </si>
  <si>
    <t>Erdőhorváti</t>
  </si>
  <si>
    <t>Erdőbénye</t>
  </si>
  <si>
    <t>Érd</t>
  </si>
  <si>
    <t>Ercsi</t>
  </si>
  <si>
    <t>Epöl</t>
  </si>
  <si>
    <t>Eplény</t>
  </si>
  <si>
    <t>Eperjeske</t>
  </si>
  <si>
    <t>Eperjes</t>
  </si>
  <si>
    <t>Enying</t>
  </si>
  <si>
    <t>Enese</t>
  </si>
  <si>
    <t>Endrőc</t>
  </si>
  <si>
    <t>Endrefalva</t>
  </si>
  <si>
    <t>Encsencs</t>
  </si>
  <si>
    <t>Encs</t>
  </si>
  <si>
    <t>Emőd</t>
  </si>
  <si>
    <t>Előszállás</t>
  </si>
  <si>
    <t>Ellend</t>
  </si>
  <si>
    <t>Elek</t>
  </si>
  <si>
    <t>Egyházasrádóc</t>
  </si>
  <si>
    <t>Egyházaskozár</t>
  </si>
  <si>
    <t>Egyházaskesző</t>
  </si>
  <si>
    <t>Egyházashollós</t>
  </si>
  <si>
    <t>Egyházashetye</t>
  </si>
  <si>
    <t>Egyházasharaszti</t>
  </si>
  <si>
    <t>Egyházasgerge</t>
  </si>
  <si>
    <t>Egyházasfalu</t>
  </si>
  <si>
    <t>Egyházasdengeleg</t>
  </si>
  <si>
    <t>Egyek</t>
  </si>
  <si>
    <t>Egyed</t>
  </si>
  <si>
    <t>Egervölgy</t>
  </si>
  <si>
    <t>Egervár</t>
  </si>
  <si>
    <t>Égerszög</t>
  </si>
  <si>
    <t>Egerszólát</t>
  </si>
  <si>
    <t>Egerszalók</t>
  </si>
  <si>
    <t>Egerlövő</t>
  </si>
  <si>
    <t>Egerfarmos</t>
  </si>
  <si>
    <t>Egercsehi</t>
  </si>
  <si>
    <t>Egerbocs</t>
  </si>
  <si>
    <t>Egerbakta</t>
  </si>
  <si>
    <t>Egeraracsa</t>
  </si>
  <si>
    <t>Egeralja</t>
  </si>
  <si>
    <t>Egerág</t>
  </si>
  <si>
    <t>Eger</t>
  </si>
  <si>
    <t>Edve</t>
  </si>
  <si>
    <t>Edelény</t>
  </si>
  <si>
    <t>Edde</t>
  </si>
  <si>
    <t>Ecser</t>
  </si>
  <si>
    <t>Ecseny</t>
  </si>
  <si>
    <t>Ecsegfalva</t>
  </si>
  <si>
    <t>Ecseg</t>
  </si>
  <si>
    <t>Ecséd</t>
  </si>
  <si>
    <t>Écs</t>
  </si>
  <si>
    <t>Ebes</t>
  </si>
  <si>
    <t>Ebergőc</t>
  </si>
  <si>
    <t>Dúzs</t>
  </si>
  <si>
    <t>Dusnok</t>
  </si>
  <si>
    <t>Dunavecse</t>
  </si>
  <si>
    <t>Dunavarsány</t>
  </si>
  <si>
    <t>Dunaújváros</t>
  </si>
  <si>
    <t>Dunatetétlen</t>
  </si>
  <si>
    <t>Dunasziget</t>
  </si>
  <si>
    <t>Dunaszentpál</t>
  </si>
  <si>
    <t>Dunaszentmiklós</t>
  </si>
  <si>
    <t>Dunaszentgyörgy</t>
  </si>
  <si>
    <t>Dunaszentbenedek</t>
  </si>
  <si>
    <t>Dunaszekcső</t>
  </si>
  <si>
    <t>Dunaszeg</t>
  </si>
  <si>
    <t>Dunaremete</t>
  </si>
  <si>
    <t>Dunapataj</t>
  </si>
  <si>
    <t>Dunakiliti</t>
  </si>
  <si>
    <t>Dunakeszi</t>
  </si>
  <si>
    <t>Dunaharaszti</t>
  </si>
  <si>
    <t>Dunaföldvár</t>
  </si>
  <si>
    <t>Dunafalva</t>
  </si>
  <si>
    <t>Dunaegyháza</t>
  </si>
  <si>
    <t>Dunabogdány</t>
  </si>
  <si>
    <t>Dunaalmás</t>
  </si>
  <si>
    <t>Duka</t>
  </si>
  <si>
    <t>Dudar</t>
  </si>
  <si>
    <t>Dubicsány</t>
  </si>
  <si>
    <t>Drégelypalánk</t>
  </si>
  <si>
    <t>Drávatamási</t>
  </si>
  <si>
    <t>Drávasztára</t>
  </si>
  <si>
    <t>Drávaszerdahely</t>
  </si>
  <si>
    <t>Drávaszabolcs</t>
  </si>
  <si>
    <t>Drávapiski</t>
  </si>
  <si>
    <t>Drávapalkonya</t>
  </si>
  <si>
    <t>Drávakeresztúr</t>
  </si>
  <si>
    <t>Drávaiványi</t>
  </si>
  <si>
    <t>Drávagárdony</t>
  </si>
  <si>
    <t>Drávafok</t>
  </si>
  <si>
    <t>Drávacsepely</t>
  </si>
  <si>
    <t>Drávacsehi</t>
  </si>
  <si>
    <t>Drágszél</t>
  </si>
  <si>
    <t>Dövény</t>
  </si>
  <si>
    <t>Dötk</t>
  </si>
  <si>
    <t>Döröske</t>
  </si>
  <si>
    <t>Dörgicse</t>
  </si>
  <si>
    <t>Dör</t>
  </si>
  <si>
    <t>Dömsöd</t>
  </si>
  <si>
    <t>Dömös</t>
  </si>
  <si>
    <t>Döge</t>
  </si>
  <si>
    <t>Döbrönte</t>
  </si>
  <si>
    <t>Döbrököz</t>
  </si>
  <si>
    <t>Döbröce</t>
  </si>
  <si>
    <t>Döbörhegy</t>
  </si>
  <si>
    <t>Dozmat</t>
  </si>
  <si>
    <t>Dorogháza</t>
  </si>
  <si>
    <t>Dorog</t>
  </si>
  <si>
    <t>Dormánd</t>
  </si>
  <si>
    <t>Domoszló</t>
  </si>
  <si>
    <t>Domony</t>
  </si>
  <si>
    <t>Dombrád</t>
  </si>
  <si>
    <t>Dombóvár</t>
  </si>
  <si>
    <t>Dombiratos</t>
  </si>
  <si>
    <t>Dombegyház</t>
  </si>
  <si>
    <t>Domaszék</t>
  </si>
  <si>
    <t>Domaháza</t>
  </si>
  <si>
    <t>Dóc</t>
  </si>
  <si>
    <t>Dobronhegy</t>
  </si>
  <si>
    <t>Dobri</t>
  </si>
  <si>
    <t>Doboz</t>
  </si>
  <si>
    <t>Doba</t>
  </si>
  <si>
    <t>Diósviszló</t>
  </si>
  <si>
    <t>Dióskál</t>
  </si>
  <si>
    <t>Diósjenő</t>
  </si>
  <si>
    <t>Diósd</t>
  </si>
  <si>
    <t>Diósberény</t>
  </si>
  <si>
    <t>Dinnyeberki</t>
  </si>
  <si>
    <t>Devecser</t>
  </si>
  <si>
    <t>Dévaványa</t>
  </si>
  <si>
    <t>Detk</t>
  </si>
  <si>
    <t>Detek</t>
  </si>
  <si>
    <t>Deszk</t>
  </si>
  <si>
    <t>Derekegyház</t>
  </si>
  <si>
    <t>Derecske</t>
  </si>
  <si>
    <t>Dénesfa</t>
  </si>
  <si>
    <t>Dencsháza</t>
  </si>
  <si>
    <t>Demjén</t>
  </si>
  <si>
    <t>Demecser</t>
  </si>
  <si>
    <t>Délegyháza</t>
  </si>
  <si>
    <t>Dejtár</t>
  </si>
  <si>
    <t>Dég</t>
  </si>
  <si>
    <t>Dédestapolcsány</t>
  </si>
  <si>
    <t>Decs</t>
  </si>
  <si>
    <t>Debréte</t>
  </si>
  <si>
    <t>Debrecen</t>
  </si>
  <si>
    <t>Debercsény</t>
  </si>
  <si>
    <t>Dávod</t>
  </si>
  <si>
    <t>Darvas</t>
  </si>
  <si>
    <t>Daruszentmiklós</t>
  </si>
  <si>
    <t>Darnózseli</t>
  </si>
  <si>
    <t>Darnó</t>
  </si>
  <si>
    <t>Darány</t>
  </si>
  <si>
    <t>Daraboshegy</t>
  </si>
  <si>
    <t>Dány</t>
  </si>
  <si>
    <t>Dánszentmiklós</t>
  </si>
  <si>
    <t>Dámóc</t>
  </si>
  <si>
    <t>Damak</t>
  </si>
  <si>
    <t>Dalmand</t>
  </si>
  <si>
    <t>Dáka</t>
  </si>
  <si>
    <t>Dág</t>
  </si>
  <si>
    <t>Dad</t>
  </si>
  <si>
    <t>Dabrony</t>
  </si>
  <si>
    <t>Dabronc</t>
  </si>
  <si>
    <t>Dabas</t>
  </si>
  <si>
    <t>Csurgónagymarton</t>
  </si>
  <si>
    <t>Csurgó</t>
  </si>
  <si>
    <t>Csővár</t>
  </si>
  <si>
    <t>Csősz</t>
  </si>
  <si>
    <t>Csörötnek</t>
  </si>
  <si>
    <t>Csörög</t>
  </si>
  <si>
    <t>Csörnyeföld</t>
  </si>
  <si>
    <t>Csönge</t>
  </si>
  <si>
    <t>Csömör</t>
  </si>
  <si>
    <t>Csömödér</t>
  </si>
  <si>
    <t>Csömend</t>
  </si>
  <si>
    <t>Csököly</t>
  </si>
  <si>
    <t>Csökmő</t>
  </si>
  <si>
    <t>Csögle</t>
  </si>
  <si>
    <t>Csöde</t>
  </si>
  <si>
    <t>Csót</t>
  </si>
  <si>
    <t>Csorvás</t>
  </si>
  <si>
    <t>Csorna</t>
  </si>
  <si>
    <t>Csór</t>
  </si>
  <si>
    <t>Csopak</t>
  </si>
  <si>
    <t>Csonkamindszent</t>
  </si>
  <si>
    <t>Csonkahegyhát</t>
  </si>
  <si>
    <t>Csongrád</t>
  </si>
  <si>
    <t>Csombárd</t>
  </si>
  <si>
    <t>Csomád</t>
  </si>
  <si>
    <t>Csoma</t>
  </si>
  <si>
    <t>Csólyospálos</t>
  </si>
  <si>
    <t>Csolnok</t>
  </si>
  <si>
    <t>Csokvaomány</t>
  </si>
  <si>
    <t>Csokonyavisonta</t>
  </si>
  <si>
    <t>Csókakő</t>
  </si>
  <si>
    <t>Csobánka</t>
  </si>
  <si>
    <t>Csobaj</t>
  </si>
  <si>
    <t>Csobád</t>
  </si>
  <si>
    <t>Csitár</t>
  </si>
  <si>
    <t>Csipkerek</t>
  </si>
  <si>
    <t>Csincse</t>
  </si>
  <si>
    <t>Csikvánd</t>
  </si>
  <si>
    <t>Csikóstőttős</t>
  </si>
  <si>
    <t>Csikéria</t>
  </si>
  <si>
    <t>Csibrák</t>
  </si>
  <si>
    <t>Csévharaszt</t>
  </si>
  <si>
    <t>Csetény</t>
  </si>
  <si>
    <t>Csesztve</t>
  </si>
  <si>
    <t>Csesztreg</t>
  </si>
  <si>
    <t>Csesznek</t>
  </si>
  <si>
    <t>Csertő</t>
  </si>
  <si>
    <t>Csertalakos</t>
  </si>
  <si>
    <t>Cserszegtomaj</t>
  </si>
  <si>
    <t>Csernely</t>
  </si>
  <si>
    <t>Cserkút</t>
  </si>
  <si>
    <t>Cserkeszőlő</t>
  </si>
  <si>
    <t>Cserhátszentiván</t>
  </si>
  <si>
    <t>Cserhátsurány</t>
  </si>
  <si>
    <t>Cserháthaláp</t>
  </si>
  <si>
    <t>Cserépváralja</t>
  </si>
  <si>
    <t>Cserépfalu</t>
  </si>
  <si>
    <t>Cserénfa</t>
  </si>
  <si>
    <t>Cserdi</t>
  </si>
  <si>
    <t>Csér</t>
  </si>
  <si>
    <t>Csepreg</t>
  </si>
  <si>
    <t>Csépa</t>
  </si>
  <si>
    <t>Csép</t>
  </si>
  <si>
    <t>Csenyéte</t>
  </si>
  <si>
    <t>Csénye</t>
  </si>
  <si>
    <t>Csengőd</t>
  </si>
  <si>
    <t>Csengerújfalu</t>
  </si>
  <si>
    <t>Csengersima</t>
  </si>
  <si>
    <t>Csenger</t>
  </si>
  <si>
    <t>Csengele</t>
  </si>
  <si>
    <t>Csempeszkopács</t>
  </si>
  <si>
    <t>Csemő</t>
  </si>
  <si>
    <t>Csém</t>
  </si>
  <si>
    <t>Csehimindszent</t>
  </si>
  <si>
    <t>Csehi</t>
  </si>
  <si>
    <t>Csehbánya</t>
  </si>
  <si>
    <t>Csegöld</t>
  </si>
  <si>
    <t>Csécse</t>
  </si>
  <si>
    <t>Csebény</t>
  </si>
  <si>
    <t>Csávoly</t>
  </si>
  <si>
    <t>Csatka</t>
  </si>
  <si>
    <t>Csataszög</t>
  </si>
  <si>
    <t>Csatár</t>
  </si>
  <si>
    <t>Csátalja</t>
  </si>
  <si>
    <t>Császló</t>
  </si>
  <si>
    <t>Császártöltés</t>
  </si>
  <si>
    <t>Császár</t>
  </si>
  <si>
    <t>Csaroda</t>
  </si>
  <si>
    <t>Csarnóta</t>
  </si>
  <si>
    <t>Csárdaszállás</t>
  </si>
  <si>
    <t>Csapod</t>
  </si>
  <si>
    <t>Csapi</t>
  </si>
  <si>
    <t>Csanytelek</t>
  </si>
  <si>
    <t>Csányoszró</t>
  </si>
  <si>
    <t>Csány</t>
  </si>
  <si>
    <t>Csánig</t>
  </si>
  <si>
    <t>Csanádpalota</t>
  </si>
  <si>
    <t>Csanádapáca</t>
  </si>
  <si>
    <t>Csanádalberti</t>
  </si>
  <si>
    <t>Csákvár</t>
  </si>
  <si>
    <t>Csákberény</t>
  </si>
  <si>
    <t>Csákánydoroszló</t>
  </si>
  <si>
    <t>Csákány</t>
  </si>
  <si>
    <t>Csajág</t>
  </si>
  <si>
    <t>Csaholc</t>
  </si>
  <si>
    <t>Csáfordjánosfa</t>
  </si>
  <si>
    <t>Csabrendek</t>
  </si>
  <si>
    <t>Csabdi</t>
  </si>
  <si>
    <t>Csabaszabadi</t>
  </si>
  <si>
    <t>Csabacsűd</t>
  </si>
  <si>
    <t>Cún</t>
  </si>
  <si>
    <t>Cirák</t>
  </si>
  <si>
    <t>Cikó</t>
  </si>
  <si>
    <t>Cigánd</t>
  </si>
  <si>
    <t>Cibakháza</t>
  </si>
  <si>
    <t>Chernelházadamonya</t>
  </si>
  <si>
    <t>Cered</t>
  </si>
  <si>
    <t>Celldömölk</t>
  </si>
  <si>
    <t>Ceglédbercel</t>
  </si>
  <si>
    <t>Cegléd</t>
  </si>
  <si>
    <t>Cégénydányád</t>
  </si>
  <si>
    <t>Cece</t>
  </si>
  <si>
    <t>Cakóháza</t>
  </si>
  <si>
    <t>Cák</t>
  </si>
  <si>
    <t>Büttös</t>
  </si>
  <si>
    <t>Büssü</t>
  </si>
  <si>
    <t>Bürüs</t>
  </si>
  <si>
    <t>Bükkzsérc</t>
  </si>
  <si>
    <t>Bükkszentmárton</t>
  </si>
  <si>
    <t>Bükkszentkereszt</t>
  </si>
  <si>
    <t>Bükkszenterzsébet</t>
  </si>
  <si>
    <t>Bükkszék</t>
  </si>
  <si>
    <t>Bükkösd</t>
  </si>
  <si>
    <t>Bükkmogyorósd</t>
  </si>
  <si>
    <t>Bükkaranyos</t>
  </si>
  <si>
    <t>Bükkábrány</t>
  </si>
  <si>
    <t>Bük</t>
  </si>
  <si>
    <t>Buzsák</t>
  </si>
  <si>
    <t>Buják</t>
  </si>
  <si>
    <t>Buj</t>
  </si>
  <si>
    <t>Bugyi</t>
  </si>
  <si>
    <t>Bugacpusztaháza</t>
  </si>
  <si>
    <t>Bugac</t>
  </si>
  <si>
    <t>Budaörs</t>
  </si>
  <si>
    <t>Budakeszi</t>
  </si>
  <si>
    <t>Budakalász</t>
  </si>
  <si>
    <t>Budajenő</t>
  </si>
  <si>
    <t>Bucsuta</t>
  </si>
  <si>
    <t>Búcsúszentlászló</t>
  </si>
  <si>
    <t>Bucsu</t>
  </si>
  <si>
    <t>Bucsa</t>
  </si>
  <si>
    <t>Bőszénfa</t>
  </si>
  <si>
    <t>Bősárkány</t>
  </si>
  <si>
    <t>Börzönce</t>
  </si>
  <si>
    <t>Börcs</t>
  </si>
  <si>
    <t>Bőny</t>
  </si>
  <si>
    <t>Bölcske</t>
  </si>
  <si>
    <t>Bököny</t>
  </si>
  <si>
    <t>Böhönye</t>
  </si>
  <si>
    <t>Bögöte</t>
  </si>
  <si>
    <t>Bögöt</t>
  </si>
  <si>
    <t>Bödeháza</t>
  </si>
  <si>
    <t>Böde</t>
  </si>
  <si>
    <t>Bőcs</t>
  </si>
  <si>
    <t>Bő</t>
  </si>
  <si>
    <t>Bózsva</t>
  </si>
  <si>
    <t>Bozsok</t>
  </si>
  <si>
    <t>Bozzai</t>
  </si>
  <si>
    <t>Botykapeterd</t>
  </si>
  <si>
    <t>Botpalád</t>
  </si>
  <si>
    <t>Bosta</t>
  </si>
  <si>
    <t>Borzavár</t>
  </si>
  <si>
    <t>Borszörcsök</t>
  </si>
  <si>
    <t>Borsosberény</t>
  </si>
  <si>
    <t>Borsodszirák</t>
  </si>
  <si>
    <t>Borsodszentgyörgy</t>
  </si>
  <si>
    <t>Borsodnádasd</t>
  </si>
  <si>
    <t>Borsodivánka</t>
  </si>
  <si>
    <t>Borsodgeszt</t>
  </si>
  <si>
    <t>Borsodbóta</t>
  </si>
  <si>
    <t>Borsfa</t>
  </si>
  <si>
    <t>Borota</t>
  </si>
  <si>
    <t>Borjád</t>
  </si>
  <si>
    <t>Borgáta</t>
  </si>
  <si>
    <t>Bordány</t>
  </si>
  <si>
    <t>Bonnya</t>
  </si>
  <si>
    <t>Bonyhádvarasd</t>
  </si>
  <si>
    <t>Bonyhád</t>
  </si>
  <si>
    <t>Boncodfölde</t>
  </si>
  <si>
    <t>Bóly</t>
  </si>
  <si>
    <t>Bolhó</t>
  </si>
  <si>
    <t>Bolhás</t>
  </si>
  <si>
    <t>Boldva</t>
  </si>
  <si>
    <t>Boldogkőváralja</t>
  </si>
  <si>
    <t>Boldogkőújfalu</t>
  </si>
  <si>
    <t>Boldogasszonyfa</t>
  </si>
  <si>
    <t>Boldog</t>
  </si>
  <si>
    <t>Bokor</t>
  </si>
  <si>
    <t>Bokod</t>
  </si>
  <si>
    <t>Bókaháza</t>
  </si>
  <si>
    <t>Bojt</t>
  </si>
  <si>
    <t>Bogyoszló</t>
  </si>
  <si>
    <t>Bogyiszló</t>
  </si>
  <si>
    <t>Bogdása</t>
  </si>
  <si>
    <t>Bogádmindszent</t>
  </si>
  <si>
    <t>Bogád</t>
  </si>
  <si>
    <t>Bogács</t>
  </si>
  <si>
    <t>Bódvaszilas</t>
  </si>
  <si>
    <t>Bódvarákó</t>
  </si>
  <si>
    <t>Bódvalenke</t>
  </si>
  <si>
    <t>Bodrogolaszi</t>
  </si>
  <si>
    <t>Bodrogkisfalud</t>
  </si>
  <si>
    <t>Bodrogkeresztúr</t>
  </si>
  <si>
    <t>Bodroghalom</t>
  </si>
  <si>
    <t>Bodrog</t>
  </si>
  <si>
    <t>Bodorfa</t>
  </si>
  <si>
    <t>Bodony</t>
  </si>
  <si>
    <t>Bodonhely</t>
  </si>
  <si>
    <t>Bodolyabér</t>
  </si>
  <si>
    <t>Bodmér</t>
  </si>
  <si>
    <t>Bodajk</t>
  </si>
  <si>
    <t>Boda</t>
  </si>
  <si>
    <t>Bocskaikert</t>
  </si>
  <si>
    <t>Bocska</t>
  </si>
  <si>
    <t>Bócsa</t>
  </si>
  <si>
    <t>Boconád</t>
  </si>
  <si>
    <t>Bocfölde</t>
  </si>
  <si>
    <t>Boba</t>
  </si>
  <si>
    <t>Bisse</t>
  </si>
  <si>
    <t>Birján</t>
  </si>
  <si>
    <t>Biri</t>
  </si>
  <si>
    <t>Bikal</t>
  </si>
  <si>
    <t>Bikács</t>
  </si>
  <si>
    <t>Biharugra</t>
  </si>
  <si>
    <t>Bihartorda</t>
  </si>
  <si>
    <t>Biharnagybajom</t>
  </si>
  <si>
    <t>Biharkeresztes</t>
  </si>
  <si>
    <t>Bihardancsháza</t>
  </si>
  <si>
    <t>Bicske</t>
  </si>
  <si>
    <t>Bicsérd</t>
  </si>
  <si>
    <t>Biatorbágy</t>
  </si>
  <si>
    <t>Bezi</t>
  </si>
  <si>
    <t>Bezeréd</t>
  </si>
  <si>
    <t>Bezenye</t>
  </si>
  <si>
    <t>Bezedek</t>
  </si>
  <si>
    <t>Beszterec</t>
  </si>
  <si>
    <t>Besnyő</t>
  </si>
  <si>
    <t>Besenyszög</t>
  </si>
  <si>
    <t>Besenyőtelek</t>
  </si>
  <si>
    <t>Besenyőd</t>
  </si>
  <si>
    <t>Besence</t>
  </si>
  <si>
    <t>Berzence</t>
  </si>
  <si>
    <t>Berzék</t>
  </si>
  <si>
    <t>Bernecebaráti</t>
  </si>
  <si>
    <t>Berkesz</t>
  </si>
  <si>
    <t>Berkesd</t>
  </si>
  <si>
    <t>Berkenye</t>
  </si>
  <si>
    <t>Berhida</t>
  </si>
  <si>
    <t>Berettyóújfalu</t>
  </si>
  <si>
    <t>Beret</t>
  </si>
  <si>
    <t>Berente</t>
  </si>
  <si>
    <t>Beremend</t>
  </si>
  <si>
    <t>Berekfürdő</t>
  </si>
  <si>
    <t>Berekböszörmény</t>
  </si>
  <si>
    <t>Beregsurány</t>
  </si>
  <si>
    <t>Beregdaróc</t>
  </si>
  <si>
    <t>Bercel</t>
  </si>
  <si>
    <t>Bérbaltavár</t>
  </si>
  <si>
    <t>Bér</t>
  </si>
  <si>
    <t>Bénye</t>
  </si>
  <si>
    <t>Benk</t>
  </si>
  <si>
    <t>Belvárdgyula</t>
  </si>
  <si>
    <t>Belsősárd</t>
  </si>
  <si>
    <t>Beloiannisz</t>
  </si>
  <si>
    <t>Bélmegyer</t>
  </si>
  <si>
    <t>Belezna</t>
  </si>
  <si>
    <t>Beleg</t>
  </si>
  <si>
    <t>Beled</t>
  </si>
  <si>
    <t>Belecska</t>
  </si>
  <si>
    <t>Bélavár</t>
  </si>
  <si>
    <t>Bélapátfalva</t>
  </si>
  <si>
    <t>Bekölce</t>
  </si>
  <si>
    <t>Békésszentandrás</t>
  </si>
  <si>
    <t>Békéssámson</t>
  </si>
  <si>
    <t>Békéscsaba</t>
  </si>
  <si>
    <t>Békés</t>
  </si>
  <si>
    <t>Bekecs</t>
  </si>
  <si>
    <t>Békás</t>
  </si>
  <si>
    <t>Bejcgyertyános</t>
  </si>
  <si>
    <t>Bedő</t>
  </si>
  <si>
    <t>Bedegkér</t>
  </si>
  <si>
    <t>Becsvölgye</t>
  </si>
  <si>
    <t>Becskeháza</t>
  </si>
  <si>
    <t>Becske</t>
  </si>
  <si>
    <t>Becsehely</t>
  </si>
  <si>
    <t>Béb</t>
  </si>
  <si>
    <t>Bazsi</t>
  </si>
  <si>
    <t>Bázakerettye</t>
  </si>
  <si>
    <t>Batyk</t>
  </si>
  <si>
    <t>Bátya</t>
  </si>
  <si>
    <t>Battonya</t>
  </si>
  <si>
    <t>Bátorliget</t>
  </si>
  <si>
    <t>Bátor</t>
  </si>
  <si>
    <t>Bátonyterenye</t>
  </si>
  <si>
    <t>Bátmonostor</t>
  </si>
  <si>
    <t>Baté</t>
  </si>
  <si>
    <t>Bátaszék</t>
  </si>
  <si>
    <t>Bátaapáti</t>
  </si>
  <si>
    <t>Báta</t>
  </si>
  <si>
    <t>Baskó</t>
  </si>
  <si>
    <t>Basal</t>
  </si>
  <si>
    <t>Bársonyos</t>
  </si>
  <si>
    <t>Barnag</t>
  </si>
  <si>
    <t>Bárna</t>
  </si>
  <si>
    <t>Barlahida</t>
  </si>
  <si>
    <t>Bárdudvarnok</t>
  </si>
  <si>
    <t>Barcs</t>
  </si>
  <si>
    <t>Barbacs</t>
  </si>
  <si>
    <t>Baranyaszentgyörgy</t>
  </si>
  <si>
    <t>Baranyajenő</t>
  </si>
  <si>
    <t>Baranyahídvég</t>
  </si>
  <si>
    <t>Báránd</t>
  </si>
  <si>
    <t>Baracska</t>
  </si>
  <si>
    <t>Baracs</t>
  </si>
  <si>
    <t>Barabás</t>
  </si>
  <si>
    <t>Bár</t>
  </si>
  <si>
    <t>Bánréve</t>
  </si>
  <si>
    <t>Bánokszentgyörgy</t>
  </si>
  <si>
    <t>Bánk</t>
  </si>
  <si>
    <t>Bánhorváti</t>
  </si>
  <si>
    <t>Bánfa</t>
  </si>
  <si>
    <t>Bánd</t>
  </si>
  <si>
    <t>Bana</t>
  </si>
  <si>
    <t>Bálványos</t>
  </si>
  <si>
    <t>Balsa</t>
  </si>
  <si>
    <t>Balotaszállás</t>
  </si>
  <si>
    <t>Balogunyom</t>
  </si>
  <si>
    <t>Balmazújváros</t>
  </si>
  <si>
    <t>Ballószög</t>
  </si>
  <si>
    <t>Balkány</t>
  </si>
  <si>
    <t>Balinka</t>
  </si>
  <si>
    <t>Balatonvilágos</t>
  </si>
  <si>
    <t>Balatonújlak</t>
  </si>
  <si>
    <t>Balatonudvari</t>
  </si>
  <si>
    <t>Balatonszőlős</t>
  </si>
  <si>
    <t>Balatonszepezd</t>
  </si>
  <si>
    <t>Balatonszentgyörgy</t>
  </si>
  <si>
    <t>Balatonszemes</t>
  </si>
  <si>
    <t>Balatonszárszó</t>
  </si>
  <si>
    <t>Balatonszabadi</t>
  </si>
  <si>
    <t>Balatonrendes</t>
  </si>
  <si>
    <t>Balatonőszöd</t>
  </si>
  <si>
    <t>Balatonmáriafürdő</t>
  </si>
  <si>
    <t>Balatonmagyaród</t>
  </si>
  <si>
    <t>Balatonlelle</t>
  </si>
  <si>
    <t>Balatonkeresztúr</t>
  </si>
  <si>
    <t>Balatonkenese</t>
  </si>
  <si>
    <t>Balatonhenye</t>
  </si>
  <si>
    <t>Balatongyörök</t>
  </si>
  <si>
    <t>Balatonfűzfő</t>
  </si>
  <si>
    <t>Balatonfüred</t>
  </si>
  <si>
    <t>Balatonföldvár</t>
  </si>
  <si>
    <t>Balatonfőkajár</t>
  </si>
  <si>
    <t>Balatonfenyves</t>
  </si>
  <si>
    <t>Balatonendréd</t>
  </si>
  <si>
    <t>Balatonederics</t>
  </si>
  <si>
    <t>Balatoncsicsó</t>
  </si>
  <si>
    <t>Balatonboglár</t>
  </si>
  <si>
    <t>Balatonberény</t>
  </si>
  <si>
    <t>Balatonalmádi</t>
  </si>
  <si>
    <t>Balatonakarattya</t>
  </si>
  <si>
    <t>Balatonakali</t>
  </si>
  <si>
    <t>Balaton</t>
  </si>
  <si>
    <t>Balástya</t>
  </si>
  <si>
    <t>Balassagyarmat</t>
  </si>
  <si>
    <t>Balajt</t>
  </si>
  <si>
    <t>Baktüttös</t>
  </si>
  <si>
    <t>Baktalórántháza</t>
  </si>
  <si>
    <t>Baktakék</t>
  </si>
  <si>
    <t>Baksa</t>
  </si>
  <si>
    <t>Baks</t>
  </si>
  <si>
    <t>Bakonytamási</t>
  </si>
  <si>
    <t>Bakonyszücs</t>
  </si>
  <si>
    <t>Bakonyszombathely</t>
  </si>
  <si>
    <t>Bakonyszentlászló</t>
  </si>
  <si>
    <t>Bakonyszentkirály</t>
  </si>
  <si>
    <t>Bakonyszentiván</t>
  </si>
  <si>
    <t>Bakonysárkány</t>
  </si>
  <si>
    <t>Bakonyság</t>
  </si>
  <si>
    <t>Bakonypölöske</t>
  </si>
  <si>
    <t>Bakonypéterd</t>
  </si>
  <si>
    <t>Bakonyoszlop</t>
  </si>
  <si>
    <t>Bakonynána</t>
  </si>
  <si>
    <t>Bakonykúti</t>
  </si>
  <si>
    <t>Bakonykoppány</t>
  </si>
  <si>
    <t>Bakonyjákó</t>
  </si>
  <si>
    <t>Bakonygyirót</t>
  </si>
  <si>
    <t>Bakonycsernye</t>
  </si>
  <si>
    <t>Bakonybél</t>
  </si>
  <si>
    <t>Bakonybánk</t>
  </si>
  <si>
    <t>Bakonya</t>
  </si>
  <si>
    <t>Bakonszeg</t>
  </si>
  <si>
    <t>Bakóca</t>
  </si>
  <si>
    <t>Bakháza</t>
  </si>
  <si>
    <t>Bak</t>
  </si>
  <si>
    <t>Bajót</t>
  </si>
  <si>
    <t>Bajna</t>
  </si>
  <si>
    <t>Bajánsenye</t>
  </si>
  <si>
    <t>Baja</t>
  </si>
  <si>
    <t>Baj</t>
  </si>
  <si>
    <t>Bágyogszovát</t>
  </si>
  <si>
    <t>Bagod</t>
  </si>
  <si>
    <t>Baglad</t>
  </si>
  <si>
    <t>Bagamér</t>
  </si>
  <si>
    <t>Bag</t>
  </si>
  <si>
    <t>Badacsonytördemic</t>
  </si>
  <si>
    <t>Badacsonytomaj</t>
  </si>
  <si>
    <t>Bácsszőlős</t>
  </si>
  <si>
    <t>Bácsszentgyörgy</t>
  </si>
  <si>
    <t>Bácsborsód</t>
  </si>
  <si>
    <t>Bácsbokod</t>
  </si>
  <si>
    <t>Bácsalmás</t>
  </si>
  <si>
    <t>Babót</t>
  </si>
  <si>
    <t>Babosdöbréte</t>
  </si>
  <si>
    <t>Bábonymegyer</t>
  </si>
  <si>
    <t>Bábolna</t>
  </si>
  <si>
    <t>Babócsa</t>
  </si>
  <si>
    <t>Babarcszőlős</t>
  </si>
  <si>
    <t>Babarc</t>
  </si>
  <si>
    <t>Attala</t>
  </si>
  <si>
    <t>Atkár</t>
  </si>
  <si>
    <t>Átány</t>
  </si>
  <si>
    <t>Áta</t>
  </si>
  <si>
    <t>Aszófő</t>
  </si>
  <si>
    <t>Aszód</t>
  </si>
  <si>
    <t>Ászár</t>
  </si>
  <si>
    <t>Aszaló</t>
  </si>
  <si>
    <t>Ásványráró</t>
  </si>
  <si>
    <t>Ásotthalom</t>
  </si>
  <si>
    <t>Ártánd</t>
  </si>
  <si>
    <t>Árpás</t>
  </si>
  <si>
    <t>Árpádhalom</t>
  </si>
  <si>
    <t>Ároktő</t>
  </si>
  <si>
    <t>Arnót</t>
  </si>
  <si>
    <t>Arló</t>
  </si>
  <si>
    <t>Arka</t>
  </si>
  <si>
    <t>Aranyosgadány</t>
  </si>
  <si>
    <t>Aranyosapáti</t>
  </si>
  <si>
    <t>Apostag</t>
  </si>
  <si>
    <t>Áporka</t>
  </si>
  <si>
    <t>Apc</t>
  </si>
  <si>
    <t>Apátvarasd</t>
  </si>
  <si>
    <t>Apátistvánfalva</t>
  </si>
  <si>
    <t>Apátfalva</t>
  </si>
  <si>
    <t>Aparhant</t>
  </si>
  <si>
    <t>Apaj</t>
  </si>
  <si>
    <t>Apagy</t>
  </si>
  <si>
    <t>Apácatorna</t>
  </si>
  <si>
    <t>Annavölgy</t>
  </si>
  <si>
    <t>Andrásfa</t>
  </si>
  <si>
    <t>Andornaktálya</t>
  </si>
  <si>
    <t>Andocs</t>
  </si>
  <si>
    <t>Anarcs</t>
  </si>
  <si>
    <t>Ambrózfalva</t>
  </si>
  <si>
    <t>Alsózsolca</t>
  </si>
  <si>
    <t>Alsóvadász</t>
  </si>
  <si>
    <t>Alsóújlak</t>
  </si>
  <si>
    <t>Alsótold</t>
  </si>
  <si>
    <t>Alsótelekes</t>
  </si>
  <si>
    <t>Alsószuha</t>
  </si>
  <si>
    <t>Alsószölnök</t>
  </si>
  <si>
    <t>Alsószentmárton</t>
  </si>
  <si>
    <t>Alsószentiván</t>
  </si>
  <si>
    <t>Alsószenterzsébet</t>
  </si>
  <si>
    <t>Alsóregmec</t>
  </si>
  <si>
    <t>Alsórajk</t>
  </si>
  <si>
    <t>Alsópetény</t>
  </si>
  <si>
    <t>Alsópáhok</t>
  </si>
  <si>
    <t>Alsóörs</t>
  </si>
  <si>
    <t>Alsónyék</t>
  </si>
  <si>
    <t>Alsónemesapáti</t>
  </si>
  <si>
    <t>Alsónémedi</t>
  </si>
  <si>
    <t>Alsónána</t>
  </si>
  <si>
    <t>Alsómocsolád</t>
  </si>
  <si>
    <t>Alsógagy</t>
  </si>
  <si>
    <t>Alsódobsza</t>
  </si>
  <si>
    <t>Alsóbogát</t>
  </si>
  <si>
    <t>Alsóberecki</t>
  </si>
  <si>
    <t>Álmosd</t>
  </si>
  <si>
    <t>Almáskeresztúr</t>
  </si>
  <si>
    <t>Almáskamarás</t>
  </si>
  <si>
    <t>Almásháza</t>
  </si>
  <si>
    <t>Almásfüzitő</t>
  </si>
  <si>
    <t>Almamellék</t>
  </si>
  <si>
    <t>Alibánfa</t>
  </si>
  <si>
    <t>Algyő</t>
  </si>
  <si>
    <t>Aldebrő</t>
  </si>
  <si>
    <t>Alcsútdoboz</t>
  </si>
  <si>
    <t>Albertirsa</t>
  </si>
  <si>
    <t>Alattyán</t>
  </si>
  <si>
    <t>Alap</t>
  </si>
  <si>
    <t>Alacska</t>
  </si>
  <si>
    <t>Akasztó</t>
  </si>
  <si>
    <t>Aka</t>
  </si>
  <si>
    <t>Ajka</t>
  </si>
  <si>
    <t>Ajak</t>
  </si>
  <si>
    <t>Agyagosszergény</t>
  </si>
  <si>
    <t>Aggtelek</t>
  </si>
  <si>
    <t>Ágfalva</t>
  </si>
  <si>
    <t>Ágasegyháza</t>
  </si>
  <si>
    <t>Ág</t>
  </si>
  <si>
    <t>Adorjás</t>
  </si>
  <si>
    <t>Adorjánháza</t>
  </si>
  <si>
    <t>Adony</t>
  </si>
  <si>
    <t>Adásztevel</t>
  </si>
  <si>
    <t>Ádánd</t>
  </si>
  <si>
    <t>Adács</t>
  </si>
  <si>
    <t>Ácsteszér</t>
  </si>
  <si>
    <t>Acsalag</t>
  </si>
  <si>
    <t>Acsád</t>
  </si>
  <si>
    <t>Acsa</t>
  </si>
  <si>
    <t>Ács</t>
  </si>
  <si>
    <t>Ábrahámhegy</t>
  </si>
  <si>
    <t>Abony</t>
  </si>
  <si>
    <t>Abod</t>
  </si>
  <si>
    <t>Abda</t>
  </si>
  <si>
    <t>Abaújvár</t>
  </si>
  <si>
    <t>Abaújszolnok</t>
  </si>
  <si>
    <t>Abaújszántó</t>
  </si>
  <si>
    <t>Abaújlak</t>
  </si>
  <si>
    <t>Abaújkér</t>
  </si>
  <si>
    <t>Abaújalpár</t>
  </si>
  <si>
    <t>Abasár</t>
  </si>
  <si>
    <t>Abaliget</t>
  </si>
  <si>
    <t>Abádszalók</t>
  </si>
  <si>
    <t>Aba</t>
  </si>
  <si>
    <t>Lakó-népesség</t>
  </si>
  <si>
    <t>Település</t>
  </si>
  <si>
    <t>Decilis</t>
  </si>
  <si>
    <t>HI</t>
  </si>
  <si>
    <t>V</t>
  </si>
  <si>
    <t>Casco</t>
  </si>
  <si>
    <t>Kötelező</t>
  </si>
  <si>
    <t>Összefüggés</t>
  </si>
  <si>
    <t>Képlet</t>
  </si>
  <si>
    <t>Herfindahl index:</t>
  </si>
  <si>
    <t>G</t>
  </si>
  <si>
    <t>F</t>
  </si>
  <si>
    <t>E</t>
  </si>
  <si>
    <t>D</t>
  </si>
  <si>
    <t>C</t>
  </si>
  <si>
    <t>B</t>
  </si>
  <si>
    <t>A</t>
  </si>
  <si>
    <t>Biztosító</t>
  </si>
  <si>
    <t>Egy évben egy országban a kötelező és Casco gépjármű-biztosítással foglalkozó biztosítók piaci részesedése százalékban (díjbevételek, nemzeti valuta alapján) az alábbi (mindkét típussal hét cég foglalkozik):</t>
  </si>
  <si>
    <t>Árbevétel</t>
  </si>
  <si>
    <t>Foglalkoztatottak</t>
  </si>
  <si>
    <r>
      <t>g'</t>
    </r>
    <r>
      <rPr>
        <b/>
        <vertAlign val="subscript"/>
        <sz val="10"/>
        <color indexed="9"/>
        <rFont val="Arial"/>
        <family val="2"/>
        <charset val="238"/>
      </rPr>
      <t>i</t>
    </r>
  </si>
  <si>
    <r>
      <t>z'</t>
    </r>
    <r>
      <rPr>
        <b/>
        <vertAlign val="subscript"/>
        <sz val="10"/>
        <color indexed="9"/>
        <rFont val="Arial"/>
        <family val="2"/>
        <charset val="238"/>
      </rPr>
      <t>i</t>
    </r>
  </si>
  <si>
    <t>51 -100</t>
  </si>
  <si>
    <t>41 - 50</t>
  </si>
  <si>
    <t>31 - 40</t>
  </si>
  <si>
    <t>21 - 30</t>
  </si>
  <si>
    <t>11 - 20</t>
  </si>
  <si>
    <t xml:space="preserve">    - 10</t>
  </si>
  <si>
    <t>Foglalkoztatottak 
száma (fő)</t>
  </si>
  <si>
    <r>
      <t>z</t>
    </r>
    <r>
      <rPr>
        <b/>
        <vertAlign val="subscript"/>
        <sz val="10"/>
        <color indexed="9"/>
        <rFont val="Arial"/>
        <family val="2"/>
        <charset val="238"/>
      </rPr>
      <t>i</t>
    </r>
  </si>
  <si>
    <t>Hasonlítsa össze a létszám és árbevétel szerinti koncentrációt Lorenz-görbe segítségével, a létszám szerinti kategóriák alapján!</t>
  </si>
  <si>
    <t>Árbevétel 
(millió Ft)</t>
  </si>
  <si>
    <t>Összes foglal-koztatott (fő)</t>
  </si>
  <si>
    <t>Vállalatok száma</t>
  </si>
  <si>
    <t>Egy ágazatban 100 vállalat működik. A vállalatok megoszlása a foglalkoztatottak száma szerint, illetve ezen vállalatok árbevétele foglalkoztatási kategóriánként a következő:</t>
  </si>
  <si>
    <t>Tizedek</t>
  </si>
  <si>
    <t>Kumulált</t>
  </si>
  <si>
    <t>Jellemezze Lorenz-görbével a jövedelmi egyenlőtlenségek változását!</t>
  </si>
  <si>
    <t>Magyarországon az egy főre jutó személyes nettó jövedelmek alapján képzett népességtizedek az összes személyes jövedelem alábbi részarányával (%) rendelkeznek:
1977: 
4,5;   6,3;   7,3;   8,1;   8,9;   9,8;   10,8;   12,0;   13,7;   18,6
1995:
3,3;   5,0;   6,2;   7,2;   8,2;   9,1;   10,2;   11,7;   14,1;   25,0
2010:
1,8;  4,2;   5,8;   7,1;   7,5;   8,2;   9,4;   11,5;   14,9;   29,6</t>
  </si>
  <si>
    <t xml:space="preserve">Értékesített </t>
  </si>
  <si>
    <t xml:space="preserve">Nyomott </t>
  </si>
  <si>
    <t>Értékesített</t>
  </si>
  <si>
    <t>Nyomott</t>
  </si>
  <si>
    <t>Kumulált relatív értékösszeg</t>
  </si>
  <si>
    <t>Rendezett relatív értékösszeg</t>
  </si>
  <si>
    <t>i</t>
  </si>
  <si>
    <t>Lorenz-görbe:</t>
  </si>
  <si>
    <t>Népszava</t>
  </si>
  <si>
    <t>Népszabadság</t>
  </si>
  <si>
    <t>Nemzeti Sport</t>
  </si>
  <si>
    <t>Metropol</t>
  </si>
  <si>
    <t>Magyar Nemzet</t>
  </si>
  <si>
    <t>Magyar Hírlap</t>
  </si>
  <si>
    <t>Értékesített (%)</t>
  </si>
  <si>
    <t>Nyomott (%)</t>
  </si>
  <si>
    <t>Bors</t>
  </si>
  <si>
    <t>Blikk</t>
  </si>
  <si>
    <t>Segédtáblázattal:</t>
  </si>
  <si>
    <t>Direkt képlettel:</t>
  </si>
  <si>
    <t>Megnevezés</t>
  </si>
  <si>
    <t>"Értékesített" részesedés szerinti rendezettség:</t>
  </si>
  <si>
    <t>"Nyomott" részesedés szerinti rendezettség:</t>
  </si>
  <si>
    <t>Részesedések:</t>
  </si>
  <si>
    <t>Az országos napilapok Magyar Terjesztés-Ellenőrző Szövetség (MATESZ) által jegyzett nyomott és értékesített példányszáma 2011. IV. negyedévében a következő volt:</t>
  </si>
  <si>
    <t>Gázszolgáltatók Herfindahl-index</t>
  </si>
  <si>
    <t>Áramszolgáltatók Herfindahl-index</t>
  </si>
  <si>
    <t>Dél-dunántúli Gázszolgáltató Zrt.</t>
  </si>
  <si>
    <t>Közép-dunántúli Gázszolgáltató Zrt.</t>
  </si>
  <si>
    <t>Észak-dunántúli Gázszolgáltató Zrt.</t>
  </si>
  <si>
    <t>Dél-alföldi Gázszolgáltató Zrt.</t>
  </si>
  <si>
    <t>Fővárosi Gázművek Zrt.</t>
  </si>
  <si>
    <t>Tiszántúli Gázszolgáltató Zrt.</t>
  </si>
  <si>
    <r>
      <t>Lakosságnak értéke-sített gáz (millió m</t>
    </r>
    <r>
      <rPr>
        <b/>
        <vertAlign val="superscript"/>
        <sz val="10"/>
        <color indexed="9"/>
        <rFont val="Arial CE"/>
        <charset val="238"/>
      </rPr>
      <t>3</t>
    </r>
    <r>
      <rPr>
        <b/>
        <sz val="10"/>
        <color indexed="9"/>
        <rFont val="Arial CE"/>
        <charset val="238"/>
      </rPr>
      <t>)</t>
    </r>
  </si>
  <si>
    <t>Gázszolgáltatók</t>
  </si>
  <si>
    <t>ÉMÁSZ Hálózati Kft.</t>
  </si>
  <si>
    <t>E.ON Tiszántúli Áramszolgáltató Zrt.</t>
  </si>
  <si>
    <t>E.ON Észak-dunántúli Áramszolgáltató Zrt.</t>
  </si>
  <si>
    <t>E.ON Dél-dunántúli Áramszolgáltató Zrt.</t>
  </si>
  <si>
    <t>DÉMÁSZ Hálózati Elosztó Kft.</t>
  </si>
  <si>
    <t>ELMŰ Hálózati kft.</t>
  </si>
  <si>
    <t>Kisfeszültségen kiadott energia (GWh)</t>
  </si>
  <si>
    <t>Áramszolgáltatók</t>
  </si>
  <si>
    <t>Hasonlítsa össze az energiaszektor két területén a koncentrációt a Herfindahl-index segítségével!</t>
  </si>
  <si>
    <t>2010-ben az áramszolgáltatók elosztói- és a gázszolgáltatók által szolgáltatott energia jellemző adatai a következők voltak:</t>
  </si>
  <si>
    <r>
      <t>Z'</t>
    </r>
    <r>
      <rPr>
        <b/>
        <vertAlign val="subscript"/>
        <sz val="10"/>
        <color indexed="9"/>
        <rFont val="Arial"/>
        <family val="2"/>
      </rPr>
      <t>i</t>
    </r>
  </si>
  <si>
    <r>
      <t>Z</t>
    </r>
    <r>
      <rPr>
        <b/>
        <vertAlign val="subscript"/>
        <sz val="10"/>
        <color indexed="9"/>
        <rFont val="Arial"/>
        <family val="2"/>
      </rPr>
      <t>i</t>
    </r>
  </si>
  <si>
    <r>
      <t>S</t>
    </r>
    <r>
      <rPr>
        <b/>
        <vertAlign val="subscript"/>
        <sz val="10"/>
        <color indexed="9"/>
        <rFont val="Arial"/>
        <family val="2"/>
      </rPr>
      <t>i</t>
    </r>
  </si>
  <si>
    <r>
      <t>g'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</si>
  <si>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g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</si>
  <si>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</si>
  <si>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t>Osztályköz</t>
  </si>
  <si>
    <r>
      <t>Y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</si>
  <si>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Becsült S</t>
    </r>
    <r>
      <rPr>
        <b/>
        <vertAlign val="subscript"/>
        <sz val="10"/>
        <color indexed="9"/>
        <rFont val="Arial"/>
        <family val="2"/>
      </rPr>
      <t>i</t>
    </r>
  </si>
  <si>
    <r>
      <t xml:space="preserve">Hasonlítsa össze a napilapok nyomott és értékesített példányszámának koncentrációját 
</t>
    </r>
    <r>
      <rPr>
        <sz val="10"/>
        <color theme="0" tint="-0.499984740745262"/>
        <rFont val="Arial"/>
        <family val="2"/>
      </rPr>
      <t xml:space="preserve">a) a koncentrációs arányszám, </t>
    </r>
    <r>
      <rPr>
        <sz val="10"/>
        <rFont val="Arial"/>
        <family val="2"/>
        <charset val="238"/>
      </rPr>
      <t xml:space="preserve">
b) a Herfindahl-index, 
c) a Lorenz-görbe
segítségével!</t>
    </r>
  </si>
  <si>
    <t>Terület</t>
  </si>
  <si>
    <t>L</t>
  </si>
  <si>
    <r>
      <t>g'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(%)</t>
    </r>
  </si>
  <si>
    <r>
      <t>Z'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(%)</t>
    </r>
  </si>
  <si>
    <t>Átlagpont</t>
  </si>
  <si>
    <t>Medián</t>
  </si>
  <si>
    <r>
      <t>Z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</si>
  <si>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Becsült Z'</t>
    </r>
    <r>
      <rPr>
        <b/>
        <vertAlign val="subscript"/>
        <sz val="10"/>
        <color indexed="9"/>
        <rFont val="Arial"/>
        <family val="2"/>
      </rPr>
      <t>i</t>
    </r>
  </si>
  <si>
    <r>
      <t>Becsült S'</t>
    </r>
    <r>
      <rPr>
        <b/>
        <vertAlign val="subscript"/>
        <sz val="10"/>
        <color indexed="9"/>
        <rFont val="Arial"/>
        <family val="2"/>
      </rPr>
      <t>i</t>
    </r>
  </si>
  <si>
    <r>
      <t>Becsült Z</t>
    </r>
    <r>
      <rPr>
        <b/>
        <vertAlign val="subscript"/>
        <sz val="10"/>
        <color indexed="9"/>
        <rFont val="Arial"/>
        <family val="2"/>
      </rPr>
      <t>i</t>
    </r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</si>
  <si>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/ h</t>
    </r>
    <r>
      <rPr>
        <b/>
        <vertAlign val="subscript"/>
        <sz val="10"/>
        <color rgb="FFFFFFFF"/>
        <rFont val="Arial"/>
        <family val="2"/>
      </rPr>
      <t>i</t>
    </r>
  </si>
  <si>
    <r>
      <t>h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</si>
  <si>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</si>
  <si>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t>A lenti táblázatban a saját jogon járó öregségi nyugdíjban részesülők száma (fő) látható a teljes ellátás havi összege (Ft) szerinti bontásban 2024. januárjában, valamint a mennyiségi sorok és a hisztogram képe az előző tanórák számításai alapján, de a 300 ezer Ft feletti nyugdíjakat 100 ezer Ft hosszúságú osztályközökbe összevonva.</t>
  </si>
  <si>
    <t>Fizetési kategória (eFt)</t>
  </si>
  <si>
    <t>Fizetés (eFt)</t>
  </si>
  <si>
    <t>ID</t>
  </si>
  <si>
    <t>Az lenti táblázatban a Stack Overflow programozóknak szóló közösségi oldal éves kérdőíve 2018-2022 közötti magyar kitöltőinek havi bruttó fizetéseit találjuk forintban (2022.12.31-i árfolyamok szerint).
(Az adatokat kigyűjtötte és tisztította Vastag Emese.)</t>
  </si>
  <si>
    <t>Az MNB kimutatása alapján a magyar háztartások pénzügyi vagyona (készpénzben, részvényben, kötvényben, stb. tartott vagyon) alapján képzett háztartástizedek az összes pénzügyi vagyon alábbi táblázatban látható részarányával (%) rendelkeznek.</t>
  </si>
  <si>
    <t>A gyakorisági sorok felhasználásával mutassuk be a nyugdíjak koncentrációját!</t>
  </si>
  <si>
    <t xml:space="preserve">A lenti táblázat Magyarország településeinek 2025. január 1-jei lakosságszámát tartalmazza (Budapest kerületeivel szerepel benne). </t>
  </si>
  <si>
    <t>Budapest 23. ker.</t>
  </si>
  <si>
    <t>Budapest 05. ker.</t>
  </si>
  <si>
    <t>Budapest 01. ker.</t>
  </si>
  <si>
    <t>Budapest 06. ker.</t>
  </si>
  <si>
    <t>Budapest 07. ker.</t>
  </si>
  <si>
    <t>Budapest 12. ker.</t>
  </si>
  <si>
    <t>Budapest 22. ker.</t>
  </si>
  <si>
    <t>Budapest 19. ker.</t>
  </si>
  <si>
    <t>Budapest 09. ker.</t>
  </si>
  <si>
    <t>Budapest 20. ker.</t>
  </si>
  <si>
    <t>Budapest 21. ker.</t>
  </si>
  <si>
    <t>Budapest 08. ker.</t>
  </si>
  <si>
    <t>Budapest 16. ker.</t>
  </si>
  <si>
    <t>Budapest 10. ker.</t>
  </si>
  <si>
    <t>Budapest 15. ker.</t>
  </si>
  <si>
    <t>Budapest 17. ker.</t>
  </si>
  <si>
    <t>Budapest 02. ker.</t>
  </si>
  <si>
    <t>Budapest 04. ker.</t>
  </si>
  <si>
    <t>Budapest 18. ker.</t>
  </si>
  <si>
    <t>Budapest 14. ker.</t>
  </si>
  <si>
    <t>Budapest 13. ker.</t>
  </si>
  <si>
    <t>Budapest 03. ker.</t>
  </si>
  <si>
    <t>Budapest 11. ker.</t>
  </si>
  <si>
    <t>a) Készítse el a decilisek alapján a Lorenz görbét! Határozza meg a koncentrációs együtthatót!
b) Készítse el a Lorenz-görbét az eredeti adatokkal is! Határozza meg és értelmezze az átlagpontot!</t>
  </si>
  <si>
    <r>
      <t>Hasonlítsa össze a kötelező és Casco biztosítással foglalkozó biztosítók piaci részesedésének koncentrációját
a) a koncentrációs arányszám (CR</t>
    </r>
    <r>
      <rPr>
        <vertAlign val="subscript"/>
        <sz val="10"/>
        <rFont val="Arial"/>
        <family val="2"/>
        <charset val="238"/>
      </rPr>
      <t>4</t>
    </r>
    <r>
      <rPr>
        <sz val="10"/>
        <rFont val="Arial"/>
        <family val="2"/>
        <charset val="238"/>
      </rPr>
      <t>);
b) a Herfindahl-index;
alapján!</t>
    </r>
  </si>
  <si>
    <t>CR4</t>
  </si>
  <si>
    <t>H</t>
  </si>
  <si>
    <t xml:space="preserve">a) Készítse el a decilisek alapján a Lorenz görbét! Határozza meg a Gini-féle koncentrációs együtthatót!
b) Készítse el a Lorenz-görbét az eredeti adatokkal is! Határozza meg és adja meg a Robin Hood-index értékét! Értelmezze ezeket!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</si>
</sst>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"/>
    <numFmt numFmtId="166" formatCode="0.0%"/>
    <numFmt numFmtId="167" formatCode="#,##0.000"/>
    <numFmt numFmtId="168" formatCode="#,##0.0"/>
    <numFmt numFmtId="169" formatCode="0.0000"/>
    <numFmt numFmtId="170" formatCode="0.000%"/>
    <numFmt numFmtId="171" formatCode="0.0000%"/>
  </numFmts>
  <fonts count="40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b/>
      <sz val="10"/>
      <name val="Arial CE"/>
      <charset val="238"/>
    </font>
    <font>
      <b/>
      <sz val="10"/>
      <color indexed="9"/>
      <name val="Arial"/>
      <family val="2"/>
      <charset val="238"/>
    </font>
    <font>
      <b/>
      <sz val="10"/>
      <color indexed="9"/>
      <name val="Arial CE"/>
      <charset val="238"/>
    </font>
    <font>
      <sz val="10"/>
      <name val="Arial"/>
      <family val="2"/>
    </font>
    <font>
      <b/>
      <vertAlign val="subscript"/>
      <sz val="10"/>
      <color indexed="9"/>
      <name val="Arial CE"/>
      <charset val="238"/>
    </font>
    <font>
      <sz val="8"/>
      <color indexed="81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  <charset val="238"/>
    </font>
    <font>
      <b/>
      <vertAlign val="subscript"/>
      <sz val="10"/>
      <color indexed="9"/>
      <name val="Arial"/>
      <family val="2"/>
      <charset val="238"/>
    </font>
    <font>
      <b/>
      <sz val="10"/>
      <name val="Arial"/>
      <family val="2"/>
      <charset val="238"/>
    </font>
    <font>
      <sz val="12"/>
      <name val="Garamond"/>
      <family val="1"/>
      <charset val="238"/>
    </font>
    <font>
      <sz val="10"/>
      <color indexed="21"/>
      <name val="Arial"/>
      <family val="2"/>
      <charset val="238"/>
    </font>
    <font>
      <sz val="10"/>
      <color indexed="57"/>
      <name val="Arial"/>
      <family val="2"/>
      <charset val="238"/>
    </font>
    <font>
      <b/>
      <sz val="10"/>
      <color indexed="21"/>
      <name val="Arial"/>
      <family val="2"/>
      <charset val="238"/>
    </font>
    <font>
      <b/>
      <vertAlign val="superscript"/>
      <sz val="10"/>
      <color indexed="9"/>
      <name val="Arial CE"/>
      <charset val="238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vertAlign val="subscript"/>
      <sz val="10"/>
      <color indexed="9"/>
      <name val="Arial"/>
      <family val="2"/>
    </font>
    <font>
      <sz val="9"/>
      <color indexed="81"/>
      <name val="Tahoma"/>
      <family val="2"/>
    </font>
    <font>
      <sz val="10"/>
      <color theme="4"/>
      <name val="Arial"/>
      <family val="2"/>
    </font>
    <font>
      <sz val="10"/>
      <color theme="0" tint="-0.499984740745262"/>
      <name val="Arial"/>
      <family val="2"/>
    </font>
    <font>
      <b/>
      <vertAlign val="subscript"/>
      <sz val="10"/>
      <color rgb="FFFFFFFF"/>
      <name val="Arial"/>
      <family val="2"/>
    </font>
    <font>
      <sz val="10"/>
      <color theme="1" tint="0.34998626667073579"/>
      <name val="Arial"/>
      <family val="2"/>
    </font>
    <font>
      <sz val="11"/>
      <color theme="1"/>
      <name val="Calibri"/>
      <family val="2"/>
      <scheme val="minor"/>
    </font>
    <font>
      <vertAlign val="subscript"/>
      <sz val="10"/>
      <name val="Arial"/>
      <family val="2"/>
      <charset val="238"/>
    </font>
    <font>
      <sz val="10"/>
      <color rgb="FF4F81BD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7"/>
      </right>
      <top style="medium">
        <color indexed="57"/>
      </top>
      <bottom style="medium">
        <color indexed="57"/>
      </bottom>
      <diagonal/>
    </border>
    <border>
      <left/>
      <right/>
      <top style="medium">
        <color indexed="57"/>
      </top>
      <bottom style="medium">
        <color indexed="57"/>
      </bottom>
      <diagonal/>
    </border>
    <border>
      <left style="thin">
        <color indexed="57"/>
      </left>
      <right/>
      <top style="medium">
        <color indexed="57"/>
      </top>
      <bottom style="medium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/>
      <right style="thin">
        <color rgb="FF4F81BD"/>
      </right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 style="thin">
        <color rgb="FF4F81BD"/>
      </left>
      <right/>
      <top style="medium">
        <color rgb="FF4F81BD"/>
      </top>
      <bottom style="medium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theme="0"/>
      </bottom>
      <diagonal/>
    </border>
  </borders>
  <cellStyleXfs count="20">
    <xf numFmtId="0" fontId="0" fillId="0" borderId="0"/>
    <xf numFmtId="9" fontId="10" fillId="0" borderId="0" applyFont="0" applyFill="0" applyBorder="0" applyAlignment="0" applyProtection="0"/>
    <xf numFmtId="0" fontId="8" fillId="0" borderId="0"/>
    <xf numFmtId="0" fontId="7" fillId="0" borderId="0"/>
    <xf numFmtId="0" fontId="10" fillId="0" borderId="0"/>
    <xf numFmtId="9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37" fillId="0" borderId="0"/>
    <xf numFmtId="0" fontId="10" fillId="0" borderId="0"/>
    <xf numFmtId="0" fontId="2" fillId="0" borderId="0"/>
    <xf numFmtId="0" fontId="2" fillId="0" borderId="0"/>
    <xf numFmtId="0" fontId="1" fillId="0" borderId="0"/>
  </cellStyleXfs>
  <cellXfs count="278">
    <xf numFmtId="0" fontId="0" fillId="0" borderId="0" xfId="0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2" fillId="0" borderId="0" xfId="0" applyFont="1"/>
    <xf numFmtId="0" fontId="0" fillId="0" borderId="0" xfId="0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20" fillId="5" borderId="32" xfId="4" applyFont="1" applyFill="1" applyBorder="1" applyAlignment="1">
      <alignment horizontal="center" vertical="center" wrapText="1"/>
    </xf>
    <xf numFmtId="3" fontId="15" fillId="0" borderId="7" xfId="4" applyNumberFormat="1" applyFont="1" applyBorder="1" applyAlignment="1">
      <alignment horizontal="center"/>
    </xf>
    <xf numFmtId="0" fontId="9" fillId="0" borderId="0" xfId="6"/>
    <xf numFmtId="164" fontId="15" fillId="0" borderId="28" xfId="0" applyNumberFormat="1" applyFont="1" applyBorder="1" applyAlignment="1">
      <alignment horizontal="center"/>
    </xf>
    <xf numFmtId="0" fontId="14" fillId="3" borderId="35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167" fontId="11" fillId="0" borderId="8" xfId="6" applyNumberFormat="1" applyFont="1" applyBorder="1" applyAlignment="1">
      <alignment horizontal="center" vertical="center"/>
    </xf>
    <xf numFmtId="0" fontId="18" fillId="0" borderId="9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4" fillId="3" borderId="15" xfId="0" applyFont="1" applyFill="1" applyBorder="1" applyAlignment="1">
      <alignment horizontal="center" vertical="center" wrapText="1"/>
    </xf>
    <xf numFmtId="167" fontId="18" fillId="0" borderId="37" xfId="6" applyNumberFormat="1" applyFont="1" applyBorder="1" applyAlignment="1">
      <alignment horizontal="center" vertical="center"/>
    </xf>
    <xf numFmtId="0" fontId="21" fillId="0" borderId="37" xfId="6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14" fillId="2" borderId="39" xfId="0" applyFont="1" applyFill="1" applyBorder="1" applyAlignment="1">
      <alignment horizontal="center" vertical="center" wrapText="1"/>
    </xf>
    <xf numFmtId="0" fontId="9" fillId="0" borderId="0" xfId="7"/>
    <xf numFmtId="0" fontId="18" fillId="0" borderId="0" xfId="7" applyFont="1"/>
    <xf numFmtId="164" fontId="18" fillId="0" borderId="8" xfId="7" applyNumberFormat="1" applyFont="1" applyBorder="1" applyAlignment="1">
      <alignment horizontal="center"/>
    </xf>
    <xf numFmtId="0" fontId="14" fillId="3" borderId="39" xfId="0" applyFont="1" applyFill="1" applyBorder="1" applyAlignment="1">
      <alignment horizontal="center" vertical="center" wrapText="1"/>
    </xf>
    <xf numFmtId="164" fontId="18" fillId="0" borderId="37" xfId="7" applyNumberFormat="1" applyFont="1" applyBorder="1" applyAlignment="1">
      <alignment horizontal="center"/>
    </xf>
    <xf numFmtId="164" fontId="11" fillId="0" borderId="37" xfId="6" applyNumberFormat="1" applyFont="1" applyBorder="1" applyAlignment="1">
      <alignment horizontal="center" vertical="center"/>
    </xf>
    <xf numFmtId="165" fontId="23" fillId="0" borderId="37" xfId="6" applyNumberFormat="1" applyFont="1" applyBorder="1" applyAlignment="1">
      <alignment horizontal="center" vertical="center"/>
    </xf>
    <xf numFmtId="164" fontId="18" fillId="0" borderId="10" xfId="7" applyNumberFormat="1" applyFont="1" applyBorder="1" applyAlignment="1">
      <alignment horizontal="center"/>
    </xf>
    <xf numFmtId="164" fontId="11" fillId="0" borderId="10" xfId="6" applyNumberFormat="1" applyFont="1" applyBorder="1" applyAlignment="1">
      <alignment horizontal="center" vertical="center"/>
    </xf>
    <xf numFmtId="165" fontId="11" fillId="0" borderId="10" xfId="6" quotePrefix="1" applyNumberFormat="1" applyFont="1" applyBorder="1" applyAlignment="1">
      <alignment horizontal="center" vertical="center"/>
    </xf>
    <xf numFmtId="164" fontId="18" fillId="0" borderId="9" xfId="7" applyNumberFormat="1" applyFont="1" applyBorder="1" applyAlignment="1">
      <alignment horizontal="center"/>
    </xf>
    <xf numFmtId="164" fontId="11" fillId="0" borderId="8" xfId="6" applyNumberFormat="1" applyFont="1" applyBorder="1" applyAlignment="1">
      <alignment horizontal="center" vertical="center"/>
    </xf>
    <xf numFmtId="165" fontId="11" fillId="0" borderId="8" xfId="6" quotePrefix="1" applyNumberFormat="1" applyFont="1" applyBorder="1" applyAlignment="1">
      <alignment horizontal="center" vertical="center"/>
    </xf>
    <xf numFmtId="164" fontId="11" fillId="0" borderId="9" xfId="6" applyNumberFormat="1" applyFont="1" applyBorder="1" applyAlignment="1">
      <alignment horizontal="center" vertical="center"/>
    </xf>
    <xf numFmtId="165" fontId="11" fillId="0" borderId="9" xfId="6" quotePrefix="1" applyNumberFormat="1" applyFont="1" applyBorder="1" applyAlignment="1">
      <alignment horizontal="center" vertical="center"/>
    </xf>
    <xf numFmtId="3" fontId="11" fillId="0" borderId="37" xfId="6" applyNumberFormat="1" applyFont="1" applyBorder="1" applyAlignment="1">
      <alignment horizontal="right" vertical="center" indent="3"/>
    </xf>
    <xf numFmtId="1" fontId="11" fillId="0" borderId="37" xfId="6" applyNumberFormat="1" applyFont="1" applyBorder="1" applyAlignment="1">
      <alignment horizontal="right" vertical="center" indent="4"/>
    </xf>
    <xf numFmtId="3" fontId="11" fillId="0" borderId="10" xfId="6" applyNumberFormat="1" applyFont="1" applyBorder="1" applyAlignment="1">
      <alignment horizontal="right" vertical="center" indent="3"/>
    </xf>
    <xf numFmtId="1" fontId="11" fillId="0" borderId="10" xfId="6" applyNumberFormat="1" applyFont="1" applyBorder="1" applyAlignment="1">
      <alignment horizontal="right" vertical="center" indent="4"/>
    </xf>
    <xf numFmtId="3" fontId="11" fillId="0" borderId="8" xfId="6" applyNumberFormat="1" applyFont="1" applyBorder="1" applyAlignment="1">
      <alignment horizontal="right" vertical="center" indent="3"/>
    </xf>
    <xf numFmtId="1" fontId="11" fillId="0" borderId="8" xfId="6" applyNumberFormat="1" applyFont="1" applyBorder="1" applyAlignment="1">
      <alignment horizontal="right" vertical="center" indent="4"/>
    </xf>
    <xf numFmtId="3" fontId="11" fillId="0" borderId="9" xfId="6" applyNumberFormat="1" applyFont="1" applyBorder="1" applyAlignment="1">
      <alignment horizontal="right" vertical="center" indent="3"/>
    </xf>
    <xf numFmtId="1" fontId="11" fillId="0" borderId="9" xfId="6" applyNumberFormat="1" applyFont="1" applyBorder="1" applyAlignment="1">
      <alignment horizontal="right" vertical="center" indent="4"/>
    </xf>
    <xf numFmtId="0" fontId="24" fillId="0" borderId="0" xfId="0" applyFont="1" applyAlignment="1">
      <alignment horizontal="justify"/>
    </xf>
    <xf numFmtId="165" fontId="0" fillId="0" borderId="9" xfId="0" applyNumberFormat="1" applyBorder="1" applyAlignment="1">
      <alignment horizontal="right" indent="1"/>
    </xf>
    <xf numFmtId="1" fontId="0" fillId="0" borderId="9" xfId="0" applyNumberFormat="1" applyBorder="1" applyAlignment="1">
      <alignment horizontal="right" indent="2"/>
    </xf>
    <xf numFmtId="0" fontId="10" fillId="0" borderId="8" xfId="0" applyFont="1" applyBorder="1" applyAlignment="1">
      <alignment horizontal="right" indent="1"/>
    </xf>
    <xf numFmtId="1" fontId="10" fillId="0" borderId="8" xfId="0" applyNumberFormat="1" applyFont="1" applyBorder="1" applyAlignment="1">
      <alignment horizontal="right" indent="2"/>
    </xf>
    <xf numFmtId="0" fontId="14" fillId="3" borderId="11" xfId="0" applyFont="1" applyFill="1" applyBorder="1" applyAlignment="1">
      <alignment horizontal="center" vertical="center" wrapText="1"/>
    </xf>
    <xf numFmtId="0" fontId="18" fillId="0" borderId="37" xfId="6" applyFont="1" applyBorder="1" applyAlignment="1">
      <alignment horizontal="center"/>
    </xf>
    <xf numFmtId="165" fontId="25" fillId="0" borderId="10" xfId="6" applyNumberFormat="1" applyFont="1" applyBorder="1" applyAlignment="1">
      <alignment horizontal="center"/>
    </xf>
    <xf numFmtId="165" fontId="25" fillId="0" borderId="9" xfId="6" applyNumberFormat="1" applyFont="1" applyBorder="1" applyAlignment="1">
      <alignment horizontal="center"/>
    </xf>
    <xf numFmtId="165" fontId="25" fillId="0" borderId="8" xfId="6" applyNumberFormat="1" applyFont="1" applyBorder="1" applyAlignment="1">
      <alignment horizontal="center"/>
    </xf>
    <xf numFmtId="0" fontId="9" fillId="0" borderId="0" xfId="8"/>
    <xf numFmtId="167" fontId="11" fillId="0" borderId="8" xfId="8" applyNumberFormat="1" applyFont="1" applyBorder="1" applyAlignment="1">
      <alignment horizontal="right" vertical="center" indent="3"/>
    </xf>
    <xf numFmtId="164" fontId="18" fillId="0" borderId="8" xfId="8" applyNumberFormat="1" applyFont="1" applyBorder="1" applyAlignment="1">
      <alignment horizontal="center"/>
    </xf>
    <xf numFmtId="164" fontId="18" fillId="0" borderId="0" xfId="8" applyNumberFormat="1" applyFont="1" applyAlignment="1">
      <alignment horizontal="center"/>
    </xf>
    <xf numFmtId="0" fontId="18" fillId="0" borderId="9" xfId="8" applyFont="1" applyBorder="1" applyAlignment="1">
      <alignment horizontal="center"/>
    </xf>
    <xf numFmtId="0" fontId="18" fillId="0" borderId="8" xfId="8" applyFont="1" applyBorder="1" applyAlignment="1">
      <alignment horizontal="center"/>
    </xf>
    <xf numFmtId="0" fontId="21" fillId="0" borderId="0" xfId="8" applyFont="1" applyAlignment="1">
      <alignment horizontal="center"/>
    </xf>
    <xf numFmtId="167" fontId="18" fillId="0" borderId="37" xfId="8" applyNumberFormat="1" applyFont="1" applyBorder="1" applyAlignment="1">
      <alignment horizontal="center" vertical="center"/>
    </xf>
    <xf numFmtId="0" fontId="14" fillId="3" borderId="37" xfId="0" applyFont="1" applyFill="1" applyBorder="1" applyAlignment="1">
      <alignment horizontal="left" vertical="center" wrapText="1" indent="1"/>
    </xf>
    <xf numFmtId="167" fontId="11" fillId="0" borderId="16" xfId="8" applyNumberFormat="1" applyFont="1" applyBorder="1" applyAlignment="1">
      <alignment horizontal="center" vertical="center"/>
    </xf>
    <xf numFmtId="0" fontId="18" fillId="0" borderId="10" xfId="8" applyFont="1" applyBorder="1" applyAlignment="1">
      <alignment horizontal="left" vertical="center" indent="1"/>
    </xf>
    <xf numFmtId="167" fontId="11" fillId="0" borderId="8" xfId="8" applyNumberFormat="1" applyFont="1" applyBorder="1" applyAlignment="1">
      <alignment horizontal="center" vertical="center"/>
    </xf>
    <xf numFmtId="0" fontId="18" fillId="0" borderId="9" xfId="8" applyFont="1" applyBorder="1" applyAlignment="1">
      <alignment horizontal="left" vertical="center" indent="1"/>
    </xf>
    <xf numFmtId="167" fontId="18" fillId="0" borderId="37" xfId="8" applyNumberFormat="1" applyFont="1" applyBorder="1" applyAlignment="1">
      <alignment horizontal="right" vertical="center" indent="3"/>
    </xf>
    <xf numFmtId="0" fontId="14" fillId="3" borderId="28" xfId="0" applyFont="1" applyFill="1" applyBorder="1" applyAlignment="1">
      <alignment horizontal="left" vertical="center" wrapText="1" indent="1"/>
    </xf>
    <xf numFmtId="0" fontId="13" fillId="3" borderId="38" xfId="0" applyFont="1" applyFill="1" applyBorder="1" applyAlignment="1">
      <alignment horizontal="left" indent="1"/>
    </xf>
    <xf numFmtId="0" fontId="13" fillId="3" borderId="4" xfId="0" applyFont="1" applyFill="1" applyBorder="1" applyAlignment="1">
      <alignment horizontal="left" indent="1"/>
    </xf>
    <xf numFmtId="0" fontId="13" fillId="3" borderId="5" xfId="0" applyFont="1" applyFill="1" applyBorder="1" applyAlignment="1">
      <alignment horizontal="left" indent="1"/>
    </xf>
    <xf numFmtId="0" fontId="14" fillId="7" borderId="22" xfId="0" applyFont="1" applyFill="1" applyBorder="1" applyAlignment="1">
      <alignment horizontal="left" vertical="center" wrapText="1" indent="1"/>
    </xf>
    <xf numFmtId="0" fontId="18" fillId="0" borderId="8" xfId="8" applyFont="1" applyBorder="1" applyAlignment="1">
      <alignment horizontal="left" vertical="center" indent="1"/>
    </xf>
    <xf numFmtId="164" fontId="18" fillId="0" borderId="28" xfId="8" applyNumberFormat="1" applyFont="1" applyBorder="1" applyAlignment="1">
      <alignment horizontal="center"/>
    </xf>
    <xf numFmtId="0" fontId="14" fillId="7" borderId="39" xfId="0" applyFont="1" applyFill="1" applyBorder="1" applyAlignment="1">
      <alignment horizontal="center" vertical="center" wrapText="1"/>
    </xf>
    <xf numFmtId="168" fontId="11" fillId="0" borderId="8" xfId="8" applyNumberFormat="1" applyFont="1" applyBorder="1" applyAlignment="1">
      <alignment horizontal="right" vertical="center" indent="3"/>
    </xf>
    <xf numFmtId="0" fontId="18" fillId="0" borderId="0" xfId="8" applyFont="1"/>
    <xf numFmtId="0" fontId="14" fillId="7" borderId="39" xfId="0" applyFont="1" applyFill="1" applyBorder="1" applyAlignment="1">
      <alignment horizontal="left" vertical="center" wrapText="1" indent="1"/>
    </xf>
    <xf numFmtId="3" fontId="18" fillId="0" borderId="37" xfId="8" applyNumberFormat="1" applyFont="1" applyBorder="1" applyAlignment="1">
      <alignment horizontal="right" vertical="center" indent="3"/>
    </xf>
    <xf numFmtId="0" fontId="21" fillId="0" borderId="37" xfId="8" applyFont="1" applyBorder="1" applyAlignment="1">
      <alignment horizontal="left" vertical="center" indent="1"/>
    </xf>
    <xf numFmtId="0" fontId="26" fillId="0" borderId="10" xfId="8" applyFont="1" applyBorder="1" applyAlignment="1">
      <alignment horizontal="left" vertical="center" indent="1"/>
    </xf>
    <xf numFmtId="0" fontId="26" fillId="0" borderId="9" xfId="8" applyFont="1" applyBorder="1" applyAlignment="1">
      <alignment horizontal="left" vertical="center" indent="1"/>
    </xf>
    <xf numFmtId="0" fontId="26" fillId="0" borderId="8" xfId="8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wrapText="1"/>
    </xf>
    <xf numFmtId="3" fontId="18" fillId="0" borderId="37" xfId="8" applyNumberFormat="1" applyFont="1" applyBorder="1" applyAlignment="1">
      <alignment horizontal="right" vertical="center" indent="2"/>
    </xf>
    <xf numFmtId="3" fontId="11" fillId="0" borderId="10" xfId="8" applyNumberFormat="1" applyFont="1" applyBorder="1" applyAlignment="1">
      <alignment horizontal="right" vertical="center" indent="2"/>
    </xf>
    <xf numFmtId="3" fontId="11" fillId="0" borderId="9" xfId="8" applyNumberFormat="1" applyFont="1" applyBorder="1" applyAlignment="1">
      <alignment horizontal="right" vertical="center" indent="2"/>
    </xf>
    <xf numFmtId="3" fontId="11" fillId="0" borderId="8" xfId="8" applyNumberFormat="1" applyFont="1" applyBorder="1" applyAlignment="1">
      <alignment horizontal="right" vertical="center" indent="2"/>
    </xf>
    <xf numFmtId="0" fontId="14" fillId="7" borderId="35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14" fillId="3" borderId="6" xfId="0" applyFont="1" applyFill="1" applyBorder="1" applyAlignment="1">
      <alignment horizontal="left" vertical="center" wrapText="1"/>
    </xf>
    <xf numFmtId="0" fontId="14" fillId="3" borderId="44" xfId="0" applyFont="1" applyFill="1" applyBorder="1" applyAlignment="1">
      <alignment horizontal="left" vertical="center" wrapText="1"/>
    </xf>
    <xf numFmtId="3" fontId="25" fillId="0" borderId="37" xfId="8" applyNumberFormat="1" applyFont="1" applyBorder="1" applyAlignment="1">
      <alignment horizontal="right" vertical="center" indent="4"/>
    </xf>
    <xf numFmtId="0" fontId="27" fillId="0" borderId="37" xfId="8" applyFont="1" applyBorder="1" applyAlignment="1">
      <alignment horizontal="left"/>
    </xf>
    <xf numFmtId="3" fontId="25" fillId="0" borderId="8" xfId="8" applyNumberFormat="1" applyFont="1" applyBorder="1" applyAlignment="1">
      <alignment horizontal="right" vertical="center" indent="4"/>
    </xf>
    <xf numFmtId="0" fontId="25" fillId="0" borderId="10" xfId="8" applyFont="1" applyBorder="1" applyAlignment="1">
      <alignment horizontal="left"/>
    </xf>
    <xf numFmtId="0" fontId="25" fillId="0" borderId="9" xfId="8" applyFont="1" applyBorder="1" applyAlignment="1">
      <alignment horizontal="left"/>
    </xf>
    <xf numFmtId="0" fontId="25" fillId="0" borderId="8" xfId="8" applyFont="1" applyBorder="1" applyAlignment="1">
      <alignment horizontal="left"/>
    </xf>
    <xf numFmtId="0" fontId="0" fillId="0" borderId="0" xfId="0" applyAlignment="1">
      <alignment horizontal="left"/>
    </xf>
    <xf numFmtId="3" fontId="18" fillId="0" borderId="37" xfId="8" applyNumberFormat="1" applyFont="1" applyBorder="1" applyAlignment="1">
      <alignment horizontal="right" vertical="center" indent="4"/>
    </xf>
    <xf numFmtId="0" fontId="21" fillId="0" borderId="37" xfId="8" applyFont="1" applyBorder="1" applyAlignment="1">
      <alignment horizontal="left"/>
    </xf>
    <xf numFmtId="3" fontId="11" fillId="0" borderId="8" xfId="8" applyNumberFormat="1" applyFont="1" applyBorder="1" applyAlignment="1">
      <alignment horizontal="right" vertical="center" indent="4"/>
    </xf>
    <xf numFmtId="0" fontId="18" fillId="0" borderId="10" xfId="8" applyFont="1" applyBorder="1" applyAlignment="1">
      <alignment horizontal="left"/>
    </xf>
    <xf numFmtId="0" fontId="18" fillId="0" borderId="9" xfId="8" applyFont="1" applyBorder="1" applyAlignment="1">
      <alignment horizontal="left"/>
    </xf>
    <xf numFmtId="0" fontId="18" fillId="0" borderId="8" xfId="8" applyFont="1" applyBorder="1" applyAlignment="1">
      <alignment horizontal="left"/>
    </xf>
    <xf numFmtId="0" fontId="14" fillId="2" borderId="35" xfId="0" applyFont="1" applyFill="1" applyBorder="1" applyAlignment="1">
      <alignment horizontal="center" vertical="center" wrapText="1"/>
    </xf>
    <xf numFmtId="0" fontId="21" fillId="0" borderId="37" xfId="8" applyFont="1" applyBorder="1" applyAlignment="1">
      <alignment horizontal="center"/>
    </xf>
    <xf numFmtId="3" fontId="15" fillId="0" borderId="9" xfId="4" applyNumberFormat="1" applyFont="1" applyBorder="1" applyAlignment="1">
      <alignment horizontal="right" vertical="center" indent="1"/>
    </xf>
    <xf numFmtId="0" fontId="15" fillId="0" borderId="9" xfId="4" applyFont="1" applyBorder="1" applyAlignment="1">
      <alignment vertical="center"/>
    </xf>
    <xf numFmtId="0" fontId="15" fillId="0" borderId="0" xfId="4" applyFont="1"/>
    <xf numFmtId="1" fontId="15" fillId="0" borderId="0" xfId="4" applyNumberFormat="1" applyFont="1" applyAlignment="1">
      <alignment horizontal="left"/>
    </xf>
    <xf numFmtId="166" fontId="15" fillId="4" borderId="8" xfId="5" applyNumberFormat="1" applyFont="1" applyFill="1" applyBorder="1" applyAlignment="1">
      <alignment horizontal="right" vertical="center" indent="1"/>
    </xf>
    <xf numFmtId="3" fontId="15" fillId="4" borderId="9" xfId="4" applyNumberFormat="1" applyFont="1" applyFill="1" applyBorder="1" applyAlignment="1">
      <alignment horizontal="right" vertical="center" indent="1"/>
    </xf>
    <xf numFmtId="3" fontId="15" fillId="4" borderId="8" xfId="4" applyNumberFormat="1" applyFont="1" applyFill="1" applyBorder="1" applyAlignment="1">
      <alignment horizontal="right" vertical="center" indent="1"/>
    </xf>
    <xf numFmtId="3" fontId="15" fillId="0" borderId="8" xfId="4" applyNumberFormat="1" applyFont="1" applyBorder="1" applyAlignment="1">
      <alignment horizontal="right" vertical="center" indent="1"/>
    </xf>
    <xf numFmtId="0" fontId="15" fillId="0" borderId="8" xfId="4" applyFont="1" applyBorder="1" applyAlignment="1">
      <alignment vertical="center"/>
    </xf>
    <xf numFmtId="3" fontId="33" fillId="4" borderId="8" xfId="4" applyNumberFormat="1" applyFont="1" applyFill="1" applyBorder="1" applyAlignment="1">
      <alignment horizontal="right" vertical="center" indent="1"/>
    </xf>
    <xf numFmtId="3" fontId="33" fillId="4" borderId="9" xfId="4" applyNumberFormat="1" applyFont="1" applyFill="1" applyBorder="1" applyAlignment="1">
      <alignment horizontal="right" vertical="center" indent="1"/>
    </xf>
    <xf numFmtId="0" fontId="15" fillId="0" borderId="0" xfId="3" applyFont="1" applyAlignment="1">
      <alignment vertical="center"/>
    </xf>
    <xf numFmtId="0" fontId="15" fillId="0" borderId="1" xfId="3" applyFont="1" applyBorder="1" applyAlignment="1">
      <alignment horizontal="left" vertical="center" wrapText="1"/>
    </xf>
    <xf numFmtId="0" fontId="15" fillId="0" borderId="1" xfId="3" applyFont="1" applyBorder="1" applyAlignment="1">
      <alignment vertical="center"/>
    </xf>
    <xf numFmtId="0" fontId="30" fillId="6" borderId="2" xfId="4" applyFont="1" applyFill="1" applyBorder="1" applyAlignment="1">
      <alignment horizontal="center" vertical="center" wrapText="1"/>
    </xf>
    <xf numFmtId="0" fontId="30" fillId="3" borderId="2" xfId="4" applyFont="1" applyFill="1" applyBorder="1" applyAlignment="1">
      <alignment horizontal="center" vertical="center" wrapText="1"/>
    </xf>
    <xf numFmtId="0" fontId="30" fillId="3" borderId="3" xfId="4" applyFont="1" applyFill="1" applyBorder="1" applyAlignment="1">
      <alignment horizontal="center" vertical="center" wrapText="1"/>
    </xf>
    <xf numFmtId="3" fontId="15" fillId="0" borderId="8" xfId="4" applyNumberFormat="1" applyFont="1" applyBorder="1" applyAlignment="1">
      <alignment horizontal="center"/>
    </xf>
    <xf numFmtId="3" fontId="15" fillId="0" borderId="9" xfId="4" applyNumberFormat="1" applyFont="1" applyBorder="1" applyAlignment="1">
      <alignment horizontal="center"/>
    </xf>
    <xf numFmtId="3" fontId="15" fillId="0" borderId="10" xfId="4" applyNumberFormat="1" applyFont="1" applyBorder="1" applyAlignment="1">
      <alignment horizontal="center"/>
    </xf>
    <xf numFmtId="3" fontId="15" fillId="0" borderId="17" xfId="4" applyNumberFormat="1" applyFont="1" applyBorder="1" applyAlignment="1">
      <alignment horizontal="center"/>
    </xf>
    <xf numFmtId="0" fontId="30" fillId="3" borderId="39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166" fontId="15" fillId="4" borderId="8" xfId="1" applyNumberFormat="1" applyFont="1" applyFill="1" applyBorder="1" applyAlignment="1">
      <alignment horizontal="center" vertical="center"/>
    </xf>
    <xf numFmtId="166" fontId="15" fillId="4" borderId="9" xfId="1" applyNumberFormat="1" applyFont="1" applyFill="1" applyBorder="1" applyAlignment="1">
      <alignment horizontal="center" vertical="center"/>
    </xf>
    <xf numFmtId="166" fontId="15" fillId="8" borderId="37" xfId="1" applyNumberFormat="1" applyFont="1" applyFill="1" applyBorder="1" applyAlignment="1">
      <alignment horizontal="center" vertical="center" wrapText="1"/>
    </xf>
    <xf numFmtId="169" fontId="15" fillId="0" borderId="0" xfId="4" applyNumberFormat="1" applyFont="1"/>
    <xf numFmtId="0" fontId="19" fillId="0" borderId="0" xfId="3" applyFont="1"/>
    <xf numFmtId="169" fontId="19" fillId="0" borderId="8" xfId="3" applyNumberFormat="1" applyFont="1" applyBorder="1" applyAlignment="1">
      <alignment horizontal="center"/>
    </xf>
    <xf numFmtId="169" fontId="19" fillId="0" borderId="9" xfId="3" applyNumberFormat="1" applyFont="1" applyBorder="1" applyAlignment="1">
      <alignment horizontal="center"/>
    </xf>
    <xf numFmtId="0" fontId="20" fillId="5" borderId="33" xfId="4" applyFont="1" applyFill="1" applyBorder="1" applyAlignment="1">
      <alignment horizontal="center" vertical="center" wrapText="1"/>
    </xf>
    <xf numFmtId="0" fontId="20" fillId="5" borderId="34" xfId="4" applyFont="1" applyFill="1" applyBorder="1" applyAlignment="1">
      <alignment horizontal="center" vertical="center" wrapText="1"/>
    </xf>
    <xf numFmtId="170" fontId="15" fillId="0" borderId="8" xfId="1" applyNumberFormat="1" applyFont="1" applyBorder="1" applyAlignment="1">
      <alignment horizontal="right" vertical="center" indent="1"/>
    </xf>
    <xf numFmtId="171" fontId="15" fillId="0" borderId="8" xfId="1" applyNumberFormat="1" applyFont="1" applyBorder="1" applyAlignment="1">
      <alignment horizontal="right" vertical="center" indent="1"/>
    </xf>
    <xf numFmtId="0" fontId="15" fillId="0" borderId="0" xfId="3" applyFont="1" applyAlignment="1">
      <alignment horizontal="right" vertical="center"/>
    </xf>
    <xf numFmtId="0" fontId="15" fillId="0" borderId="1" xfId="3" applyFont="1" applyBorder="1" applyAlignment="1">
      <alignment horizontal="right" vertical="center" wrapText="1"/>
    </xf>
    <xf numFmtId="0" fontId="19" fillId="0" borderId="0" xfId="3" applyFont="1" applyAlignment="1">
      <alignment horizontal="right" vertical="top"/>
    </xf>
    <xf numFmtId="0" fontId="19" fillId="0" borderId="0" xfId="3" applyFont="1" applyAlignment="1">
      <alignment horizontal="right"/>
    </xf>
    <xf numFmtId="165" fontId="15" fillId="8" borderId="37" xfId="1" applyNumberFormat="1" applyFont="1" applyFill="1" applyBorder="1" applyAlignment="1">
      <alignment horizontal="center" vertical="center" wrapText="1"/>
    </xf>
    <xf numFmtId="166" fontId="15" fillId="8" borderId="28" xfId="1" applyNumberFormat="1" applyFont="1" applyFill="1" applyBorder="1" applyAlignment="1">
      <alignment horizontal="center" vertical="center" wrapText="1"/>
    </xf>
    <xf numFmtId="165" fontId="15" fillId="8" borderId="49" xfId="1" applyNumberFormat="1" applyFont="1" applyFill="1" applyBorder="1" applyAlignment="1">
      <alignment horizontal="center" vertical="center" wrapText="1"/>
    </xf>
    <xf numFmtId="0" fontId="30" fillId="3" borderId="47" xfId="0" applyFont="1" applyFill="1" applyBorder="1" applyAlignment="1">
      <alignment horizontal="left" vertical="center" wrapText="1"/>
    </xf>
    <xf numFmtId="0" fontId="30" fillId="3" borderId="50" xfId="0" applyFont="1" applyFill="1" applyBorder="1" applyAlignment="1">
      <alignment horizontal="left" vertical="center" wrapText="1"/>
    </xf>
    <xf numFmtId="0" fontId="30" fillId="3" borderId="37" xfId="0" applyFont="1" applyFill="1" applyBorder="1" applyAlignment="1">
      <alignment horizontal="left"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15" fillId="0" borderId="0" xfId="4" applyFont="1" applyAlignment="1">
      <alignment horizontal="right"/>
    </xf>
    <xf numFmtId="166" fontId="36" fillId="4" borderId="7" xfId="4" applyNumberFormat="1" applyFont="1" applyFill="1" applyBorder="1" applyAlignment="1">
      <alignment horizontal="center" vertical="center"/>
    </xf>
    <xf numFmtId="3" fontId="36" fillId="4" borderId="7" xfId="4" applyNumberFormat="1" applyFont="1" applyFill="1" applyBorder="1" applyAlignment="1">
      <alignment horizontal="center" vertical="center"/>
    </xf>
    <xf numFmtId="166" fontId="36" fillId="4" borderId="7" xfId="5" applyNumberFormat="1" applyFont="1" applyFill="1" applyBorder="1" applyAlignment="1">
      <alignment horizontal="right" vertical="center" indent="1"/>
    </xf>
    <xf numFmtId="3" fontId="36" fillId="4" borderId="7" xfId="4" applyNumberFormat="1" applyFont="1" applyFill="1" applyBorder="1" applyAlignment="1">
      <alignment horizontal="right" vertical="center" indent="1"/>
    </xf>
    <xf numFmtId="166" fontId="36" fillId="4" borderId="45" xfId="4" applyNumberFormat="1" applyFont="1" applyFill="1" applyBorder="1" applyAlignment="1">
      <alignment horizontal="center" vertical="center"/>
    </xf>
    <xf numFmtId="3" fontId="36" fillId="0" borderId="45" xfId="4" applyNumberFormat="1" applyFont="1" applyBorder="1" applyAlignment="1">
      <alignment horizontal="center"/>
    </xf>
    <xf numFmtId="170" fontId="36" fillId="4" borderId="7" xfId="4" applyNumberFormat="1" applyFont="1" applyFill="1" applyBorder="1" applyAlignment="1">
      <alignment horizontal="center" vertical="center"/>
    </xf>
    <xf numFmtId="170" fontId="36" fillId="4" borderId="7" xfId="5" applyNumberFormat="1" applyFont="1" applyFill="1" applyBorder="1" applyAlignment="1">
      <alignment horizontal="right" vertical="center" indent="1"/>
    </xf>
    <xf numFmtId="166" fontId="36" fillId="4" borderId="9" xfId="5" applyNumberFormat="1" applyFont="1" applyFill="1" applyBorder="1" applyAlignment="1">
      <alignment horizontal="right" vertical="center" indent="1"/>
    </xf>
    <xf numFmtId="3" fontId="36" fillId="4" borderId="9" xfId="4" applyNumberFormat="1" applyFont="1" applyFill="1" applyBorder="1" applyAlignment="1">
      <alignment horizontal="right" vertical="center" indent="1"/>
    </xf>
    <xf numFmtId="166" fontId="36" fillId="4" borderId="8" xfId="5" applyNumberFormat="1" applyFont="1" applyFill="1" applyBorder="1" applyAlignment="1">
      <alignment horizontal="right" vertical="center" indent="1"/>
    </xf>
    <xf numFmtId="3" fontId="36" fillId="4" borderId="8" xfId="5" applyNumberFormat="1" applyFont="1" applyFill="1" applyBorder="1" applyAlignment="1">
      <alignment horizontal="right" vertical="center" indent="1"/>
    </xf>
    <xf numFmtId="3" fontId="36" fillId="0" borderId="9" xfId="4" applyNumberFormat="1" applyFont="1" applyBorder="1" applyAlignment="1">
      <alignment horizontal="right" indent="1"/>
    </xf>
    <xf numFmtId="170" fontId="36" fillId="4" borderId="9" xfId="5" applyNumberFormat="1" applyFont="1" applyFill="1" applyBorder="1" applyAlignment="1">
      <alignment horizontal="right" vertical="center" indent="1"/>
    </xf>
    <xf numFmtId="166" fontId="36" fillId="0" borderId="9" xfId="5" applyNumberFormat="1" applyFont="1" applyFill="1" applyBorder="1" applyAlignment="1">
      <alignment horizontal="right" vertical="center" indent="1"/>
    </xf>
    <xf numFmtId="3" fontId="36" fillId="0" borderId="9" xfId="4" applyNumberFormat="1" applyFont="1" applyBorder="1" applyAlignment="1">
      <alignment horizontal="right" vertical="center" indent="1"/>
    </xf>
    <xf numFmtId="166" fontId="36" fillId="0" borderId="8" xfId="5" applyNumberFormat="1" applyFont="1" applyFill="1" applyBorder="1" applyAlignment="1">
      <alignment horizontal="right" vertical="center" indent="1"/>
    </xf>
    <xf numFmtId="170" fontId="36" fillId="0" borderId="9" xfId="5" applyNumberFormat="1" applyFont="1" applyFill="1" applyBorder="1" applyAlignment="1">
      <alignment horizontal="right" vertical="center" indent="1"/>
    </xf>
    <xf numFmtId="3" fontId="33" fillId="0" borderId="9" xfId="4" applyNumberFormat="1" applyFont="1" applyBorder="1" applyAlignment="1">
      <alignment horizontal="right" vertical="center" indent="1"/>
    </xf>
    <xf numFmtId="3" fontId="36" fillId="4" borderId="8" xfId="4" applyNumberFormat="1" applyFont="1" applyFill="1" applyBorder="1" applyAlignment="1">
      <alignment horizontal="right" vertical="center" indent="1"/>
    </xf>
    <xf numFmtId="3" fontId="36" fillId="0" borderId="8" xfId="4" applyNumberFormat="1" applyFont="1" applyBorder="1" applyAlignment="1">
      <alignment horizontal="right" indent="1"/>
    </xf>
    <xf numFmtId="170" fontId="36" fillId="4" borderId="8" xfId="5" applyNumberFormat="1" applyFont="1" applyFill="1" applyBorder="1" applyAlignment="1">
      <alignment horizontal="right" vertical="center" indent="1"/>
    </xf>
    <xf numFmtId="0" fontId="15" fillId="0" borderId="1" xfId="4" applyFont="1" applyBorder="1" applyAlignment="1">
      <alignment vertical="center"/>
    </xf>
    <xf numFmtId="0" fontId="15" fillId="0" borderId="1" xfId="4" applyFont="1" applyBorder="1" applyAlignment="1">
      <alignment horizontal="left" vertical="center" wrapText="1"/>
    </xf>
    <xf numFmtId="0" fontId="15" fillId="0" borderId="1" xfId="4" applyFont="1" applyBorder="1" applyAlignment="1">
      <alignment horizontal="right" vertical="center"/>
    </xf>
    <xf numFmtId="0" fontId="29" fillId="0" borderId="0" xfId="4" applyFont="1"/>
    <xf numFmtId="3" fontId="15" fillId="4" borderId="7" xfId="4" applyNumberFormat="1" applyFont="1" applyFill="1" applyBorder="1" applyAlignment="1">
      <alignment horizontal="right" vertical="center" indent="1"/>
    </xf>
    <xf numFmtId="166" fontId="15" fillId="4" borderId="7" xfId="4" applyNumberFormat="1" applyFont="1" applyFill="1" applyBorder="1" applyAlignment="1">
      <alignment horizontal="center" vertical="center"/>
    </xf>
    <xf numFmtId="167" fontId="34" fillId="4" borderId="8" xfId="5" applyNumberFormat="1" applyFont="1" applyFill="1" applyBorder="1" applyAlignment="1">
      <alignment horizontal="right" vertical="center" indent="1"/>
    </xf>
    <xf numFmtId="167" fontId="34" fillId="0" borderId="9" xfId="4" applyNumberFormat="1" applyFont="1" applyBorder="1" applyAlignment="1">
      <alignment horizontal="right" vertical="center" indent="1"/>
    </xf>
    <xf numFmtId="166" fontId="34" fillId="4" borderId="45" xfId="4" applyNumberFormat="1" applyFont="1" applyFill="1" applyBorder="1" applyAlignment="1">
      <alignment horizontal="center" vertical="center"/>
    </xf>
    <xf numFmtId="0" fontId="30" fillId="5" borderId="39" xfId="0" applyFont="1" applyFill="1" applyBorder="1" applyAlignment="1">
      <alignment horizontal="center" vertical="center" wrapText="1"/>
    </xf>
    <xf numFmtId="0" fontId="19" fillId="0" borderId="0" xfId="13" applyFont="1"/>
    <xf numFmtId="0" fontId="19" fillId="0" borderId="0" xfId="13" applyFont="1" applyAlignment="1">
      <alignment horizontal="right"/>
    </xf>
    <xf numFmtId="171" fontId="15" fillId="0" borderId="8" xfId="5" applyNumberFormat="1" applyFont="1" applyBorder="1" applyAlignment="1">
      <alignment horizontal="right" vertical="center" indent="1"/>
    </xf>
    <xf numFmtId="170" fontId="15" fillId="0" borderId="8" xfId="5" applyNumberFormat="1" applyFont="1" applyBorder="1" applyAlignment="1">
      <alignment horizontal="right" vertical="center" indent="1"/>
    </xf>
    <xf numFmtId="3" fontId="19" fillId="0" borderId="9" xfId="13" applyNumberFormat="1" applyFont="1" applyBorder="1" applyAlignment="1">
      <alignment horizontal="right" indent="1"/>
    </xf>
    <xf numFmtId="0" fontId="19" fillId="0" borderId="9" xfId="13" applyFont="1" applyBorder="1"/>
    <xf numFmtId="165" fontId="15" fillId="8" borderId="7" xfId="5" applyNumberFormat="1" applyFont="1" applyFill="1" applyBorder="1" applyAlignment="1">
      <alignment horizontal="center" vertical="center" wrapText="1"/>
    </xf>
    <xf numFmtId="0" fontId="30" fillId="3" borderId="7" xfId="4" applyFont="1" applyFill="1" applyBorder="1" applyAlignment="1">
      <alignment horizontal="left" vertical="center" wrapText="1"/>
    </xf>
    <xf numFmtId="166" fontId="15" fillId="8" borderId="7" xfId="5" applyNumberFormat="1" applyFont="1" applyFill="1" applyBorder="1" applyAlignment="1">
      <alignment horizontal="center" vertical="center" wrapText="1"/>
    </xf>
    <xf numFmtId="166" fontId="15" fillId="8" borderId="28" xfId="5" applyNumberFormat="1" applyFont="1" applyFill="1" applyBorder="1" applyAlignment="1">
      <alignment horizontal="center" vertical="center" wrapText="1"/>
    </xf>
    <xf numFmtId="0" fontId="30" fillId="3" borderId="47" xfId="4" applyFont="1" applyFill="1" applyBorder="1" applyAlignment="1">
      <alignment horizontal="left" vertical="center" wrapText="1"/>
    </xf>
    <xf numFmtId="3" fontId="15" fillId="8" borderId="52" xfId="5" applyNumberFormat="1" applyFont="1" applyFill="1" applyBorder="1" applyAlignment="1">
      <alignment horizontal="center" vertical="center" wrapText="1"/>
    </xf>
    <xf numFmtId="0" fontId="30" fillId="3" borderId="50" xfId="4" applyFont="1" applyFill="1" applyBorder="1" applyAlignment="1">
      <alignment horizontal="left" vertical="center" wrapText="1"/>
    </xf>
    <xf numFmtId="0" fontId="30" fillId="3" borderId="53" xfId="4" applyFont="1" applyFill="1" applyBorder="1" applyAlignment="1">
      <alignment horizontal="center" vertical="center" wrapText="1"/>
    </xf>
    <xf numFmtId="169" fontId="19" fillId="0" borderId="9" xfId="13" applyNumberFormat="1" applyFont="1" applyBorder="1" applyAlignment="1">
      <alignment horizontal="center"/>
    </xf>
    <xf numFmtId="166" fontId="15" fillId="4" borderId="9" xfId="5" applyNumberFormat="1" applyFont="1" applyFill="1" applyBorder="1" applyAlignment="1">
      <alignment horizontal="center" vertical="center"/>
    </xf>
    <xf numFmtId="169" fontId="19" fillId="0" borderId="8" xfId="13" applyNumberFormat="1" applyFont="1" applyBorder="1" applyAlignment="1">
      <alignment horizontal="center"/>
    </xf>
    <xf numFmtId="166" fontId="15" fillId="4" borderId="8" xfId="5" applyNumberFormat="1" applyFont="1" applyFill="1" applyBorder="1" applyAlignment="1">
      <alignment horizontal="center" vertical="center"/>
    </xf>
    <xf numFmtId="0" fontId="20" fillId="5" borderId="54" xfId="4" applyFont="1" applyFill="1" applyBorder="1" applyAlignment="1">
      <alignment horizontal="center" vertical="center" wrapText="1"/>
    </xf>
    <xf numFmtId="0" fontId="19" fillId="0" borderId="0" xfId="13" applyFont="1" applyAlignment="1">
      <alignment horizontal="right" vertical="top"/>
    </xf>
    <xf numFmtId="0" fontId="20" fillId="5" borderId="55" xfId="4" applyFont="1" applyFill="1" applyBorder="1" applyAlignment="1">
      <alignment horizontal="center" vertical="center" wrapText="1"/>
    </xf>
    <xf numFmtId="0" fontId="20" fillId="5" borderId="56" xfId="4" applyFont="1" applyFill="1" applyBorder="1" applyAlignment="1">
      <alignment horizontal="center" vertical="center" wrapText="1"/>
    </xf>
    <xf numFmtId="0" fontId="15" fillId="0" borderId="0" xfId="13" applyFont="1" applyAlignment="1">
      <alignment vertical="center"/>
    </xf>
    <xf numFmtId="0" fontId="15" fillId="0" borderId="0" xfId="13" applyFont="1" applyAlignment="1">
      <alignment horizontal="right" vertical="center"/>
    </xf>
    <xf numFmtId="0" fontId="15" fillId="0" borderId="1" xfId="13" applyFont="1" applyBorder="1" applyAlignment="1">
      <alignment vertical="center"/>
    </xf>
    <xf numFmtId="0" fontId="15" fillId="0" borderId="1" xfId="13" applyFont="1" applyBorder="1" applyAlignment="1">
      <alignment horizontal="left" vertical="center" wrapText="1"/>
    </xf>
    <xf numFmtId="0" fontId="15" fillId="0" borderId="1" xfId="13" applyFont="1" applyBorder="1" applyAlignment="1">
      <alignment horizontal="right" vertical="center" wrapText="1"/>
    </xf>
    <xf numFmtId="165" fontId="39" fillId="0" borderId="10" xfId="6" applyNumberFormat="1" applyFont="1" applyBorder="1" applyAlignment="1">
      <alignment horizontal="center"/>
    </xf>
    <xf numFmtId="165" fontId="39" fillId="0" borderId="9" xfId="6" applyNumberFormat="1" applyFont="1" applyBorder="1" applyAlignment="1">
      <alignment horizontal="center"/>
    </xf>
    <xf numFmtId="165" fontId="39" fillId="0" borderId="8" xfId="6" applyNumberFormat="1" applyFont="1" applyBorder="1" applyAlignment="1">
      <alignment horizontal="center"/>
    </xf>
    <xf numFmtId="0" fontId="14" fillId="9" borderId="3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53" xfId="0" applyFont="1" applyFill="1" applyBorder="1" applyAlignment="1">
      <alignment horizontal="center" vertical="center" wrapText="1"/>
    </xf>
    <xf numFmtId="0" fontId="15" fillId="0" borderId="8" xfId="4" applyFont="1" applyBorder="1" applyAlignment="1">
      <alignment horizontal="right" vertical="center" indent="1"/>
    </xf>
    <xf numFmtId="0" fontId="15" fillId="0" borderId="9" xfId="4" applyFont="1" applyBorder="1" applyAlignment="1">
      <alignment horizontal="right" vertical="center" indent="1"/>
    </xf>
    <xf numFmtId="0" fontId="19" fillId="0" borderId="9" xfId="13" applyFont="1" applyBorder="1" applyAlignment="1">
      <alignment horizontal="right" indent="1"/>
    </xf>
    <xf numFmtId="166" fontId="15" fillId="4" borderId="9" xfId="5" applyNumberFormat="1" applyFont="1" applyFill="1" applyBorder="1" applyAlignment="1">
      <alignment horizontal="right" vertical="center" indent="1"/>
    </xf>
    <xf numFmtId="166" fontId="15" fillId="4" borderId="7" xfId="5" applyNumberFormat="1" applyFont="1" applyFill="1" applyBorder="1" applyAlignment="1">
      <alignment horizontal="right" vertical="center" indent="1"/>
    </xf>
    <xf numFmtId="0" fontId="15" fillId="4" borderId="7" xfId="4" applyFont="1" applyFill="1" applyBorder="1" applyAlignment="1">
      <alignment horizontal="center" vertical="center"/>
    </xf>
    <xf numFmtId="164" fontId="15" fillId="0" borderId="9" xfId="0" applyNumberFormat="1" applyFont="1" applyBorder="1" applyAlignment="1">
      <alignment horizontal="center"/>
    </xf>
    <xf numFmtId="0" fontId="14" fillId="3" borderId="60" xfId="0" applyFont="1" applyFill="1" applyBorder="1" applyAlignment="1">
      <alignment horizontal="center" vertical="center" wrapText="1"/>
    </xf>
    <xf numFmtId="0" fontId="19" fillId="0" borderId="31" xfId="13" applyFont="1" applyBorder="1" applyAlignment="1">
      <alignment horizontal="left" vertical="center" wrapText="1"/>
    </xf>
    <xf numFmtId="0" fontId="19" fillId="0" borderId="30" xfId="13" applyFont="1" applyBorder="1" applyAlignment="1">
      <alignment horizontal="left" vertical="center" wrapText="1"/>
    </xf>
    <xf numFmtId="0" fontId="19" fillId="0" borderId="29" xfId="1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30" fillId="6" borderId="33" xfId="4" applyFont="1" applyFill="1" applyBorder="1" applyAlignment="1">
      <alignment horizontal="center" vertical="center" wrapText="1"/>
    </xf>
    <xf numFmtId="0" fontId="30" fillId="6" borderId="27" xfId="4" applyFont="1" applyFill="1" applyBorder="1" applyAlignment="1">
      <alignment horizontal="center" vertical="center" wrapText="1"/>
    </xf>
    <xf numFmtId="3" fontId="29" fillId="4" borderId="13" xfId="4" applyNumberFormat="1" applyFont="1" applyFill="1" applyBorder="1" applyAlignment="1">
      <alignment horizontal="center" vertical="center"/>
    </xf>
    <xf numFmtId="3" fontId="29" fillId="4" borderId="14" xfId="4" applyNumberFormat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5" fillId="0" borderId="31" xfId="14" applyFont="1" applyBorder="1" applyAlignment="1">
      <alignment horizontal="left" vertical="center" wrapText="1"/>
    </xf>
    <xf numFmtId="0" fontId="15" fillId="0" borderId="30" xfId="14" applyFont="1" applyBorder="1" applyAlignment="1">
      <alignment horizontal="left" vertical="center" wrapText="1"/>
    </xf>
    <xf numFmtId="0" fontId="15" fillId="0" borderId="29" xfId="14" applyFont="1" applyBorder="1" applyAlignment="1">
      <alignment horizontal="left" vertical="center" wrapText="1"/>
    </xf>
    <xf numFmtId="0" fontId="30" fillId="5" borderId="13" xfId="4" applyFont="1" applyFill="1" applyBorder="1" applyAlignment="1">
      <alignment horizontal="center" vertical="center" wrapText="1"/>
    </xf>
    <xf numFmtId="0" fontId="30" fillId="5" borderId="46" xfId="4" applyFont="1" applyFill="1" applyBorder="1" applyAlignment="1">
      <alignment horizontal="center" vertical="center" wrapText="1"/>
    </xf>
    <xf numFmtId="3" fontId="29" fillId="4" borderId="45" xfId="4" applyNumberFormat="1" applyFont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wrapText="1"/>
    </xf>
    <xf numFmtId="0" fontId="14" fillId="9" borderId="51" xfId="0" applyFont="1" applyFill="1" applyBorder="1" applyAlignment="1">
      <alignment horizontal="center" vertical="center" wrapText="1"/>
    </xf>
    <xf numFmtId="0" fontId="14" fillId="9" borderId="21" xfId="0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left" vertical="center" wrapText="1"/>
    </xf>
    <xf numFmtId="0" fontId="11" fillId="0" borderId="58" xfId="0" applyFont="1" applyBorder="1" applyAlignment="1">
      <alignment horizontal="left" vertical="center" wrapText="1"/>
    </xf>
    <xf numFmtId="0" fontId="11" fillId="0" borderId="57" xfId="0" applyFont="1" applyBorder="1" applyAlignment="1">
      <alignment horizontal="left" vertical="center" wrapText="1"/>
    </xf>
    <xf numFmtId="0" fontId="14" fillId="7" borderId="40" xfId="0" applyFont="1" applyFill="1" applyBorder="1" applyAlignment="1">
      <alignment horizontal="left" vertical="center" wrapText="1"/>
    </xf>
    <xf numFmtId="0" fontId="14" fillId="7" borderId="26" xfId="0" applyFont="1" applyFill="1" applyBorder="1" applyAlignment="1">
      <alignment horizontal="left" vertical="center" wrapText="1"/>
    </xf>
    <xf numFmtId="0" fontId="14" fillId="7" borderId="14" xfId="0" applyFont="1" applyFill="1" applyBorder="1" applyAlignment="1">
      <alignment horizontal="left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 wrapText="1"/>
    </xf>
    <xf numFmtId="0" fontId="14" fillId="7" borderId="48" xfId="0" applyFont="1" applyFill="1" applyBorder="1" applyAlignment="1">
      <alignment horizontal="left" vertical="center" wrapText="1"/>
    </xf>
    <xf numFmtId="0" fontId="14" fillId="7" borderId="45" xfId="0" applyFont="1" applyFill="1" applyBorder="1" applyAlignment="1">
      <alignment horizontal="left" vertical="center" wrapText="1"/>
    </xf>
    <xf numFmtId="0" fontId="14" fillId="7" borderId="22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2" fontId="15" fillId="8" borderId="37" xfId="1" applyNumberFormat="1" applyFont="1" applyFill="1" applyBorder="1" applyAlignment="1">
      <alignment horizontal="center" vertical="center" wrapText="1"/>
    </xf>
  </cellXfs>
  <cellStyles count="20">
    <cellStyle name="Normál" xfId="0" builtinId="0"/>
    <cellStyle name="Normál 2" xfId="2" xr:uid="{00000000-0005-0000-0000-000001000000}"/>
    <cellStyle name="Normal 2 2" xfId="16" xr:uid="{8C1109DC-60E6-4312-8973-E2D1D7B40180}"/>
    <cellStyle name="Normál 2 2" xfId="4" xr:uid="{00000000-0005-0000-0000-000002000000}"/>
    <cellStyle name="Normál 2 2 2" xfId="3" xr:uid="{00000000-0005-0000-0000-000003000000}"/>
    <cellStyle name="Normál 2 2 2 2" xfId="9" xr:uid="{CB6C4390-3CCC-4360-8FA0-F68DDF33B254}"/>
    <cellStyle name="Normál 2 2 2 2 2" xfId="12" xr:uid="{CA4223C2-745C-4B71-A180-5C0E1E67FBC6}"/>
    <cellStyle name="Normál 2 2 2 2 2 2" xfId="13" xr:uid="{59D9E277-336E-4EF8-8A37-A3E919575B25}"/>
    <cellStyle name="Normál 2 2 2 2 2 2 2" xfId="19" xr:uid="{52ADE5C8-E7AD-423D-B10D-80CAF82AC516}"/>
    <cellStyle name="Normál 2 2 2 3" xfId="10" xr:uid="{902BA9BB-173D-4A3A-8D0A-C80B3341A446}"/>
    <cellStyle name="Normál 2 2 2 3 2" xfId="11" xr:uid="{40BBB3DF-5708-4099-BA54-CDB0017BE78C}"/>
    <cellStyle name="Normál 2 2 2 3 2 2 2" xfId="14" xr:uid="{1DB8D2AB-3402-402A-B662-48E5554C1F72}"/>
    <cellStyle name="Normál 2 2 2 4 2" xfId="18" xr:uid="{D6ADBD70-810B-48DF-A23A-69F80385D92D}"/>
    <cellStyle name="Normál 2 2 2 5 2 3" xfId="17" xr:uid="{91DACA8D-4CFB-44BD-9E0C-8354B3F710F4}"/>
    <cellStyle name="Normal 3" xfId="15" xr:uid="{7456874F-E3B9-4D2C-A91F-628EDD8DDB88}"/>
    <cellStyle name="Normál_András excel_2_Egyismérv_megoldás" xfId="6" xr:uid="{00000000-0005-0000-0000-000004000000}"/>
    <cellStyle name="Normál_András excel_2_Egyismérv_megoldás_1" xfId="8" xr:uid="{00000000-0005-0000-0000-000005000000}"/>
    <cellStyle name="Normál_koncentráció" xfId="7" xr:uid="{00000000-0005-0000-0000-000007000000}"/>
    <cellStyle name="Százalék" xfId="1" builtinId="5"/>
    <cellStyle name="Százalék 2" xfId="5" xr:uid="{00000000-0005-0000-0000-000009000000}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Q3184"/>
  <sheetViews>
    <sheetView tabSelected="1" workbookViewId="0"/>
  </sheetViews>
  <sheetFormatPr defaultColWidth="8.85546875" defaultRowHeight="12.75" x14ac:dyDescent="0.2"/>
  <cols>
    <col min="1" max="1" width="2.7109375" style="142" customWidth="1"/>
    <col min="2" max="2" width="19.5703125" style="142" customWidth="1"/>
    <col min="3" max="6" width="12.42578125" style="142" customWidth="1"/>
    <col min="7" max="7" width="6.28515625" style="142" customWidth="1"/>
    <col min="8" max="8" width="3.140625" style="152" customWidth="1"/>
    <col min="9" max="11" width="10.7109375" style="142" customWidth="1"/>
    <col min="12" max="14" width="10.85546875" style="142" customWidth="1"/>
    <col min="15" max="15" width="11.7109375" style="142" customWidth="1"/>
    <col min="16" max="16" width="12.28515625" style="142" customWidth="1"/>
    <col min="17" max="17" width="11.7109375" style="142" customWidth="1"/>
    <col min="18" max="16384" width="8.85546875" style="142"/>
  </cols>
  <sheetData>
    <row r="1" spans="2:17" s="125" customFormat="1" ht="14.45" customHeight="1" thickBot="1" x14ac:dyDescent="0.25">
      <c r="H1" s="149"/>
    </row>
    <row r="2" spans="2:17" s="125" customFormat="1" ht="14.45" customHeight="1" thickBot="1" x14ac:dyDescent="0.25">
      <c r="B2" s="234" t="s">
        <v>3279</v>
      </c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6"/>
    </row>
    <row r="3" spans="2:17" s="125" customFormat="1" ht="14.45" customHeight="1" thickBot="1" x14ac:dyDescent="0.25"/>
    <row r="4" spans="2:17" s="125" customFormat="1" ht="31.15" customHeight="1" thickBot="1" x14ac:dyDescent="0.25">
      <c r="B4" s="237" t="s">
        <v>3307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9"/>
    </row>
    <row r="5" spans="2:17" s="127" customFormat="1" ht="14.45" customHeight="1" thickBot="1" x14ac:dyDescent="0.25">
      <c r="B5" s="126"/>
      <c r="C5" s="126"/>
      <c r="D5" s="126"/>
      <c r="E5" s="126"/>
      <c r="F5" s="126"/>
      <c r="G5" s="126"/>
      <c r="H5" s="150"/>
      <c r="I5" s="126"/>
      <c r="J5" s="126"/>
      <c r="K5" s="126"/>
      <c r="L5" s="126"/>
      <c r="M5" s="126"/>
      <c r="N5" s="126"/>
    </row>
    <row r="6" spans="2:17" s="125" customFormat="1" ht="14.45" customHeight="1" thickBot="1" x14ac:dyDescent="0.25">
      <c r="H6" s="149"/>
    </row>
    <row r="7" spans="2:17" ht="28.9" customHeight="1" thickBot="1" x14ac:dyDescent="0.25">
      <c r="B7" s="11" t="s">
        <v>3165</v>
      </c>
      <c r="C7" s="145" t="s">
        <v>3164</v>
      </c>
      <c r="D7" s="145" t="s">
        <v>3252</v>
      </c>
      <c r="E7" s="145" t="s">
        <v>3265</v>
      </c>
      <c r="F7" s="146" t="s">
        <v>3249</v>
      </c>
      <c r="H7" s="151"/>
      <c r="I7" s="11" t="s">
        <v>3166</v>
      </c>
      <c r="J7" s="240" t="s">
        <v>7</v>
      </c>
      <c r="K7" s="241"/>
      <c r="L7" s="128"/>
      <c r="M7" s="129"/>
      <c r="N7" s="129"/>
      <c r="O7" s="128"/>
      <c r="P7" s="129"/>
      <c r="Q7" s="130"/>
    </row>
    <row r="8" spans="2:17" x14ac:dyDescent="0.2">
      <c r="B8" s="122" t="s">
        <v>3163</v>
      </c>
      <c r="C8" s="121">
        <v>4371</v>
      </c>
      <c r="D8" s="147"/>
      <c r="E8" s="148"/>
      <c r="F8" s="148"/>
      <c r="I8" s="131">
        <v>1</v>
      </c>
      <c r="J8" s="120"/>
      <c r="K8" s="120"/>
      <c r="L8" s="120"/>
      <c r="M8" s="118"/>
      <c r="N8" s="118"/>
      <c r="O8" s="120"/>
      <c r="P8" s="118"/>
      <c r="Q8" s="118"/>
    </row>
    <row r="9" spans="2:17" x14ac:dyDescent="0.2">
      <c r="B9" s="115" t="s">
        <v>3162</v>
      </c>
      <c r="C9" s="114">
        <v>3727</v>
      </c>
      <c r="D9" s="147"/>
      <c r="E9" s="148"/>
      <c r="F9" s="148"/>
      <c r="I9" s="132">
        <v>2</v>
      </c>
      <c r="J9" s="119"/>
      <c r="K9" s="120"/>
      <c r="L9" s="119"/>
      <c r="M9" s="229"/>
      <c r="N9" s="229"/>
      <c r="O9" s="120"/>
      <c r="P9" s="118"/>
      <c r="Q9" s="229"/>
    </row>
    <row r="10" spans="2:17" x14ac:dyDescent="0.2">
      <c r="B10" s="198" t="s">
        <v>3161</v>
      </c>
      <c r="C10" s="197">
        <v>596</v>
      </c>
      <c r="D10" s="147"/>
      <c r="E10" s="148"/>
      <c r="F10" s="148"/>
      <c r="I10" s="132">
        <v>3</v>
      </c>
      <c r="J10" s="119"/>
      <c r="K10" s="120"/>
      <c r="L10" s="119"/>
      <c r="M10" s="229"/>
      <c r="N10" s="229"/>
      <c r="O10" s="120"/>
      <c r="P10" s="118"/>
      <c r="Q10" s="229"/>
    </row>
    <row r="11" spans="2:17" x14ac:dyDescent="0.2">
      <c r="B11" s="115" t="s">
        <v>3160</v>
      </c>
      <c r="C11" s="114">
        <v>2473</v>
      </c>
      <c r="D11" s="147"/>
      <c r="E11" s="148"/>
      <c r="F11" s="148"/>
      <c r="I11" s="132">
        <v>4</v>
      </c>
      <c r="J11" s="119"/>
      <c r="K11" s="120"/>
      <c r="L11" s="119"/>
      <c r="M11" s="229"/>
      <c r="N11" s="229"/>
      <c r="O11" s="120"/>
      <c r="P11" s="118"/>
      <c r="Q11" s="229"/>
    </row>
    <row r="12" spans="2:17" x14ac:dyDescent="0.2">
      <c r="B12" s="198" t="s">
        <v>3159</v>
      </c>
      <c r="C12" s="197">
        <v>73</v>
      </c>
      <c r="D12" s="147"/>
      <c r="E12" s="148"/>
      <c r="F12" s="148"/>
      <c r="I12" s="132">
        <v>5</v>
      </c>
      <c r="J12" s="119"/>
      <c r="K12" s="120"/>
      <c r="L12" s="119"/>
      <c r="M12" s="229"/>
      <c r="N12" s="229"/>
      <c r="O12" s="120"/>
      <c r="P12" s="118"/>
      <c r="Q12" s="229"/>
    </row>
    <row r="13" spans="2:17" x14ac:dyDescent="0.2">
      <c r="B13" s="198" t="s">
        <v>3158</v>
      </c>
      <c r="C13" s="197">
        <v>547</v>
      </c>
      <c r="D13" s="147"/>
      <c r="E13" s="148"/>
      <c r="F13" s="148"/>
      <c r="I13" s="132">
        <v>6</v>
      </c>
      <c r="J13" s="119"/>
      <c r="K13" s="120"/>
      <c r="L13" s="119"/>
      <c r="M13" s="229"/>
      <c r="N13" s="229"/>
      <c r="O13" s="120"/>
      <c r="P13" s="118"/>
      <c r="Q13" s="229"/>
    </row>
    <row r="14" spans="2:17" x14ac:dyDescent="0.2">
      <c r="B14" s="198" t="s">
        <v>3157</v>
      </c>
      <c r="C14" s="197">
        <v>64</v>
      </c>
      <c r="D14" s="147"/>
      <c r="E14" s="148"/>
      <c r="F14" s="148"/>
      <c r="I14" s="132">
        <v>7</v>
      </c>
      <c r="J14" s="119"/>
      <c r="K14" s="120"/>
      <c r="L14" s="119"/>
      <c r="M14" s="229"/>
      <c r="N14" s="229"/>
      <c r="O14" s="120"/>
      <c r="P14" s="118"/>
      <c r="Q14" s="229"/>
    </row>
    <row r="15" spans="2:17" x14ac:dyDescent="0.2">
      <c r="B15" s="115" t="s">
        <v>3156</v>
      </c>
      <c r="C15" s="114">
        <v>2671</v>
      </c>
      <c r="D15" s="147"/>
      <c r="E15" s="148"/>
      <c r="F15" s="148"/>
      <c r="I15" s="132">
        <v>8</v>
      </c>
      <c r="J15" s="119"/>
      <c r="K15" s="120"/>
      <c r="L15" s="119"/>
      <c r="M15" s="229"/>
      <c r="N15" s="229"/>
      <c r="O15" s="120"/>
      <c r="P15" s="118"/>
      <c r="Q15" s="229"/>
    </row>
    <row r="16" spans="2:17" x14ac:dyDescent="0.2">
      <c r="B16" s="198" t="s">
        <v>3155</v>
      </c>
      <c r="C16" s="197">
        <v>227</v>
      </c>
      <c r="D16" s="147"/>
      <c r="E16" s="148"/>
      <c r="F16" s="148"/>
      <c r="I16" s="133">
        <v>9</v>
      </c>
      <c r="J16" s="119"/>
      <c r="K16" s="120"/>
      <c r="L16" s="119"/>
      <c r="M16" s="229"/>
      <c r="N16" s="229"/>
      <c r="O16" s="120"/>
      <c r="P16" s="118"/>
      <c r="Q16" s="229"/>
    </row>
    <row r="17" spans="2:17" ht="13.5" thickBot="1" x14ac:dyDescent="0.25">
      <c r="B17" s="198" t="s">
        <v>3154</v>
      </c>
      <c r="C17" s="197">
        <v>229</v>
      </c>
      <c r="D17" s="147"/>
      <c r="E17" s="148"/>
      <c r="F17" s="148"/>
      <c r="I17" s="134">
        <v>10</v>
      </c>
      <c r="J17" s="119"/>
      <c r="K17" s="119"/>
      <c r="L17" s="119"/>
      <c r="M17" s="229"/>
      <c r="N17" s="229"/>
      <c r="O17" s="120"/>
      <c r="P17" s="118"/>
      <c r="Q17" s="229"/>
    </row>
    <row r="18" spans="2:17" ht="13.5" thickBot="1" x14ac:dyDescent="0.25">
      <c r="B18" s="115" t="s">
        <v>3153</v>
      </c>
      <c r="C18" s="114">
        <v>3155</v>
      </c>
      <c r="D18" s="147"/>
      <c r="E18" s="148"/>
      <c r="F18" s="148"/>
      <c r="I18" s="12"/>
      <c r="J18" s="242" t="s">
        <v>4</v>
      </c>
      <c r="K18" s="243"/>
      <c r="L18" s="187"/>
      <c r="M18" s="230"/>
      <c r="N18" s="188"/>
      <c r="O18" s="187"/>
      <c r="P18" s="230"/>
      <c r="Q18" s="231"/>
    </row>
    <row r="19" spans="2:17" ht="13.5" thickBot="1" x14ac:dyDescent="0.25">
      <c r="B19" s="198" t="s">
        <v>3152</v>
      </c>
      <c r="C19" s="197">
        <v>136</v>
      </c>
      <c r="D19" s="147"/>
      <c r="E19" s="148"/>
      <c r="F19" s="148"/>
      <c r="J19" s="117"/>
      <c r="K19" s="116"/>
      <c r="L19" s="116"/>
    </row>
    <row r="20" spans="2:17" ht="15" customHeight="1" thickBot="1" x14ac:dyDescent="0.25">
      <c r="B20" s="115" t="s">
        <v>3151</v>
      </c>
      <c r="C20" s="114">
        <v>14603</v>
      </c>
      <c r="D20" s="147"/>
      <c r="E20" s="148"/>
      <c r="F20" s="148"/>
      <c r="H20" s="152" t="s">
        <v>0</v>
      </c>
      <c r="I20" s="135"/>
      <c r="J20" s="136"/>
      <c r="K20" s="137"/>
    </row>
    <row r="21" spans="2:17" x14ac:dyDescent="0.2">
      <c r="B21" s="198" t="s">
        <v>3150</v>
      </c>
      <c r="C21" s="197">
        <v>592</v>
      </c>
      <c r="D21" s="147"/>
      <c r="E21" s="148"/>
      <c r="F21" s="148"/>
      <c r="I21" s="138"/>
      <c r="J21" s="138"/>
      <c r="K21" s="143"/>
    </row>
    <row r="22" spans="2:17" x14ac:dyDescent="0.2">
      <c r="B22" s="115" t="s">
        <v>3149</v>
      </c>
      <c r="C22" s="114">
        <v>6920</v>
      </c>
      <c r="D22" s="147"/>
      <c r="E22" s="148"/>
      <c r="F22" s="148"/>
      <c r="I22" s="139"/>
      <c r="J22" s="139"/>
      <c r="K22" s="144"/>
    </row>
    <row r="23" spans="2:17" x14ac:dyDescent="0.2">
      <c r="B23" s="115" t="s">
        <v>3148</v>
      </c>
      <c r="C23" s="114">
        <v>1320</v>
      </c>
      <c r="D23" s="147"/>
      <c r="E23" s="148"/>
      <c r="F23" s="148"/>
      <c r="I23" s="139"/>
      <c r="J23" s="139"/>
      <c r="K23" s="144"/>
    </row>
    <row r="24" spans="2:17" x14ac:dyDescent="0.2">
      <c r="B24" s="198" t="s">
        <v>3147</v>
      </c>
      <c r="C24" s="197">
        <v>623</v>
      </c>
      <c r="D24" s="147"/>
      <c r="E24" s="148"/>
      <c r="F24" s="148"/>
      <c r="I24" s="139"/>
      <c r="J24" s="139"/>
      <c r="K24" s="144"/>
    </row>
    <row r="25" spans="2:17" x14ac:dyDescent="0.2">
      <c r="B25" s="115" t="s">
        <v>3146</v>
      </c>
      <c r="C25" s="114">
        <v>448</v>
      </c>
      <c r="D25" s="147"/>
      <c r="E25" s="148"/>
      <c r="F25" s="148"/>
      <c r="I25" s="139"/>
      <c r="J25" s="139"/>
      <c r="K25" s="144"/>
    </row>
    <row r="26" spans="2:17" x14ac:dyDescent="0.2">
      <c r="B26" s="198" t="s">
        <v>3145</v>
      </c>
      <c r="C26" s="197">
        <v>660</v>
      </c>
      <c r="D26" s="147"/>
      <c r="E26" s="148"/>
      <c r="F26" s="148"/>
      <c r="I26" s="139"/>
      <c r="J26" s="139"/>
      <c r="K26" s="144"/>
    </row>
    <row r="27" spans="2:17" x14ac:dyDescent="0.2">
      <c r="B27" s="115" t="s">
        <v>3144</v>
      </c>
      <c r="C27" s="114">
        <v>2507</v>
      </c>
      <c r="D27" s="147"/>
      <c r="E27" s="148"/>
      <c r="F27" s="148"/>
      <c r="I27" s="139"/>
      <c r="J27" s="139"/>
      <c r="K27" s="144"/>
    </row>
    <row r="28" spans="2:17" x14ac:dyDescent="0.2">
      <c r="B28" s="198" t="s">
        <v>3143</v>
      </c>
      <c r="C28" s="197">
        <v>2049</v>
      </c>
      <c r="D28" s="147"/>
      <c r="E28" s="148"/>
      <c r="F28" s="148"/>
      <c r="I28" s="139"/>
      <c r="J28" s="139"/>
      <c r="K28" s="144"/>
    </row>
    <row r="29" spans="2:17" x14ac:dyDescent="0.2">
      <c r="B29" s="115" t="s">
        <v>3142</v>
      </c>
      <c r="C29" s="114">
        <v>752</v>
      </c>
      <c r="D29" s="147"/>
      <c r="E29" s="148"/>
      <c r="F29" s="148"/>
      <c r="I29" s="139"/>
      <c r="J29" s="139"/>
      <c r="K29" s="144"/>
    </row>
    <row r="30" spans="2:17" x14ac:dyDescent="0.2">
      <c r="B30" s="115" t="s">
        <v>3141</v>
      </c>
      <c r="C30" s="114">
        <v>4103</v>
      </c>
      <c r="D30" s="147"/>
      <c r="E30" s="148"/>
      <c r="F30" s="148"/>
      <c r="I30" s="139"/>
      <c r="J30" s="139"/>
      <c r="K30" s="144"/>
    </row>
    <row r="31" spans="2:17" x14ac:dyDescent="0.2">
      <c r="B31" s="198" t="s">
        <v>3140</v>
      </c>
      <c r="C31" s="197">
        <v>349</v>
      </c>
      <c r="D31" s="147"/>
      <c r="E31" s="148"/>
      <c r="F31" s="148"/>
      <c r="I31" s="139"/>
      <c r="J31" s="139"/>
      <c r="K31" s="144"/>
    </row>
    <row r="32" spans="2:17" ht="13.5" thickBot="1" x14ac:dyDescent="0.25">
      <c r="B32" s="115" t="s">
        <v>3139</v>
      </c>
      <c r="C32" s="114">
        <v>160</v>
      </c>
      <c r="D32" s="147"/>
      <c r="E32" s="148"/>
      <c r="F32" s="148"/>
      <c r="L32" s="116"/>
    </row>
    <row r="33" spans="2:12" ht="13.5" thickBot="1" x14ac:dyDescent="0.25">
      <c r="B33" s="115" t="s">
        <v>3138</v>
      </c>
      <c r="C33" s="114">
        <v>153</v>
      </c>
      <c r="D33" s="147"/>
      <c r="E33" s="148"/>
      <c r="F33" s="148"/>
      <c r="I33" s="135" t="s">
        <v>3260</v>
      </c>
      <c r="J33" s="140"/>
    </row>
    <row r="34" spans="2:12" x14ac:dyDescent="0.2">
      <c r="B34" s="198" t="s">
        <v>3137</v>
      </c>
      <c r="C34" s="197">
        <v>1861</v>
      </c>
      <c r="D34" s="147"/>
      <c r="E34" s="148"/>
      <c r="F34" s="148"/>
      <c r="K34" s="116"/>
      <c r="L34" s="116"/>
    </row>
    <row r="35" spans="2:12" x14ac:dyDescent="0.2">
      <c r="B35" s="115" t="s">
        <v>3136</v>
      </c>
      <c r="C35" s="114">
        <v>2409</v>
      </c>
      <c r="D35" s="147"/>
      <c r="E35" s="148"/>
      <c r="F35" s="148"/>
      <c r="K35" s="141"/>
      <c r="L35" s="116"/>
    </row>
    <row r="36" spans="2:12" x14ac:dyDescent="0.2">
      <c r="B36" s="115" t="s">
        <v>3135</v>
      </c>
      <c r="C36" s="114">
        <v>443</v>
      </c>
      <c r="D36" s="147"/>
      <c r="E36" s="148"/>
      <c r="F36" s="148"/>
      <c r="K36" s="116"/>
      <c r="L36" s="116"/>
    </row>
    <row r="37" spans="2:12" x14ac:dyDescent="0.2">
      <c r="B37" s="115" t="s">
        <v>3134</v>
      </c>
      <c r="C37" s="114">
        <v>926</v>
      </c>
      <c r="D37" s="147"/>
      <c r="E37" s="148"/>
      <c r="F37" s="148"/>
      <c r="K37" s="116"/>
      <c r="L37" s="116"/>
    </row>
    <row r="38" spans="2:12" x14ac:dyDescent="0.2">
      <c r="B38" s="115" t="s">
        <v>3133</v>
      </c>
      <c r="C38" s="114">
        <v>3218</v>
      </c>
      <c r="D38" s="147"/>
      <c r="E38" s="148"/>
      <c r="F38" s="148"/>
      <c r="K38" s="116"/>
      <c r="L38" s="116"/>
    </row>
    <row r="39" spans="2:12" x14ac:dyDescent="0.2">
      <c r="B39" s="198" t="s">
        <v>3132</v>
      </c>
      <c r="C39" s="197">
        <v>26007</v>
      </c>
      <c r="D39" s="147"/>
      <c r="E39" s="148"/>
      <c r="F39" s="148"/>
      <c r="K39" s="116"/>
      <c r="L39" s="116"/>
    </row>
    <row r="40" spans="2:12" x14ac:dyDescent="0.2">
      <c r="B40" s="198" t="s">
        <v>3131</v>
      </c>
      <c r="C40" s="197">
        <v>250</v>
      </c>
      <c r="D40" s="147"/>
      <c r="E40" s="148"/>
      <c r="F40" s="148"/>
      <c r="K40" s="116"/>
      <c r="L40" s="116"/>
    </row>
    <row r="41" spans="2:12" x14ac:dyDescent="0.2">
      <c r="B41" s="198" t="s">
        <v>3130</v>
      </c>
      <c r="C41" s="197">
        <v>3113</v>
      </c>
      <c r="D41" s="147"/>
      <c r="E41" s="148"/>
      <c r="F41" s="148"/>
      <c r="K41" s="116"/>
      <c r="L41" s="116"/>
    </row>
    <row r="42" spans="2:12" ht="13.5" thickBot="1" x14ac:dyDescent="0.25">
      <c r="B42" s="115" t="s">
        <v>3129</v>
      </c>
      <c r="C42" s="114">
        <v>599</v>
      </c>
      <c r="D42" s="147"/>
      <c r="E42" s="148"/>
      <c r="F42" s="148"/>
      <c r="K42" s="116"/>
      <c r="L42" s="116"/>
    </row>
    <row r="43" spans="2:12" ht="13.5" thickBot="1" x14ac:dyDescent="0.25">
      <c r="B43" s="115" t="s">
        <v>3128</v>
      </c>
      <c r="C43" s="114">
        <v>1840</v>
      </c>
      <c r="D43" s="147"/>
      <c r="E43" s="148"/>
      <c r="F43" s="148"/>
      <c r="H43" s="152" t="s">
        <v>1</v>
      </c>
      <c r="I43" s="157" t="s">
        <v>3</v>
      </c>
      <c r="J43" s="155"/>
      <c r="K43" s="116"/>
      <c r="L43" s="116"/>
    </row>
    <row r="44" spans="2:12" ht="13.5" thickBot="1" x14ac:dyDescent="0.25">
      <c r="B44" s="198" t="s">
        <v>3127</v>
      </c>
      <c r="C44" s="197">
        <v>2060</v>
      </c>
      <c r="D44" s="147"/>
      <c r="E44" s="148"/>
      <c r="F44" s="148"/>
      <c r="I44" s="156" t="s">
        <v>3263</v>
      </c>
      <c r="J44" s="154"/>
      <c r="K44" s="140"/>
      <c r="L44" s="116"/>
    </row>
    <row r="45" spans="2:12" ht="13.5" thickBot="1" x14ac:dyDescent="0.25">
      <c r="B45" s="115" t="s">
        <v>3126</v>
      </c>
      <c r="C45" s="114">
        <v>13950</v>
      </c>
      <c r="D45" s="147"/>
      <c r="E45" s="148"/>
      <c r="F45" s="148"/>
      <c r="K45" s="116"/>
      <c r="L45" s="116"/>
    </row>
    <row r="46" spans="2:12" ht="13.5" thickBot="1" x14ac:dyDescent="0.25">
      <c r="B46" s="115" t="s">
        <v>3125</v>
      </c>
      <c r="C46" s="114">
        <v>1507</v>
      </c>
      <c r="D46" s="147"/>
      <c r="E46" s="148"/>
      <c r="F46" s="148"/>
      <c r="I46" s="158" t="s">
        <v>3264</v>
      </c>
      <c r="J46" s="153"/>
      <c r="K46" s="116"/>
      <c r="L46" s="116"/>
    </row>
    <row r="47" spans="2:12" ht="13.5" thickBot="1" x14ac:dyDescent="0.25">
      <c r="B47" s="198" t="s">
        <v>3124</v>
      </c>
      <c r="C47" s="197">
        <v>689</v>
      </c>
      <c r="D47" s="147"/>
      <c r="E47" s="148"/>
      <c r="F47" s="148"/>
      <c r="K47" s="116"/>
      <c r="L47" s="116"/>
    </row>
    <row r="48" spans="2:12" ht="13.9" customHeight="1" thickBot="1" x14ac:dyDescent="0.25">
      <c r="B48" s="115" t="s">
        <v>3123</v>
      </c>
      <c r="C48" s="114">
        <v>5364</v>
      </c>
      <c r="D48" s="147"/>
      <c r="E48" s="148"/>
      <c r="F48" s="148"/>
      <c r="I48" s="135" t="s">
        <v>3306</v>
      </c>
      <c r="J48" s="277"/>
    </row>
    <row r="49" spans="2:12" x14ac:dyDescent="0.2">
      <c r="B49" s="198" t="s">
        <v>3122</v>
      </c>
      <c r="C49" s="197">
        <v>428</v>
      </c>
      <c r="D49" s="147"/>
      <c r="E49" s="148"/>
      <c r="F49" s="148"/>
    </row>
    <row r="50" spans="2:12" x14ac:dyDescent="0.2">
      <c r="B50" s="198" t="s">
        <v>3121</v>
      </c>
      <c r="C50" s="197">
        <v>373</v>
      </c>
      <c r="D50" s="147"/>
      <c r="E50" s="148"/>
      <c r="F50" s="148"/>
      <c r="L50" s="116"/>
    </row>
    <row r="51" spans="2:12" x14ac:dyDescent="0.2">
      <c r="B51" s="115" t="s">
        <v>3120</v>
      </c>
      <c r="C51" s="114">
        <v>2016</v>
      </c>
      <c r="D51" s="147"/>
      <c r="E51" s="148"/>
      <c r="F51" s="148"/>
      <c r="L51" s="116"/>
    </row>
    <row r="52" spans="2:12" x14ac:dyDescent="0.2">
      <c r="B52" s="198" t="s">
        <v>3119</v>
      </c>
      <c r="C52" s="197">
        <v>75</v>
      </c>
      <c r="D52" s="147"/>
      <c r="E52" s="148"/>
      <c r="F52" s="148"/>
    </row>
    <row r="53" spans="2:12" x14ac:dyDescent="0.2">
      <c r="B53" s="198" t="s">
        <v>3118</v>
      </c>
      <c r="C53" s="197">
        <v>643</v>
      </c>
      <c r="D53" s="147"/>
      <c r="E53" s="148"/>
      <c r="F53" s="148"/>
    </row>
    <row r="54" spans="2:12" x14ac:dyDescent="0.2">
      <c r="B54" s="115" t="s">
        <v>3117</v>
      </c>
      <c r="C54" s="114">
        <v>85</v>
      </c>
      <c r="D54" s="147"/>
      <c r="E54" s="148"/>
      <c r="F54" s="148"/>
    </row>
    <row r="55" spans="2:12" x14ac:dyDescent="0.2">
      <c r="B55" s="198" t="s">
        <v>3116</v>
      </c>
      <c r="C55" s="197">
        <v>1638</v>
      </c>
      <c r="D55" s="147"/>
      <c r="E55" s="148"/>
      <c r="F55" s="148"/>
    </row>
    <row r="56" spans="2:12" x14ac:dyDescent="0.2">
      <c r="B56" s="198" t="s">
        <v>3115</v>
      </c>
      <c r="C56" s="197">
        <v>654</v>
      </c>
      <c r="D56" s="147"/>
      <c r="E56" s="148"/>
      <c r="F56" s="148"/>
    </row>
    <row r="57" spans="2:12" x14ac:dyDescent="0.2">
      <c r="B57" s="115" t="s">
        <v>3114</v>
      </c>
      <c r="C57" s="114">
        <v>219</v>
      </c>
      <c r="D57" s="147"/>
      <c r="E57" s="148"/>
      <c r="F57" s="148"/>
    </row>
    <row r="58" spans="2:12" x14ac:dyDescent="0.2">
      <c r="B58" s="115" t="s">
        <v>3113</v>
      </c>
      <c r="C58" s="114">
        <v>294</v>
      </c>
      <c r="D58" s="147"/>
      <c r="E58" s="148"/>
      <c r="F58" s="148"/>
    </row>
    <row r="59" spans="2:12" x14ac:dyDescent="0.2">
      <c r="B59" s="115" t="s">
        <v>3112</v>
      </c>
      <c r="C59" s="114">
        <v>86</v>
      </c>
      <c r="D59" s="147"/>
      <c r="E59" s="148"/>
      <c r="F59" s="148"/>
    </row>
    <row r="60" spans="2:12" x14ac:dyDescent="0.2">
      <c r="B60" s="198" t="s">
        <v>3111</v>
      </c>
      <c r="C60" s="197">
        <v>264</v>
      </c>
      <c r="D60" s="147"/>
      <c r="E60" s="148"/>
      <c r="F60" s="148"/>
    </row>
    <row r="61" spans="2:12" x14ac:dyDescent="0.2">
      <c r="B61" s="115" t="s">
        <v>3110</v>
      </c>
      <c r="C61" s="114">
        <v>611</v>
      </c>
      <c r="D61" s="147"/>
      <c r="E61" s="148"/>
      <c r="F61" s="148"/>
    </row>
    <row r="62" spans="2:12" x14ac:dyDescent="0.2">
      <c r="B62" s="115" t="s">
        <v>3109</v>
      </c>
      <c r="C62" s="114">
        <v>5584</v>
      </c>
      <c r="D62" s="147"/>
      <c r="E62" s="148"/>
      <c r="F62" s="148"/>
      <c r="K62" s="116"/>
    </row>
    <row r="63" spans="2:12" x14ac:dyDescent="0.2">
      <c r="B63" s="198" t="s">
        <v>3108</v>
      </c>
      <c r="C63" s="197">
        <v>668</v>
      </c>
      <c r="D63" s="147"/>
      <c r="E63" s="148"/>
      <c r="F63" s="148"/>
      <c r="J63" s="116"/>
      <c r="K63" s="116"/>
    </row>
    <row r="64" spans="2:12" x14ac:dyDescent="0.2">
      <c r="B64" s="198" t="s">
        <v>3107</v>
      </c>
      <c r="C64" s="197">
        <v>646</v>
      </c>
      <c r="D64" s="147"/>
      <c r="E64" s="148"/>
      <c r="F64" s="148"/>
      <c r="J64" s="116"/>
      <c r="K64" s="116"/>
    </row>
    <row r="65" spans="2:11" x14ac:dyDescent="0.2">
      <c r="B65" s="115" t="s">
        <v>3106</v>
      </c>
      <c r="C65" s="114">
        <v>1919</v>
      </c>
      <c r="D65" s="147"/>
      <c r="E65" s="148"/>
      <c r="F65" s="148"/>
      <c r="J65" s="116"/>
      <c r="K65" s="116"/>
    </row>
    <row r="66" spans="2:11" x14ac:dyDescent="0.2">
      <c r="B66" s="198" t="s">
        <v>3105</v>
      </c>
      <c r="C66" s="197">
        <v>1462</v>
      </c>
      <c r="D66" s="147"/>
      <c r="E66" s="148"/>
      <c r="F66" s="148"/>
      <c r="J66" s="116"/>
      <c r="K66" s="116"/>
    </row>
    <row r="67" spans="2:11" x14ac:dyDescent="0.2">
      <c r="B67" s="115" t="s">
        <v>3104</v>
      </c>
      <c r="C67" s="114">
        <v>573</v>
      </c>
      <c r="D67" s="147"/>
      <c r="E67" s="148"/>
      <c r="F67" s="148"/>
      <c r="J67" s="116"/>
      <c r="K67" s="116"/>
    </row>
    <row r="68" spans="2:11" x14ac:dyDescent="0.2">
      <c r="B68" s="198" t="s">
        <v>3103</v>
      </c>
      <c r="C68" s="197">
        <v>318</v>
      </c>
      <c r="D68" s="147"/>
      <c r="E68" s="148"/>
      <c r="F68" s="148"/>
      <c r="J68" s="116"/>
      <c r="K68" s="116"/>
    </row>
    <row r="69" spans="2:11" x14ac:dyDescent="0.2">
      <c r="B69" s="115" t="s">
        <v>3102</v>
      </c>
      <c r="C69" s="114">
        <v>194</v>
      </c>
      <c r="D69" s="147"/>
      <c r="E69" s="148"/>
      <c r="F69" s="148"/>
      <c r="J69" s="116"/>
      <c r="K69" s="116"/>
    </row>
    <row r="70" spans="2:11" x14ac:dyDescent="0.2">
      <c r="B70" s="198" t="s">
        <v>3101</v>
      </c>
      <c r="C70" s="197">
        <v>53</v>
      </c>
      <c r="D70" s="147"/>
      <c r="E70" s="148"/>
      <c r="F70" s="148"/>
      <c r="J70" s="116"/>
      <c r="K70" s="116"/>
    </row>
    <row r="71" spans="2:11" x14ac:dyDescent="0.2">
      <c r="B71" s="198" t="s">
        <v>3100</v>
      </c>
      <c r="C71" s="197">
        <v>542</v>
      </c>
      <c r="D71" s="147"/>
      <c r="E71" s="148"/>
      <c r="F71" s="148"/>
      <c r="J71" s="116"/>
      <c r="K71" s="116"/>
    </row>
    <row r="72" spans="2:11" x14ac:dyDescent="0.2">
      <c r="B72" s="198" t="s">
        <v>3099</v>
      </c>
      <c r="C72" s="197">
        <v>1176</v>
      </c>
      <c r="D72" s="147"/>
      <c r="E72" s="148"/>
      <c r="F72" s="148"/>
      <c r="J72" s="116"/>
      <c r="K72" s="116"/>
    </row>
    <row r="73" spans="2:11" x14ac:dyDescent="0.2">
      <c r="B73" s="115" t="s">
        <v>3098</v>
      </c>
      <c r="C73" s="114">
        <v>332</v>
      </c>
      <c r="D73" s="147"/>
      <c r="E73" s="148"/>
      <c r="F73" s="148"/>
      <c r="J73" s="116"/>
      <c r="K73" s="116"/>
    </row>
    <row r="74" spans="2:11" x14ac:dyDescent="0.2">
      <c r="B74" s="115" t="s">
        <v>3097</v>
      </c>
      <c r="C74" s="114">
        <v>374</v>
      </c>
      <c r="D74" s="147"/>
      <c r="E74" s="148"/>
      <c r="F74" s="148"/>
      <c r="J74" s="116"/>
      <c r="K74" s="116"/>
    </row>
    <row r="75" spans="2:11" x14ac:dyDescent="0.2">
      <c r="B75" s="198" t="s">
        <v>3096</v>
      </c>
      <c r="C75" s="197">
        <v>113</v>
      </c>
      <c r="D75" s="147"/>
      <c r="E75" s="148"/>
      <c r="F75" s="148"/>
      <c r="J75" s="116"/>
      <c r="K75" s="116"/>
    </row>
    <row r="76" spans="2:11" x14ac:dyDescent="0.2">
      <c r="B76" s="115" t="s">
        <v>3095</v>
      </c>
      <c r="C76" s="114">
        <v>222</v>
      </c>
      <c r="D76" s="147"/>
      <c r="E76" s="148"/>
      <c r="F76" s="148"/>
      <c r="J76" s="116"/>
      <c r="K76" s="116"/>
    </row>
    <row r="77" spans="2:11" x14ac:dyDescent="0.2">
      <c r="B77" s="198" t="s">
        <v>3094</v>
      </c>
      <c r="C77" s="197">
        <v>525</v>
      </c>
      <c r="D77" s="147"/>
      <c r="E77" s="148"/>
      <c r="F77" s="148"/>
      <c r="J77" s="116"/>
      <c r="K77" s="116"/>
    </row>
    <row r="78" spans="2:11" x14ac:dyDescent="0.2">
      <c r="B78" s="115" t="s">
        <v>3093</v>
      </c>
      <c r="C78" s="114">
        <v>1525</v>
      </c>
      <c r="D78" s="147"/>
      <c r="E78" s="148"/>
      <c r="F78" s="148"/>
      <c r="J78" s="116"/>
      <c r="K78" s="116"/>
    </row>
    <row r="79" spans="2:11" x14ac:dyDescent="0.2">
      <c r="B79" s="115" t="s">
        <v>3092</v>
      </c>
      <c r="C79" s="114">
        <v>5459</v>
      </c>
      <c r="D79" s="147"/>
      <c r="E79" s="148"/>
      <c r="F79" s="148"/>
      <c r="J79" s="116"/>
      <c r="K79" s="116"/>
    </row>
    <row r="80" spans="2:11" x14ac:dyDescent="0.2">
      <c r="B80" s="198" t="s">
        <v>3091</v>
      </c>
      <c r="C80" s="197">
        <v>415</v>
      </c>
      <c r="D80" s="147"/>
      <c r="E80" s="148"/>
      <c r="F80" s="148"/>
      <c r="J80" s="116"/>
      <c r="K80" s="116"/>
    </row>
    <row r="81" spans="2:11" x14ac:dyDescent="0.2">
      <c r="B81" s="115" t="s">
        <v>3090</v>
      </c>
      <c r="C81" s="114">
        <v>1841</v>
      </c>
      <c r="D81" s="147"/>
      <c r="E81" s="148"/>
      <c r="F81" s="148"/>
      <c r="J81" s="116"/>
      <c r="K81" s="116"/>
    </row>
    <row r="82" spans="2:11" x14ac:dyDescent="0.2">
      <c r="B82" s="198" t="s">
        <v>3089</v>
      </c>
      <c r="C82" s="197">
        <v>916</v>
      </c>
      <c r="D82" s="147"/>
      <c r="E82" s="148"/>
      <c r="F82" s="148"/>
      <c r="J82" s="116"/>
      <c r="K82" s="116"/>
    </row>
    <row r="83" spans="2:11" x14ac:dyDescent="0.2">
      <c r="B83" s="115" t="s">
        <v>3088</v>
      </c>
      <c r="C83" s="114">
        <v>2569</v>
      </c>
      <c r="D83" s="147"/>
      <c r="E83" s="148"/>
      <c r="F83" s="148"/>
      <c r="J83" s="116"/>
      <c r="K83" s="116"/>
    </row>
    <row r="84" spans="2:11" x14ac:dyDescent="0.2">
      <c r="B84" s="115" t="s">
        <v>3087</v>
      </c>
      <c r="C84" s="114">
        <v>238</v>
      </c>
      <c r="D84" s="147"/>
      <c r="E84" s="148"/>
      <c r="F84" s="148"/>
      <c r="J84" s="116"/>
      <c r="K84" s="116"/>
    </row>
    <row r="85" spans="2:11" x14ac:dyDescent="0.2">
      <c r="B85" s="115" t="s">
        <v>3086</v>
      </c>
      <c r="C85" s="114">
        <v>884</v>
      </c>
      <c r="D85" s="147"/>
      <c r="E85" s="148"/>
      <c r="F85" s="148"/>
      <c r="J85" s="116"/>
      <c r="K85" s="116"/>
    </row>
    <row r="86" spans="2:11" x14ac:dyDescent="0.2">
      <c r="B86" s="198" t="s">
        <v>3085</v>
      </c>
      <c r="C86" s="197">
        <v>138</v>
      </c>
      <c r="D86" s="147"/>
      <c r="E86" s="148"/>
      <c r="F86" s="148"/>
      <c r="J86" s="116"/>
      <c r="K86" s="116"/>
    </row>
    <row r="87" spans="2:11" x14ac:dyDescent="0.2">
      <c r="B87" s="198" t="s">
        <v>3084</v>
      </c>
      <c r="C87" s="197">
        <v>2167</v>
      </c>
      <c r="D87" s="147"/>
      <c r="E87" s="148"/>
      <c r="F87" s="148"/>
      <c r="J87" s="116"/>
      <c r="K87" s="116"/>
    </row>
    <row r="88" spans="2:11" x14ac:dyDescent="0.2">
      <c r="B88" s="115" t="s">
        <v>3083</v>
      </c>
      <c r="C88" s="114">
        <v>1093</v>
      </c>
      <c r="D88" s="147"/>
      <c r="E88" s="148"/>
      <c r="F88" s="148"/>
      <c r="J88" s="116"/>
      <c r="K88" s="116"/>
    </row>
    <row r="89" spans="2:11" x14ac:dyDescent="0.2">
      <c r="B89" s="115" t="s">
        <v>3082</v>
      </c>
      <c r="C89" s="114">
        <v>899</v>
      </c>
      <c r="D89" s="147"/>
      <c r="E89" s="148"/>
      <c r="F89" s="148"/>
      <c r="J89" s="116"/>
      <c r="K89" s="116"/>
    </row>
    <row r="90" spans="2:11" x14ac:dyDescent="0.2">
      <c r="B90" s="115" t="s">
        <v>3081</v>
      </c>
      <c r="C90" s="114">
        <v>2799</v>
      </c>
      <c r="D90" s="147"/>
      <c r="E90" s="148"/>
      <c r="F90" s="148"/>
      <c r="J90" s="116"/>
      <c r="K90" s="116"/>
    </row>
    <row r="91" spans="2:11" x14ac:dyDescent="0.2">
      <c r="B91" s="198" t="s">
        <v>3080</v>
      </c>
      <c r="C91" s="197">
        <v>372</v>
      </c>
      <c r="D91" s="147"/>
      <c r="E91" s="148"/>
      <c r="F91" s="148"/>
      <c r="J91" s="116"/>
      <c r="K91" s="116"/>
    </row>
    <row r="92" spans="2:11" x14ac:dyDescent="0.2">
      <c r="B92" s="198" t="s">
        <v>3079</v>
      </c>
      <c r="C92" s="197">
        <v>113</v>
      </c>
      <c r="D92" s="147"/>
      <c r="E92" s="148"/>
      <c r="F92" s="148"/>
      <c r="J92" s="116"/>
      <c r="K92" s="116"/>
    </row>
    <row r="93" spans="2:11" x14ac:dyDescent="0.2">
      <c r="B93" s="115" t="s">
        <v>3078</v>
      </c>
      <c r="C93" s="114">
        <v>2421</v>
      </c>
      <c r="D93" s="147"/>
      <c r="E93" s="148"/>
      <c r="F93" s="148"/>
      <c r="J93" s="116"/>
      <c r="K93" s="116"/>
    </row>
    <row r="94" spans="2:11" x14ac:dyDescent="0.2">
      <c r="B94" s="115" t="s">
        <v>3077</v>
      </c>
      <c r="C94" s="114">
        <v>1262</v>
      </c>
      <c r="D94" s="147"/>
      <c r="E94" s="148"/>
      <c r="F94" s="148"/>
      <c r="J94" s="116"/>
      <c r="K94" s="116"/>
    </row>
    <row r="95" spans="2:11" x14ac:dyDescent="0.2">
      <c r="B95" s="115" t="s">
        <v>3076</v>
      </c>
      <c r="C95" s="114">
        <v>2031</v>
      </c>
      <c r="D95" s="147"/>
      <c r="E95" s="148"/>
      <c r="F95" s="148"/>
      <c r="J95" s="116"/>
      <c r="K95" s="116"/>
    </row>
    <row r="96" spans="2:11" x14ac:dyDescent="0.2">
      <c r="B96" s="115" t="s">
        <v>3075</v>
      </c>
      <c r="C96" s="114">
        <v>2032</v>
      </c>
      <c r="D96" s="147"/>
      <c r="E96" s="148"/>
      <c r="F96" s="148"/>
      <c r="J96" s="116"/>
      <c r="K96" s="116"/>
    </row>
    <row r="97" spans="2:11" x14ac:dyDescent="0.2">
      <c r="B97" s="198" t="s">
        <v>3074</v>
      </c>
      <c r="C97" s="197">
        <v>307</v>
      </c>
      <c r="D97" s="147"/>
      <c r="E97" s="148"/>
      <c r="F97" s="148"/>
      <c r="J97" s="116"/>
      <c r="K97" s="116"/>
    </row>
    <row r="98" spans="2:11" x14ac:dyDescent="0.2">
      <c r="B98" s="198" t="s">
        <v>3073</v>
      </c>
      <c r="C98" s="197">
        <v>53</v>
      </c>
      <c r="D98" s="147"/>
      <c r="E98" s="148"/>
      <c r="F98" s="148"/>
      <c r="J98" s="116"/>
      <c r="K98" s="116"/>
    </row>
    <row r="99" spans="2:11" x14ac:dyDescent="0.2">
      <c r="B99" s="115" t="s">
        <v>3072</v>
      </c>
      <c r="C99" s="114">
        <v>3454</v>
      </c>
      <c r="D99" s="147"/>
      <c r="E99" s="148"/>
      <c r="F99" s="148"/>
      <c r="J99" s="116"/>
      <c r="K99" s="116"/>
    </row>
    <row r="100" spans="2:11" x14ac:dyDescent="0.2">
      <c r="B100" s="115" t="s">
        <v>3071</v>
      </c>
      <c r="C100" s="114">
        <v>2254</v>
      </c>
      <c r="D100" s="147"/>
      <c r="E100" s="148"/>
      <c r="F100" s="148"/>
      <c r="J100" s="116"/>
      <c r="K100" s="116"/>
    </row>
    <row r="101" spans="2:11" x14ac:dyDescent="0.2">
      <c r="B101" s="115" t="s">
        <v>3070</v>
      </c>
      <c r="C101" s="114">
        <v>1032</v>
      </c>
      <c r="D101" s="147"/>
      <c r="E101" s="148"/>
      <c r="F101" s="148"/>
      <c r="J101" s="116"/>
      <c r="K101" s="116"/>
    </row>
    <row r="102" spans="2:11" x14ac:dyDescent="0.2">
      <c r="B102" s="198" t="s">
        <v>3069</v>
      </c>
      <c r="C102" s="197">
        <v>370</v>
      </c>
      <c r="D102" s="147"/>
      <c r="E102" s="148"/>
      <c r="F102" s="148"/>
      <c r="J102" s="116"/>
      <c r="K102" s="116"/>
    </row>
    <row r="103" spans="2:11" x14ac:dyDescent="0.2">
      <c r="B103" s="198" t="s">
        <v>3068</v>
      </c>
      <c r="C103" s="197">
        <v>284</v>
      </c>
      <c r="D103" s="147"/>
      <c r="E103" s="148"/>
      <c r="F103" s="148"/>
      <c r="J103" s="116"/>
      <c r="K103" s="116"/>
    </row>
    <row r="104" spans="2:11" x14ac:dyDescent="0.2">
      <c r="B104" s="115" t="s">
        <v>3067</v>
      </c>
      <c r="C104" s="114">
        <v>505</v>
      </c>
      <c r="D104" s="147"/>
      <c r="E104" s="148"/>
      <c r="F104" s="148"/>
      <c r="J104" s="116"/>
      <c r="K104" s="116"/>
    </row>
    <row r="105" spans="2:11" x14ac:dyDescent="0.2">
      <c r="B105" s="198" t="s">
        <v>3066</v>
      </c>
      <c r="C105" s="197">
        <v>3665</v>
      </c>
      <c r="D105" s="147"/>
      <c r="E105" s="148"/>
      <c r="F105" s="148"/>
      <c r="J105" s="116"/>
      <c r="K105" s="116"/>
    </row>
    <row r="106" spans="2:11" x14ac:dyDescent="0.2">
      <c r="B106" s="115" t="s">
        <v>3065</v>
      </c>
      <c r="C106" s="114">
        <v>2170</v>
      </c>
      <c r="D106" s="147"/>
      <c r="E106" s="148"/>
      <c r="F106" s="148"/>
      <c r="J106" s="116"/>
      <c r="K106" s="116"/>
    </row>
    <row r="107" spans="2:11" x14ac:dyDescent="0.2">
      <c r="B107" s="115" t="s">
        <v>3064</v>
      </c>
      <c r="C107" s="114">
        <v>1834</v>
      </c>
      <c r="D107" s="147"/>
      <c r="E107" s="148"/>
      <c r="F107" s="148"/>
      <c r="J107" s="116"/>
      <c r="K107" s="116"/>
    </row>
    <row r="108" spans="2:11" x14ac:dyDescent="0.2">
      <c r="B108" s="115" t="s">
        <v>3063</v>
      </c>
      <c r="C108" s="114">
        <v>1395</v>
      </c>
      <c r="D108" s="147"/>
      <c r="E108" s="148"/>
      <c r="F108" s="148"/>
      <c r="J108" s="116"/>
      <c r="K108" s="116"/>
    </row>
    <row r="109" spans="2:11" x14ac:dyDescent="0.2">
      <c r="B109" s="115" t="s">
        <v>3062</v>
      </c>
      <c r="C109" s="114">
        <v>6096</v>
      </c>
      <c r="D109" s="147"/>
      <c r="E109" s="148"/>
      <c r="F109" s="148"/>
      <c r="J109" s="116"/>
      <c r="K109" s="116"/>
    </row>
    <row r="110" spans="2:11" x14ac:dyDescent="0.2">
      <c r="B110" s="198" t="s">
        <v>3061</v>
      </c>
      <c r="C110" s="197">
        <v>485</v>
      </c>
      <c r="D110" s="147"/>
      <c r="E110" s="148"/>
      <c r="F110" s="148"/>
      <c r="J110" s="116"/>
      <c r="K110" s="116"/>
    </row>
    <row r="111" spans="2:11" x14ac:dyDescent="0.2">
      <c r="B111" s="198" t="s">
        <v>3060</v>
      </c>
      <c r="C111" s="197">
        <v>159</v>
      </c>
      <c r="D111" s="147"/>
      <c r="E111" s="148"/>
      <c r="F111" s="148"/>
      <c r="J111" s="116"/>
      <c r="K111" s="116"/>
    </row>
    <row r="112" spans="2:11" x14ac:dyDescent="0.2">
      <c r="B112" s="115" t="s">
        <v>3059</v>
      </c>
      <c r="C112" s="114">
        <v>1426</v>
      </c>
      <c r="D112" s="147"/>
      <c r="E112" s="148"/>
      <c r="F112" s="148"/>
      <c r="J112" s="116"/>
      <c r="K112" s="116"/>
    </row>
    <row r="113" spans="2:11" x14ac:dyDescent="0.2">
      <c r="B113" s="198" t="s">
        <v>3058</v>
      </c>
      <c r="C113" s="197">
        <v>1750</v>
      </c>
      <c r="D113" s="147"/>
      <c r="E113" s="148"/>
      <c r="F113" s="148"/>
      <c r="J113" s="116"/>
      <c r="K113" s="116"/>
    </row>
    <row r="114" spans="2:11" x14ac:dyDescent="0.2">
      <c r="B114" s="115" t="s">
        <v>3057</v>
      </c>
      <c r="C114" s="114">
        <v>707</v>
      </c>
      <c r="D114" s="147"/>
      <c r="E114" s="148"/>
      <c r="F114" s="148"/>
      <c r="J114" s="116"/>
      <c r="K114" s="116"/>
    </row>
    <row r="115" spans="2:11" x14ac:dyDescent="0.2">
      <c r="B115" s="115" t="s">
        <v>3056</v>
      </c>
      <c r="C115" s="114">
        <v>659</v>
      </c>
      <c r="D115" s="147"/>
      <c r="E115" s="148"/>
      <c r="F115" s="148"/>
      <c r="J115" s="116"/>
      <c r="K115" s="116"/>
    </row>
    <row r="116" spans="2:11" x14ac:dyDescent="0.2">
      <c r="B116" s="198" t="s">
        <v>3055</v>
      </c>
      <c r="C116" s="197">
        <v>96</v>
      </c>
      <c r="D116" s="147"/>
      <c r="E116" s="148"/>
      <c r="F116" s="148"/>
      <c r="J116" s="116"/>
      <c r="K116" s="116"/>
    </row>
    <row r="117" spans="2:11" x14ac:dyDescent="0.2">
      <c r="B117" s="115" t="s">
        <v>3054</v>
      </c>
      <c r="C117" s="114">
        <v>1332</v>
      </c>
      <c r="D117" s="147"/>
      <c r="E117" s="148"/>
      <c r="F117" s="148"/>
      <c r="J117" s="116"/>
      <c r="K117" s="116"/>
    </row>
    <row r="118" spans="2:11" x14ac:dyDescent="0.2">
      <c r="B118" s="115" t="s">
        <v>3053</v>
      </c>
      <c r="C118" s="114">
        <v>3424</v>
      </c>
      <c r="D118" s="147"/>
      <c r="E118" s="148"/>
      <c r="F118" s="148"/>
      <c r="J118" s="116"/>
      <c r="K118" s="116"/>
    </row>
    <row r="119" spans="2:11" x14ac:dyDescent="0.2">
      <c r="B119" s="198" t="s">
        <v>3052</v>
      </c>
      <c r="C119" s="197">
        <v>770</v>
      </c>
      <c r="D119" s="147"/>
      <c r="E119" s="148"/>
      <c r="F119" s="148"/>
      <c r="J119" s="116"/>
      <c r="K119" s="116"/>
    </row>
    <row r="120" spans="2:11" x14ac:dyDescent="0.2">
      <c r="B120" s="115" t="s">
        <v>3051</v>
      </c>
      <c r="C120" s="114">
        <v>504</v>
      </c>
      <c r="D120" s="147"/>
      <c r="E120" s="148"/>
      <c r="F120" s="148"/>
      <c r="J120" s="116"/>
      <c r="K120" s="116"/>
    </row>
    <row r="121" spans="2:11" x14ac:dyDescent="0.2">
      <c r="B121" s="115" t="s">
        <v>3050</v>
      </c>
      <c r="C121" s="114">
        <v>1068</v>
      </c>
      <c r="D121" s="147"/>
      <c r="E121" s="148"/>
      <c r="F121" s="148"/>
      <c r="J121" s="116"/>
      <c r="K121" s="116"/>
    </row>
    <row r="122" spans="2:11" x14ac:dyDescent="0.2">
      <c r="B122" s="115" t="s">
        <v>3049</v>
      </c>
      <c r="C122" s="114">
        <v>5963</v>
      </c>
      <c r="D122" s="147"/>
      <c r="E122" s="148"/>
      <c r="F122" s="148"/>
      <c r="J122" s="116"/>
      <c r="K122" s="116"/>
    </row>
    <row r="123" spans="2:11" x14ac:dyDescent="0.2">
      <c r="B123" s="115" t="s">
        <v>3048</v>
      </c>
      <c r="C123" s="114">
        <v>2288</v>
      </c>
      <c r="D123" s="147"/>
      <c r="E123" s="148"/>
      <c r="F123" s="148"/>
      <c r="J123" s="116"/>
      <c r="K123" s="116"/>
    </row>
    <row r="124" spans="2:11" x14ac:dyDescent="0.2">
      <c r="B124" s="198" t="s">
        <v>3047</v>
      </c>
      <c r="C124" s="197">
        <v>1022</v>
      </c>
      <c r="D124" s="147"/>
      <c r="E124" s="148"/>
      <c r="F124" s="148"/>
      <c r="J124" s="116"/>
      <c r="K124" s="116"/>
    </row>
    <row r="125" spans="2:11" x14ac:dyDescent="0.2">
      <c r="B125" s="115" t="s">
        <v>3046</v>
      </c>
      <c r="C125" s="114">
        <v>125</v>
      </c>
      <c r="D125" s="147"/>
      <c r="E125" s="148"/>
      <c r="F125" s="148"/>
      <c r="J125" s="116"/>
      <c r="K125" s="116"/>
    </row>
    <row r="126" spans="2:11" x14ac:dyDescent="0.2">
      <c r="B126" s="115" t="s">
        <v>3045</v>
      </c>
      <c r="C126" s="114">
        <v>286</v>
      </c>
      <c r="D126" s="147"/>
      <c r="E126" s="148"/>
      <c r="F126" s="148"/>
      <c r="J126" s="116"/>
      <c r="K126" s="116"/>
    </row>
    <row r="127" spans="2:11" x14ac:dyDescent="0.2">
      <c r="B127" s="198" t="s">
        <v>3044</v>
      </c>
      <c r="C127" s="197">
        <v>2101</v>
      </c>
      <c r="D127" s="147"/>
      <c r="E127" s="148"/>
      <c r="F127" s="148"/>
      <c r="J127" s="116"/>
      <c r="K127" s="116"/>
    </row>
    <row r="128" spans="2:11" x14ac:dyDescent="0.2">
      <c r="B128" s="115" t="s">
        <v>3043</v>
      </c>
      <c r="C128" s="114">
        <v>867</v>
      </c>
      <c r="D128" s="147"/>
      <c r="E128" s="148"/>
      <c r="F128" s="148"/>
      <c r="J128" s="116"/>
      <c r="K128" s="116"/>
    </row>
    <row r="129" spans="2:11" x14ac:dyDescent="0.2">
      <c r="B129" s="115" t="s">
        <v>3042</v>
      </c>
      <c r="C129" s="114">
        <v>3712</v>
      </c>
      <c r="D129" s="147"/>
      <c r="E129" s="148"/>
      <c r="F129" s="148"/>
      <c r="J129" s="116"/>
      <c r="K129" s="116"/>
    </row>
    <row r="130" spans="2:11" x14ac:dyDescent="0.2">
      <c r="B130" s="115" t="s">
        <v>3041</v>
      </c>
      <c r="C130" s="114">
        <v>2355</v>
      </c>
      <c r="D130" s="147"/>
      <c r="E130" s="148"/>
      <c r="F130" s="148"/>
      <c r="J130" s="116"/>
      <c r="K130" s="116"/>
    </row>
    <row r="131" spans="2:11" x14ac:dyDescent="0.2">
      <c r="B131" s="198" t="s">
        <v>3040</v>
      </c>
      <c r="C131" s="197">
        <v>44</v>
      </c>
      <c r="D131" s="147"/>
      <c r="E131" s="148"/>
      <c r="F131" s="148"/>
      <c r="J131" s="116"/>
      <c r="K131" s="116"/>
    </row>
    <row r="132" spans="2:11" x14ac:dyDescent="0.2">
      <c r="B132" s="115" t="s">
        <v>3039</v>
      </c>
      <c r="C132" s="114">
        <v>1186</v>
      </c>
      <c r="D132" s="147"/>
      <c r="E132" s="148"/>
      <c r="F132" s="148"/>
      <c r="J132" s="116"/>
      <c r="K132" s="116"/>
    </row>
    <row r="133" spans="2:11" x14ac:dyDescent="0.2">
      <c r="B133" s="198" t="s">
        <v>3038</v>
      </c>
      <c r="C133" s="197">
        <v>1233</v>
      </c>
      <c r="D133" s="147"/>
      <c r="E133" s="148"/>
      <c r="F133" s="148"/>
      <c r="J133" s="116"/>
      <c r="K133" s="116"/>
    </row>
    <row r="134" spans="2:11" x14ac:dyDescent="0.2">
      <c r="B134" s="198" t="s">
        <v>3037</v>
      </c>
      <c r="C134" s="197">
        <v>2833</v>
      </c>
      <c r="D134" s="147"/>
      <c r="E134" s="148"/>
      <c r="F134" s="148"/>
      <c r="J134" s="116"/>
      <c r="K134" s="116"/>
    </row>
    <row r="135" spans="2:11" x14ac:dyDescent="0.2">
      <c r="B135" s="115" t="s">
        <v>3036</v>
      </c>
      <c r="C135" s="114">
        <v>32401</v>
      </c>
      <c r="D135" s="147"/>
      <c r="E135" s="148"/>
      <c r="F135" s="148"/>
      <c r="J135" s="116"/>
      <c r="K135" s="116"/>
    </row>
    <row r="136" spans="2:11" x14ac:dyDescent="0.2">
      <c r="B136" s="115" t="s">
        <v>3035</v>
      </c>
      <c r="C136" s="114">
        <v>487</v>
      </c>
      <c r="D136" s="147"/>
      <c r="E136" s="148"/>
      <c r="F136" s="148"/>
      <c r="J136" s="116"/>
      <c r="K136" s="116"/>
    </row>
    <row r="137" spans="2:11" x14ac:dyDescent="0.2">
      <c r="B137" s="198" t="s">
        <v>3034</v>
      </c>
      <c r="C137" s="197">
        <v>1819</v>
      </c>
      <c r="D137" s="147"/>
      <c r="E137" s="148"/>
      <c r="F137" s="148"/>
      <c r="J137" s="116"/>
      <c r="K137" s="116"/>
    </row>
    <row r="138" spans="2:11" x14ac:dyDescent="0.2">
      <c r="B138" s="115" t="s">
        <v>3033</v>
      </c>
      <c r="C138" s="114">
        <v>1597</v>
      </c>
      <c r="D138" s="147"/>
      <c r="E138" s="148"/>
      <c r="F138" s="148"/>
      <c r="J138" s="116"/>
      <c r="K138" s="116"/>
    </row>
    <row r="139" spans="2:11" x14ac:dyDescent="0.2">
      <c r="B139" s="115" t="s">
        <v>3032</v>
      </c>
      <c r="C139" s="114">
        <v>1514</v>
      </c>
      <c r="D139" s="147"/>
      <c r="E139" s="148"/>
      <c r="F139" s="148"/>
      <c r="J139" s="116"/>
      <c r="K139" s="116"/>
    </row>
    <row r="140" spans="2:11" x14ac:dyDescent="0.2">
      <c r="B140" s="198" t="s">
        <v>3031</v>
      </c>
      <c r="C140" s="197">
        <v>163</v>
      </c>
      <c r="D140" s="147"/>
      <c r="E140" s="148"/>
      <c r="F140" s="148"/>
      <c r="J140" s="116"/>
      <c r="K140" s="116"/>
    </row>
    <row r="141" spans="2:11" x14ac:dyDescent="0.2">
      <c r="B141" s="198" t="s">
        <v>3030</v>
      </c>
      <c r="C141" s="197">
        <v>267</v>
      </c>
      <c r="D141" s="147"/>
      <c r="E141" s="148"/>
      <c r="F141" s="148"/>
      <c r="J141" s="116"/>
      <c r="K141" s="116"/>
    </row>
    <row r="142" spans="2:11" x14ac:dyDescent="0.2">
      <c r="B142" s="198" t="s">
        <v>3029</v>
      </c>
      <c r="C142" s="197">
        <v>1073</v>
      </c>
      <c r="D142" s="147"/>
      <c r="E142" s="148"/>
      <c r="F142" s="148"/>
      <c r="J142" s="116"/>
      <c r="K142" s="116"/>
    </row>
    <row r="143" spans="2:11" x14ac:dyDescent="0.2">
      <c r="B143" s="115" t="s">
        <v>3028</v>
      </c>
      <c r="C143" s="114">
        <v>365</v>
      </c>
      <c r="D143" s="147"/>
      <c r="E143" s="148"/>
      <c r="F143" s="148"/>
      <c r="J143" s="116"/>
      <c r="K143" s="116"/>
    </row>
    <row r="144" spans="2:11" x14ac:dyDescent="0.2">
      <c r="B144" s="198" t="s">
        <v>3027</v>
      </c>
      <c r="C144" s="197">
        <v>374</v>
      </c>
      <c r="D144" s="147"/>
      <c r="E144" s="148"/>
      <c r="F144" s="148"/>
      <c r="J144" s="116"/>
      <c r="K144" s="116"/>
    </row>
    <row r="145" spans="2:11" x14ac:dyDescent="0.2">
      <c r="B145" s="115" t="s">
        <v>3026</v>
      </c>
      <c r="C145" s="114">
        <v>1090</v>
      </c>
      <c r="D145" s="147"/>
      <c r="E145" s="148"/>
      <c r="F145" s="148"/>
      <c r="J145" s="116"/>
      <c r="K145" s="116"/>
    </row>
    <row r="146" spans="2:11" x14ac:dyDescent="0.2">
      <c r="B146" s="198" t="s">
        <v>3025</v>
      </c>
      <c r="C146" s="197">
        <v>2971</v>
      </c>
      <c r="D146" s="147"/>
      <c r="E146" s="148"/>
      <c r="F146" s="148"/>
      <c r="J146" s="116"/>
      <c r="K146" s="116"/>
    </row>
    <row r="147" spans="2:11" x14ac:dyDescent="0.2">
      <c r="B147" s="198" t="s">
        <v>3024</v>
      </c>
      <c r="C147" s="197">
        <v>162</v>
      </c>
      <c r="D147" s="147"/>
      <c r="E147" s="148"/>
      <c r="F147" s="148"/>
      <c r="J147" s="116"/>
      <c r="K147" s="116"/>
    </row>
    <row r="148" spans="2:11" x14ac:dyDescent="0.2">
      <c r="B148" s="115" t="s">
        <v>3023</v>
      </c>
      <c r="C148" s="114">
        <v>670</v>
      </c>
      <c r="D148" s="147"/>
      <c r="E148" s="148"/>
      <c r="F148" s="148"/>
      <c r="J148" s="116"/>
      <c r="K148" s="116"/>
    </row>
    <row r="149" spans="2:11" x14ac:dyDescent="0.2">
      <c r="B149" s="198" t="s">
        <v>3022</v>
      </c>
      <c r="C149" s="197">
        <v>184</v>
      </c>
      <c r="D149" s="147"/>
      <c r="E149" s="148"/>
      <c r="F149" s="148"/>
      <c r="J149" s="116"/>
      <c r="K149" s="116"/>
    </row>
    <row r="150" spans="2:11" x14ac:dyDescent="0.2">
      <c r="B150" s="115" t="s">
        <v>3021</v>
      </c>
      <c r="C150" s="114">
        <v>146</v>
      </c>
      <c r="D150" s="147"/>
      <c r="E150" s="148"/>
      <c r="F150" s="148"/>
      <c r="J150" s="116"/>
      <c r="K150" s="116"/>
    </row>
    <row r="151" spans="2:11" x14ac:dyDescent="0.2">
      <c r="B151" s="115" t="s">
        <v>3020</v>
      </c>
      <c r="C151" s="114">
        <v>913</v>
      </c>
      <c r="D151" s="147"/>
      <c r="E151" s="148"/>
      <c r="F151" s="148"/>
      <c r="J151" s="116"/>
    </row>
    <row r="152" spans="2:11" x14ac:dyDescent="0.2">
      <c r="B152" s="115" t="s">
        <v>3019</v>
      </c>
      <c r="C152" s="114">
        <v>431</v>
      </c>
      <c r="D152" s="147"/>
      <c r="E152" s="148"/>
      <c r="F152" s="148"/>
    </row>
    <row r="153" spans="2:11" x14ac:dyDescent="0.2">
      <c r="B153" s="115" t="s">
        <v>3018</v>
      </c>
      <c r="C153" s="114">
        <v>287</v>
      </c>
      <c r="D153" s="147"/>
      <c r="E153" s="148"/>
      <c r="F153" s="148"/>
    </row>
    <row r="154" spans="2:11" x14ac:dyDescent="0.2">
      <c r="B154" s="115" t="s">
        <v>3017</v>
      </c>
      <c r="C154" s="114">
        <v>393</v>
      </c>
      <c r="D154" s="147"/>
      <c r="E154" s="148"/>
      <c r="F154" s="148"/>
    </row>
    <row r="155" spans="2:11" x14ac:dyDescent="0.2">
      <c r="B155" s="115" t="s">
        <v>3016</v>
      </c>
      <c r="C155" s="114">
        <v>48</v>
      </c>
      <c r="D155" s="147"/>
      <c r="E155" s="148"/>
      <c r="F155" s="148"/>
    </row>
    <row r="156" spans="2:11" x14ac:dyDescent="0.2">
      <c r="B156" s="198" t="s">
        <v>3015</v>
      </c>
      <c r="C156" s="197">
        <v>966</v>
      </c>
      <c r="D156" s="147"/>
      <c r="E156" s="148"/>
      <c r="F156" s="148"/>
    </row>
    <row r="157" spans="2:11" x14ac:dyDescent="0.2">
      <c r="B157" s="115" t="s">
        <v>3014</v>
      </c>
      <c r="C157" s="114">
        <v>212</v>
      </c>
      <c r="D157" s="147"/>
      <c r="E157" s="148"/>
      <c r="F157" s="148"/>
    </row>
    <row r="158" spans="2:11" x14ac:dyDescent="0.2">
      <c r="B158" s="115" t="s">
        <v>3013</v>
      </c>
      <c r="C158" s="114">
        <v>771</v>
      </c>
      <c r="D158" s="147"/>
      <c r="E158" s="148"/>
      <c r="F158" s="148"/>
    </row>
    <row r="159" spans="2:11" x14ac:dyDescent="0.2">
      <c r="B159" s="115" t="s">
        <v>3012</v>
      </c>
      <c r="C159" s="114">
        <v>1573</v>
      </c>
      <c r="D159" s="147"/>
      <c r="E159" s="148"/>
      <c r="F159" s="148"/>
    </row>
    <row r="160" spans="2:11" x14ac:dyDescent="0.2">
      <c r="B160" s="198" t="s">
        <v>3011</v>
      </c>
      <c r="C160" s="197">
        <v>1306</v>
      </c>
      <c r="D160" s="147"/>
      <c r="E160" s="148"/>
      <c r="F160" s="148"/>
    </row>
    <row r="161" spans="2:6" x14ac:dyDescent="0.2">
      <c r="B161" s="198" t="s">
        <v>3010</v>
      </c>
      <c r="C161" s="197">
        <v>232</v>
      </c>
      <c r="D161" s="147"/>
      <c r="E161" s="148"/>
      <c r="F161" s="148"/>
    </row>
    <row r="162" spans="2:6" x14ac:dyDescent="0.2">
      <c r="B162" s="198" t="s">
        <v>3009</v>
      </c>
      <c r="C162" s="197">
        <v>536</v>
      </c>
      <c r="D162" s="147"/>
      <c r="E162" s="148"/>
      <c r="F162" s="148"/>
    </row>
    <row r="163" spans="2:6" x14ac:dyDescent="0.2">
      <c r="B163" s="198" t="s">
        <v>3008</v>
      </c>
      <c r="C163" s="197">
        <v>1903</v>
      </c>
      <c r="D163" s="147"/>
      <c r="E163" s="148"/>
      <c r="F163" s="148"/>
    </row>
    <row r="164" spans="2:6" x14ac:dyDescent="0.2">
      <c r="B164" s="115" t="s">
        <v>3007</v>
      </c>
      <c r="C164" s="114">
        <v>793</v>
      </c>
      <c r="D164" s="147"/>
      <c r="E164" s="148"/>
      <c r="F164" s="148"/>
    </row>
    <row r="165" spans="2:6" x14ac:dyDescent="0.2">
      <c r="B165" s="115" t="s">
        <v>3006</v>
      </c>
      <c r="C165" s="114">
        <v>793</v>
      </c>
      <c r="D165" s="147"/>
      <c r="E165" s="148"/>
      <c r="F165" s="148"/>
    </row>
    <row r="166" spans="2:6" x14ac:dyDescent="0.2">
      <c r="B166" s="115" t="s">
        <v>3005</v>
      </c>
      <c r="C166" s="114">
        <v>3494</v>
      </c>
      <c r="D166" s="147"/>
      <c r="E166" s="148"/>
      <c r="F166" s="148"/>
    </row>
    <row r="167" spans="2:6" x14ac:dyDescent="0.2">
      <c r="B167" s="198" t="s">
        <v>3004</v>
      </c>
      <c r="C167" s="197">
        <v>323</v>
      </c>
      <c r="D167" s="147"/>
      <c r="E167" s="148"/>
      <c r="F167" s="148"/>
    </row>
    <row r="168" spans="2:6" x14ac:dyDescent="0.2">
      <c r="B168" s="198" t="s">
        <v>3003</v>
      </c>
      <c r="C168" s="197">
        <v>512</v>
      </c>
      <c r="D168" s="147"/>
      <c r="E168" s="148"/>
      <c r="F168" s="148"/>
    </row>
    <row r="169" spans="2:6" x14ac:dyDescent="0.2">
      <c r="B169" s="115" t="s">
        <v>3002</v>
      </c>
      <c r="C169" s="114">
        <v>13706</v>
      </c>
      <c r="D169" s="147"/>
      <c r="E169" s="148"/>
      <c r="F169" s="148"/>
    </row>
    <row r="170" spans="2:6" x14ac:dyDescent="0.2">
      <c r="B170" s="115" t="s">
        <v>3001</v>
      </c>
      <c r="C170" s="114">
        <v>3225</v>
      </c>
      <c r="D170" s="147"/>
      <c r="E170" s="148"/>
      <c r="F170" s="148"/>
    </row>
    <row r="171" spans="2:6" x14ac:dyDescent="0.2">
      <c r="B171" s="115" t="s">
        <v>3000</v>
      </c>
      <c r="C171" s="114">
        <v>915</v>
      </c>
      <c r="D171" s="147"/>
      <c r="E171" s="148"/>
      <c r="F171" s="148"/>
    </row>
    <row r="172" spans="2:6" x14ac:dyDescent="0.2">
      <c r="B172" s="115" t="s">
        <v>2999</v>
      </c>
      <c r="C172" s="114">
        <v>684</v>
      </c>
      <c r="D172" s="147"/>
      <c r="E172" s="148"/>
      <c r="F172" s="148"/>
    </row>
    <row r="173" spans="2:6" x14ac:dyDescent="0.2">
      <c r="B173" s="198" t="s">
        <v>2998</v>
      </c>
      <c r="C173" s="197">
        <v>1214</v>
      </c>
      <c r="D173" s="147"/>
      <c r="E173" s="148"/>
      <c r="F173" s="148"/>
    </row>
    <row r="174" spans="2:6" x14ac:dyDescent="0.2">
      <c r="B174" s="198" t="s">
        <v>2997</v>
      </c>
      <c r="C174" s="197">
        <v>10066</v>
      </c>
      <c r="D174" s="147"/>
      <c r="E174" s="148"/>
      <c r="F174" s="148"/>
    </row>
    <row r="175" spans="2:6" x14ac:dyDescent="0.2">
      <c r="B175" s="198" t="s">
        <v>2996</v>
      </c>
      <c r="C175" s="197">
        <v>1168</v>
      </c>
      <c r="D175" s="147"/>
      <c r="E175" s="148"/>
      <c r="F175" s="148"/>
    </row>
    <row r="176" spans="2:6" x14ac:dyDescent="0.2">
      <c r="B176" s="115" t="s">
        <v>2995</v>
      </c>
      <c r="C176" s="114">
        <v>5298</v>
      </c>
      <c r="D176" s="147"/>
      <c r="E176" s="148"/>
      <c r="F176" s="148"/>
    </row>
    <row r="177" spans="2:6" x14ac:dyDescent="0.2">
      <c r="B177" s="115" t="s">
        <v>2994</v>
      </c>
      <c r="C177" s="114">
        <v>279</v>
      </c>
      <c r="D177" s="147"/>
      <c r="E177" s="148"/>
      <c r="F177" s="148"/>
    </row>
    <row r="178" spans="2:6" x14ac:dyDescent="0.2">
      <c r="B178" s="115" t="s">
        <v>2993</v>
      </c>
      <c r="C178" s="114">
        <v>1031</v>
      </c>
      <c r="D178" s="147"/>
      <c r="E178" s="148"/>
      <c r="F178" s="148"/>
    </row>
    <row r="179" spans="2:6" x14ac:dyDescent="0.2">
      <c r="B179" s="198" t="s">
        <v>2992</v>
      </c>
      <c r="C179" s="197">
        <v>1300</v>
      </c>
      <c r="D179" s="147"/>
      <c r="E179" s="148"/>
      <c r="F179" s="148"/>
    </row>
    <row r="180" spans="2:6" x14ac:dyDescent="0.2">
      <c r="B180" s="115" t="s">
        <v>2991</v>
      </c>
      <c r="C180" s="114">
        <v>2022</v>
      </c>
      <c r="D180" s="147"/>
      <c r="E180" s="148"/>
      <c r="F180" s="148"/>
    </row>
    <row r="181" spans="2:6" x14ac:dyDescent="0.2">
      <c r="B181" s="115" t="s">
        <v>2990</v>
      </c>
      <c r="C181" s="114">
        <v>1301</v>
      </c>
      <c r="D181" s="147"/>
      <c r="E181" s="148"/>
      <c r="F181" s="148"/>
    </row>
    <row r="182" spans="2:6" x14ac:dyDescent="0.2">
      <c r="B182" s="115" t="s">
        <v>2989</v>
      </c>
      <c r="C182" s="114">
        <v>2295</v>
      </c>
      <c r="D182" s="147"/>
      <c r="E182" s="148"/>
      <c r="F182" s="148"/>
    </row>
    <row r="183" spans="2:6" x14ac:dyDescent="0.2">
      <c r="B183" s="198" t="s">
        <v>2988</v>
      </c>
      <c r="C183" s="197">
        <v>12906</v>
      </c>
      <c r="D183" s="147"/>
      <c r="E183" s="148"/>
      <c r="F183" s="148"/>
    </row>
    <row r="184" spans="2:6" x14ac:dyDescent="0.2">
      <c r="B184" s="115" t="s">
        <v>2987</v>
      </c>
      <c r="C184" s="114">
        <v>4448</v>
      </c>
      <c r="D184" s="147"/>
      <c r="E184" s="148"/>
      <c r="F184" s="148"/>
    </row>
    <row r="185" spans="2:6" x14ac:dyDescent="0.2">
      <c r="B185" s="198" t="s">
        <v>2986</v>
      </c>
      <c r="C185" s="197">
        <v>1297</v>
      </c>
      <c r="D185" s="147"/>
      <c r="E185" s="148"/>
      <c r="F185" s="148"/>
    </row>
    <row r="186" spans="2:6" x14ac:dyDescent="0.2">
      <c r="B186" s="198" t="s">
        <v>2985</v>
      </c>
      <c r="C186" s="197">
        <v>123</v>
      </c>
      <c r="D186" s="147"/>
      <c r="E186" s="148"/>
      <c r="F186" s="148"/>
    </row>
    <row r="187" spans="2:6" x14ac:dyDescent="0.2">
      <c r="B187" s="198" t="s">
        <v>2984</v>
      </c>
      <c r="C187" s="197">
        <v>2570</v>
      </c>
      <c r="D187" s="147"/>
      <c r="E187" s="148"/>
      <c r="F187" s="148"/>
    </row>
    <row r="188" spans="2:6" x14ac:dyDescent="0.2">
      <c r="B188" s="198" t="s">
        <v>2983</v>
      </c>
      <c r="C188" s="197">
        <v>1664</v>
      </c>
      <c r="D188" s="147"/>
      <c r="E188" s="148"/>
      <c r="F188" s="148"/>
    </row>
    <row r="189" spans="2:6" x14ac:dyDescent="0.2">
      <c r="B189" s="115" t="s">
        <v>2982</v>
      </c>
      <c r="C189" s="114">
        <v>4860</v>
      </c>
      <c r="D189" s="147"/>
      <c r="E189" s="148"/>
      <c r="F189" s="148"/>
    </row>
    <row r="190" spans="2:6" x14ac:dyDescent="0.2">
      <c r="B190" s="198" t="s">
        <v>2981</v>
      </c>
      <c r="C190" s="197">
        <v>398</v>
      </c>
      <c r="D190" s="147"/>
      <c r="E190" s="148"/>
      <c r="F190" s="148"/>
    </row>
    <row r="191" spans="2:6" x14ac:dyDescent="0.2">
      <c r="B191" s="115" t="s">
        <v>2980</v>
      </c>
      <c r="C191" s="114">
        <v>849</v>
      </c>
      <c r="D191" s="147"/>
      <c r="E191" s="148"/>
      <c r="F191" s="148"/>
    </row>
    <row r="192" spans="2:6" x14ac:dyDescent="0.2">
      <c r="B192" s="115" t="s">
        <v>2979</v>
      </c>
      <c r="C192" s="114">
        <v>588</v>
      </c>
      <c r="D192" s="147"/>
      <c r="E192" s="148"/>
      <c r="F192" s="148"/>
    </row>
    <row r="193" spans="2:6" x14ac:dyDescent="0.2">
      <c r="B193" s="115" t="s">
        <v>2978</v>
      </c>
      <c r="C193" s="114">
        <v>171</v>
      </c>
      <c r="D193" s="147"/>
      <c r="E193" s="148"/>
      <c r="F193" s="148"/>
    </row>
    <row r="194" spans="2:6" x14ac:dyDescent="0.2">
      <c r="B194" s="198" t="s">
        <v>2977</v>
      </c>
      <c r="C194" s="197">
        <v>2913</v>
      </c>
      <c r="D194" s="147"/>
      <c r="E194" s="148"/>
      <c r="F194" s="148"/>
    </row>
    <row r="195" spans="2:6" x14ac:dyDescent="0.2">
      <c r="B195" s="115" t="s">
        <v>2976</v>
      </c>
      <c r="C195" s="114">
        <v>2005</v>
      </c>
      <c r="D195" s="147"/>
      <c r="E195" s="148"/>
      <c r="F195" s="148"/>
    </row>
    <row r="196" spans="2:6" x14ac:dyDescent="0.2">
      <c r="B196" s="198" t="s">
        <v>2975</v>
      </c>
      <c r="C196" s="197">
        <v>1644</v>
      </c>
      <c r="D196" s="147"/>
      <c r="E196" s="148"/>
      <c r="F196" s="148"/>
    </row>
    <row r="197" spans="2:6" x14ac:dyDescent="0.2">
      <c r="B197" s="115" t="s">
        <v>2974</v>
      </c>
      <c r="C197" s="114">
        <v>1444</v>
      </c>
      <c r="D197" s="147"/>
      <c r="E197" s="148"/>
      <c r="F197" s="148"/>
    </row>
    <row r="198" spans="2:6" x14ac:dyDescent="0.2">
      <c r="B198" s="198" t="s">
        <v>2973</v>
      </c>
      <c r="C198" s="197">
        <v>454</v>
      </c>
      <c r="D198" s="147"/>
      <c r="E198" s="148"/>
      <c r="F198" s="148"/>
    </row>
    <row r="199" spans="2:6" x14ac:dyDescent="0.2">
      <c r="B199" s="198" t="s">
        <v>2972</v>
      </c>
      <c r="C199" s="197">
        <v>639</v>
      </c>
      <c r="D199" s="147"/>
      <c r="E199" s="148"/>
      <c r="F199" s="148"/>
    </row>
    <row r="200" spans="2:6" x14ac:dyDescent="0.2">
      <c r="B200" s="198" t="s">
        <v>2971</v>
      </c>
      <c r="C200" s="197">
        <v>348</v>
      </c>
      <c r="D200" s="147"/>
      <c r="E200" s="148"/>
      <c r="F200" s="148"/>
    </row>
    <row r="201" spans="2:6" x14ac:dyDescent="0.2">
      <c r="B201" s="198" t="s">
        <v>2970</v>
      </c>
      <c r="C201" s="197">
        <v>458</v>
      </c>
      <c r="D201" s="147"/>
      <c r="E201" s="148"/>
      <c r="F201" s="148"/>
    </row>
    <row r="202" spans="2:6" x14ac:dyDescent="0.2">
      <c r="B202" s="115" t="s">
        <v>2969</v>
      </c>
      <c r="C202" s="114">
        <v>1432</v>
      </c>
      <c r="D202" s="147"/>
      <c r="E202" s="148"/>
      <c r="F202" s="148"/>
    </row>
    <row r="203" spans="2:6" x14ac:dyDescent="0.2">
      <c r="B203" s="115" t="s">
        <v>2968</v>
      </c>
      <c r="C203" s="114">
        <v>849</v>
      </c>
      <c r="D203" s="147"/>
      <c r="E203" s="148"/>
      <c r="F203" s="148"/>
    </row>
    <row r="204" spans="2:6" x14ac:dyDescent="0.2">
      <c r="B204" s="198" t="s">
        <v>2967</v>
      </c>
      <c r="C204" s="197">
        <v>5737</v>
      </c>
      <c r="D204" s="147"/>
      <c r="E204" s="148"/>
      <c r="F204" s="148"/>
    </row>
    <row r="205" spans="2:6" x14ac:dyDescent="0.2">
      <c r="B205" s="115" t="s">
        <v>2966</v>
      </c>
      <c r="C205" s="114">
        <v>4399</v>
      </c>
      <c r="D205" s="147"/>
      <c r="E205" s="148"/>
      <c r="F205" s="148"/>
    </row>
    <row r="206" spans="2:6" x14ac:dyDescent="0.2">
      <c r="B206" s="115" t="s">
        <v>2965</v>
      </c>
      <c r="C206" s="114">
        <v>17058</v>
      </c>
      <c r="D206" s="147"/>
      <c r="E206" s="148"/>
      <c r="F206" s="148"/>
    </row>
    <row r="207" spans="2:6" x14ac:dyDescent="0.2">
      <c r="B207" s="115" t="s">
        <v>2964</v>
      </c>
      <c r="C207" s="114">
        <v>1072</v>
      </c>
      <c r="D207" s="147"/>
      <c r="E207" s="148"/>
      <c r="F207" s="148"/>
    </row>
    <row r="208" spans="2:6" x14ac:dyDescent="0.2">
      <c r="B208" s="115" t="s">
        <v>2963</v>
      </c>
      <c r="C208" s="114">
        <v>1394</v>
      </c>
      <c r="D208" s="147"/>
      <c r="E208" s="148"/>
      <c r="F208" s="148"/>
    </row>
    <row r="209" spans="2:6" x14ac:dyDescent="0.2">
      <c r="B209" s="115" t="s">
        <v>2962</v>
      </c>
      <c r="C209" s="114">
        <v>632</v>
      </c>
      <c r="D209" s="147"/>
      <c r="E209" s="148"/>
      <c r="F209" s="148"/>
    </row>
    <row r="210" spans="2:6" x14ac:dyDescent="0.2">
      <c r="B210" s="198" t="s">
        <v>2961</v>
      </c>
      <c r="C210" s="197">
        <v>531</v>
      </c>
      <c r="D210" s="147"/>
      <c r="E210" s="148"/>
      <c r="F210" s="148"/>
    </row>
    <row r="211" spans="2:6" x14ac:dyDescent="0.2">
      <c r="B211" s="115" t="s">
        <v>2960</v>
      </c>
      <c r="C211" s="114">
        <v>1472</v>
      </c>
      <c r="D211" s="147"/>
      <c r="E211" s="148"/>
      <c r="F211" s="148"/>
    </row>
    <row r="212" spans="2:6" x14ac:dyDescent="0.2">
      <c r="B212" s="198" t="s">
        <v>2959</v>
      </c>
      <c r="C212" s="197">
        <v>708</v>
      </c>
      <c r="D212" s="147"/>
      <c r="E212" s="148"/>
      <c r="F212" s="148"/>
    </row>
    <row r="213" spans="2:6" x14ac:dyDescent="0.2">
      <c r="B213" s="115" t="s">
        <v>2958</v>
      </c>
      <c r="C213" s="114">
        <v>185</v>
      </c>
      <c r="D213" s="147"/>
      <c r="E213" s="148"/>
      <c r="F213" s="148"/>
    </row>
    <row r="214" spans="2:6" x14ac:dyDescent="0.2">
      <c r="B214" s="115" t="s">
        <v>2957</v>
      </c>
      <c r="C214" s="114">
        <v>1252</v>
      </c>
      <c r="D214" s="147"/>
      <c r="E214" s="148"/>
      <c r="F214" s="148"/>
    </row>
    <row r="215" spans="2:6" x14ac:dyDescent="0.2">
      <c r="B215" s="115" t="s">
        <v>2956</v>
      </c>
      <c r="C215" s="114">
        <v>749</v>
      </c>
      <c r="D215" s="147"/>
      <c r="E215" s="148"/>
      <c r="F215" s="148"/>
    </row>
    <row r="216" spans="2:6" x14ac:dyDescent="0.2">
      <c r="B216" s="198" t="s">
        <v>2955</v>
      </c>
      <c r="C216" s="197">
        <v>541</v>
      </c>
      <c r="D216" s="147"/>
      <c r="E216" s="148"/>
      <c r="F216" s="148"/>
    </row>
    <row r="217" spans="2:6" x14ac:dyDescent="0.2">
      <c r="B217" s="115" t="s">
        <v>2954</v>
      </c>
      <c r="C217" s="114">
        <v>1155</v>
      </c>
      <c r="D217" s="147"/>
      <c r="E217" s="148"/>
      <c r="F217" s="148"/>
    </row>
    <row r="218" spans="2:6" x14ac:dyDescent="0.2">
      <c r="B218" s="115" t="s">
        <v>2953</v>
      </c>
      <c r="C218" s="114">
        <v>549</v>
      </c>
      <c r="D218" s="147"/>
      <c r="E218" s="148"/>
      <c r="F218" s="148"/>
    </row>
    <row r="219" spans="2:6" x14ac:dyDescent="0.2">
      <c r="B219" s="198" t="s">
        <v>2952</v>
      </c>
      <c r="C219" s="197">
        <v>766</v>
      </c>
      <c r="D219" s="147"/>
      <c r="E219" s="148"/>
      <c r="F219" s="148"/>
    </row>
    <row r="220" spans="2:6" x14ac:dyDescent="0.2">
      <c r="B220" s="115" t="s">
        <v>2951</v>
      </c>
      <c r="C220" s="114">
        <v>3446</v>
      </c>
      <c r="D220" s="147"/>
      <c r="E220" s="148"/>
      <c r="F220" s="148"/>
    </row>
    <row r="221" spans="2:6" x14ac:dyDescent="0.2">
      <c r="B221" s="115" t="s">
        <v>2950</v>
      </c>
      <c r="C221" s="114">
        <v>3075</v>
      </c>
      <c r="D221" s="147"/>
      <c r="E221" s="148"/>
      <c r="F221" s="148"/>
    </row>
    <row r="222" spans="2:6" x14ac:dyDescent="0.2">
      <c r="B222" s="198" t="s">
        <v>2949</v>
      </c>
      <c r="C222" s="197">
        <v>2245</v>
      </c>
      <c r="D222" s="147"/>
      <c r="E222" s="148"/>
      <c r="F222" s="148"/>
    </row>
    <row r="223" spans="2:6" x14ac:dyDescent="0.2">
      <c r="B223" s="198" t="s">
        <v>2948</v>
      </c>
      <c r="C223" s="197">
        <v>158</v>
      </c>
      <c r="D223" s="147"/>
      <c r="E223" s="148"/>
      <c r="F223" s="148"/>
    </row>
    <row r="224" spans="2:6" x14ac:dyDescent="0.2">
      <c r="B224" s="198" t="s">
        <v>2947</v>
      </c>
      <c r="C224" s="197">
        <v>408</v>
      </c>
      <c r="D224" s="147"/>
      <c r="E224" s="148"/>
      <c r="F224" s="148"/>
    </row>
    <row r="225" spans="2:6" x14ac:dyDescent="0.2">
      <c r="B225" s="198" t="s">
        <v>2946</v>
      </c>
      <c r="C225" s="197">
        <v>108</v>
      </c>
      <c r="D225" s="147"/>
      <c r="E225" s="148"/>
      <c r="F225" s="148"/>
    </row>
    <row r="226" spans="2:6" x14ac:dyDescent="0.2">
      <c r="B226" s="115" t="s">
        <v>2945</v>
      </c>
      <c r="C226" s="114">
        <v>751</v>
      </c>
      <c r="D226" s="147"/>
      <c r="E226" s="148"/>
      <c r="F226" s="148"/>
    </row>
    <row r="227" spans="2:6" x14ac:dyDescent="0.2">
      <c r="B227" s="115" t="s">
        <v>2944</v>
      </c>
      <c r="C227" s="114">
        <v>9454</v>
      </c>
      <c r="D227" s="147"/>
      <c r="E227" s="148"/>
      <c r="F227" s="148"/>
    </row>
    <row r="228" spans="2:6" x14ac:dyDescent="0.2">
      <c r="B228" s="198" t="s">
        <v>2943</v>
      </c>
      <c r="C228" s="197">
        <v>1119</v>
      </c>
      <c r="D228" s="147"/>
      <c r="E228" s="148"/>
      <c r="F228" s="148"/>
    </row>
    <row r="229" spans="2:6" x14ac:dyDescent="0.2">
      <c r="B229" s="198" t="s">
        <v>2942</v>
      </c>
      <c r="C229" s="197">
        <v>119</v>
      </c>
      <c r="D229" s="147"/>
      <c r="E229" s="148"/>
      <c r="F229" s="148"/>
    </row>
    <row r="230" spans="2:6" x14ac:dyDescent="0.2">
      <c r="B230" s="115" t="s">
        <v>2941</v>
      </c>
      <c r="C230" s="114">
        <v>888</v>
      </c>
      <c r="D230" s="147"/>
      <c r="E230" s="148"/>
      <c r="F230" s="148"/>
    </row>
    <row r="231" spans="2:6" x14ac:dyDescent="0.2">
      <c r="B231" s="115" t="s">
        <v>2940</v>
      </c>
      <c r="C231" s="114">
        <v>103</v>
      </c>
      <c r="D231" s="147"/>
      <c r="E231" s="148"/>
      <c r="F231" s="148"/>
    </row>
    <row r="232" spans="2:6" x14ac:dyDescent="0.2">
      <c r="B232" s="198" t="s">
        <v>2939</v>
      </c>
      <c r="C232" s="197">
        <v>682</v>
      </c>
      <c r="D232" s="147"/>
      <c r="E232" s="148"/>
      <c r="F232" s="148"/>
    </row>
    <row r="233" spans="2:6" x14ac:dyDescent="0.2">
      <c r="B233" s="115" t="s">
        <v>2938</v>
      </c>
      <c r="C233" s="114">
        <v>198</v>
      </c>
      <c r="D233" s="147"/>
      <c r="E233" s="148"/>
      <c r="F233" s="148"/>
    </row>
    <row r="234" spans="2:6" x14ac:dyDescent="0.2">
      <c r="B234" s="115" t="s">
        <v>2937</v>
      </c>
      <c r="C234" s="114">
        <v>151</v>
      </c>
      <c r="D234" s="147"/>
      <c r="E234" s="148"/>
      <c r="F234" s="148"/>
    </row>
    <row r="235" spans="2:6" x14ac:dyDescent="0.2">
      <c r="B235" s="198" t="s">
        <v>2936</v>
      </c>
      <c r="C235" s="197">
        <v>1366</v>
      </c>
      <c r="D235" s="147"/>
      <c r="E235" s="148"/>
      <c r="F235" s="148"/>
    </row>
    <row r="236" spans="2:6" x14ac:dyDescent="0.2">
      <c r="B236" s="198" t="s">
        <v>2935</v>
      </c>
      <c r="C236" s="197">
        <v>341</v>
      </c>
      <c r="D236" s="147"/>
      <c r="E236" s="148"/>
      <c r="F236" s="148"/>
    </row>
    <row r="237" spans="2:6" x14ac:dyDescent="0.2">
      <c r="B237" s="115" t="s">
        <v>2934</v>
      </c>
      <c r="C237" s="114">
        <v>5809</v>
      </c>
      <c r="D237" s="147"/>
      <c r="E237" s="148"/>
      <c r="F237" s="148"/>
    </row>
    <row r="238" spans="2:6" x14ac:dyDescent="0.2">
      <c r="B238" s="115" t="s">
        <v>2933</v>
      </c>
      <c r="C238" s="114">
        <v>765</v>
      </c>
      <c r="D238" s="147"/>
      <c r="E238" s="148"/>
      <c r="F238" s="148"/>
    </row>
    <row r="239" spans="2:6" x14ac:dyDescent="0.2">
      <c r="B239" s="115" t="s">
        <v>2932</v>
      </c>
      <c r="C239" s="114">
        <v>1392</v>
      </c>
      <c r="D239" s="147"/>
      <c r="E239" s="148"/>
      <c r="F239" s="148"/>
    </row>
    <row r="240" spans="2:6" x14ac:dyDescent="0.2">
      <c r="B240" s="115" t="s">
        <v>2931</v>
      </c>
      <c r="C240" s="114">
        <v>11056</v>
      </c>
      <c r="D240" s="147"/>
      <c r="E240" s="148"/>
      <c r="F240" s="148"/>
    </row>
    <row r="241" spans="2:6" x14ac:dyDescent="0.2">
      <c r="B241" s="198" t="s">
        <v>2930</v>
      </c>
      <c r="C241" s="197">
        <v>369</v>
      </c>
      <c r="D241" s="147"/>
      <c r="E241" s="148"/>
      <c r="F241" s="148"/>
    </row>
    <row r="242" spans="2:6" x14ac:dyDescent="0.2">
      <c r="B242" s="198" t="s">
        <v>2929</v>
      </c>
      <c r="C242" s="197">
        <v>558</v>
      </c>
      <c r="D242" s="147"/>
      <c r="E242" s="148"/>
      <c r="F242" s="148"/>
    </row>
    <row r="243" spans="2:6" x14ac:dyDescent="0.2">
      <c r="B243" s="115" t="s">
        <v>2928</v>
      </c>
      <c r="C243" s="114">
        <v>4797</v>
      </c>
      <c r="D243" s="147"/>
      <c r="E243" s="148"/>
      <c r="F243" s="148"/>
    </row>
    <row r="244" spans="2:6" x14ac:dyDescent="0.2">
      <c r="B244" s="115" t="s">
        <v>2927</v>
      </c>
      <c r="C244" s="114">
        <v>1787</v>
      </c>
      <c r="D244" s="147"/>
      <c r="E244" s="148"/>
      <c r="F244" s="148"/>
    </row>
    <row r="245" spans="2:6" x14ac:dyDescent="0.2">
      <c r="B245" s="115" t="s">
        <v>2926</v>
      </c>
      <c r="C245" s="114">
        <v>383</v>
      </c>
      <c r="D245" s="147"/>
      <c r="E245" s="148"/>
      <c r="F245" s="148"/>
    </row>
    <row r="246" spans="2:6" x14ac:dyDescent="0.2">
      <c r="B246" s="115" t="s">
        <v>2925</v>
      </c>
      <c r="C246" s="114">
        <v>709</v>
      </c>
      <c r="D246" s="147"/>
      <c r="E246" s="148"/>
      <c r="F246" s="148"/>
    </row>
    <row r="247" spans="2:6" x14ac:dyDescent="0.2">
      <c r="B247" s="198" t="s">
        <v>2924</v>
      </c>
      <c r="C247" s="197">
        <v>410</v>
      </c>
      <c r="D247" s="147"/>
      <c r="E247" s="148"/>
      <c r="F247" s="148"/>
    </row>
    <row r="248" spans="2:6" x14ac:dyDescent="0.2">
      <c r="B248" s="198" t="s">
        <v>2923</v>
      </c>
      <c r="C248" s="197">
        <v>249</v>
      </c>
      <c r="D248" s="147"/>
      <c r="E248" s="148"/>
      <c r="F248" s="148"/>
    </row>
    <row r="249" spans="2:6" x14ac:dyDescent="0.2">
      <c r="B249" s="198" t="s">
        <v>2922</v>
      </c>
      <c r="C249" s="197">
        <v>1868</v>
      </c>
      <c r="D249" s="147"/>
      <c r="E249" s="148"/>
      <c r="F249" s="148"/>
    </row>
    <row r="250" spans="2:6" x14ac:dyDescent="0.2">
      <c r="B250" s="115" t="s">
        <v>2921</v>
      </c>
      <c r="C250" s="114">
        <v>469</v>
      </c>
      <c r="D250" s="147"/>
      <c r="E250" s="148"/>
      <c r="F250" s="148"/>
    </row>
    <row r="251" spans="2:6" x14ac:dyDescent="0.2">
      <c r="B251" s="198" t="s">
        <v>2920</v>
      </c>
      <c r="C251" s="197">
        <v>40</v>
      </c>
      <c r="D251" s="147"/>
      <c r="E251" s="148"/>
      <c r="F251" s="148"/>
    </row>
    <row r="252" spans="2:6" x14ac:dyDescent="0.2">
      <c r="B252" s="115" t="s">
        <v>2919</v>
      </c>
      <c r="C252" s="114">
        <v>681</v>
      </c>
      <c r="D252" s="147"/>
      <c r="E252" s="148"/>
      <c r="F252" s="148"/>
    </row>
    <row r="253" spans="2:6" x14ac:dyDescent="0.2">
      <c r="B253" s="198" t="s">
        <v>2918</v>
      </c>
      <c r="C253" s="197">
        <v>384</v>
      </c>
      <c r="D253" s="147"/>
      <c r="E253" s="148"/>
      <c r="F253" s="148"/>
    </row>
    <row r="254" spans="2:6" x14ac:dyDescent="0.2">
      <c r="B254" s="115" t="s">
        <v>2917</v>
      </c>
      <c r="C254" s="114">
        <v>282</v>
      </c>
      <c r="D254" s="147"/>
      <c r="E254" s="148"/>
      <c r="F254" s="148"/>
    </row>
    <row r="255" spans="2:6" x14ac:dyDescent="0.2">
      <c r="B255" s="115" t="s">
        <v>2916</v>
      </c>
      <c r="C255" s="114">
        <v>410</v>
      </c>
      <c r="D255" s="147"/>
      <c r="E255" s="148"/>
      <c r="F255" s="148"/>
    </row>
    <row r="256" spans="2:6" x14ac:dyDescent="0.2">
      <c r="B256" s="198" t="s">
        <v>2915</v>
      </c>
      <c r="C256" s="197">
        <v>202</v>
      </c>
      <c r="D256" s="147"/>
      <c r="E256" s="148"/>
      <c r="F256" s="148"/>
    </row>
    <row r="257" spans="2:6" x14ac:dyDescent="0.2">
      <c r="B257" s="115" t="s">
        <v>2914</v>
      </c>
      <c r="C257" s="114">
        <v>2149</v>
      </c>
      <c r="D257" s="147"/>
      <c r="E257" s="148"/>
      <c r="F257" s="148"/>
    </row>
    <row r="258" spans="2:6" x14ac:dyDescent="0.2">
      <c r="B258" s="115" t="s">
        <v>2913</v>
      </c>
      <c r="C258" s="114">
        <v>17282</v>
      </c>
      <c r="D258" s="147"/>
      <c r="E258" s="148"/>
      <c r="F258" s="148"/>
    </row>
    <row r="259" spans="2:6" x14ac:dyDescent="0.2">
      <c r="B259" s="115" t="s">
        <v>2912</v>
      </c>
      <c r="C259" s="114">
        <v>53944</v>
      </c>
      <c r="D259" s="147"/>
      <c r="E259" s="148"/>
      <c r="F259" s="148"/>
    </row>
    <row r="260" spans="2:6" x14ac:dyDescent="0.2">
      <c r="B260" s="115" t="s">
        <v>2911</v>
      </c>
      <c r="C260" s="114">
        <v>2124</v>
      </c>
      <c r="D260" s="147"/>
      <c r="E260" s="148"/>
      <c r="F260" s="148"/>
    </row>
    <row r="261" spans="2:6" x14ac:dyDescent="0.2">
      <c r="B261" s="198" t="s">
        <v>2910</v>
      </c>
      <c r="C261" s="197">
        <v>3275</v>
      </c>
      <c r="D261" s="147"/>
      <c r="E261" s="148"/>
      <c r="F261" s="148"/>
    </row>
    <row r="262" spans="2:6" x14ac:dyDescent="0.2">
      <c r="B262" s="198" t="s">
        <v>2909</v>
      </c>
      <c r="C262" s="197">
        <v>592</v>
      </c>
      <c r="D262" s="147"/>
      <c r="E262" s="148"/>
      <c r="F262" s="148"/>
    </row>
    <row r="263" spans="2:6" x14ac:dyDescent="0.2">
      <c r="B263" s="115" t="s">
        <v>2908</v>
      </c>
      <c r="C263" s="114">
        <v>2738</v>
      </c>
      <c r="D263" s="147"/>
      <c r="E263" s="148"/>
      <c r="F263" s="148"/>
    </row>
    <row r="264" spans="2:6" x14ac:dyDescent="0.2">
      <c r="B264" s="198" t="s">
        <v>2907</v>
      </c>
      <c r="C264" s="197">
        <v>280</v>
      </c>
      <c r="D264" s="147"/>
      <c r="E264" s="148"/>
      <c r="F264" s="148"/>
    </row>
    <row r="265" spans="2:6" x14ac:dyDescent="0.2">
      <c r="B265" s="198" t="s">
        <v>2906</v>
      </c>
      <c r="C265" s="197">
        <v>306</v>
      </c>
      <c r="D265" s="147"/>
      <c r="E265" s="148"/>
      <c r="F265" s="148"/>
    </row>
    <row r="266" spans="2:6" x14ac:dyDescent="0.2">
      <c r="B266" s="115" t="s">
        <v>2905</v>
      </c>
      <c r="C266" s="114">
        <v>2394</v>
      </c>
      <c r="D266" s="147"/>
      <c r="E266" s="148"/>
      <c r="F266" s="148"/>
    </row>
    <row r="267" spans="2:6" x14ac:dyDescent="0.2">
      <c r="B267" s="198" t="s">
        <v>2904</v>
      </c>
      <c r="C267" s="197">
        <v>588</v>
      </c>
      <c r="D267" s="147"/>
      <c r="E267" s="148"/>
      <c r="F267" s="148"/>
    </row>
    <row r="268" spans="2:6" x14ac:dyDescent="0.2">
      <c r="B268" s="115" t="s">
        <v>2903</v>
      </c>
      <c r="C268" s="114">
        <v>596</v>
      </c>
      <c r="D268" s="147"/>
      <c r="E268" s="148"/>
      <c r="F268" s="148"/>
    </row>
    <row r="269" spans="2:6" x14ac:dyDescent="0.2">
      <c r="B269" s="115" t="s">
        <v>2902</v>
      </c>
      <c r="C269" s="114">
        <v>773</v>
      </c>
      <c r="D269" s="147"/>
      <c r="E269" s="148"/>
      <c r="F269" s="148"/>
    </row>
    <row r="270" spans="2:6" x14ac:dyDescent="0.2">
      <c r="B270" s="115" t="s">
        <v>2901</v>
      </c>
      <c r="C270" s="114">
        <v>987</v>
      </c>
      <c r="D270" s="147"/>
      <c r="E270" s="148"/>
      <c r="F270" s="148"/>
    </row>
    <row r="271" spans="2:6" x14ac:dyDescent="0.2">
      <c r="B271" s="198" t="s">
        <v>2900</v>
      </c>
      <c r="C271" s="197">
        <v>101</v>
      </c>
      <c r="D271" s="147"/>
      <c r="E271" s="148"/>
      <c r="F271" s="148"/>
    </row>
    <row r="272" spans="2:6" x14ac:dyDescent="0.2">
      <c r="B272" s="115" t="s">
        <v>2899</v>
      </c>
      <c r="C272" s="114">
        <v>345</v>
      </c>
      <c r="D272" s="147"/>
      <c r="E272" s="148"/>
      <c r="F272" s="148"/>
    </row>
    <row r="273" spans="2:6" x14ac:dyDescent="0.2">
      <c r="B273" s="115" t="s">
        <v>2898</v>
      </c>
      <c r="C273" s="114">
        <v>401</v>
      </c>
      <c r="D273" s="147"/>
      <c r="E273" s="148"/>
      <c r="F273" s="148"/>
    </row>
    <row r="274" spans="2:6" x14ac:dyDescent="0.2">
      <c r="B274" s="115" t="s">
        <v>2897</v>
      </c>
      <c r="C274" s="114">
        <v>1233</v>
      </c>
      <c r="D274" s="147"/>
      <c r="E274" s="148"/>
      <c r="F274" s="148"/>
    </row>
    <row r="275" spans="2:6" x14ac:dyDescent="0.2">
      <c r="B275" s="198" t="s">
        <v>2896</v>
      </c>
      <c r="C275" s="197">
        <v>373</v>
      </c>
      <c r="D275" s="147"/>
      <c r="E275" s="148"/>
      <c r="F275" s="148"/>
    </row>
    <row r="276" spans="2:6" x14ac:dyDescent="0.2">
      <c r="B276" s="115" t="s">
        <v>2895</v>
      </c>
      <c r="C276" s="114">
        <v>481</v>
      </c>
      <c r="D276" s="147"/>
      <c r="E276" s="148"/>
      <c r="F276" s="148"/>
    </row>
    <row r="277" spans="2:6" x14ac:dyDescent="0.2">
      <c r="B277" s="198" t="s">
        <v>2894</v>
      </c>
      <c r="C277" s="197">
        <v>1728</v>
      </c>
      <c r="D277" s="147"/>
      <c r="E277" s="148"/>
      <c r="F277" s="148"/>
    </row>
    <row r="278" spans="2:6" x14ac:dyDescent="0.2">
      <c r="B278" s="198" t="s">
        <v>2893</v>
      </c>
      <c r="C278" s="197">
        <v>823</v>
      </c>
      <c r="D278" s="147"/>
      <c r="E278" s="148"/>
      <c r="F278" s="148"/>
    </row>
    <row r="279" spans="2:6" x14ac:dyDescent="0.2">
      <c r="B279" s="115" t="s">
        <v>2892</v>
      </c>
      <c r="C279" s="114">
        <v>599</v>
      </c>
      <c r="D279" s="147"/>
      <c r="E279" s="148"/>
      <c r="F279" s="148"/>
    </row>
    <row r="280" spans="2:6" x14ac:dyDescent="0.2">
      <c r="B280" s="115" t="s">
        <v>2891</v>
      </c>
      <c r="C280" s="114">
        <v>1677</v>
      </c>
      <c r="D280" s="147"/>
      <c r="E280" s="148"/>
      <c r="F280" s="148"/>
    </row>
    <row r="281" spans="2:6" x14ac:dyDescent="0.2">
      <c r="B281" s="198" t="s">
        <v>2890</v>
      </c>
      <c r="C281" s="197">
        <v>1039</v>
      </c>
      <c r="D281" s="147"/>
      <c r="E281" s="148"/>
      <c r="F281" s="148"/>
    </row>
    <row r="282" spans="2:6" x14ac:dyDescent="0.2">
      <c r="B282" s="198" t="s">
        <v>2889</v>
      </c>
      <c r="C282" s="197">
        <v>2076</v>
      </c>
      <c r="D282" s="147"/>
      <c r="E282" s="148"/>
      <c r="F282" s="148"/>
    </row>
    <row r="283" spans="2:6" x14ac:dyDescent="0.2">
      <c r="B283" s="115" t="s">
        <v>2888</v>
      </c>
      <c r="C283" s="114">
        <v>1017</v>
      </c>
      <c r="D283" s="147"/>
      <c r="E283" s="148"/>
      <c r="F283" s="148"/>
    </row>
    <row r="284" spans="2:6" x14ac:dyDescent="0.2">
      <c r="B284" s="198" t="s">
        <v>2887</v>
      </c>
      <c r="C284" s="197">
        <v>323</v>
      </c>
      <c r="D284" s="147"/>
      <c r="E284" s="148"/>
      <c r="F284" s="148"/>
    </row>
    <row r="285" spans="2:6" x14ac:dyDescent="0.2">
      <c r="B285" s="115" t="s">
        <v>2886</v>
      </c>
      <c r="C285" s="114">
        <v>13924</v>
      </c>
      <c r="D285" s="147"/>
      <c r="E285" s="148"/>
      <c r="F285" s="148"/>
    </row>
    <row r="286" spans="2:6" x14ac:dyDescent="0.2">
      <c r="B286" s="115" t="s">
        <v>2885</v>
      </c>
      <c r="C286" s="114">
        <v>5698</v>
      </c>
      <c r="D286" s="147"/>
      <c r="E286" s="148"/>
      <c r="F286" s="148"/>
    </row>
    <row r="287" spans="2:6" x14ac:dyDescent="0.2">
      <c r="B287" s="115" t="s">
        <v>2884</v>
      </c>
      <c r="C287" s="114">
        <v>795</v>
      </c>
      <c r="D287" s="147"/>
      <c r="E287" s="148"/>
      <c r="F287" s="148"/>
    </row>
    <row r="288" spans="2:6" x14ac:dyDescent="0.2">
      <c r="B288" s="115" t="s">
        <v>2883</v>
      </c>
      <c r="C288" s="114">
        <v>763</v>
      </c>
      <c r="D288" s="147"/>
      <c r="E288" s="148"/>
      <c r="F288" s="148"/>
    </row>
    <row r="289" spans="2:6" x14ac:dyDescent="0.2">
      <c r="B289" s="198" t="s">
        <v>2882</v>
      </c>
      <c r="C289" s="197">
        <v>795</v>
      </c>
      <c r="D289" s="147"/>
      <c r="E289" s="148"/>
      <c r="F289" s="148"/>
    </row>
    <row r="290" spans="2:6" x14ac:dyDescent="0.2">
      <c r="B290" s="198" t="s">
        <v>2881</v>
      </c>
      <c r="C290" s="197">
        <v>791</v>
      </c>
      <c r="D290" s="147"/>
      <c r="E290" s="148"/>
      <c r="F290" s="148"/>
    </row>
    <row r="291" spans="2:6" x14ac:dyDescent="0.2">
      <c r="B291" s="198" t="s">
        <v>2880</v>
      </c>
      <c r="C291" s="197">
        <v>1002</v>
      </c>
      <c r="D291" s="147"/>
      <c r="E291" s="148"/>
      <c r="F291" s="148"/>
    </row>
    <row r="292" spans="2:6" x14ac:dyDescent="0.2">
      <c r="B292" s="115" t="s">
        <v>2879</v>
      </c>
      <c r="C292" s="114">
        <v>2242</v>
      </c>
      <c r="D292" s="147"/>
      <c r="E292" s="148"/>
      <c r="F292" s="148"/>
    </row>
    <row r="293" spans="2:6" x14ac:dyDescent="0.2">
      <c r="B293" s="115" t="s">
        <v>2878</v>
      </c>
      <c r="C293" s="114">
        <v>101</v>
      </c>
      <c r="D293" s="147"/>
      <c r="E293" s="148"/>
      <c r="F293" s="148"/>
    </row>
    <row r="294" spans="2:6" x14ac:dyDescent="0.2">
      <c r="B294" s="115" t="s">
        <v>2877</v>
      </c>
      <c r="C294" s="114">
        <v>698</v>
      </c>
      <c r="D294" s="147"/>
      <c r="E294" s="148"/>
      <c r="F294" s="148"/>
    </row>
    <row r="295" spans="2:6" x14ac:dyDescent="0.2">
      <c r="B295" s="115" t="s">
        <v>2876</v>
      </c>
      <c r="C295" s="114">
        <v>2429</v>
      </c>
      <c r="D295" s="147"/>
      <c r="E295" s="148"/>
      <c r="F295" s="148"/>
    </row>
    <row r="296" spans="2:6" x14ac:dyDescent="0.2">
      <c r="B296" s="115" t="s">
        <v>2875</v>
      </c>
      <c r="C296" s="114">
        <v>3095</v>
      </c>
      <c r="D296" s="147"/>
      <c r="E296" s="148"/>
      <c r="F296" s="148"/>
    </row>
    <row r="297" spans="2:6" x14ac:dyDescent="0.2">
      <c r="B297" s="115" t="s">
        <v>2874</v>
      </c>
      <c r="C297" s="114">
        <v>1773</v>
      </c>
      <c r="D297" s="147"/>
      <c r="E297" s="148"/>
      <c r="F297" s="148"/>
    </row>
    <row r="298" spans="2:6" x14ac:dyDescent="0.2">
      <c r="B298" s="198" t="s">
        <v>2873</v>
      </c>
      <c r="C298" s="197">
        <v>861</v>
      </c>
      <c r="D298" s="147"/>
      <c r="E298" s="148"/>
      <c r="F298" s="148"/>
    </row>
    <row r="299" spans="2:6" x14ac:dyDescent="0.2">
      <c r="B299" s="198" t="s">
        <v>2872</v>
      </c>
      <c r="C299" s="197">
        <v>178</v>
      </c>
      <c r="D299" s="147"/>
      <c r="E299" s="148"/>
      <c r="F299" s="148"/>
    </row>
    <row r="300" spans="2:6" x14ac:dyDescent="0.2">
      <c r="B300" s="115" t="s">
        <v>2871</v>
      </c>
      <c r="C300" s="114">
        <v>1324</v>
      </c>
      <c r="D300" s="147"/>
      <c r="E300" s="148"/>
      <c r="F300" s="148"/>
    </row>
    <row r="301" spans="2:6" x14ac:dyDescent="0.2">
      <c r="B301" s="115" t="s">
        <v>2870</v>
      </c>
      <c r="C301" s="114">
        <v>144</v>
      </c>
      <c r="D301" s="147"/>
      <c r="E301" s="148"/>
      <c r="F301" s="148"/>
    </row>
    <row r="302" spans="2:6" x14ac:dyDescent="0.2">
      <c r="B302" s="198" t="s">
        <v>2869</v>
      </c>
      <c r="C302" s="197">
        <v>493</v>
      </c>
      <c r="D302" s="147"/>
      <c r="E302" s="148"/>
      <c r="F302" s="148"/>
    </row>
    <row r="303" spans="2:6" x14ac:dyDescent="0.2">
      <c r="B303" s="115" t="s">
        <v>2868</v>
      </c>
      <c r="C303" s="114">
        <v>15444</v>
      </c>
      <c r="D303" s="147"/>
      <c r="E303" s="148"/>
      <c r="F303" s="148"/>
    </row>
    <row r="304" spans="2:6" x14ac:dyDescent="0.2">
      <c r="B304" s="198" t="s">
        <v>2867</v>
      </c>
      <c r="C304" s="197">
        <v>986</v>
      </c>
      <c r="D304" s="147"/>
      <c r="E304" s="148"/>
      <c r="F304" s="148"/>
    </row>
    <row r="305" spans="2:6" x14ac:dyDescent="0.2">
      <c r="B305" s="115" t="s">
        <v>2866</v>
      </c>
      <c r="C305" s="114">
        <v>11248</v>
      </c>
      <c r="D305" s="147"/>
      <c r="E305" s="148"/>
      <c r="F305" s="148"/>
    </row>
    <row r="306" spans="2:6" x14ac:dyDescent="0.2">
      <c r="B306" s="198" t="s">
        <v>2865</v>
      </c>
      <c r="C306" s="197">
        <v>154</v>
      </c>
      <c r="D306" s="147"/>
      <c r="E306" s="148"/>
      <c r="F306" s="148"/>
    </row>
    <row r="307" spans="2:6" x14ac:dyDescent="0.2">
      <c r="B307" s="198" t="s">
        <v>2864</v>
      </c>
      <c r="C307" s="197">
        <v>3921</v>
      </c>
      <c r="D307" s="147"/>
      <c r="E307" s="148"/>
      <c r="F307" s="148"/>
    </row>
    <row r="308" spans="2:6" x14ac:dyDescent="0.2">
      <c r="B308" s="198" t="s">
        <v>2863</v>
      </c>
      <c r="C308" s="197">
        <v>2327</v>
      </c>
      <c r="D308" s="147"/>
      <c r="E308" s="148"/>
      <c r="F308" s="148"/>
    </row>
    <row r="309" spans="2:6" x14ac:dyDescent="0.2">
      <c r="B309" s="115" t="s">
        <v>2862</v>
      </c>
      <c r="C309" s="114">
        <v>836</v>
      </c>
      <c r="D309" s="147"/>
      <c r="E309" s="148"/>
      <c r="F309" s="148"/>
    </row>
    <row r="310" spans="2:6" x14ac:dyDescent="0.2">
      <c r="B310" s="198" t="s">
        <v>2861</v>
      </c>
      <c r="C310" s="197">
        <v>709</v>
      </c>
      <c r="D310" s="147"/>
      <c r="E310" s="148"/>
      <c r="F310" s="148"/>
    </row>
    <row r="311" spans="2:6" x14ac:dyDescent="0.2">
      <c r="B311" s="198" t="s">
        <v>2860</v>
      </c>
      <c r="C311" s="197">
        <v>392</v>
      </c>
      <c r="D311" s="147"/>
      <c r="E311" s="148"/>
      <c r="F311" s="148"/>
    </row>
    <row r="312" spans="2:6" x14ac:dyDescent="0.2">
      <c r="B312" s="115" t="s">
        <v>2859</v>
      </c>
      <c r="C312" s="114">
        <v>621</v>
      </c>
      <c r="D312" s="147"/>
      <c r="E312" s="148"/>
      <c r="F312" s="148"/>
    </row>
    <row r="313" spans="2:6" x14ac:dyDescent="0.2">
      <c r="B313" s="115" t="s">
        <v>2858</v>
      </c>
      <c r="C313" s="114">
        <v>1223</v>
      </c>
      <c r="D313" s="147"/>
      <c r="E313" s="148"/>
      <c r="F313" s="148"/>
    </row>
    <row r="314" spans="2:6" x14ac:dyDescent="0.2">
      <c r="B314" s="115" t="s">
        <v>2857</v>
      </c>
      <c r="C314" s="114">
        <v>511</v>
      </c>
      <c r="D314" s="147"/>
      <c r="E314" s="148"/>
      <c r="F314" s="148"/>
    </row>
    <row r="315" spans="2:6" x14ac:dyDescent="0.2">
      <c r="B315" s="115" t="s">
        <v>2856</v>
      </c>
      <c r="C315" s="114">
        <v>223</v>
      </c>
      <c r="D315" s="147"/>
      <c r="E315" s="148"/>
      <c r="F315" s="148"/>
    </row>
    <row r="316" spans="2:6" x14ac:dyDescent="0.2">
      <c r="B316" s="115" t="s">
        <v>2855</v>
      </c>
      <c r="C316" s="114">
        <v>732</v>
      </c>
      <c r="D316" s="147"/>
      <c r="E316" s="148"/>
      <c r="F316" s="148"/>
    </row>
    <row r="317" spans="2:6" x14ac:dyDescent="0.2">
      <c r="B317" s="198" t="s">
        <v>2854</v>
      </c>
      <c r="C317" s="197">
        <v>1132</v>
      </c>
      <c r="D317" s="147"/>
      <c r="E317" s="148"/>
      <c r="F317" s="148"/>
    </row>
    <row r="318" spans="2:6" x14ac:dyDescent="0.2">
      <c r="B318" s="115" t="s">
        <v>2853</v>
      </c>
      <c r="C318" s="114">
        <v>1217</v>
      </c>
      <c r="D318" s="147"/>
      <c r="E318" s="148"/>
      <c r="F318" s="148"/>
    </row>
    <row r="319" spans="2:6" x14ac:dyDescent="0.2">
      <c r="B319" s="198" t="s">
        <v>2852</v>
      </c>
      <c r="C319" s="197">
        <v>1798</v>
      </c>
      <c r="D319" s="147"/>
      <c r="E319" s="148"/>
      <c r="F319" s="148"/>
    </row>
    <row r="320" spans="2:6" x14ac:dyDescent="0.2">
      <c r="B320" s="115" t="s">
        <v>2851</v>
      </c>
      <c r="C320" s="114">
        <v>277</v>
      </c>
      <c r="D320" s="147"/>
      <c r="E320" s="148"/>
      <c r="F320" s="148"/>
    </row>
    <row r="321" spans="2:6" x14ac:dyDescent="0.2">
      <c r="B321" s="115" t="s">
        <v>2850</v>
      </c>
      <c r="C321" s="114">
        <v>4191</v>
      </c>
      <c r="D321" s="147"/>
      <c r="E321" s="148"/>
      <c r="F321" s="148"/>
    </row>
    <row r="322" spans="2:6" x14ac:dyDescent="0.2">
      <c r="B322" s="115" t="s">
        <v>2849</v>
      </c>
      <c r="C322" s="114">
        <v>415</v>
      </c>
      <c r="D322" s="147"/>
      <c r="E322" s="148"/>
      <c r="F322" s="148"/>
    </row>
    <row r="323" spans="2:6" x14ac:dyDescent="0.2">
      <c r="B323" s="198" t="s">
        <v>2848</v>
      </c>
      <c r="C323" s="197">
        <v>3801</v>
      </c>
      <c r="D323" s="147"/>
      <c r="E323" s="148"/>
      <c r="F323" s="148"/>
    </row>
    <row r="324" spans="2:6" x14ac:dyDescent="0.2">
      <c r="B324" s="198" t="s">
        <v>2847</v>
      </c>
      <c r="C324" s="197">
        <v>235</v>
      </c>
      <c r="D324" s="147"/>
      <c r="E324" s="148"/>
      <c r="F324" s="148"/>
    </row>
    <row r="325" spans="2:6" x14ac:dyDescent="0.2">
      <c r="B325" s="198" t="s">
        <v>2846</v>
      </c>
      <c r="C325" s="197">
        <v>197</v>
      </c>
      <c r="D325" s="147"/>
      <c r="E325" s="148"/>
      <c r="F325" s="148"/>
    </row>
    <row r="326" spans="2:6" x14ac:dyDescent="0.2">
      <c r="B326" s="198" t="s">
        <v>2845</v>
      </c>
      <c r="C326" s="197">
        <v>361</v>
      </c>
      <c r="D326" s="147"/>
      <c r="E326" s="148"/>
      <c r="F326" s="148"/>
    </row>
    <row r="327" spans="2:6" x14ac:dyDescent="0.2">
      <c r="B327" s="115" t="s">
        <v>2844</v>
      </c>
      <c r="C327" s="114">
        <v>674</v>
      </c>
      <c r="D327" s="147"/>
      <c r="E327" s="148"/>
      <c r="F327" s="148"/>
    </row>
    <row r="328" spans="2:6" x14ac:dyDescent="0.2">
      <c r="B328" s="115" t="s">
        <v>2843</v>
      </c>
      <c r="C328" s="114">
        <v>89</v>
      </c>
      <c r="D328" s="147"/>
      <c r="E328" s="148"/>
      <c r="F328" s="148"/>
    </row>
    <row r="329" spans="2:6" x14ac:dyDescent="0.2">
      <c r="B329" s="115" t="s">
        <v>2842</v>
      </c>
      <c r="C329" s="114">
        <v>364</v>
      </c>
      <c r="D329" s="147"/>
      <c r="E329" s="148"/>
      <c r="F329" s="148"/>
    </row>
    <row r="330" spans="2:6" x14ac:dyDescent="0.2">
      <c r="B330" s="198" t="s">
        <v>2841</v>
      </c>
      <c r="C330" s="197">
        <v>1142</v>
      </c>
      <c r="D330" s="147"/>
      <c r="E330" s="148"/>
      <c r="F330" s="148"/>
    </row>
    <row r="331" spans="2:6" x14ac:dyDescent="0.2">
      <c r="B331" s="115" t="s">
        <v>2840</v>
      </c>
      <c r="C331" s="114">
        <v>824</v>
      </c>
      <c r="D331" s="147"/>
      <c r="E331" s="148"/>
      <c r="F331" s="148"/>
    </row>
    <row r="332" spans="2:6" x14ac:dyDescent="0.2">
      <c r="B332" s="198" t="s">
        <v>2839</v>
      </c>
      <c r="C332" s="197">
        <v>754</v>
      </c>
      <c r="D332" s="147"/>
      <c r="E332" s="148"/>
      <c r="F332" s="148"/>
    </row>
    <row r="333" spans="2:6" x14ac:dyDescent="0.2">
      <c r="B333" s="198" t="s">
        <v>2838</v>
      </c>
      <c r="C333" s="197">
        <v>802</v>
      </c>
      <c r="D333" s="147"/>
      <c r="E333" s="148"/>
      <c r="F333" s="148"/>
    </row>
    <row r="334" spans="2:6" x14ac:dyDescent="0.2">
      <c r="B334" s="198" t="s">
        <v>2837</v>
      </c>
      <c r="C334" s="197">
        <v>298</v>
      </c>
      <c r="D334" s="147"/>
      <c r="E334" s="148"/>
      <c r="F334" s="148"/>
    </row>
    <row r="335" spans="2:6" x14ac:dyDescent="0.2">
      <c r="B335" s="198" t="s">
        <v>2836</v>
      </c>
      <c r="C335" s="197">
        <v>77</v>
      </c>
      <c r="D335" s="147"/>
      <c r="E335" s="148"/>
      <c r="F335" s="148"/>
    </row>
    <row r="336" spans="2:6" x14ac:dyDescent="0.2">
      <c r="B336" s="198" t="s">
        <v>2835</v>
      </c>
      <c r="C336" s="197">
        <v>887</v>
      </c>
      <c r="D336" s="147"/>
      <c r="E336" s="148"/>
      <c r="F336" s="148"/>
    </row>
    <row r="337" spans="2:6" x14ac:dyDescent="0.2">
      <c r="B337" s="115" t="s">
        <v>2834</v>
      </c>
      <c r="C337" s="114">
        <v>1909</v>
      </c>
      <c r="D337" s="147"/>
      <c r="E337" s="148"/>
      <c r="F337" s="148"/>
    </row>
    <row r="338" spans="2:6" x14ac:dyDescent="0.2">
      <c r="B338" s="115" t="s">
        <v>2833</v>
      </c>
      <c r="C338" s="114">
        <v>1056</v>
      </c>
      <c r="D338" s="147"/>
      <c r="E338" s="148"/>
      <c r="F338" s="148"/>
    </row>
    <row r="339" spans="2:6" x14ac:dyDescent="0.2">
      <c r="B339" s="198" t="s">
        <v>2832</v>
      </c>
      <c r="C339" s="197">
        <v>364</v>
      </c>
      <c r="D339" s="147"/>
      <c r="E339" s="148"/>
      <c r="F339" s="148"/>
    </row>
    <row r="340" spans="2:6" x14ac:dyDescent="0.2">
      <c r="B340" s="115" t="s">
        <v>2831</v>
      </c>
      <c r="C340" s="114">
        <v>223</v>
      </c>
      <c r="D340" s="147"/>
      <c r="E340" s="148"/>
      <c r="F340" s="148"/>
    </row>
    <row r="341" spans="2:6" x14ac:dyDescent="0.2">
      <c r="B341" s="115" t="s">
        <v>2830</v>
      </c>
      <c r="C341" s="114">
        <v>1970</v>
      </c>
      <c r="D341" s="147"/>
      <c r="E341" s="148"/>
      <c r="F341" s="148"/>
    </row>
    <row r="342" spans="2:6" x14ac:dyDescent="0.2">
      <c r="B342" s="115" t="s">
        <v>2829</v>
      </c>
      <c r="C342" s="114">
        <v>587</v>
      </c>
      <c r="D342" s="147"/>
      <c r="E342" s="148"/>
      <c r="F342" s="148"/>
    </row>
    <row r="343" spans="2:6" x14ac:dyDescent="0.2">
      <c r="B343" s="115" t="s">
        <v>2828</v>
      </c>
      <c r="C343" s="114">
        <v>458</v>
      </c>
      <c r="D343" s="147"/>
      <c r="E343" s="148"/>
      <c r="F343" s="148"/>
    </row>
    <row r="344" spans="2:6" x14ac:dyDescent="0.2">
      <c r="B344" s="198" t="s">
        <v>2827</v>
      </c>
      <c r="C344" s="197">
        <v>248</v>
      </c>
      <c r="D344" s="147"/>
      <c r="E344" s="148"/>
      <c r="F344" s="148"/>
    </row>
    <row r="345" spans="2:6" x14ac:dyDescent="0.2">
      <c r="B345" s="115" t="s">
        <v>2826</v>
      </c>
      <c r="C345" s="114">
        <v>2128</v>
      </c>
      <c r="D345" s="147"/>
      <c r="E345" s="148"/>
      <c r="F345" s="148"/>
    </row>
    <row r="346" spans="2:6" x14ac:dyDescent="0.2">
      <c r="B346" s="198" t="s">
        <v>2825</v>
      </c>
      <c r="C346" s="197">
        <v>83</v>
      </c>
      <c r="D346" s="147"/>
      <c r="E346" s="148"/>
      <c r="F346" s="148"/>
    </row>
    <row r="347" spans="2:6" x14ac:dyDescent="0.2">
      <c r="B347" s="115" t="s">
        <v>2824</v>
      </c>
      <c r="C347" s="114">
        <v>2833</v>
      </c>
      <c r="D347" s="147"/>
      <c r="E347" s="148"/>
      <c r="F347" s="148"/>
    </row>
    <row r="348" spans="2:6" x14ac:dyDescent="0.2">
      <c r="B348" s="198" t="s">
        <v>2823</v>
      </c>
      <c r="C348" s="197">
        <v>371</v>
      </c>
      <c r="D348" s="147"/>
      <c r="E348" s="148"/>
      <c r="F348" s="148"/>
    </row>
    <row r="349" spans="2:6" x14ac:dyDescent="0.2">
      <c r="B349" s="115" t="s">
        <v>2822</v>
      </c>
      <c r="C349" s="114">
        <v>628</v>
      </c>
      <c r="D349" s="147"/>
      <c r="E349" s="148"/>
      <c r="F349" s="148"/>
    </row>
    <row r="350" spans="2:6" x14ac:dyDescent="0.2">
      <c r="B350" s="115" t="s">
        <v>2821</v>
      </c>
      <c r="C350" s="114">
        <v>1004</v>
      </c>
      <c r="D350" s="147"/>
      <c r="E350" s="148"/>
      <c r="F350" s="148"/>
    </row>
    <row r="351" spans="2:6" x14ac:dyDescent="0.2">
      <c r="B351" s="198" t="s">
        <v>2820</v>
      </c>
      <c r="C351" s="197">
        <v>2407</v>
      </c>
      <c r="D351" s="147"/>
      <c r="E351" s="148"/>
      <c r="F351" s="148"/>
    </row>
    <row r="352" spans="2:6" x14ac:dyDescent="0.2">
      <c r="B352" s="198" t="s">
        <v>2819</v>
      </c>
      <c r="C352" s="197">
        <v>379</v>
      </c>
      <c r="D352" s="147"/>
      <c r="E352" s="148"/>
      <c r="F352" s="148"/>
    </row>
    <row r="353" spans="2:6" x14ac:dyDescent="0.2">
      <c r="B353" s="198" t="s">
        <v>2818</v>
      </c>
      <c r="C353" s="197">
        <v>636</v>
      </c>
      <c r="D353" s="147"/>
      <c r="E353" s="148"/>
      <c r="F353" s="148"/>
    </row>
    <row r="354" spans="2:6" x14ac:dyDescent="0.2">
      <c r="B354" s="198" t="s">
        <v>2817</v>
      </c>
      <c r="C354" s="197">
        <v>3684</v>
      </c>
      <c r="D354" s="147"/>
      <c r="E354" s="148"/>
      <c r="F354" s="148"/>
    </row>
    <row r="355" spans="2:6" x14ac:dyDescent="0.2">
      <c r="B355" s="115" t="s">
        <v>2816</v>
      </c>
      <c r="C355" s="114">
        <v>388</v>
      </c>
      <c r="D355" s="147"/>
      <c r="E355" s="148"/>
      <c r="F355" s="148"/>
    </row>
    <row r="356" spans="2:6" x14ac:dyDescent="0.2">
      <c r="B356" s="115" t="s">
        <v>2815</v>
      </c>
      <c r="C356" s="114">
        <v>11788</v>
      </c>
      <c r="D356" s="147"/>
      <c r="E356" s="148"/>
      <c r="F356" s="148"/>
    </row>
    <row r="357" spans="2:6" x14ac:dyDescent="0.2">
      <c r="B357" s="198" t="s">
        <v>2814</v>
      </c>
      <c r="C357" s="197">
        <v>380</v>
      </c>
      <c r="D357" s="147"/>
      <c r="E357" s="148"/>
      <c r="F357" s="148"/>
    </row>
    <row r="358" spans="2:6" x14ac:dyDescent="0.2">
      <c r="B358" s="198" t="s">
        <v>2813</v>
      </c>
      <c r="C358" s="197">
        <v>195</v>
      </c>
      <c r="D358" s="147"/>
      <c r="E358" s="148"/>
      <c r="F358" s="148"/>
    </row>
    <row r="359" spans="2:6" x14ac:dyDescent="0.2">
      <c r="B359" s="115" t="s">
        <v>2812</v>
      </c>
      <c r="C359" s="114">
        <v>3232</v>
      </c>
      <c r="D359" s="147"/>
      <c r="E359" s="148"/>
      <c r="F359" s="148"/>
    </row>
    <row r="360" spans="2:6" x14ac:dyDescent="0.2">
      <c r="B360" s="198" t="s">
        <v>2811</v>
      </c>
      <c r="C360" s="197">
        <v>280</v>
      </c>
      <c r="D360" s="147"/>
      <c r="E360" s="148"/>
      <c r="F360" s="148"/>
    </row>
    <row r="361" spans="2:6" x14ac:dyDescent="0.2">
      <c r="B361" s="198" t="s">
        <v>2810</v>
      </c>
      <c r="C361" s="197">
        <v>379</v>
      </c>
      <c r="D361" s="147"/>
      <c r="E361" s="148"/>
      <c r="F361" s="148"/>
    </row>
    <row r="362" spans="2:6" x14ac:dyDescent="0.2">
      <c r="B362" s="115" t="s">
        <v>2809</v>
      </c>
      <c r="C362" s="114">
        <v>1089</v>
      </c>
      <c r="D362" s="147"/>
      <c r="E362" s="148"/>
      <c r="F362" s="148"/>
    </row>
    <row r="363" spans="2:6" x14ac:dyDescent="0.2">
      <c r="B363" s="115" t="s">
        <v>2808</v>
      </c>
      <c r="C363" s="114">
        <v>659</v>
      </c>
      <c r="D363" s="147"/>
      <c r="E363" s="148"/>
      <c r="F363" s="148"/>
    </row>
    <row r="364" spans="2:6" x14ac:dyDescent="0.2">
      <c r="B364" s="198" t="s">
        <v>2807</v>
      </c>
      <c r="C364" s="197">
        <v>765</v>
      </c>
      <c r="D364" s="147"/>
      <c r="E364" s="148"/>
      <c r="F364" s="148"/>
    </row>
    <row r="365" spans="2:6" x14ac:dyDescent="0.2">
      <c r="B365" s="198" t="s">
        <v>2806</v>
      </c>
      <c r="C365" s="197">
        <v>257</v>
      </c>
      <c r="D365" s="147"/>
      <c r="E365" s="148"/>
      <c r="F365" s="148"/>
    </row>
    <row r="366" spans="2:6" x14ac:dyDescent="0.2">
      <c r="B366" s="115" t="s">
        <v>2805</v>
      </c>
      <c r="C366" s="114">
        <v>648</v>
      </c>
      <c r="D366" s="147"/>
      <c r="E366" s="148"/>
      <c r="F366" s="148"/>
    </row>
    <row r="367" spans="2:6" x14ac:dyDescent="0.2">
      <c r="B367" s="115" t="s">
        <v>2804</v>
      </c>
      <c r="C367" s="114">
        <v>2767</v>
      </c>
      <c r="D367" s="147"/>
      <c r="E367" s="148"/>
      <c r="F367" s="148"/>
    </row>
    <row r="368" spans="2:6" x14ac:dyDescent="0.2">
      <c r="B368" s="115" t="s">
        <v>2803</v>
      </c>
      <c r="C368" s="114">
        <v>999</v>
      </c>
      <c r="D368" s="147"/>
      <c r="E368" s="148"/>
      <c r="F368" s="148"/>
    </row>
    <row r="369" spans="2:11" x14ac:dyDescent="0.2">
      <c r="B369" s="115" t="s">
        <v>2802</v>
      </c>
      <c r="C369" s="114">
        <v>1187</v>
      </c>
      <c r="D369" s="147"/>
      <c r="E369" s="148"/>
      <c r="F369" s="148"/>
    </row>
    <row r="370" spans="2:11" x14ac:dyDescent="0.2">
      <c r="B370" s="198" t="s">
        <v>2801</v>
      </c>
      <c r="C370" s="197">
        <v>851</v>
      </c>
      <c r="D370" s="147"/>
      <c r="E370" s="148"/>
      <c r="F370" s="148"/>
    </row>
    <row r="371" spans="2:11" x14ac:dyDescent="0.2">
      <c r="B371" s="115" t="s">
        <v>2800</v>
      </c>
      <c r="C371" s="114">
        <v>351</v>
      </c>
      <c r="D371" s="147"/>
      <c r="E371" s="148"/>
      <c r="F371" s="148"/>
    </row>
    <row r="372" spans="2:11" x14ac:dyDescent="0.2">
      <c r="B372" s="115" t="s">
        <v>2799</v>
      </c>
      <c r="C372" s="114">
        <v>741</v>
      </c>
      <c r="D372" s="147"/>
      <c r="E372" s="148"/>
      <c r="F372" s="148"/>
    </row>
    <row r="373" spans="2:11" x14ac:dyDescent="0.2">
      <c r="B373" s="115" t="s">
        <v>2798</v>
      </c>
      <c r="C373" s="114">
        <v>120</v>
      </c>
      <c r="D373" s="147"/>
      <c r="E373" s="148"/>
      <c r="F373" s="148"/>
    </row>
    <row r="374" spans="2:11" x14ac:dyDescent="0.2">
      <c r="B374" s="198" t="s">
        <v>2797</v>
      </c>
      <c r="C374" s="197">
        <v>599</v>
      </c>
      <c r="D374" s="147"/>
      <c r="E374" s="148"/>
      <c r="F374" s="148"/>
    </row>
    <row r="375" spans="2:11" x14ac:dyDescent="0.2">
      <c r="B375" s="198" t="s">
        <v>2796</v>
      </c>
      <c r="C375" s="197">
        <v>306</v>
      </c>
      <c r="D375" s="147"/>
      <c r="E375" s="148"/>
      <c r="F375" s="148"/>
    </row>
    <row r="376" spans="2:11" x14ac:dyDescent="0.2">
      <c r="B376" s="115" t="s">
        <v>2795</v>
      </c>
      <c r="C376" s="114">
        <v>304</v>
      </c>
      <c r="D376" s="147"/>
      <c r="E376" s="148"/>
      <c r="F376" s="148"/>
    </row>
    <row r="377" spans="2:11" x14ac:dyDescent="0.2">
      <c r="B377" s="115" t="s">
        <v>2794</v>
      </c>
      <c r="C377" s="114">
        <v>359</v>
      </c>
      <c r="D377" s="147"/>
      <c r="E377" s="148"/>
      <c r="F377" s="148"/>
    </row>
    <row r="378" spans="2:11" x14ac:dyDescent="0.2">
      <c r="B378" s="198" t="s">
        <v>2793</v>
      </c>
      <c r="C378" s="197">
        <v>193</v>
      </c>
      <c r="D378" s="147"/>
      <c r="E378" s="148"/>
      <c r="F378" s="148"/>
    </row>
    <row r="379" spans="2:11" x14ac:dyDescent="0.2">
      <c r="B379" s="115" t="s">
        <v>2792</v>
      </c>
      <c r="C379" s="114">
        <v>681</v>
      </c>
      <c r="D379" s="147"/>
      <c r="E379" s="148"/>
      <c r="F379" s="148"/>
    </row>
    <row r="380" spans="2:11" x14ac:dyDescent="0.2">
      <c r="B380" s="115" t="s">
        <v>2791</v>
      </c>
      <c r="C380" s="114">
        <v>2569</v>
      </c>
      <c r="D380" s="147"/>
      <c r="E380" s="148"/>
      <c r="F380" s="148"/>
    </row>
    <row r="381" spans="2:11" x14ac:dyDescent="0.2">
      <c r="B381" s="198" t="s">
        <v>2790</v>
      </c>
      <c r="C381" s="197">
        <v>264</v>
      </c>
      <c r="D381" s="147"/>
      <c r="E381" s="148"/>
      <c r="F381" s="148"/>
    </row>
    <row r="382" spans="2:11" x14ac:dyDescent="0.2">
      <c r="B382" s="115" t="s">
        <v>2789</v>
      </c>
      <c r="C382" s="114">
        <v>52</v>
      </c>
      <c r="D382" s="147"/>
      <c r="E382" s="148"/>
      <c r="F382" s="148"/>
    </row>
    <row r="383" spans="2:11" x14ac:dyDescent="0.2">
      <c r="B383" s="115" t="s">
        <v>2788</v>
      </c>
      <c r="C383" s="114">
        <v>363</v>
      </c>
      <c r="D383" s="147"/>
      <c r="E383" s="148"/>
      <c r="F383" s="148"/>
      <c r="K383" s="116"/>
    </row>
    <row r="384" spans="2:11" x14ac:dyDescent="0.2">
      <c r="B384" s="198" t="s">
        <v>2787</v>
      </c>
      <c r="C384" s="197">
        <v>304</v>
      </c>
      <c r="D384" s="147"/>
      <c r="E384" s="148"/>
      <c r="F384" s="148"/>
      <c r="J384" s="116"/>
      <c r="K384" s="116"/>
    </row>
    <row r="385" spans="2:11" x14ac:dyDescent="0.2">
      <c r="B385" s="115" t="s">
        <v>2786</v>
      </c>
      <c r="C385" s="114">
        <v>2073</v>
      </c>
      <c r="D385" s="147"/>
      <c r="E385" s="148"/>
      <c r="F385" s="148"/>
      <c r="J385" s="116"/>
      <c r="K385" s="116"/>
    </row>
    <row r="386" spans="2:11" x14ac:dyDescent="0.2">
      <c r="B386" s="115" t="s">
        <v>2785</v>
      </c>
      <c r="C386" s="114">
        <v>2807</v>
      </c>
      <c r="D386" s="147"/>
      <c r="E386" s="148"/>
      <c r="F386" s="148"/>
      <c r="J386" s="116"/>
      <c r="K386" s="116"/>
    </row>
    <row r="387" spans="2:11" x14ac:dyDescent="0.2">
      <c r="B387" s="115" t="s">
        <v>2784</v>
      </c>
      <c r="C387" s="114">
        <v>2568</v>
      </c>
      <c r="D387" s="147"/>
      <c r="E387" s="148"/>
      <c r="F387" s="148"/>
      <c r="J387" s="116"/>
      <c r="K387" s="116"/>
    </row>
    <row r="388" spans="2:11" x14ac:dyDescent="0.2">
      <c r="B388" s="115" t="s">
        <v>2783</v>
      </c>
      <c r="C388" s="114">
        <v>2258</v>
      </c>
      <c r="D388" s="147"/>
      <c r="E388" s="148"/>
      <c r="F388" s="148"/>
      <c r="J388" s="116"/>
      <c r="K388" s="116"/>
    </row>
    <row r="389" spans="2:11" x14ac:dyDescent="0.2">
      <c r="B389" s="115" t="s">
        <v>2782</v>
      </c>
      <c r="C389" s="114">
        <v>1400</v>
      </c>
      <c r="D389" s="147"/>
      <c r="E389" s="148"/>
      <c r="F389" s="148"/>
      <c r="J389" s="116"/>
      <c r="K389" s="116"/>
    </row>
    <row r="390" spans="2:11" x14ac:dyDescent="0.2">
      <c r="B390" s="198" t="s">
        <v>2781</v>
      </c>
      <c r="C390" s="197">
        <v>44</v>
      </c>
      <c r="D390" s="147"/>
      <c r="E390" s="148"/>
      <c r="F390" s="148"/>
      <c r="J390" s="116"/>
      <c r="K390" s="116"/>
    </row>
    <row r="391" spans="2:11" x14ac:dyDescent="0.2">
      <c r="B391" s="115" t="s">
        <v>2780</v>
      </c>
      <c r="C391" s="114">
        <v>2229</v>
      </c>
      <c r="D391" s="147"/>
      <c r="E391" s="148"/>
      <c r="F391" s="148"/>
      <c r="J391" s="116"/>
      <c r="K391" s="116"/>
    </row>
    <row r="392" spans="2:11" x14ac:dyDescent="0.2">
      <c r="B392" s="115" t="s">
        <v>2779</v>
      </c>
      <c r="C392" s="114">
        <v>458</v>
      </c>
      <c r="D392" s="147"/>
      <c r="E392" s="148"/>
      <c r="F392" s="148"/>
      <c r="J392" s="116"/>
      <c r="K392" s="116"/>
    </row>
    <row r="393" spans="2:11" x14ac:dyDescent="0.2">
      <c r="B393" s="115" t="s">
        <v>2778</v>
      </c>
      <c r="C393" s="114">
        <v>1984</v>
      </c>
      <c r="D393" s="147"/>
      <c r="E393" s="148"/>
      <c r="F393" s="148"/>
      <c r="J393" s="116"/>
      <c r="K393" s="116"/>
    </row>
    <row r="394" spans="2:11" x14ac:dyDescent="0.2">
      <c r="B394" s="115" t="s">
        <v>2777</v>
      </c>
      <c r="C394" s="114">
        <v>602</v>
      </c>
      <c r="D394" s="147"/>
      <c r="E394" s="148"/>
      <c r="F394" s="148"/>
      <c r="J394" s="116"/>
      <c r="K394" s="116"/>
    </row>
    <row r="395" spans="2:11" x14ac:dyDescent="0.2">
      <c r="B395" s="115" t="s">
        <v>2776</v>
      </c>
      <c r="C395" s="114">
        <v>686</v>
      </c>
      <c r="D395" s="147"/>
      <c r="E395" s="148"/>
      <c r="F395" s="148"/>
      <c r="J395" s="116"/>
      <c r="K395" s="116"/>
    </row>
    <row r="396" spans="2:11" x14ac:dyDescent="0.2">
      <c r="B396" s="115" t="s">
        <v>2775</v>
      </c>
      <c r="C396" s="114">
        <v>205</v>
      </c>
      <c r="D396" s="147"/>
      <c r="E396" s="148"/>
      <c r="F396" s="148"/>
      <c r="J396" s="116"/>
      <c r="K396" s="116"/>
    </row>
    <row r="397" spans="2:11" x14ac:dyDescent="0.2">
      <c r="B397" s="115" t="s">
        <v>2774</v>
      </c>
      <c r="C397" s="114">
        <v>2678</v>
      </c>
      <c r="D397" s="147"/>
      <c r="E397" s="148"/>
      <c r="F397" s="148"/>
      <c r="J397" s="116"/>
      <c r="K397" s="116"/>
    </row>
    <row r="398" spans="2:11" x14ac:dyDescent="0.2">
      <c r="B398" s="198" t="s">
        <v>2773</v>
      </c>
      <c r="C398" s="197">
        <v>12088</v>
      </c>
      <c r="D398" s="147"/>
      <c r="E398" s="148"/>
      <c r="F398" s="148"/>
      <c r="J398" s="116"/>
      <c r="K398" s="116"/>
    </row>
    <row r="399" spans="2:11" x14ac:dyDescent="0.2">
      <c r="B399" s="198" t="s">
        <v>2772</v>
      </c>
      <c r="C399" s="197">
        <v>15950</v>
      </c>
      <c r="D399" s="147"/>
      <c r="E399" s="148"/>
      <c r="F399" s="148"/>
      <c r="J399" s="116"/>
      <c r="K399" s="116"/>
    </row>
    <row r="400" spans="2:11" x14ac:dyDescent="0.2">
      <c r="B400" s="115" t="s">
        <v>2771</v>
      </c>
      <c r="C400" s="114">
        <v>29291</v>
      </c>
      <c r="D400" s="147"/>
      <c r="E400" s="148"/>
      <c r="F400" s="148"/>
      <c r="J400" s="116"/>
      <c r="K400" s="116"/>
    </row>
    <row r="401" spans="2:11" x14ac:dyDescent="0.2">
      <c r="B401" s="115" t="s">
        <v>3282</v>
      </c>
      <c r="C401" s="114">
        <v>24031</v>
      </c>
      <c r="D401" s="147"/>
      <c r="E401" s="148"/>
      <c r="F401" s="148"/>
      <c r="J401" s="116"/>
      <c r="K401" s="116"/>
    </row>
    <row r="402" spans="2:11" x14ac:dyDescent="0.2">
      <c r="B402" s="115" t="s">
        <v>3296</v>
      </c>
      <c r="C402" s="114">
        <v>85573</v>
      </c>
      <c r="D402" s="147"/>
      <c r="E402" s="148"/>
      <c r="F402" s="148"/>
      <c r="J402" s="116"/>
      <c r="K402" s="116"/>
    </row>
    <row r="403" spans="2:11" x14ac:dyDescent="0.2">
      <c r="B403" s="115" t="s">
        <v>3301</v>
      </c>
      <c r="C403" s="114">
        <v>125443</v>
      </c>
      <c r="D403" s="147"/>
      <c r="E403" s="148"/>
      <c r="F403" s="148"/>
      <c r="J403" s="116"/>
      <c r="K403" s="116"/>
    </row>
    <row r="404" spans="2:11" x14ac:dyDescent="0.2">
      <c r="B404" s="115" t="s">
        <v>3297</v>
      </c>
      <c r="C404" s="114">
        <v>94716</v>
      </c>
      <c r="D404" s="147"/>
      <c r="E404" s="148"/>
      <c r="F404" s="148"/>
      <c r="J404" s="116"/>
      <c r="K404" s="116"/>
    </row>
    <row r="405" spans="2:11" x14ac:dyDescent="0.2">
      <c r="B405" s="115" t="s">
        <v>3281</v>
      </c>
      <c r="C405" s="114">
        <v>23678</v>
      </c>
      <c r="D405" s="147"/>
      <c r="E405" s="148"/>
      <c r="F405" s="148"/>
      <c r="J405" s="116"/>
      <c r="K405" s="116"/>
    </row>
    <row r="406" spans="2:11" x14ac:dyDescent="0.2">
      <c r="B406" s="115" t="s">
        <v>3283</v>
      </c>
      <c r="C406" s="114">
        <v>35355</v>
      </c>
      <c r="D406" s="147"/>
      <c r="E406" s="148"/>
      <c r="F406" s="148"/>
      <c r="J406" s="116"/>
    </row>
    <row r="407" spans="2:11" x14ac:dyDescent="0.2">
      <c r="B407" s="115" t="s">
        <v>3284</v>
      </c>
      <c r="C407" s="114">
        <v>48825</v>
      </c>
      <c r="D407" s="147"/>
      <c r="E407" s="148"/>
      <c r="F407" s="148"/>
    </row>
    <row r="408" spans="2:11" x14ac:dyDescent="0.2">
      <c r="B408" s="115" t="s">
        <v>3291</v>
      </c>
      <c r="C408" s="114">
        <v>71033</v>
      </c>
      <c r="D408" s="147"/>
      <c r="E408" s="148"/>
      <c r="F408" s="148"/>
    </row>
    <row r="409" spans="2:11" x14ac:dyDescent="0.2">
      <c r="B409" s="115" t="s">
        <v>3288</v>
      </c>
      <c r="C409" s="114">
        <v>58508</v>
      </c>
      <c r="D409" s="147"/>
      <c r="E409" s="148"/>
      <c r="F409" s="148"/>
    </row>
    <row r="410" spans="2:11" x14ac:dyDescent="0.2">
      <c r="B410" s="115" t="s">
        <v>3293</v>
      </c>
      <c r="C410" s="114">
        <v>74641</v>
      </c>
      <c r="D410" s="147"/>
      <c r="E410" s="148"/>
      <c r="F410" s="148"/>
    </row>
    <row r="411" spans="2:11" x14ac:dyDescent="0.2">
      <c r="B411" s="115" t="s">
        <v>3302</v>
      </c>
      <c r="C411" s="114">
        <v>149812</v>
      </c>
      <c r="D411" s="147"/>
      <c r="E411" s="148"/>
      <c r="F411" s="148"/>
    </row>
    <row r="412" spans="2:11" x14ac:dyDescent="0.2">
      <c r="B412" s="198" t="s">
        <v>3285</v>
      </c>
      <c r="C412" s="197">
        <v>55337</v>
      </c>
      <c r="D412" s="147"/>
      <c r="E412" s="148"/>
      <c r="F412" s="148"/>
    </row>
    <row r="413" spans="2:11" x14ac:dyDescent="0.2">
      <c r="B413" s="198" t="s">
        <v>3300</v>
      </c>
      <c r="C413" s="197">
        <v>121206</v>
      </c>
      <c r="D413" s="147"/>
      <c r="E413" s="148"/>
      <c r="F413" s="148"/>
    </row>
    <row r="414" spans="2:11" x14ac:dyDescent="0.2">
      <c r="B414" s="115" t="s">
        <v>3299</v>
      </c>
      <c r="C414" s="114">
        <v>118909</v>
      </c>
      <c r="D414" s="147"/>
      <c r="E414" s="148"/>
      <c r="F414" s="148"/>
    </row>
    <row r="415" spans="2:11" x14ac:dyDescent="0.2">
      <c r="B415" s="115" t="s">
        <v>3294</v>
      </c>
      <c r="C415" s="114">
        <v>75082</v>
      </c>
      <c r="D415" s="147"/>
      <c r="E415" s="148"/>
      <c r="F415" s="148"/>
    </row>
    <row r="416" spans="2:11" x14ac:dyDescent="0.2">
      <c r="B416" s="115" t="s">
        <v>3292</v>
      </c>
      <c r="C416" s="114">
        <v>72247</v>
      </c>
      <c r="D416" s="147"/>
      <c r="E416" s="148"/>
      <c r="F416" s="148"/>
    </row>
    <row r="417" spans="2:6" x14ac:dyDescent="0.2">
      <c r="B417" s="115" t="s">
        <v>3295</v>
      </c>
      <c r="C417" s="114">
        <v>84265</v>
      </c>
      <c r="D417" s="147"/>
      <c r="E417" s="148"/>
      <c r="F417" s="148"/>
    </row>
    <row r="418" spans="2:6" x14ac:dyDescent="0.2">
      <c r="B418" s="115" t="s">
        <v>3298</v>
      </c>
      <c r="C418" s="114">
        <v>99163</v>
      </c>
      <c r="D418" s="147"/>
      <c r="E418" s="148"/>
      <c r="F418" s="148"/>
    </row>
    <row r="419" spans="2:6" x14ac:dyDescent="0.2">
      <c r="B419" s="115" t="s">
        <v>3287</v>
      </c>
      <c r="C419" s="114">
        <v>57459</v>
      </c>
      <c r="D419" s="147"/>
      <c r="E419" s="148"/>
      <c r="F419" s="148"/>
    </row>
    <row r="420" spans="2:6" x14ac:dyDescent="0.2">
      <c r="B420" s="115" t="s">
        <v>3289</v>
      </c>
      <c r="C420" s="114">
        <v>61128</v>
      </c>
      <c r="D420" s="147"/>
      <c r="E420" s="148"/>
      <c r="F420" s="148"/>
    </row>
    <row r="421" spans="2:6" x14ac:dyDescent="0.2">
      <c r="B421" s="198" t="s">
        <v>3290</v>
      </c>
      <c r="C421" s="197">
        <v>69502</v>
      </c>
      <c r="D421" s="147"/>
      <c r="E421" s="148"/>
      <c r="F421" s="148"/>
    </row>
    <row r="422" spans="2:6" x14ac:dyDescent="0.2">
      <c r="B422" s="115" t="s">
        <v>3286</v>
      </c>
      <c r="C422" s="114">
        <v>56810</v>
      </c>
      <c r="D422" s="147"/>
      <c r="E422" s="148"/>
      <c r="F422" s="148"/>
    </row>
    <row r="423" spans="2:6" x14ac:dyDescent="0.2">
      <c r="B423" s="115" t="s">
        <v>3280</v>
      </c>
      <c r="C423" s="114">
        <v>22486</v>
      </c>
      <c r="D423" s="147"/>
      <c r="E423" s="148"/>
      <c r="F423" s="148"/>
    </row>
    <row r="424" spans="2:6" x14ac:dyDescent="0.2">
      <c r="B424" s="115" t="s">
        <v>2770</v>
      </c>
      <c r="C424" s="114">
        <v>2626</v>
      </c>
      <c r="D424" s="147"/>
      <c r="E424" s="148"/>
      <c r="F424" s="148"/>
    </row>
    <row r="425" spans="2:6" x14ac:dyDescent="0.2">
      <c r="B425" s="198" t="s">
        <v>2769</v>
      </c>
      <c r="C425" s="197">
        <v>254</v>
      </c>
      <c r="D425" s="147"/>
      <c r="E425" s="148"/>
      <c r="F425" s="148"/>
    </row>
    <row r="426" spans="2:6" x14ac:dyDescent="0.2">
      <c r="B426" s="115" t="s">
        <v>2768</v>
      </c>
      <c r="C426" s="114">
        <v>5330</v>
      </c>
      <c r="D426" s="147"/>
      <c r="E426" s="148"/>
      <c r="F426" s="148"/>
    </row>
    <row r="427" spans="2:6" x14ac:dyDescent="0.2">
      <c r="B427" s="115" t="s">
        <v>2767</v>
      </c>
      <c r="C427" s="114">
        <v>2230</v>
      </c>
      <c r="D427" s="147"/>
      <c r="E427" s="148"/>
      <c r="F427" s="148"/>
    </row>
    <row r="428" spans="2:6" x14ac:dyDescent="0.2">
      <c r="B428" s="115" t="s">
        <v>2766</v>
      </c>
      <c r="C428" s="114">
        <v>1892</v>
      </c>
      <c r="D428" s="147"/>
      <c r="E428" s="148"/>
      <c r="F428" s="148"/>
    </row>
    <row r="429" spans="2:6" x14ac:dyDescent="0.2">
      <c r="B429" s="115" t="s">
        <v>2765</v>
      </c>
      <c r="C429" s="114">
        <v>1317</v>
      </c>
      <c r="D429" s="147"/>
      <c r="E429" s="148"/>
      <c r="F429" s="148"/>
    </row>
    <row r="430" spans="2:6" x14ac:dyDescent="0.2">
      <c r="B430" s="115" t="s">
        <v>2764</v>
      </c>
      <c r="C430" s="114">
        <v>3822</v>
      </c>
      <c r="D430" s="147"/>
      <c r="E430" s="148"/>
      <c r="F430" s="148"/>
    </row>
    <row r="431" spans="2:6" x14ac:dyDescent="0.2">
      <c r="B431" s="115" t="s">
        <v>2763</v>
      </c>
      <c r="C431" s="114">
        <v>1577</v>
      </c>
      <c r="D431" s="147"/>
      <c r="E431" s="148"/>
      <c r="F431" s="148"/>
    </row>
    <row r="432" spans="2:6" x14ac:dyDescent="0.2">
      <c r="B432" s="115" t="s">
        <v>2762</v>
      </c>
      <c r="C432" s="114">
        <v>1505</v>
      </c>
      <c r="D432" s="147"/>
      <c r="E432" s="148"/>
      <c r="F432" s="148"/>
    </row>
    <row r="433" spans="2:6" x14ac:dyDescent="0.2">
      <c r="B433" s="198" t="s">
        <v>2761</v>
      </c>
      <c r="C433" s="197">
        <v>122</v>
      </c>
      <c r="D433" s="147"/>
      <c r="E433" s="148"/>
      <c r="F433" s="148"/>
    </row>
    <row r="434" spans="2:6" x14ac:dyDescent="0.2">
      <c r="B434" s="115" t="s">
        <v>2760</v>
      </c>
      <c r="C434" s="114">
        <v>1000</v>
      </c>
      <c r="D434" s="147"/>
      <c r="E434" s="148"/>
      <c r="F434" s="148"/>
    </row>
    <row r="435" spans="2:6" x14ac:dyDescent="0.2">
      <c r="B435" s="198" t="s">
        <v>2759</v>
      </c>
      <c r="C435" s="197">
        <v>647</v>
      </c>
      <c r="D435" s="147"/>
      <c r="E435" s="148"/>
      <c r="F435" s="148"/>
    </row>
    <row r="436" spans="2:6" x14ac:dyDescent="0.2">
      <c r="B436" s="198" t="s">
        <v>2758</v>
      </c>
      <c r="C436" s="197">
        <v>947</v>
      </c>
      <c r="D436" s="147"/>
      <c r="E436" s="148"/>
      <c r="F436" s="148"/>
    </row>
    <row r="437" spans="2:6" x14ac:dyDescent="0.2">
      <c r="B437" s="115" t="s">
        <v>2757</v>
      </c>
      <c r="C437" s="114">
        <v>1151</v>
      </c>
      <c r="D437" s="147"/>
      <c r="E437" s="148"/>
      <c r="F437" s="148"/>
    </row>
    <row r="438" spans="2:6" x14ac:dyDescent="0.2">
      <c r="B438" s="198" t="s">
        <v>2756</v>
      </c>
      <c r="C438" s="197">
        <v>333</v>
      </c>
      <c r="D438" s="147"/>
      <c r="E438" s="148"/>
      <c r="F438" s="148"/>
    </row>
    <row r="439" spans="2:6" x14ac:dyDescent="0.2">
      <c r="B439" s="198" t="s">
        <v>2755</v>
      </c>
      <c r="C439" s="197">
        <v>887</v>
      </c>
      <c r="D439" s="147"/>
      <c r="E439" s="148"/>
      <c r="F439" s="148"/>
    </row>
    <row r="440" spans="2:6" x14ac:dyDescent="0.2">
      <c r="B440" s="198" t="s">
        <v>2754</v>
      </c>
      <c r="C440" s="197">
        <v>75</v>
      </c>
      <c r="D440" s="147"/>
      <c r="E440" s="148"/>
      <c r="F440" s="148"/>
    </row>
    <row r="441" spans="2:6" x14ac:dyDescent="0.2">
      <c r="B441" s="115" t="s">
        <v>2753</v>
      </c>
      <c r="C441" s="114">
        <v>330</v>
      </c>
      <c r="D441" s="147"/>
      <c r="E441" s="148"/>
      <c r="F441" s="148"/>
    </row>
    <row r="442" spans="2:6" x14ac:dyDescent="0.2">
      <c r="B442" s="115" t="s">
        <v>2752</v>
      </c>
      <c r="C442" s="114">
        <v>139</v>
      </c>
      <c r="D442" s="147"/>
      <c r="E442" s="148"/>
      <c r="F442" s="148"/>
    </row>
    <row r="443" spans="2:6" x14ac:dyDescent="0.2">
      <c r="B443" s="115" t="s">
        <v>2751</v>
      </c>
      <c r="C443" s="114">
        <v>296</v>
      </c>
      <c r="D443" s="147"/>
      <c r="E443" s="148"/>
      <c r="F443" s="148"/>
    </row>
    <row r="444" spans="2:6" x14ac:dyDescent="0.2">
      <c r="B444" s="115" t="s">
        <v>2750</v>
      </c>
      <c r="C444" s="114">
        <v>61</v>
      </c>
      <c r="D444" s="147"/>
      <c r="E444" s="148"/>
      <c r="F444" s="148"/>
    </row>
    <row r="445" spans="2:6" x14ac:dyDescent="0.2">
      <c r="B445" s="115" t="s">
        <v>2749</v>
      </c>
      <c r="C445" s="114">
        <v>2490</v>
      </c>
      <c r="D445" s="147"/>
      <c r="E445" s="148"/>
      <c r="F445" s="148"/>
    </row>
    <row r="446" spans="2:6" x14ac:dyDescent="0.2">
      <c r="B446" s="115" t="s">
        <v>2748</v>
      </c>
      <c r="C446" s="114">
        <v>600</v>
      </c>
      <c r="D446" s="147"/>
      <c r="E446" s="148"/>
      <c r="F446" s="148"/>
    </row>
    <row r="447" spans="2:6" x14ac:dyDescent="0.2">
      <c r="B447" s="115" t="s">
        <v>2747</v>
      </c>
      <c r="C447" s="114">
        <v>36125</v>
      </c>
      <c r="D447" s="147"/>
      <c r="E447" s="148"/>
      <c r="F447" s="148"/>
    </row>
    <row r="448" spans="2:6" x14ac:dyDescent="0.2">
      <c r="B448" s="198" t="s">
        <v>2746</v>
      </c>
      <c r="C448" s="197">
        <v>4248</v>
      </c>
      <c r="D448" s="147"/>
      <c r="E448" s="148"/>
      <c r="F448" s="148"/>
    </row>
    <row r="449" spans="2:6" x14ac:dyDescent="0.2">
      <c r="B449" s="115" t="s">
        <v>2745</v>
      </c>
      <c r="C449" s="114">
        <v>9600</v>
      </c>
      <c r="D449" s="147"/>
      <c r="E449" s="148"/>
      <c r="F449" s="148"/>
    </row>
    <row r="450" spans="2:6" x14ac:dyDescent="0.2">
      <c r="B450" s="115" t="s">
        <v>2744</v>
      </c>
      <c r="C450" s="114">
        <v>942</v>
      </c>
      <c r="D450" s="147"/>
      <c r="E450" s="148"/>
      <c r="F450" s="148"/>
    </row>
    <row r="451" spans="2:6" x14ac:dyDescent="0.2">
      <c r="B451" s="198" t="s">
        <v>2743</v>
      </c>
      <c r="C451" s="197">
        <v>207</v>
      </c>
      <c r="D451" s="147"/>
      <c r="E451" s="148"/>
      <c r="F451" s="148"/>
    </row>
    <row r="452" spans="2:6" x14ac:dyDescent="0.2">
      <c r="B452" s="115" t="s">
        <v>2742</v>
      </c>
      <c r="C452" s="114">
        <v>3546</v>
      </c>
      <c r="D452" s="147"/>
      <c r="E452" s="148"/>
      <c r="F452" s="148"/>
    </row>
    <row r="453" spans="2:6" x14ac:dyDescent="0.2">
      <c r="B453" s="198" t="s">
        <v>2741</v>
      </c>
      <c r="C453" s="197">
        <v>2780</v>
      </c>
      <c r="D453" s="147"/>
      <c r="E453" s="148"/>
      <c r="F453" s="148"/>
    </row>
    <row r="454" spans="2:6" x14ac:dyDescent="0.2">
      <c r="B454" s="198" t="s">
        <v>2740</v>
      </c>
      <c r="C454" s="197">
        <v>879</v>
      </c>
      <c r="D454" s="147"/>
      <c r="E454" s="148"/>
      <c r="F454" s="148"/>
    </row>
    <row r="455" spans="2:6" x14ac:dyDescent="0.2">
      <c r="B455" s="198" t="s">
        <v>2739</v>
      </c>
      <c r="C455" s="197">
        <v>516</v>
      </c>
      <c r="D455" s="147"/>
      <c r="E455" s="148"/>
      <c r="F455" s="148"/>
    </row>
    <row r="456" spans="2:6" x14ac:dyDescent="0.2">
      <c r="B456" s="198" t="s">
        <v>2738</v>
      </c>
      <c r="C456" s="197">
        <v>184</v>
      </c>
      <c r="D456" s="147"/>
      <c r="E456" s="148"/>
      <c r="F456" s="148"/>
    </row>
    <row r="457" spans="2:6" x14ac:dyDescent="0.2">
      <c r="B457" s="198" t="s">
        <v>2737</v>
      </c>
      <c r="C457" s="197">
        <v>1595</v>
      </c>
      <c r="D457" s="147"/>
      <c r="E457" s="148"/>
      <c r="F457" s="148"/>
    </row>
    <row r="458" spans="2:6" x14ac:dyDescent="0.2">
      <c r="B458" s="198" t="s">
        <v>2736</v>
      </c>
      <c r="C458" s="197">
        <v>268</v>
      </c>
      <c r="D458" s="147"/>
      <c r="E458" s="148"/>
      <c r="F458" s="148"/>
    </row>
    <row r="459" spans="2:6" x14ac:dyDescent="0.2">
      <c r="B459" s="115" t="s">
        <v>2735</v>
      </c>
      <c r="C459" s="114">
        <v>1330</v>
      </c>
      <c r="D459" s="147"/>
      <c r="E459" s="148"/>
      <c r="F459" s="148"/>
    </row>
    <row r="460" spans="2:6" x14ac:dyDescent="0.2">
      <c r="B460" s="115" t="s">
        <v>2734</v>
      </c>
      <c r="C460" s="114">
        <v>2896</v>
      </c>
      <c r="D460" s="147"/>
      <c r="E460" s="148"/>
      <c r="F460" s="148"/>
    </row>
    <row r="461" spans="2:6" x14ac:dyDescent="0.2">
      <c r="B461" s="115" t="s">
        <v>2733</v>
      </c>
      <c r="C461" s="114">
        <v>229</v>
      </c>
      <c r="D461" s="147"/>
      <c r="E461" s="148"/>
      <c r="F461" s="148"/>
    </row>
    <row r="462" spans="2:6" x14ac:dyDescent="0.2">
      <c r="B462" s="198" t="s">
        <v>2732</v>
      </c>
      <c r="C462" s="197">
        <v>495</v>
      </c>
      <c r="D462" s="147"/>
      <c r="E462" s="148"/>
      <c r="F462" s="148"/>
    </row>
    <row r="463" spans="2:6" x14ac:dyDescent="0.2">
      <c r="B463" s="115" t="s">
        <v>2731</v>
      </c>
      <c r="C463" s="114">
        <v>761</v>
      </c>
      <c r="D463" s="147"/>
      <c r="E463" s="148"/>
      <c r="F463" s="148"/>
    </row>
    <row r="464" spans="2:6" x14ac:dyDescent="0.2">
      <c r="B464" s="198" t="s">
        <v>2730</v>
      </c>
      <c r="C464" s="197">
        <v>314</v>
      </c>
      <c r="D464" s="147"/>
      <c r="E464" s="148"/>
      <c r="F464" s="148"/>
    </row>
    <row r="465" spans="2:6" x14ac:dyDescent="0.2">
      <c r="B465" s="115" t="s">
        <v>2729</v>
      </c>
      <c r="C465" s="114">
        <v>1674</v>
      </c>
      <c r="D465" s="147"/>
      <c r="E465" s="148"/>
      <c r="F465" s="148"/>
    </row>
    <row r="466" spans="2:6" x14ac:dyDescent="0.2">
      <c r="B466" s="198" t="s">
        <v>2728</v>
      </c>
      <c r="C466" s="197">
        <v>1121</v>
      </c>
      <c r="D466" s="147"/>
      <c r="E466" s="148"/>
      <c r="F466" s="148"/>
    </row>
    <row r="467" spans="2:6" x14ac:dyDescent="0.2">
      <c r="B467" s="198" t="s">
        <v>2727</v>
      </c>
      <c r="C467" s="197">
        <v>5398</v>
      </c>
      <c r="D467" s="147"/>
      <c r="E467" s="148"/>
      <c r="F467" s="148"/>
    </row>
    <row r="468" spans="2:6" x14ac:dyDescent="0.2">
      <c r="B468" s="115" t="s">
        <v>2726</v>
      </c>
      <c r="C468" s="114">
        <v>402</v>
      </c>
      <c r="D468" s="147"/>
      <c r="E468" s="148"/>
      <c r="F468" s="148"/>
    </row>
    <row r="469" spans="2:6" x14ac:dyDescent="0.2">
      <c r="B469" s="115" t="s">
        <v>2725</v>
      </c>
      <c r="C469" s="114">
        <v>2283</v>
      </c>
      <c r="D469" s="147"/>
      <c r="E469" s="148"/>
      <c r="F469" s="148"/>
    </row>
    <row r="470" spans="2:6" x14ac:dyDescent="0.2">
      <c r="B470" s="198" t="s">
        <v>2724</v>
      </c>
      <c r="C470" s="197">
        <v>2466</v>
      </c>
      <c r="D470" s="147"/>
      <c r="E470" s="148"/>
      <c r="F470" s="148"/>
    </row>
    <row r="471" spans="2:6" x14ac:dyDescent="0.2">
      <c r="B471" s="198" t="s">
        <v>2723</v>
      </c>
      <c r="C471" s="197">
        <v>370</v>
      </c>
      <c r="D471" s="147"/>
      <c r="E471" s="148"/>
      <c r="F471" s="148"/>
    </row>
    <row r="472" spans="2:6" x14ac:dyDescent="0.2">
      <c r="B472" s="115" t="s">
        <v>2722</v>
      </c>
      <c r="C472" s="114">
        <v>2068</v>
      </c>
      <c r="D472" s="147"/>
      <c r="E472" s="148"/>
      <c r="F472" s="148"/>
    </row>
    <row r="473" spans="2:6" x14ac:dyDescent="0.2">
      <c r="B473" s="115" t="s">
        <v>2721</v>
      </c>
      <c r="C473" s="114">
        <v>531</v>
      </c>
      <c r="D473" s="147"/>
      <c r="E473" s="148"/>
      <c r="F473" s="148"/>
    </row>
    <row r="474" spans="2:6" x14ac:dyDescent="0.2">
      <c r="B474" s="198" t="s">
        <v>2720</v>
      </c>
      <c r="C474" s="197">
        <v>2556</v>
      </c>
      <c r="D474" s="147"/>
      <c r="E474" s="148"/>
      <c r="F474" s="148"/>
    </row>
    <row r="475" spans="2:6" x14ac:dyDescent="0.2">
      <c r="B475" s="115" t="s">
        <v>2719</v>
      </c>
      <c r="C475" s="114">
        <v>139</v>
      </c>
      <c r="D475" s="147"/>
      <c r="E475" s="148"/>
      <c r="F475" s="148"/>
    </row>
    <row r="476" spans="2:6" x14ac:dyDescent="0.2">
      <c r="B476" s="115" t="s">
        <v>2718</v>
      </c>
      <c r="C476" s="114">
        <v>600</v>
      </c>
      <c r="D476" s="147"/>
      <c r="E476" s="148"/>
      <c r="F476" s="148"/>
    </row>
    <row r="477" spans="2:6" x14ac:dyDescent="0.2">
      <c r="B477" s="198" t="s">
        <v>2717</v>
      </c>
      <c r="C477" s="197">
        <v>373</v>
      </c>
      <c r="D477" s="147"/>
      <c r="E477" s="148"/>
      <c r="F477" s="148"/>
    </row>
    <row r="478" spans="2:6" x14ac:dyDescent="0.2">
      <c r="B478" s="115" t="s">
        <v>2716</v>
      </c>
      <c r="C478" s="114">
        <v>133</v>
      </c>
      <c r="D478" s="147"/>
      <c r="E478" s="148"/>
      <c r="F478" s="148"/>
    </row>
    <row r="479" spans="2:6" x14ac:dyDescent="0.2">
      <c r="B479" s="198" t="s">
        <v>2715</v>
      </c>
      <c r="C479" s="197">
        <v>542</v>
      </c>
      <c r="D479" s="147"/>
      <c r="E479" s="148"/>
      <c r="F479" s="148"/>
    </row>
    <row r="480" spans="2:6" x14ac:dyDescent="0.2">
      <c r="B480" s="198" t="s">
        <v>2714</v>
      </c>
      <c r="C480" s="197">
        <v>1799</v>
      </c>
      <c r="D480" s="147"/>
      <c r="E480" s="148"/>
      <c r="F480" s="148"/>
    </row>
    <row r="481" spans="2:6" x14ac:dyDescent="0.2">
      <c r="B481" s="115" t="s">
        <v>2713</v>
      </c>
      <c r="C481" s="114">
        <v>2038</v>
      </c>
      <c r="D481" s="147"/>
      <c r="E481" s="148"/>
      <c r="F481" s="148"/>
    </row>
    <row r="482" spans="2:6" x14ac:dyDescent="0.2">
      <c r="B482" s="198" t="s">
        <v>2712</v>
      </c>
      <c r="C482" s="197">
        <v>314</v>
      </c>
      <c r="D482" s="147"/>
      <c r="E482" s="148"/>
      <c r="F482" s="148"/>
    </row>
    <row r="483" spans="2:6" x14ac:dyDescent="0.2">
      <c r="B483" s="198" t="s">
        <v>2711</v>
      </c>
      <c r="C483" s="197">
        <v>1216</v>
      </c>
      <c r="D483" s="147"/>
      <c r="E483" s="148"/>
      <c r="F483" s="148"/>
    </row>
    <row r="484" spans="2:6" x14ac:dyDescent="0.2">
      <c r="B484" s="115" t="s">
        <v>2710</v>
      </c>
      <c r="C484" s="114">
        <v>534</v>
      </c>
      <c r="D484" s="147"/>
      <c r="E484" s="148"/>
      <c r="F484" s="148"/>
    </row>
    <row r="485" spans="2:6" x14ac:dyDescent="0.2">
      <c r="B485" s="198" t="s">
        <v>2709</v>
      </c>
      <c r="C485" s="197">
        <v>314</v>
      </c>
      <c r="D485" s="147"/>
      <c r="E485" s="148"/>
      <c r="F485" s="148"/>
    </row>
    <row r="486" spans="2:6" x14ac:dyDescent="0.2">
      <c r="B486" s="198" t="s">
        <v>2708</v>
      </c>
      <c r="C486" s="197">
        <v>232</v>
      </c>
      <c r="D486" s="147"/>
      <c r="E486" s="148"/>
      <c r="F486" s="148"/>
    </row>
    <row r="487" spans="2:6" x14ac:dyDescent="0.2">
      <c r="B487" s="198" t="s">
        <v>2707</v>
      </c>
      <c r="C487" s="197">
        <v>1570</v>
      </c>
      <c r="D487" s="147"/>
      <c r="E487" s="148"/>
      <c r="F487" s="148"/>
    </row>
    <row r="488" spans="2:6" x14ac:dyDescent="0.2">
      <c r="B488" s="198" t="s">
        <v>2706</v>
      </c>
      <c r="C488" s="197">
        <v>69</v>
      </c>
      <c r="D488" s="147"/>
      <c r="E488" s="148"/>
      <c r="F488" s="148"/>
    </row>
    <row r="489" spans="2:6" x14ac:dyDescent="0.2">
      <c r="B489" s="115" t="s">
        <v>2705</v>
      </c>
      <c r="C489" s="114">
        <v>789</v>
      </c>
      <c r="D489" s="147"/>
      <c r="E489" s="148"/>
      <c r="F489" s="148"/>
    </row>
    <row r="490" spans="2:6" x14ac:dyDescent="0.2">
      <c r="B490" s="115" t="s">
        <v>2704</v>
      </c>
      <c r="C490" s="114">
        <v>619</v>
      </c>
      <c r="D490" s="147"/>
      <c r="E490" s="148"/>
      <c r="F490" s="148"/>
    </row>
    <row r="491" spans="2:6" x14ac:dyDescent="0.2">
      <c r="B491" s="198" t="s">
        <v>2703</v>
      </c>
      <c r="C491" s="197">
        <v>283</v>
      </c>
      <c r="D491" s="147"/>
      <c r="E491" s="148"/>
      <c r="F491" s="148"/>
    </row>
    <row r="492" spans="2:6" x14ac:dyDescent="0.2">
      <c r="B492" s="115" t="s">
        <v>2702</v>
      </c>
      <c r="C492" s="114">
        <v>248</v>
      </c>
      <c r="D492" s="147"/>
      <c r="E492" s="148"/>
      <c r="F492" s="148"/>
    </row>
    <row r="493" spans="2:6" x14ac:dyDescent="0.2">
      <c r="B493" s="198" t="s">
        <v>2701</v>
      </c>
      <c r="C493" s="197">
        <v>310</v>
      </c>
      <c r="D493" s="147"/>
      <c r="E493" s="148"/>
      <c r="F493" s="148"/>
    </row>
    <row r="494" spans="2:6" x14ac:dyDescent="0.2">
      <c r="B494" s="115" t="s">
        <v>2700</v>
      </c>
      <c r="C494" s="114">
        <v>408</v>
      </c>
      <c r="D494" s="147"/>
      <c r="E494" s="148"/>
      <c r="F494" s="148"/>
    </row>
    <row r="495" spans="2:6" x14ac:dyDescent="0.2">
      <c r="B495" s="198" t="s">
        <v>2699</v>
      </c>
      <c r="C495" s="197">
        <v>4409</v>
      </c>
      <c r="D495" s="147"/>
      <c r="E495" s="148"/>
      <c r="F495" s="148"/>
    </row>
    <row r="496" spans="2:6" x14ac:dyDescent="0.2">
      <c r="B496" s="198" t="s">
        <v>2698</v>
      </c>
      <c r="C496" s="197">
        <v>305</v>
      </c>
      <c r="D496" s="147"/>
      <c r="E496" s="148"/>
      <c r="F496" s="148"/>
    </row>
    <row r="497" spans="2:6" x14ac:dyDescent="0.2">
      <c r="B497" s="198" t="s">
        <v>2697</v>
      </c>
      <c r="C497" s="197">
        <v>1737</v>
      </c>
      <c r="D497" s="147"/>
      <c r="E497" s="148"/>
      <c r="F497" s="148"/>
    </row>
    <row r="498" spans="2:6" x14ac:dyDescent="0.2">
      <c r="B498" s="115" t="s">
        <v>2696</v>
      </c>
      <c r="C498" s="114">
        <v>4322</v>
      </c>
      <c r="D498" s="147"/>
      <c r="E498" s="148"/>
      <c r="F498" s="148"/>
    </row>
    <row r="499" spans="2:6" x14ac:dyDescent="0.2">
      <c r="B499" s="198" t="s">
        <v>2695</v>
      </c>
      <c r="C499" s="197">
        <v>623</v>
      </c>
      <c r="D499" s="147"/>
      <c r="E499" s="148"/>
      <c r="F499" s="148"/>
    </row>
    <row r="500" spans="2:6" x14ac:dyDescent="0.2">
      <c r="B500" s="198" t="s">
        <v>2694</v>
      </c>
      <c r="C500" s="197">
        <v>700</v>
      </c>
      <c r="D500" s="147"/>
      <c r="E500" s="148"/>
      <c r="F500" s="148"/>
    </row>
    <row r="501" spans="2:6" x14ac:dyDescent="0.2">
      <c r="B501" s="115" t="s">
        <v>2693</v>
      </c>
      <c r="C501" s="114">
        <v>1955</v>
      </c>
      <c r="D501" s="147"/>
      <c r="E501" s="148"/>
      <c r="F501" s="148"/>
    </row>
    <row r="502" spans="2:6" x14ac:dyDescent="0.2">
      <c r="B502" s="115" t="s">
        <v>2692</v>
      </c>
      <c r="C502" s="114">
        <v>662</v>
      </c>
      <c r="D502" s="147"/>
      <c r="E502" s="148"/>
      <c r="F502" s="148"/>
    </row>
    <row r="503" spans="2:6" x14ac:dyDescent="0.2">
      <c r="B503" s="198" t="s">
        <v>2691</v>
      </c>
      <c r="C503" s="197">
        <v>562</v>
      </c>
      <c r="D503" s="147"/>
      <c r="E503" s="148"/>
      <c r="F503" s="148"/>
    </row>
    <row r="504" spans="2:6" x14ac:dyDescent="0.2">
      <c r="B504" s="115" t="s">
        <v>2690</v>
      </c>
      <c r="C504" s="114">
        <v>332</v>
      </c>
      <c r="D504" s="147"/>
      <c r="E504" s="148"/>
      <c r="F504" s="148"/>
    </row>
    <row r="505" spans="2:6" x14ac:dyDescent="0.2">
      <c r="B505" s="115" t="s">
        <v>2689</v>
      </c>
      <c r="C505" s="114">
        <v>1567</v>
      </c>
      <c r="D505" s="147"/>
      <c r="E505" s="148"/>
      <c r="F505" s="148"/>
    </row>
    <row r="506" spans="2:6" x14ac:dyDescent="0.2">
      <c r="B506" s="198" t="s">
        <v>2688</v>
      </c>
      <c r="C506" s="197">
        <v>3128</v>
      </c>
      <c r="D506" s="147"/>
      <c r="E506" s="148"/>
      <c r="F506" s="148"/>
    </row>
    <row r="507" spans="2:6" x14ac:dyDescent="0.2">
      <c r="B507" s="115" t="s">
        <v>2687</v>
      </c>
      <c r="C507" s="114">
        <v>29</v>
      </c>
      <c r="D507" s="147"/>
      <c r="E507" s="148"/>
      <c r="F507" s="148"/>
    </row>
    <row r="508" spans="2:6" x14ac:dyDescent="0.2">
      <c r="B508" s="198" t="s">
        <v>2686</v>
      </c>
      <c r="C508" s="197">
        <v>371</v>
      </c>
      <c r="D508" s="147"/>
      <c r="E508" s="148"/>
      <c r="F508" s="148"/>
    </row>
    <row r="509" spans="2:6" x14ac:dyDescent="0.2">
      <c r="B509" s="198" t="s">
        <v>2685</v>
      </c>
      <c r="C509" s="197">
        <v>215</v>
      </c>
      <c r="D509" s="147"/>
      <c r="E509" s="148"/>
      <c r="F509" s="148"/>
    </row>
    <row r="510" spans="2:6" x14ac:dyDescent="0.2">
      <c r="B510" s="115" t="s">
        <v>2684</v>
      </c>
      <c r="C510" s="114">
        <v>924</v>
      </c>
      <c r="D510" s="147"/>
      <c r="E510" s="148"/>
      <c r="F510" s="148"/>
    </row>
    <row r="511" spans="2:6" x14ac:dyDescent="0.2">
      <c r="B511" s="115" t="s">
        <v>2683</v>
      </c>
      <c r="C511" s="114">
        <v>323</v>
      </c>
      <c r="D511" s="147"/>
      <c r="E511" s="148"/>
      <c r="F511" s="148"/>
    </row>
    <row r="512" spans="2:6" x14ac:dyDescent="0.2">
      <c r="B512" s="198" t="s">
        <v>2682</v>
      </c>
      <c r="C512" s="197">
        <v>353</v>
      </c>
      <c r="D512" s="147"/>
      <c r="E512" s="148"/>
      <c r="F512" s="148"/>
    </row>
    <row r="513" spans="2:6" x14ac:dyDescent="0.2">
      <c r="B513" s="115" t="s">
        <v>2681</v>
      </c>
      <c r="C513" s="114">
        <v>695</v>
      </c>
      <c r="D513" s="147"/>
      <c r="E513" s="148"/>
      <c r="F513" s="148"/>
    </row>
    <row r="514" spans="2:6" x14ac:dyDescent="0.2">
      <c r="B514" s="115" t="s">
        <v>2680</v>
      </c>
      <c r="C514" s="114">
        <v>119</v>
      </c>
      <c r="D514" s="147"/>
      <c r="E514" s="148"/>
      <c r="F514" s="148"/>
    </row>
    <row r="515" spans="2:6" x14ac:dyDescent="0.2">
      <c r="B515" s="198" t="s">
        <v>2679</v>
      </c>
      <c r="C515" s="197">
        <v>2098</v>
      </c>
      <c r="D515" s="147"/>
      <c r="E515" s="148"/>
      <c r="F515" s="148"/>
    </row>
    <row r="516" spans="2:6" x14ac:dyDescent="0.2">
      <c r="B516" s="115" t="s">
        <v>2678</v>
      </c>
      <c r="C516" s="114">
        <v>634</v>
      </c>
      <c r="D516" s="147"/>
      <c r="E516" s="148"/>
      <c r="F516" s="148"/>
    </row>
    <row r="517" spans="2:6" x14ac:dyDescent="0.2">
      <c r="B517" s="198" t="s">
        <v>2677</v>
      </c>
      <c r="C517" s="197">
        <v>664</v>
      </c>
      <c r="D517" s="147"/>
      <c r="E517" s="148"/>
      <c r="F517" s="148"/>
    </row>
    <row r="518" spans="2:6" x14ac:dyDescent="0.2">
      <c r="B518" s="115" t="s">
        <v>2676</v>
      </c>
      <c r="C518" s="114">
        <v>3504</v>
      </c>
      <c r="D518" s="147"/>
      <c r="E518" s="148"/>
      <c r="F518" s="148"/>
    </row>
    <row r="519" spans="2:6" x14ac:dyDescent="0.2">
      <c r="B519" s="115" t="s">
        <v>2675</v>
      </c>
      <c r="C519" s="114">
        <v>28</v>
      </c>
      <c r="D519" s="147"/>
      <c r="E519" s="148"/>
      <c r="F519" s="148"/>
    </row>
    <row r="520" spans="2:6" x14ac:dyDescent="0.2">
      <c r="B520" s="115" t="s">
        <v>2674</v>
      </c>
      <c r="C520" s="114">
        <v>395</v>
      </c>
      <c r="D520" s="147"/>
      <c r="E520" s="148"/>
      <c r="F520" s="148"/>
    </row>
    <row r="521" spans="2:6" x14ac:dyDescent="0.2">
      <c r="B521" s="115" t="s">
        <v>2673</v>
      </c>
      <c r="C521" s="114">
        <v>428</v>
      </c>
      <c r="D521" s="147"/>
      <c r="E521" s="148"/>
      <c r="F521" s="148"/>
    </row>
    <row r="522" spans="2:6" x14ac:dyDescent="0.2">
      <c r="B522" s="198" t="s">
        <v>2672</v>
      </c>
      <c r="C522" s="197">
        <v>781</v>
      </c>
      <c r="D522" s="147"/>
      <c r="E522" s="148"/>
      <c r="F522" s="148"/>
    </row>
    <row r="523" spans="2:6" x14ac:dyDescent="0.2">
      <c r="B523" s="198" t="s">
        <v>2671</v>
      </c>
      <c r="C523" s="197">
        <v>329</v>
      </c>
      <c r="D523" s="147"/>
      <c r="E523" s="148"/>
      <c r="F523" s="148"/>
    </row>
    <row r="524" spans="2:6" x14ac:dyDescent="0.2">
      <c r="B524" s="198" t="s">
        <v>2670</v>
      </c>
      <c r="C524" s="197">
        <v>1767</v>
      </c>
      <c r="D524" s="147"/>
      <c r="E524" s="148"/>
      <c r="F524" s="148"/>
    </row>
    <row r="525" spans="2:6" x14ac:dyDescent="0.2">
      <c r="B525" s="115" t="s">
        <v>2669</v>
      </c>
      <c r="C525" s="114">
        <v>2165</v>
      </c>
      <c r="D525" s="147"/>
      <c r="E525" s="148"/>
      <c r="F525" s="148"/>
    </row>
    <row r="526" spans="2:6" x14ac:dyDescent="0.2">
      <c r="B526" s="115" t="s">
        <v>2668</v>
      </c>
      <c r="C526" s="114">
        <v>270</v>
      </c>
      <c r="D526" s="147"/>
      <c r="E526" s="148"/>
      <c r="F526" s="148"/>
    </row>
    <row r="527" spans="2:6" x14ac:dyDescent="0.2">
      <c r="B527" s="198" t="s">
        <v>2667</v>
      </c>
      <c r="C527" s="197">
        <v>614</v>
      </c>
      <c r="D527" s="147"/>
      <c r="E527" s="148"/>
      <c r="F527" s="148"/>
    </row>
    <row r="528" spans="2:6" x14ac:dyDescent="0.2">
      <c r="B528" s="198" t="s">
        <v>2666</v>
      </c>
      <c r="C528" s="197">
        <v>737</v>
      </c>
      <c r="D528" s="147"/>
      <c r="E528" s="148"/>
      <c r="F528" s="148"/>
    </row>
    <row r="529" spans="2:6" x14ac:dyDescent="0.2">
      <c r="B529" s="198" t="s">
        <v>2665</v>
      </c>
      <c r="C529" s="197">
        <v>484</v>
      </c>
      <c r="D529" s="147"/>
      <c r="E529" s="148"/>
      <c r="F529" s="148"/>
    </row>
    <row r="530" spans="2:6" x14ac:dyDescent="0.2">
      <c r="B530" s="198" t="s">
        <v>2664</v>
      </c>
      <c r="C530" s="197">
        <v>470</v>
      </c>
      <c r="D530" s="147"/>
      <c r="E530" s="148"/>
      <c r="F530" s="148"/>
    </row>
    <row r="531" spans="2:6" x14ac:dyDescent="0.2">
      <c r="B531" s="115" t="s">
        <v>2663</v>
      </c>
      <c r="C531" s="114">
        <v>388</v>
      </c>
      <c r="D531" s="147"/>
      <c r="E531" s="148"/>
      <c r="F531" s="148"/>
    </row>
    <row r="532" spans="2:6" x14ac:dyDescent="0.2">
      <c r="B532" s="198" t="s">
        <v>2662</v>
      </c>
      <c r="C532" s="197">
        <v>366</v>
      </c>
      <c r="D532" s="147"/>
      <c r="E532" s="148"/>
      <c r="F532" s="148"/>
    </row>
    <row r="533" spans="2:6" x14ac:dyDescent="0.2">
      <c r="B533" s="115" t="s">
        <v>2661</v>
      </c>
      <c r="C533" s="114">
        <v>683</v>
      </c>
      <c r="D533" s="147"/>
      <c r="E533" s="148"/>
      <c r="F533" s="148"/>
    </row>
    <row r="534" spans="2:6" x14ac:dyDescent="0.2">
      <c r="B534" s="198" t="s">
        <v>2660</v>
      </c>
      <c r="C534" s="197">
        <v>601</v>
      </c>
      <c r="D534" s="147"/>
      <c r="E534" s="148"/>
      <c r="F534" s="148"/>
    </row>
    <row r="535" spans="2:6" x14ac:dyDescent="0.2">
      <c r="B535" s="115" t="s">
        <v>2659</v>
      </c>
      <c r="C535" s="114">
        <v>3588</v>
      </c>
      <c r="D535" s="147"/>
      <c r="E535" s="148"/>
      <c r="F535" s="148"/>
    </row>
    <row r="536" spans="2:6" x14ac:dyDescent="0.2">
      <c r="B536" s="115" t="s">
        <v>2658</v>
      </c>
      <c r="C536" s="114">
        <v>1576</v>
      </c>
      <c r="D536" s="147"/>
      <c r="E536" s="148"/>
      <c r="F536" s="148"/>
    </row>
    <row r="537" spans="2:6" x14ac:dyDescent="0.2">
      <c r="B537" s="115" t="s">
        <v>2657</v>
      </c>
      <c r="C537" s="114">
        <v>1450</v>
      </c>
      <c r="D537" s="147"/>
      <c r="E537" s="148"/>
      <c r="F537" s="148"/>
    </row>
    <row r="538" spans="2:6" x14ac:dyDescent="0.2">
      <c r="B538" s="198" t="s">
        <v>2656</v>
      </c>
      <c r="C538" s="197">
        <v>680</v>
      </c>
      <c r="D538" s="147"/>
      <c r="E538" s="148"/>
      <c r="F538" s="148"/>
    </row>
    <row r="539" spans="2:6" x14ac:dyDescent="0.2">
      <c r="B539" s="198" t="s">
        <v>2655</v>
      </c>
      <c r="C539" s="197">
        <v>3098</v>
      </c>
      <c r="D539" s="147"/>
      <c r="E539" s="148"/>
      <c r="F539" s="148"/>
    </row>
    <row r="540" spans="2:6" x14ac:dyDescent="0.2">
      <c r="B540" s="115" t="s">
        <v>2654</v>
      </c>
      <c r="C540" s="114">
        <v>1441</v>
      </c>
      <c r="D540" s="147"/>
      <c r="E540" s="148"/>
      <c r="F540" s="148"/>
    </row>
    <row r="541" spans="2:6" x14ac:dyDescent="0.2">
      <c r="B541" s="198" t="s">
        <v>2653</v>
      </c>
      <c r="C541" s="197">
        <v>402</v>
      </c>
      <c r="D541" s="147"/>
      <c r="E541" s="148"/>
      <c r="F541" s="148"/>
    </row>
    <row r="542" spans="2:6" x14ac:dyDescent="0.2">
      <c r="B542" s="115" t="s">
        <v>2652</v>
      </c>
      <c r="C542" s="114">
        <v>1851</v>
      </c>
      <c r="D542" s="147"/>
      <c r="E542" s="148"/>
      <c r="F542" s="148"/>
    </row>
    <row r="543" spans="2:6" x14ac:dyDescent="0.2">
      <c r="B543" s="198" t="s">
        <v>2651</v>
      </c>
      <c r="C543" s="197">
        <v>268</v>
      </c>
      <c r="D543" s="147"/>
      <c r="E543" s="148"/>
      <c r="F543" s="148"/>
    </row>
    <row r="544" spans="2:6" x14ac:dyDescent="0.2">
      <c r="B544" s="198" t="s">
        <v>2650</v>
      </c>
      <c r="C544" s="197">
        <v>15317</v>
      </c>
      <c r="D544" s="147"/>
      <c r="E544" s="148"/>
      <c r="F544" s="148"/>
    </row>
    <row r="545" spans="2:6" x14ac:dyDescent="0.2">
      <c r="B545" s="198" t="s">
        <v>2649</v>
      </c>
      <c r="C545" s="197">
        <v>331</v>
      </c>
      <c r="D545" s="147"/>
      <c r="E545" s="148"/>
      <c r="F545" s="148"/>
    </row>
    <row r="546" spans="2:6" x14ac:dyDescent="0.2">
      <c r="B546" s="115" t="s">
        <v>2648</v>
      </c>
      <c r="C546" s="114">
        <v>179</v>
      </c>
      <c r="D546" s="147"/>
      <c r="E546" s="148"/>
      <c r="F546" s="148"/>
    </row>
    <row r="547" spans="2:6" x14ac:dyDescent="0.2">
      <c r="B547" s="115" t="s">
        <v>2647</v>
      </c>
      <c r="C547" s="114">
        <v>2112</v>
      </c>
      <c r="D547" s="147"/>
      <c r="E547" s="148"/>
      <c r="F547" s="148"/>
    </row>
    <row r="548" spans="2:6" x14ac:dyDescent="0.2">
      <c r="B548" s="115" t="s">
        <v>2646</v>
      </c>
      <c r="C548" s="114">
        <v>1914</v>
      </c>
      <c r="D548" s="147"/>
      <c r="E548" s="148"/>
      <c r="F548" s="148"/>
    </row>
    <row r="549" spans="2:6" x14ac:dyDescent="0.2">
      <c r="B549" s="115" t="s">
        <v>2645</v>
      </c>
      <c r="C549" s="114">
        <v>9572</v>
      </c>
      <c r="D549" s="147"/>
      <c r="E549" s="148"/>
      <c r="F549" s="148"/>
    </row>
    <row r="550" spans="2:6" x14ac:dyDescent="0.2">
      <c r="B550" s="115" t="s">
        <v>2644</v>
      </c>
      <c r="C550" s="114">
        <v>4313</v>
      </c>
      <c r="D550" s="147"/>
      <c r="E550" s="148"/>
      <c r="F550" s="148"/>
    </row>
    <row r="551" spans="2:6" x14ac:dyDescent="0.2">
      <c r="B551" s="198" t="s">
        <v>2643</v>
      </c>
      <c r="C551" s="197">
        <v>903</v>
      </c>
      <c r="D551" s="147"/>
      <c r="E551" s="148"/>
      <c r="F551" s="148"/>
    </row>
    <row r="552" spans="2:6" x14ac:dyDescent="0.2">
      <c r="B552" s="198" t="s">
        <v>2642</v>
      </c>
      <c r="C552" s="197">
        <v>71</v>
      </c>
      <c r="D552" s="147"/>
      <c r="E552" s="148"/>
      <c r="F552" s="148"/>
    </row>
    <row r="553" spans="2:6" x14ac:dyDescent="0.2">
      <c r="B553" s="198" t="s">
        <v>2641</v>
      </c>
      <c r="C553" s="197">
        <v>511</v>
      </c>
      <c r="D553" s="147"/>
      <c r="E553" s="148"/>
      <c r="F553" s="148"/>
    </row>
    <row r="554" spans="2:6" x14ac:dyDescent="0.2">
      <c r="B554" s="115" t="s">
        <v>2640</v>
      </c>
      <c r="C554" s="114">
        <v>1674</v>
      </c>
      <c r="D554" s="147"/>
      <c r="E554" s="148"/>
      <c r="F554" s="148"/>
    </row>
    <row r="555" spans="2:6" x14ac:dyDescent="0.2">
      <c r="B555" s="115" t="s">
        <v>2639</v>
      </c>
      <c r="C555" s="114">
        <v>915</v>
      </c>
      <c r="D555" s="147"/>
      <c r="E555" s="148"/>
      <c r="F555" s="148"/>
    </row>
    <row r="556" spans="2:6" x14ac:dyDescent="0.2">
      <c r="B556" s="115" t="s">
        <v>2638</v>
      </c>
      <c r="C556" s="114">
        <v>271</v>
      </c>
      <c r="D556" s="147"/>
      <c r="E556" s="148"/>
      <c r="F556" s="148"/>
    </row>
    <row r="557" spans="2:6" x14ac:dyDescent="0.2">
      <c r="B557" s="198" t="s">
        <v>2637</v>
      </c>
      <c r="C557" s="197">
        <v>572</v>
      </c>
      <c r="D557" s="147"/>
      <c r="E557" s="148"/>
      <c r="F557" s="148"/>
    </row>
    <row r="558" spans="2:6" x14ac:dyDescent="0.2">
      <c r="B558" s="198" t="s">
        <v>2636</v>
      </c>
      <c r="C558" s="197">
        <v>10194</v>
      </c>
      <c r="D558" s="147"/>
      <c r="E558" s="148"/>
      <c r="F558" s="148"/>
    </row>
    <row r="559" spans="2:6" x14ac:dyDescent="0.2">
      <c r="B559" s="198" t="s">
        <v>2635</v>
      </c>
      <c r="C559" s="197">
        <v>335</v>
      </c>
      <c r="D559" s="147"/>
      <c r="E559" s="148"/>
      <c r="F559" s="148"/>
    </row>
    <row r="560" spans="2:6" x14ac:dyDescent="0.2">
      <c r="B560" s="198" t="s">
        <v>2634</v>
      </c>
      <c r="C560" s="197">
        <v>349</v>
      </c>
      <c r="D560" s="147"/>
      <c r="E560" s="148"/>
      <c r="F560" s="148"/>
    </row>
    <row r="561" spans="2:6" x14ac:dyDescent="0.2">
      <c r="B561" s="115" t="s">
        <v>2633</v>
      </c>
      <c r="C561" s="114">
        <v>2017</v>
      </c>
      <c r="D561" s="147"/>
      <c r="E561" s="148"/>
      <c r="F561" s="148"/>
    </row>
    <row r="562" spans="2:6" x14ac:dyDescent="0.2">
      <c r="B562" s="198" t="s">
        <v>2632</v>
      </c>
      <c r="C562" s="197">
        <v>742</v>
      </c>
      <c r="D562" s="147"/>
      <c r="E562" s="148"/>
      <c r="F562" s="148"/>
    </row>
    <row r="563" spans="2:6" x14ac:dyDescent="0.2">
      <c r="B563" s="198" t="s">
        <v>2631</v>
      </c>
      <c r="C563" s="197">
        <v>969</v>
      </c>
      <c r="D563" s="147"/>
      <c r="E563" s="148"/>
      <c r="F563" s="148"/>
    </row>
    <row r="564" spans="2:6" x14ac:dyDescent="0.2">
      <c r="B564" s="115" t="s">
        <v>2630</v>
      </c>
      <c r="C564" s="114">
        <v>621</v>
      </c>
      <c r="D564" s="147"/>
      <c r="E564" s="148"/>
      <c r="F564" s="148"/>
    </row>
    <row r="565" spans="2:6" x14ac:dyDescent="0.2">
      <c r="B565" s="198" t="s">
        <v>2629</v>
      </c>
      <c r="C565" s="197">
        <v>4279</v>
      </c>
      <c r="D565" s="147"/>
      <c r="E565" s="148"/>
      <c r="F565" s="148"/>
    </row>
    <row r="566" spans="2:6" x14ac:dyDescent="0.2">
      <c r="B566" s="198" t="s">
        <v>2628</v>
      </c>
      <c r="C566" s="197">
        <v>152</v>
      </c>
      <c r="D566" s="147"/>
      <c r="E566" s="148"/>
      <c r="F566" s="148"/>
    </row>
    <row r="567" spans="2:6" x14ac:dyDescent="0.2">
      <c r="B567" s="115" t="s">
        <v>2627</v>
      </c>
      <c r="C567" s="114">
        <v>17670</v>
      </c>
      <c r="D567" s="147"/>
      <c r="E567" s="148"/>
      <c r="F567" s="148"/>
    </row>
    <row r="568" spans="2:6" x14ac:dyDescent="0.2">
      <c r="B568" s="115" t="s">
        <v>2626</v>
      </c>
      <c r="C568" s="114">
        <v>378</v>
      </c>
      <c r="D568" s="147"/>
      <c r="E568" s="148"/>
      <c r="F568" s="148"/>
    </row>
    <row r="569" spans="2:6" x14ac:dyDescent="0.2">
      <c r="B569" s="198" t="s">
        <v>2625</v>
      </c>
      <c r="C569" s="197">
        <v>365</v>
      </c>
      <c r="D569" s="147"/>
      <c r="E569" s="148"/>
      <c r="F569" s="148"/>
    </row>
    <row r="570" spans="2:6" x14ac:dyDescent="0.2">
      <c r="B570" s="115" t="s">
        <v>2624</v>
      </c>
      <c r="C570" s="114">
        <v>952</v>
      </c>
      <c r="D570" s="147"/>
      <c r="E570" s="148"/>
      <c r="F570" s="148"/>
    </row>
    <row r="571" spans="2:6" x14ac:dyDescent="0.2">
      <c r="B571" s="115" t="s">
        <v>2623</v>
      </c>
      <c r="C571" s="114">
        <v>926</v>
      </c>
      <c r="D571" s="147"/>
      <c r="E571" s="148"/>
      <c r="F571" s="148"/>
    </row>
    <row r="572" spans="2:6" x14ac:dyDescent="0.2">
      <c r="B572" s="115" t="s">
        <v>2622</v>
      </c>
      <c r="C572" s="114">
        <v>643</v>
      </c>
      <c r="D572" s="147"/>
      <c r="E572" s="148"/>
      <c r="F572" s="148"/>
    </row>
    <row r="573" spans="2:6" x14ac:dyDescent="0.2">
      <c r="B573" s="115" t="s">
        <v>2621</v>
      </c>
      <c r="C573" s="114">
        <v>1142</v>
      </c>
      <c r="D573" s="147"/>
      <c r="E573" s="148"/>
      <c r="F573" s="148"/>
    </row>
    <row r="574" spans="2:6" x14ac:dyDescent="0.2">
      <c r="B574" s="115" t="s">
        <v>2620</v>
      </c>
      <c r="C574" s="114">
        <v>226</v>
      </c>
      <c r="D574" s="147"/>
      <c r="E574" s="148"/>
      <c r="F574" s="148"/>
    </row>
    <row r="575" spans="2:6" x14ac:dyDescent="0.2">
      <c r="B575" s="198" t="s">
        <v>2619</v>
      </c>
      <c r="C575" s="197">
        <v>274</v>
      </c>
      <c r="D575" s="147"/>
      <c r="E575" s="148"/>
      <c r="F575" s="148"/>
    </row>
    <row r="576" spans="2:6" x14ac:dyDescent="0.2">
      <c r="B576" s="115" t="s">
        <v>2618</v>
      </c>
      <c r="C576" s="114">
        <v>2576</v>
      </c>
      <c r="D576" s="147"/>
      <c r="E576" s="148"/>
      <c r="F576" s="148"/>
    </row>
    <row r="577" spans="2:6" x14ac:dyDescent="0.2">
      <c r="B577" s="115" t="s">
        <v>2617</v>
      </c>
      <c r="C577" s="114">
        <v>4529</v>
      </c>
      <c r="D577" s="147"/>
      <c r="E577" s="148"/>
      <c r="F577" s="148"/>
    </row>
    <row r="578" spans="2:6" x14ac:dyDescent="0.2">
      <c r="B578" s="198" t="s">
        <v>2616</v>
      </c>
      <c r="C578" s="197">
        <v>95</v>
      </c>
      <c r="D578" s="147"/>
      <c r="E578" s="148"/>
      <c r="F578" s="148"/>
    </row>
    <row r="579" spans="2:6" x14ac:dyDescent="0.2">
      <c r="B579" s="198" t="s">
        <v>2615</v>
      </c>
      <c r="C579" s="197">
        <v>772</v>
      </c>
      <c r="D579" s="147"/>
      <c r="E579" s="148"/>
      <c r="F579" s="148"/>
    </row>
    <row r="580" spans="2:6" x14ac:dyDescent="0.2">
      <c r="B580" s="115" t="s">
        <v>2614</v>
      </c>
      <c r="C580" s="114">
        <v>149</v>
      </c>
      <c r="D580" s="147"/>
      <c r="E580" s="148"/>
      <c r="F580" s="148"/>
    </row>
    <row r="581" spans="2:6" x14ac:dyDescent="0.2">
      <c r="B581" s="115" t="s">
        <v>2613</v>
      </c>
      <c r="C581" s="114">
        <v>1615</v>
      </c>
      <c r="D581" s="147"/>
      <c r="E581" s="148"/>
      <c r="F581" s="148"/>
    </row>
    <row r="582" spans="2:6" x14ac:dyDescent="0.2">
      <c r="B582" s="115" t="s">
        <v>2612</v>
      </c>
      <c r="C582" s="114">
        <v>1044</v>
      </c>
      <c r="D582" s="147"/>
      <c r="E582" s="148"/>
      <c r="F582" s="148"/>
    </row>
    <row r="583" spans="2:6" x14ac:dyDescent="0.2">
      <c r="B583" s="115" t="s">
        <v>2611</v>
      </c>
      <c r="C583" s="114">
        <v>447</v>
      </c>
      <c r="D583" s="147"/>
      <c r="E583" s="148"/>
      <c r="F583" s="148"/>
    </row>
    <row r="584" spans="2:6" x14ac:dyDescent="0.2">
      <c r="B584" s="115" t="s">
        <v>2610</v>
      </c>
      <c r="C584" s="114">
        <v>1738</v>
      </c>
      <c r="D584" s="147"/>
      <c r="E584" s="148"/>
      <c r="F584" s="148"/>
    </row>
    <row r="585" spans="2:6" x14ac:dyDescent="0.2">
      <c r="B585" s="198" t="s">
        <v>2609</v>
      </c>
      <c r="C585" s="197">
        <v>84</v>
      </c>
      <c r="D585" s="147"/>
      <c r="E585" s="148"/>
      <c r="F585" s="148"/>
    </row>
    <row r="586" spans="2:6" x14ac:dyDescent="0.2">
      <c r="B586" s="115" t="s">
        <v>2608</v>
      </c>
      <c r="C586" s="114">
        <v>202130</v>
      </c>
      <c r="D586" s="147"/>
      <c r="E586" s="148"/>
      <c r="F586" s="148"/>
    </row>
    <row r="587" spans="2:6" x14ac:dyDescent="0.2">
      <c r="B587" s="198" t="s">
        <v>2607</v>
      </c>
      <c r="C587" s="197">
        <v>13</v>
      </c>
      <c r="D587" s="147"/>
      <c r="E587" s="148"/>
      <c r="F587" s="148"/>
    </row>
    <row r="588" spans="2:6" x14ac:dyDescent="0.2">
      <c r="B588" s="115" t="s">
        <v>2606</v>
      </c>
      <c r="C588" s="114">
        <v>3737</v>
      </c>
      <c r="D588" s="147"/>
      <c r="E588" s="148"/>
      <c r="F588" s="148"/>
    </row>
    <row r="589" spans="2:6" x14ac:dyDescent="0.2">
      <c r="B589" s="115" t="s">
        <v>2605</v>
      </c>
      <c r="C589" s="114">
        <v>1235</v>
      </c>
      <c r="D589" s="147"/>
      <c r="E589" s="148"/>
      <c r="F589" s="148"/>
    </row>
    <row r="590" spans="2:6" x14ac:dyDescent="0.2">
      <c r="B590" s="115" t="s">
        <v>2604</v>
      </c>
      <c r="C590" s="114">
        <v>1963</v>
      </c>
      <c r="D590" s="147"/>
      <c r="E590" s="148"/>
      <c r="F590" s="148"/>
    </row>
    <row r="591" spans="2:6" x14ac:dyDescent="0.2">
      <c r="B591" s="198" t="s">
        <v>2603</v>
      </c>
      <c r="C591" s="197">
        <v>1278</v>
      </c>
      <c r="D591" s="147"/>
      <c r="E591" s="148"/>
      <c r="F591" s="148"/>
    </row>
    <row r="592" spans="2:6" x14ac:dyDescent="0.2">
      <c r="B592" s="115" t="s">
        <v>2602</v>
      </c>
      <c r="C592" s="114">
        <v>6082</v>
      </c>
      <c r="D592" s="147"/>
      <c r="E592" s="148"/>
      <c r="F592" s="148"/>
    </row>
    <row r="593" spans="2:6" x14ac:dyDescent="0.2">
      <c r="B593" s="198" t="s">
        <v>2601</v>
      </c>
      <c r="C593" s="197">
        <v>3810</v>
      </c>
      <c r="D593" s="147"/>
      <c r="E593" s="148"/>
      <c r="F593" s="148"/>
    </row>
    <row r="594" spans="2:6" x14ac:dyDescent="0.2">
      <c r="B594" s="115" t="s">
        <v>2600</v>
      </c>
      <c r="C594" s="114">
        <v>997</v>
      </c>
      <c r="D594" s="147"/>
      <c r="E594" s="148"/>
      <c r="F594" s="148"/>
    </row>
    <row r="595" spans="2:6" x14ac:dyDescent="0.2">
      <c r="B595" s="115" t="s">
        <v>2599</v>
      </c>
      <c r="C595" s="114">
        <v>507</v>
      </c>
      <c r="D595" s="147"/>
      <c r="E595" s="148"/>
      <c r="F595" s="148"/>
    </row>
    <row r="596" spans="2:6" x14ac:dyDescent="0.2">
      <c r="B596" s="115" t="s">
        <v>2598</v>
      </c>
      <c r="C596" s="114">
        <v>388</v>
      </c>
      <c r="D596" s="147"/>
      <c r="E596" s="148"/>
      <c r="F596" s="148"/>
    </row>
    <row r="597" spans="2:6" x14ac:dyDescent="0.2">
      <c r="B597" s="115" t="s">
        <v>2597</v>
      </c>
      <c r="C597" s="114">
        <v>8366</v>
      </c>
      <c r="D597" s="147"/>
      <c r="E597" s="148"/>
      <c r="F597" s="148"/>
    </row>
    <row r="598" spans="2:6" x14ac:dyDescent="0.2">
      <c r="B598" s="115" t="s">
        <v>2596</v>
      </c>
      <c r="C598" s="114">
        <v>1352</v>
      </c>
      <c r="D598" s="147"/>
      <c r="E598" s="148"/>
      <c r="F598" s="148"/>
    </row>
    <row r="599" spans="2:6" x14ac:dyDescent="0.2">
      <c r="B599" s="115" t="s">
        <v>2595</v>
      </c>
      <c r="C599" s="114">
        <v>3990</v>
      </c>
      <c r="D599" s="147"/>
      <c r="E599" s="148"/>
      <c r="F599" s="148"/>
    </row>
    <row r="600" spans="2:6" x14ac:dyDescent="0.2">
      <c r="B600" s="198" t="s">
        <v>2594</v>
      </c>
      <c r="C600" s="197">
        <v>267</v>
      </c>
      <c r="D600" s="147"/>
      <c r="E600" s="148"/>
      <c r="F600" s="148"/>
    </row>
    <row r="601" spans="2:6" x14ac:dyDescent="0.2">
      <c r="B601" s="115" t="s">
        <v>2593</v>
      </c>
      <c r="C601" s="114">
        <v>1114</v>
      </c>
      <c r="D601" s="147"/>
      <c r="E601" s="148"/>
      <c r="F601" s="148"/>
    </row>
    <row r="602" spans="2:6" x14ac:dyDescent="0.2">
      <c r="B602" s="115" t="s">
        <v>2592</v>
      </c>
      <c r="C602" s="114">
        <v>6450</v>
      </c>
      <c r="D602" s="147"/>
      <c r="E602" s="148"/>
      <c r="F602" s="148"/>
    </row>
    <row r="603" spans="2:6" x14ac:dyDescent="0.2">
      <c r="B603" s="115" t="s">
        <v>2591</v>
      </c>
      <c r="C603" s="114">
        <v>4137</v>
      </c>
      <c r="D603" s="147"/>
      <c r="E603" s="148"/>
      <c r="F603" s="148"/>
    </row>
    <row r="604" spans="2:6" x14ac:dyDescent="0.2">
      <c r="B604" s="198" t="s">
        <v>2590</v>
      </c>
      <c r="C604" s="197">
        <v>87</v>
      </c>
      <c r="D604" s="147"/>
      <c r="E604" s="148"/>
      <c r="F604" s="148"/>
    </row>
    <row r="605" spans="2:6" x14ac:dyDescent="0.2">
      <c r="B605" s="198" t="s">
        <v>2589</v>
      </c>
      <c r="C605" s="197">
        <v>270</v>
      </c>
      <c r="D605" s="147"/>
      <c r="E605" s="148"/>
      <c r="F605" s="148"/>
    </row>
    <row r="606" spans="2:6" x14ac:dyDescent="0.2">
      <c r="B606" s="115" t="s">
        <v>2588</v>
      </c>
      <c r="C606" s="114">
        <v>11693</v>
      </c>
      <c r="D606" s="147"/>
      <c r="E606" s="148"/>
      <c r="F606" s="148"/>
    </row>
    <row r="607" spans="2:6" x14ac:dyDescent="0.2">
      <c r="B607" s="115" t="s">
        <v>2587</v>
      </c>
      <c r="C607" s="114">
        <v>2872</v>
      </c>
      <c r="D607" s="147"/>
      <c r="E607" s="148"/>
      <c r="F607" s="148"/>
    </row>
    <row r="608" spans="2:6" x14ac:dyDescent="0.2">
      <c r="B608" s="198" t="s">
        <v>2586</v>
      </c>
      <c r="C608" s="197">
        <v>407</v>
      </c>
      <c r="D608" s="147"/>
      <c r="E608" s="148"/>
      <c r="F608" s="148"/>
    </row>
    <row r="609" spans="2:6" x14ac:dyDescent="0.2">
      <c r="B609" s="115" t="s">
        <v>2585</v>
      </c>
      <c r="C609" s="114">
        <v>602</v>
      </c>
      <c r="D609" s="147"/>
      <c r="E609" s="148"/>
      <c r="F609" s="148"/>
    </row>
    <row r="610" spans="2:6" x14ac:dyDescent="0.2">
      <c r="B610" s="198" t="s">
        <v>2584</v>
      </c>
      <c r="C610" s="197">
        <v>444</v>
      </c>
      <c r="D610" s="147"/>
      <c r="E610" s="148"/>
      <c r="F610" s="148"/>
    </row>
    <row r="611" spans="2:6" x14ac:dyDescent="0.2">
      <c r="B611" s="198" t="s">
        <v>2583</v>
      </c>
      <c r="C611" s="197">
        <v>3903</v>
      </c>
      <c r="D611" s="147"/>
      <c r="E611" s="148"/>
      <c r="F611" s="148"/>
    </row>
    <row r="612" spans="2:6" x14ac:dyDescent="0.2">
      <c r="B612" s="115" t="s">
        <v>2582</v>
      </c>
      <c r="C612" s="114">
        <v>123</v>
      </c>
      <c r="D612" s="147"/>
      <c r="E612" s="148"/>
      <c r="F612" s="148"/>
    </row>
    <row r="613" spans="2:6" x14ac:dyDescent="0.2">
      <c r="B613" s="115" t="s">
        <v>2581</v>
      </c>
      <c r="C613" s="114">
        <v>167</v>
      </c>
      <c r="D613" s="147"/>
      <c r="E613" s="148"/>
      <c r="F613" s="148"/>
    </row>
    <row r="614" spans="2:6" x14ac:dyDescent="0.2">
      <c r="B614" s="198" t="s">
        <v>2580</v>
      </c>
      <c r="C614" s="197">
        <v>661</v>
      </c>
      <c r="D614" s="147"/>
      <c r="E614" s="148"/>
      <c r="F614" s="148"/>
    </row>
    <row r="615" spans="2:6" x14ac:dyDescent="0.2">
      <c r="B615" s="115" t="s">
        <v>2579</v>
      </c>
      <c r="C615" s="114">
        <v>769</v>
      </c>
      <c r="D615" s="147"/>
      <c r="E615" s="148"/>
      <c r="F615" s="148"/>
    </row>
    <row r="616" spans="2:6" x14ac:dyDescent="0.2">
      <c r="B616" s="115" t="s">
        <v>2578</v>
      </c>
      <c r="C616" s="114">
        <v>4753</v>
      </c>
      <c r="D616" s="147"/>
      <c r="E616" s="148"/>
      <c r="F616" s="148"/>
    </row>
    <row r="617" spans="2:6" x14ac:dyDescent="0.2">
      <c r="B617" s="198" t="s">
        <v>2577</v>
      </c>
      <c r="C617" s="197">
        <v>1546</v>
      </c>
      <c r="D617" s="147"/>
      <c r="E617" s="148"/>
      <c r="F617" s="148"/>
    </row>
    <row r="618" spans="2:6" x14ac:dyDescent="0.2">
      <c r="B618" s="198" t="s">
        <v>2576</v>
      </c>
      <c r="C618" s="197">
        <v>437</v>
      </c>
      <c r="D618" s="147"/>
      <c r="E618" s="148"/>
      <c r="F618" s="148"/>
    </row>
    <row r="619" spans="2:6" x14ac:dyDescent="0.2">
      <c r="B619" s="115" t="s">
        <v>2575</v>
      </c>
      <c r="C619" s="114">
        <v>16752</v>
      </c>
      <c r="D619" s="147"/>
      <c r="E619" s="148"/>
      <c r="F619" s="148"/>
    </row>
    <row r="620" spans="2:6" x14ac:dyDescent="0.2">
      <c r="B620" s="198" t="s">
        <v>2574</v>
      </c>
      <c r="C620" s="197">
        <v>3512</v>
      </c>
      <c r="D620" s="147"/>
      <c r="E620" s="148"/>
      <c r="F620" s="148"/>
    </row>
    <row r="621" spans="2:6" x14ac:dyDescent="0.2">
      <c r="B621" s="115" t="s">
        <v>2573</v>
      </c>
      <c r="C621" s="114">
        <v>2209</v>
      </c>
      <c r="D621" s="147"/>
      <c r="E621" s="148"/>
      <c r="F621" s="148"/>
    </row>
    <row r="622" spans="2:6" x14ac:dyDescent="0.2">
      <c r="B622" s="115" t="s">
        <v>2572</v>
      </c>
      <c r="C622" s="114">
        <v>1779</v>
      </c>
      <c r="D622" s="147"/>
      <c r="E622" s="148"/>
      <c r="F622" s="148"/>
    </row>
    <row r="623" spans="2:6" x14ac:dyDescent="0.2">
      <c r="B623" s="198" t="s">
        <v>2571</v>
      </c>
      <c r="C623" s="197">
        <v>891</v>
      </c>
      <c r="D623" s="147"/>
      <c r="E623" s="148"/>
      <c r="F623" s="148"/>
    </row>
    <row r="624" spans="2:6" x14ac:dyDescent="0.2">
      <c r="B624" s="115" t="s">
        <v>2570</v>
      </c>
      <c r="C624" s="114">
        <v>11272</v>
      </c>
      <c r="D624" s="147"/>
      <c r="E624" s="148"/>
      <c r="F624" s="148"/>
    </row>
    <row r="625" spans="2:6" x14ac:dyDescent="0.2">
      <c r="B625" s="198" t="s">
        <v>2569</v>
      </c>
      <c r="C625" s="197">
        <v>934</v>
      </c>
      <c r="D625" s="147"/>
      <c r="E625" s="148"/>
      <c r="F625" s="148"/>
    </row>
    <row r="626" spans="2:6" x14ac:dyDescent="0.2">
      <c r="B626" s="198" t="s">
        <v>2568</v>
      </c>
      <c r="C626" s="197">
        <v>346</v>
      </c>
      <c r="D626" s="147"/>
      <c r="E626" s="148"/>
      <c r="F626" s="148"/>
    </row>
    <row r="627" spans="2:6" x14ac:dyDescent="0.2">
      <c r="B627" s="115" t="s">
        <v>2567</v>
      </c>
      <c r="C627" s="114">
        <v>138</v>
      </c>
      <c r="D627" s="147"/>
      <c r="E627" s="148"/>
      <c r="F627" s="148"/>
    </row>
    <row r="628" spans="2:6" x14ac:dyDescent="0.2">
      <c r="B628" s="198" t="s">
        <v>2566</v>
      </c>
      <c r="C628" s="197">
        <v>92</v>
      </c>
      <c r="D628" s="147"/>
      <c r="E628" s="148"/>
      <c r="F628" s="148"/>
    </row>
    <row r="629" spans="2:6" x14ac:dyDescent="0.2">
      <c r="B629" s="115" t="s">
        <v>2565</v>
      </c>
      <c r="C629" s="114">
        <v>1820</v>
      </c>
      <c r="D629" s="147"/>
      <c r="E629" s="148"/>
      <c r="F629" s="148"/>
    </row>
    <row r="630" spans="2:6" x14ac:dyDescent="0.2">
      <c r="B630" s="115" t="s">
        <v>2564</v>
      </c>
      <c r="C630" s="114">
        <v>251</v>
      </c>
      <c r="D630" s="147"/>
      <c r="E630" s="148"/>
      <c r="F630" s="148"/>
    </row>
    <row r="631" spans="2:6" x14ac:dyDescent="0.2">
      <c r="B631" s="198" t="s">
        <v>2563</v>
      </c>
      <c r="C631" s="197">
        <v>2016</v>
      </c>
      <c r="D631" s="147"/>
      <c r="E631" s="148"/>
      <c r="F631" s="148"/>
    </row>
    <row r="632" spans="2:6" x14ac:dyDescent="0.2">
      <c r="B632" s="198" t="s">
        <v>2562</v>
      </c>
      <c r="C632" s="197">
        <v>1148</v>
      </c>
      <c r="D632" s="147"/>
      <c r="E632" s="148"/>
      <c r="F632" s="148"/>
    </row>
    <row r="633" spans="2:6" x14ac:dyDescent="0.2">
      <c r="B633" s="115" t="s">
        <v>2561</v>
      </c>
      <c r="C633" s="114">
        <v>5948</v>
      </c>
      <c r="D633" s="147"/>
      <c r="E633" s="148"/>
      <c r="F633" s="148"/>
    </row>
    <row r="634" spans="2:6" x14ac:dyDescent="0.2">
      <c r="B634" s="115" t="s">
        <v>2560</v>
      </c>
      <c r="C634" s="114">
        <v>642</v>
      </c>
      <c r="D634" s="147"/>
      <c r="E634" s="148"/>
      <c r="F634" s="148"/>
    </row>
    <row r="635" spans="2:6" x14ac:dyDescent="0.2">
      <c r="B635" s="198" t="s">
        <v>2559</v>
      </c>
      <c r="C635" s="197">
        <v>312</v>
      </c>
      <c r="D635" s="147"/>
      <c r="E635" s="148"/>
      <c r="F635" s="148"/>
    </row>
    <row r="636" spans="2:6" x14ac:dyDescent="0.2">
      <c r="B636" s="198" t="s">
        <v>2558</v>
      </c>
      <c r="C636" s="197">
        <v>136</v>
      </c>
      <c r="D636" s="147"/>
      <c r="E636" s="148"/>
      <c r="F636" s="148"/>
    </row>
    <row r="637" spans="2:6" x14ac:dyDescent="0.2">
      <c r="B637" s="198" t="s">
        <v>2557</v>
      </c>
      <c r="C637" s="197">
        <v>43</v>
      </c>
      <c r="D637" s="147"/>
      <c r="E637" s="148"/>
      <c r="F637" s="148"/>
    </row>
    <row r="638" spans="2:6" x14ac:dyDescent="0.2">
      <c r="B638" s="115" t="s">
        <v>2556</v>
      </c>
      <c r="C638" s="114">
        <v>266</v>
      </c>
      <c r="D638" s="147"/>
      <c r="E638" s="148"/>
      <c r="F638" s="148"/>
    </row>
    <row r="639" spans="2:6" x14ac:dyDescent="0.2">
      <c r="B639" s="115" t="s">
        <v>2555</v>
      </c>
      <c r="C639" s="114">
        <v>252</v>
      </c>
      <c r="D639" s="147"/>
      <c r="E639" s="148"/>
      <c r="F639" s="148"/>
    </row>
    <row r="640" spans="2:6" x14ac:dyDescent="0.2">
      <c r="B640" s="115" t="s">
        <v>2554</v>
      </c>
      <c r="C640" s="114">
        <v>155</v>
      </c>
      <c r="D640" s="147"/>
      <c r="E640" s="148"/>
      <c r="F640" s="148"/>
    </row>
    <row r="641" spans="2:6" x14ac:dyDescent="0.2">
      <c r="B641" s="198" t="s">
        <v>2553</v>
      </c>
      <c r="C641" s="197">
        <v>178</v>
      </c>
      <c r="D641" s="147"/>
      <c r="E641" s="148"/>
      <c r="F641" s="148"/>
    </row>
    <row r="642" spans="2:6" x14ac:dyDescent="0.2">
      <c r="B642" s="198" t="s">
        <v>2552</v>
      </c>
      <c r="C642" s="197">
        <v>426</v>
      </c>
      <c r="D642" s="147"/>
      <c r="E642" s="148"/>
      <c r="F642" s="148"/>
    </row>
    <row r="643" spans="2:6" x14ac:dyDescent="0.2">
      <c r="B643" s="198" t="s">
        <v>2551</v>
      </c>
      <c r="C643" s="197">
        <v>135</v>
      </c>
      <c r="D643" s="147"/>
      <c r="E643" s="148"/>
      <c r="F643" s="148"/>
    </row>
    <row r="644" spans="2:6" x14ac:dyDescent="0.2">
      <c r="B644" s="198" t="s">
        <v>2550</v>
      </c>
      <c r="C644" s="197">
        <v>154</v>
      </c>
      <c r="D644" s="147"/>
      <c r="E644" s="148"/>
      <c r="F644" s="148"/>
    </row>
    <row r="645" spans="2:6" x14ac:dyDescent="0.2">
      <c r="B645" s="115" t="s">
        <v>2549</v>
      </c>
      <c r="C645" s="114">
        <v>110</v>
      </c>
      <c r="D645" s="147"/>
      <c r="E645" s="148"/>
      <c r="F645" s="148"/>
    </row>
    <row r="646" spans="2:6" x14ac:dyDescent="0.2">
      <c r="B646" s="198" t="s">
        <v>2548</v>
      </c>
      <c r="C646" s="197">
        <v>268</v>
      </c>
      <c r="D646" s="147"/>
      <c r="E646" s="148"/>
      <c r="F646" s="148"/>
    </row>
    <row r="647" spans="2:6" x14ac:dyDescent="0.2">
      <c r="B647" s="198" t="s">
        <v>2547</v>
      </c>
      <c r="C647" s="197">
        <v>99</v>
      </c>
      <c r="D647" s="147"/>
      <c r="E647" s="148"/>
      <c r="F647" s="148"/>
    </row>
    <row r="648" spans="2:6" x14ac:dyDescent="0.2">
      <c r="B648" s="198" t="s">
        <v>2546</v>
      </c>
      <c r="C648" s="197">
        <v>663</v>
      </c>
      <c r="D648" s="147"/>
      <c r="E648" s="148"/>
      <c r="F648" s="148"/>
    </row>
    <row r="649" spans="2:6" x14ac:dyDescent="0.2">
      <c r="B649" s="198" t="s">
        <v>2545</v>
      </c>
      <c r="C649" s="197">
        <v>150</v>
      </c>
      <c r="D649" s="147"/>
      <c r="E649" s="148"/>
      <c r="F649" s="148"/>
    </row>
    <row r="650" spans="2:6" x14ac:dyDescent="0.2">
      <c r="B650" s="198" t="s">
        <v>2544</v>
      </c>
      <c r="C650" s="197">
        <v>348</v>
      </c>
      <c r="D650" s="147"/>
      <c r="E650" s="148"/>
      <c r="F650" s="148"/>
    </row>
    <row r="651" spans="2:6" x14ac:dyDescent="0.2">
      <c r="B651" s="115" t="s">
        <v>2543</v>
      </c>
      <c r="C651" s="114">
        <v>292</v>
      </c>
      <c r="D651" s="147"/>
      <c r="E651" s="148"/>
      <c r="F651" s="148"/>
    </row>
    <row r="652" spans="2:6" x14ac:dyDescent="0.2">
      <c r="B652" s="115" t="s">
        <v>2542</v>
      </c>
      <c r="C652" s="114">
        <v>1322</v>
      </c>
      <c r="D652" s="147"/>
      <c r="E652" s="148"/>
      <c r="F652" s="148"/>
    </row>
    <row r="653" spans="2:6" x14ac:dyDescent="0.2">
      <c r="B653" s="198" t="s">
        <v>2541</v>
      </c>
      <c r="C653" s="197">
        <v>238</v>
      </c>
      <c r="D653" s="147"/>
      <c r="E653" s="148"/>
      <c r="F653" s="148"/>
    </row>
    <row r="654" spans="2:6" x14ac:dyDescent="0.2">
      <c r="B654" s="115" t="s">
        <v>2540</v>
      </c>
      <c r="C654" s="114">
        <v>1646</v>
      </c>
      <c r="D654" s="147"/>
      <c r="E654" s="148"/>
      <c r="F654" s="148"/>
    </row>
    <row r="655" spans="2:6" x14ac:dyDescent="0.2">
      <c r="B655" s="198" t="s">
        <v>2539</v>
      </c>
      <c r="C655" s="197">
        <v>231</v>
      </c>
      <c r="D655" s="147"/>
      <c r="E655" s="148"/>
      <c r="F655" s="148"/>
    </row>
    <row r="656" spans="2:6" x14ac:dyDescent="0.2">
      <c r="B656" s="115" t="s">
        <v>2538</v>
      </c>
      <c r="C656" s="114">
        <v>1836</v>
      </c>
      <c r="D656" s="147"/>
      <c r="E656" s="148"/>
      <c r="F656" s="148"/>
    </row>
    <row r="657" spans="2:6" x14ac:dyDescent="0.2">
      <c r="B657" s="198" t="s">
        <v>2537</v>
      </c>
      <c r="C657" s="197">
        <v>3256</v>
      </c>
      <c r="D657" s="147"/>
      <c r="E657" s="148"/>
      <c r="F657" s="148"/>
    </row>
    <row r="658" spans="2:6" x14ac:dyDescent="0.2">
      <c r="B658" s="198" t="s">
        <v>2536</v>
      </c>
      <c r="C658" s="197">
        <v>1433</v>
      </c>
      <c r="D658" s="147"/>
      <c r="E658" s="148"/>
      <c r="F658" s="148"/>
    </row>
    <row r="659" spans="2:6" x14ac:dyDescent="0.2">
      <c r="B659" s="198" t="s">
        <v>2535</v>
      </c>
      <c r="C659" s="197">
        <v>800</v>
      </c>
      <c r="D659" s="147"/>
      <c r="E659" s="148"/>
      <c r="F659" s="148"/>
    </row>
    <row r="660" spans="2:6" x14ac:dyDescent="0.2">
      <c r="B660" s="115" t="s">
        <v>2534</v>
      </c>
      <c r="C660" s="114">
        <v>8249</v>
      </c>
      <c r="D660" s="147"/>
      <c r="E660" s="148"/>
      <c r="F660" s="148"/>
    </row>
    <row r="661" spans="2:6" x14ac:dyDescent="0.2">
      <c r="B661" s="115" t="s">
        <v>2533</v>
      </c>
      <c r="C661" s="114">
        <v>23700</v>
      </c>
      <c r="D661" s="147"/>
      <c r="E661" s="148"/>
      <c r="F661" s="148"/>
    </row>
    <row r="662" spans="2:6" x14ac:dyDescent="0.2">
      <c r="B662" s="198" t="s">
        <v>2532</v>
      </c>
      <c r="C662" s="197">
        <v>42630</v>
      </c>
      <c r="D662" s="147"/>
      <c r="E662" s="148"/>
      <c r="F662" s="148"/>
    </row>
    <row r="663" spans="2:6" x14ac:dyDescent="0.2">
      <c r="B663" s="115" t="s">
        <v>2531</v>
      </c>
      <c r="C663" s="114">
        <v>2079</v>
      </c>
      <c r="D663" s="147"/>
      <c r="E663" s="148"/>
      <c r="F663" s="148"/>
    </row>
    <row r="664" spans="2:6" x14ac:dyDescent="0.2">
      <c r="B664" s="198" t="s">
        <v>2530</v>
      </c>
      <c r="C664" s="197">
        <v>3015</v>
      </c>
      <c r="D664" s="147"/>
      <c r="E664" s="148"/>
      <c r="F664" s="148"/>
    </row>
    <row r="665" spans="2:6" x14ac:dyDescent="0.2">
      <c r="B665" s="198" t="s">
        <v>2529</v>
      </c>
      <c r="C665" s="197">
        <v>255</v>
      </c>
      <c r="D665" s="147"/>
      <c r="E665" s="148"/>
      <c r="F665" s="148"/>
    </row>
    <row r="666" spans="2:6" x14ac:dyDescent="0.2">
      <c r="B666" s="115" t="s">
        <v>2528</v>
      </c>
      <c r="C666" s="114">
        <v>2324</v>
      </c>
      <c r="D666" s="147"/>
      <c r="E666" s="148"/>
      <c r="F666" s="148"/>
    </row>
    <row r="667" spans="2:6" x14ac:dyDescent="0.2">
      <c r="B667" s="115" t="s">
        <v>2527</v>
      </c>
      <c r="C667" s="114">
        <v>1723</v>
      </c>
      <c r="D667" s="147"/>
      <c r="E667" s="148"/>
      <c r="F667" s="148"/>
    </row>
    <row r="668" spans="2:6" x14ac:dyDescent="0.2">
      <c r="B668" s="115" t="s">
        <v>2526</v>
      </c>
      <c r="C668" s="114">
        <v>734</v>
      </c>
      <c r="D668" s="147"/>
      <c r="E668" s="148"/>
      <c r="F668" s="148"/>
    </row>
    <row r="669" spans="2:6" x14ac:dyDescent="0.2">
      <c r="B669" s="115" t="s">
        <v>2525</v>
      </c>
      <c r="C669" s="114">
        <v>2408</v>
      </c>
      <c r="D669" s="147"/>
      <c r="E669" s="148"/>
      <c r="F669" s="148"/>
    </row>
    <row r="670" spans="2:6" x14ac:dyDescent="0.2">
      <c r="B670" s="115" t="s">
        <v>2524</v>
      </c>
      <c r="C670" s="114">
        <v>554</v>
      </c>
      <c r="D670" s="147"/>
      <c r="E670" s="148"/>
      <c r="F670" s="148"/>
    </row>
    <row r="671" spans="2:6" x14ac:dyDescent="0.2">
      <c r="B671" s="198" t="s">
        <v>2523</v>
      </c>
      <c r="C671" s="197">
        <v>739</v>
      </c>
      <c r="D671" s="147"/>
      <c r="E671" s="148"/>
      <c r="F671" s="148"/>
    </row>
    <row r="672" spans="2:6" x14ac:dyDescent="0.2">
      <c r="B672" s="198" t="s">
        <v>2522</v>
      </c>
      <c r="C672" s="197">
        <v>1836</v>
      </c>
      <c r="D672" s="147"/>
      <c r="E672" s="148"/>
      <c r="F672" s="148"/>
    </row>
    <row r="673" spans="2:6" x14ac:dyDescent="0.2">
      <c r="B673" s="198" t="s">
        <v>2521</v>
      </c>
      <c r="C673" s="197">
        <v>501</v>
      </c>
      <c r="D673" s="147"/>
      <c r="E673" s="148"/>
      <c r="F673" s="148"/>
    </row>
    <row r="674" spans="2:6" x14ac:dyDescent="0.2">
      <c r="B674" s="115" t="s">
        <v>2520</v>
      </c>
      <c r="C674" s="114">
        <v>41193</v>
      </c>
      <c r="D674" s="147"/>
      <c r="E674" s="148"/>
      <c r="F674" s="148"/>
    </row>
    <row r="675" spans="2:6" x14ac:dyDescent="0.2">
      <c r="B675" s="115" t="s">
        <v>2519</v>
      </c>
      <c r="C675" s="114">
        <v>8987</v>
      </c>
      <c r="D675" s="147"/>
      <c r="E675" s="148"/>
      <c r="F675" s="148"/>
    </row>
    <row r="676" spans="2:6" x14ac:dyDescent="0.2">
      <c r="B676" s="115" t="s">
        <v>2518</v>
      </c>
      <c r="C676" s="114">
        <v>3894</v>
      </c>
      <c r="D676" s="147"/>
      <c r="E676" s="148"/>
      <c r="F676" s="148"/>
    </row>
    <row r="677" spans="2:6" x14ac:dyDescent="0.2">
      <c r="B677" s="115" t="s">
        <v>2517</v>
      </c>
      <c r="C677" s="114">
        <v>2591</v>
      </c>
      <c r="D677" s="147"/>
      <c r="E677" s="148"/>
      <c r="F677" s="148"/>
    </row>
    <row r="678" spans="2:6" x14ac:dyDescent="0.2">
      <c r="B678" s="198" t="s">
        <v>2516</v>
      </c>
      <c r="C678" s="197">
        <v>222</v>
      </c>
      <c r="D678" s="147"/>
      <c r="E678" s="148"/>
      <c r="F678" s="148"/>
    </row>
    <row r="679" spans="2:6" x14ac:dyDescent="0.2">
      <c r="B679" s="198" t="s">
        <v>2515</v>
      </c>
      <c r="C679" s="197">
        <v>146</v>
      </c>
      <c r="D679" s="147"/>
      <c r="E679" s="148"/>
      <c r="F679" s="148"/>
    </row>
    <row r="680" spans="2:6" x14ac:dyDescent="0.2">
      <c r="B680" s="115" t="s">
        <v>2514</v>
      </c>
      <c r="C680" s="114">
        <v>4627</v>
      </c>
      <c r="D680" s="147"/>
      <c r="E680" s="148"/>
      <c r="F680" s="148"/>
    </row>
    <row r="681" spans="2:6" x14ac:dyDescent="0.2">
      <c r="B681" s="115" t="s">
        <v>2513</v>
      </c>
      <c r="C681" s="114">
        <v>2302</v>
      </c>
      <c r="D681" s="147"/>
      <c r="E681" s="148"/>
      <c r="F681" s="148"/>
    </row>
    <row r="682" spans="2:6" x14ac:dyDescent="0.2">
      <c r="B682" s="115" t="s">
        <v>2512</v>
      </c>
      <c r="C682" s="114">
        <v>3138</v>
      </c>
      <c r="D682" s="147"/>
      <c r="E682" s="148"/>
      <c r="F682" s="148"/>
    </row>
    <row r="683" spans="2:6" x14ac:dyDescent="0.2">
      <c r="B683" s="115" t="s">
        <v>2511</v>
      </c>
      <c r="C683" s="114">
        <v>1140</v>
      </c>
      <c r="D683" s="147"/>
      <c r="E683" s="148"/>
      <c r="F683" s="148"/>
    </row>
    <row r="684" spans="2:6" x14ac:dyDescent="0.2">
      <c r="B684" s="198" t="s">
        <v>2510</v>
      </c>
      <c r="C684" s="197">
        <v>1008</v>
      </c>
      <c r="D684" s="147"/>
      <c r="E684" s="148"/>
      <c r="F684" s="148"/>
    </row>
    <row r="685" spans="2:6" x14ac:dyDescent="0.2">
      <c r="B685" s="198" t="s">
        <v>2509</v>
      </c>
      <c r="C685" s="197">
        <v>204</v>
      </c>
      <c r="D685" s="147"/>
      <c r="E685" s="148"/>
      <c r="F685" s="148"/>
    </row>
    <row r="686" spans="2:6" x14ac:dyDescent="0.2">
      <c r="B686" s="115" t="s">
        <v>2508</v>
      </c>
      <c r="C686" s="114">
        <v>4109</v>
      </c>
      <c r="D686" s="147"/>
      <c r="E686" s="148"/>
      <c r="F686" s="148"/>
    </row>
    <row r="687" spans="2:6" x14ac:dyDescent="0.2">
      <c r="B687" s="115" t="s">
        <v>2507</v>
      </c>
      <c r="C687" s="114">
        <v>167</v>
      </c>
      <c r="D687" s="147"/>
      <c r="E687" s="148"/>
      <c r="F687" s="148"/>
    </row>
    <row r="688" spans="2:6" x14ac:dyDescent="0.2">
      <c r="B688" s="115" t="s">
        <v>2506</v>
      </c>
      <c r="C688" s="114">
        <v>9032</v>
      </c>
      <c r="D688" s="147"/>
      <c r="E688" s="148"/>
      <c r="F688" s="148"/>
    </row>
    <row r="689" spans="2:6" x14ac:dyDescent="0.2">
      <c r="B689" s="198" t="s">
        <v>2505</v>
      </c>
      <c r="C689" s="197">
        <v>100</v>
      </c>
      <c r="D689" s="147"/>
      <c r="E689" s="148"/>
      <c r="F689" s="148"/>
    </row>
    <row r="690" spans="2:6" x14ac:dyDescent="0.2">
      <c r="B690" s="115" t="s">
        <v>2504</v>
      </c>
      <c r="C690" s="114">
        <v>48686</v>
      </c>
      <c r="D690" s="147"/>
      <c r="E690" s="148"/>
      <c r="F690" s="148"/>
    </row>
    <row r="691" spans="2:6" x14ac:dyDescent="0.2">
      <c r="B691" s="115" t="s">
        <v>2503</v>
      </c>
      <c r="C691" s="114">
        <v>962</v>
      </c>
      <c r="D691" s="147"/>
      <c r="E691" s="148"/>
      <c r="F691" s="148"/>
    </row>
    <row r="692" spans="2:6" x14ac:dyDescent="0.2">
      <c r="B692" s="198" t="s">
        <v>2502</v>
      </c>
      <c r="C692" s="197">
        <v>215</v>
      </c>
      <c r="D692" s="147"/>
      <c r="E692" s="148"/>
      <c r="F692" s="148"/>
    </row>
    <row r="693" spans="2:6" x14ac:dyDescent="0.2">
      <c r="B693" s="198" t="s">
        <v>2501</v>
      </c>
      <c r="C693" s="197">
        <v>333</v>
      </c>
      <c r="D693" s="147"/>
      <c r="E693" s="148"/>
      <c r="F693" s="148"/>
    </row>
    <row r="694" spans="2:6" x14ac:dyDescent="0.2">
      <c r="B694" s="198" t="s">
        <v>2500</v>
      </c>
      <c r="C694" s="197">
        <v>1404</v>
      </c>
      <c r="D694" s="147"/>
      <c r="E694" s="148"/>
      <c r="F694" s="148"/>
    </row>
    <row r="695" spans="2:6" x14ac:dyDescent="0.2">
      <c r="B695" s="115" t="s">
        <v>2499</v>
      </c>
      <c r="C695" s="114">
        <v>479</v>
      </c>
      <c r="D695" s="147"/>
      <c r="E695" s="148"/>
      <c r="F695" s="148"/>
    </row>
    <row r="696" spans="2:6" x14ac:dyDescent="0.2">
      <c r="B696" s="115" t="s">
        <v>2498</v>
      </c>
      <c r="C696" s="114">
        <v>1204</v>
      </c>
      <c r="D696" s="147"/>
      <c r="E696" s="148"/>
      <c r="F696" s="148"/>
    </row>
    <row r="697" spans="2:6" x14ac:dyDescent="0.2">
      <c r="B697" s="198" t="s">
        <v>2497</v>
      </c>
      <c r="C697" s="197">
        <v>658</v>
      </c>
      <c r="D697" s="147"/>
      <c r="E697" s="148"/>
      <c r="F697" s="148"/>
    </row>
    <row r="698" spans="2:6" x14ac:dyDescent="0.2">
      <c r="B698" s="115" t="s">
        <v>2496</v>
      </c>
      <c r="C698" s="114">
        <v>507</v>
      </c>
      <c r="D698" s="147"/>
      <c r="E698" s="148"/>
      <c r="F698" s="148"/>
    </row>
    <row r="699" spans="2:6" x14ac:dyDescent="0.2">
      <c r="B699" s="198" t="s">
        <v>2495</v>
      </c>
      <c r="C699" s="197">
        <v>1948</v>
      </c>
      <c r="D699" s="147"/>
      <c r="E699" s="148"/>
      <c r="F699" s="148"/>
    </row>
    <row r="700" spans="2:6" x14ac:dyDescent="0.2">
      <c r="B700" s="115" t="s">
        <v>2494</v>
      </c>
      <c r="C700" s="114">
        <v>1010</v>
      </c>
      <c r="D700" s="147"/>
      <c r="E700" s="148"/>
      <c r="F700" s="148"/>
    </row>
    <row r="701" spans="2:6" x14ac:dyDescent="0.2">
      <c r="B701" s="198" t="s">
        <v>2493</v>
      </c>
      <c r="C701" s="197">
        <v>51</v>
      </c>
      <c r="D701" s="147"/>
      <c r="E701" s="148"/>
      <c r="F701" s="148"/>
    </row>
    <row r="702" spans="2:6" x14ac:dyDescent="0.2">
      <c r="B702" s="198" t="s">
        <v>2492</v>
      </c>
      <c r="C702" s="197">
        <v>1054</v>
      </c>
      <c r="D702" s="147"/>
      <c r="E702" s="148"/>
      <c r="F702" s="148"/>
    </row>
    <row r="703" spans="2:6" x14ac:dyDescent="0.2">
      <c r="B703" s="198" t="s">
        <v>2491</v>
      </c>
      <c r="C703" s="197">
        <v>337</v>
      </c>
      <c r="D703" s="147"/>
      <c r="E703" s="148"/>
      <c r="F703" s="148"/>
    </row>
    <row r="704" spans="2:6" x14ac:dyDescent="0.2">
      <c r="B704" s="198" t="s">
        <v>2490</v>
      </c>
      <c r="C704" s="197">
        <v>473</v>
      </c>
      <c r="D704" s="147"/>
      <c r="E704" s="148"/>
      <c r="F704" s="148"/>
    </row>
    <row r="705" spans="2:6" x14ac:dyDescent="0.2">
      <c r="B705" s="115" t="s">
        <v>2489</v>
      </c>
      <c r="C705" s="114">
        <v>4772</v>
      </c>
      <c r="D705" s="147"/>
      <c r="E705" s="148"/>
      <c r="F705" s="148"/>
    </row>
    <row r="706" spans="2:6" x14ac:dyDescent="0.2">
      <c r="B706" s="115" t="s">
        <v>2488</v>
      </c>
      <c r="C706" s="114">
        <v>388</v>
      </c>
      <c r="D706" s="147"/>
      <c r="E706" s="148"/>
      <c r="F706" s="148"/>
    </row>
    <row r="707" spans="2:6" x14ac:dyDescent="0.2">
      <c r="B707" s="115" t="s">
        <v>2487</v>
      </c>
      <c r="C707" s="114">
        <v>853</v>
      </c>
      <c r="D707" s="147"/>
      <c r="E707" s="148"/>
      <c r="F707" s="148"/>
    </row>
    <row r="708" spans="2:6" x14ac:dyDescent="0.2">
      <c r="B708" s="115" t="s">
        <v>2486</v>
      </c>
      <c r="C708" s="114">
        <v>655</v>
      </c>
      <c r="D708" s="147"/>
      <c r="E708" s="148"/>
      <c r="F708" s="148"/>
    </row>
    <row r="709" spans="2:6" x14ac:dyDescent="0.2">
      <c r="B709" s="115" t="s">
        <v>2485</v>
      </c>
      <c r="C709" s="114">
        <v>352</v>
      </c>
      <c r="D709" s="147"/>
      <c r="E709" s="148"/>
      <c r="F709" s="148"/>
    </row>
    <row r="710" spans="2:6" x14ac:dyDescent="0.2">
      <c r="B710" s="198" t="s">
        <v>2484</v>
      </c>
      <c r="C710" s="197">
        <v>301</v>
      </c>
      <c r="D710" s="147"/>
      <c r="E710" s="148"/>
      <c r="F710" s="148"/>
    </row>
    <row r="711" spans="2:6" x14ac:dyDescent="0.2">
      <c r="B711" s="115" t="s">
        <v>2483</v>
      </c>
      <c r="C711" s="114">
        <v>519</v>
      </c>
      <c r="D711" s="147"/>
      <c r="E711" s="148"/>
      <c r="F711" s="148"/>
    </row>
    <row r="712" spans="2:6" x14ac:dyDescent="0.2">
      <c r="B712" s="115" t="s">
        <v>2482</v>
      </c>
      <c r="C712" s="114">
        <v>448</v>
      </c>
      <c r="D712" s="147"/>
      <c r="E712" s="148"/>
      <c r="F712" s="148"/>
    </row>
    <row r="713" spans="2:6" x14ac:dyDescent="0.2">
      <c r="B713" s="198" t="s">
        <v>2481</v>
      </c>
      <c r="C713" s="197">
        <v>667</v>
      </c>
      <c r="D713" s="147"/>
      <c r="E713" s="148"/>
      <c r="F713" s="148"/>
    </row>
    <row r="714" spans="2:6" x14ac:dyDescent="0.2">
      <c r="B714" s="115" t="s">
        <v>2480</v>
      </c>
      <c r="C714" s="114">
        <v>1282</v>
      </c>
      <c r="D714" s="147"/>
      <c r="E714" s="148"/>
      <c r="F714" s="148"/>
    </row>
    <row r="715" spans="2:6" x14ac:dyDescent="0.2">
      <c r="B715" s="115" t="s">
        <v>2479</v>
      </c>
      <c r="C715" s="114">
        <v>4231</v>
      </c>
      <c r="D715" s="147"/>
      <c r="E715" s="148"/>
      <c r="F715" s="148"/>
    </row>
    <row r="716" spans="2:6" x14ac:dyDescent="0.2">
      <c r="B716" s="115" t="s">
        <v>2478</v>
      </c>
      <c r="C716" s="114">
        <v>220</v>
      </c>
      <c r="D716" s="147"/>
      <c r="E716" s="148"/>
      <c r="F716" s="148"/>
    </row>
    <row r="717" spans="2:6" x14ac:dyDescent="0.2">
      <c r="B717" s="115" t="s">
        <v>2477</v>
      </c>
      <c r="C717" s="114">
        <v>2363</v>
      </c>
      <c r="D717" s="147"/>
      <c r="E717" s="148"/>
      <c r="F717" s="148"/>
    </row>
    <row r="718" spans="2:6" x14ac:dyDescent="0.2">
      <c r="B718" s="115" t="s">
        <v>2476</v>
      </c>
      <c r="C718" s="114">
        <v>4712</v>
      </c>
      <c r="D718" s="147"/>
      <c r="E718" s="148"/>
      <c r="F718" s="148"/>
    </row>
    <row r="719" spans="2:6" x14ac:dyDescent="0.2">
      <c r="B719" s="115" t="s">
        <v>2475</v>
      </c>
      <c r="C719" s="114">
        <v>6032</v>
      </c>
      <c r="D719" s="147"/>
      <c r="E719" s="148"/>
      <c r="F719" s="148"/>
    </row>
    <row r="720" spans="2:6" x14ac:dyDescent="0.2">
      <c r="B720" s="115" t="s">
        <v>2474</v>
      </c>
      <c r="C720" s="114">
        <v>1768</v>
      </c>
      <c r="D720" s="147"/>
      <c r="E720" s="148"/>
      <c r="F720" s="148"/>
    </row>
    <row r="721" spans="2:6" x14ac:dyDescent="0.2">
      <c r="B721" s="115" t="s">
        <v>2473</v>
      </c>
      <c r="C721" s="114">
        <v>1116</v>
      </c>
      <c r="D721" s="147"/>
      <c r="E721" s="148"/>
      <c r="F721" s="148"/>
    </row>
    <row r="722" spans="2:6" x14ac:dyDescent="0.2">
      <c r="B722" s="198" t="s">
        <v>2472</v>
      </c>
      <c r="C722" s="197">
        <v>314</v>
      </c>
      <c r="D722" s="147"/>
      <c r="E722" s="148"/>
      <c r="F722" s="148"/>
    </row>
    <row r="723" spans="2:6" x14ac:dyDescent="0.2">
      <c r="B723" s="115" t="s">
        <v>2471</v>
      </c>
      <c r="C723" s="114">
        <v>1873</v>
      </c>
      <c r="D723" s="147"/>
      <c r="E723" s="148"/>
      <c r="F723" s="148"/>
    </row>
    <row r="724" spans="2:6" x14ac:dyDescent="0.2">
      <c r="B724" s="115" t="s">
        <v>2470</v>
      </c>
      <c r="C724" s="114">
        <v>6483</v>
      </c>
      <c r="D724" s="147"/>
      <c r="E724" s="148"/>
      <c r="F724" s="148"/>
    </row>
    <row r="725" spans="2:6" x14ac:dyDescent="0.2">
      <c r="B725" s="198" t="s">
        <v>2469</v>
      </c>
      <c r="C725" s="197">
        <v>371</v>
      </c>
      <c r="D725" s="147"/>
      <c r="E725" s="148"/>
      <c r="F725" s="148"/>
    </row>
    <row r="726" spans="2:6" x14ac:dyDescent="0.2">
      <c r="B726" s="115" t="s">
        <v>2468</v>
      </c>
      <c r="C726" s="114">
        <v>1017</v>
      </c>
      <c r="D726" s="147"/>
      <c r="E726" s="148"/>
      <c r="F726" s="148"/>
    </row>
    <row r="727" spans="2:6" x14ac:dyDescent="0.2">
      <c r="B727" s="198" t="s">
        <v>2467</v>
      </c>
      <c r="C727" s="197">
        <v>539</v>
      </c>
      <c r="D727" s="147"/>
      <c r="E727" s="148"/>
      <c r="F727" s="148"/>
    </row>
    <row r="728" spans="2:6" x14ac:dyDescent="0.2">
      <c r="B728" s="198" t="s">
        <v>2466</v>
      </c>
      <c r="C728" s="197">
        <v>610</v>
      </c>
      <c r="D728" s="147"/>
      <c r="E728" s="148"/>
      <c r="F728" s="148"/>
    </row>
    <row r="729" spans="2:6" x14ac:dyDescent="0.2">
      <c r="B729" s="198" t="s">
        <v>2465</v>
      </c>
      <c r="C729" s="197">
        <v>7986</v>
      </c>
      <c r="D729" s="147"/>
      <c r="E729" s="148"/>
      <c r="F729" s="148"/>
    </row>
    <row r="730" spans="2:6" x14ac:dyDescent="0.2">
      <c r="B730" s="115" t="s">
        <v>2464</v>
      </c>
      <c r="C730" s="114">
        <v>71495</v>
      </c>
      <c r="D730" s="147"/>
      <c r="E730" s="148"/>
      <c r="F730" s="148"/>
    </row>
    <row r="731" spans="2:6" x14ac:dyDescent="0.2">
      <c r="B731" s="115" t="s">
        <v>2463</v>
      </c>
      <c r="C731" s="114">
        <v>915</v>
      </c>
      <c r="D731" s="147"/>
      <c r="E731" s="148"/>
      <c r="F731" s="148"/>
    </row>
    <row r="732" spans="2:6" x14ac:dyDescent="0.2">
      <c r="B732" s="198" t="s">
        <v>2462</v>
      </c>
      <c r="C732" s="197">
        <v>523</v>
      </c>
      <c r="D732" s="147"/>
      <c r="E732" s="148"/>
      <c r="F732" s="148"/>
    </row>
    <row r="733" spans="2:6" x14ac:dyDescent="0.2">
      <c r="B733" s="198" t="s">
        <v>2461</v>
      </c>
      <c r="C733" s="197">
        <v>10026</v>
      </c>
      <c r="D733" s="147"/>
      <c r="E733" s="148"/>
      <c r="F733" s="148"/>
    </row>
    <row r="734" spans="2:6" x14ac:dyDescent="0.2">
      <c r="B734" s="115" t="s">
        <v>2460</v>
      </c>
      <c r="C734" s="114">
        <v>634</v>
      </c>
      <c r="D734" s="147"/>
      <c r="E734" s="148"/>
      <c r="F734" s="148"/>
    </row>
    <row r="735" spans="2:6" x14ac:dyDescent="0.2">
      <c r="B735" s="198" t="s">
        <v>2459</v>
      </c>
      <c r="C735" s="197">
        <v>450</v>
      </c>
      <c r="D735" s="147"/>
      <c r="E735" s="148"/>
      <c r="F735" s="148"/>
    </row>
    <row r="736" spans="2:6" x14ac:dyDescent="0.2">
      <c r="B736" s="198" t="s">
        <v>2458</v>
      </c>
      <c r="C736" s="197">
        <v>83</v>
      </c>
      <c r="D736" s="147"/>
      <c r="E736" s="148"/>
      <c r="F736" s="148"/>
    </row>
    <row r="737" spans="2:6" x14ac:dyDescent="0.2">
      <c r="B737" s="198" t="s">
        <v>2457</v>
      </c>
      <c r="C737" s="197">
        <v>309</v>
      </c>
      <c r="D737" s="147"/>
      <c r="E737" s="148"/>
      <c r="F737" s="148"/>
    </row>
    <row r="738" spans="2:6" x14ac:dyDescent="0.2">
      <c r="B738" s="115" t="s">
        <v>2456</v>
      </c>
      <c r="C738" s="114">
        <v>519</v>
      </c>
      <c r="D738" s="147"/>
      <c r="E738" s="148"/>
      <c r="F738" s="148"/>
    </row>
    <row r="739" spans="2:6" x14ac:dyDescent="0.2">
      <c r="B739" s="115" t="s">
        <v>2455</v>
      </c>
      <c r="C739" s="114">
        <v>3291</v>
      </c>
      <c r="D739" s="147"/>
      <c r="E739" s="148"/>
      <c r="F739" s="148"/>
    </row>
    <row r="740" spans="2:6" x14ac:dyDescent="0.2">
      <c r="B740" s="198" t="s">
        <v>2454</v>
      </c>
      <c r="C740" s="197">
        <v>1014</v>
      </c>
      <c r="D740" s="147"/>
      <c r="E740" s="148"/>
      <c r="F740" s="148"/>
    </row>
    <row r="741" spans="2:6" x14ac:dyDescent="0.2">
      <c r="B741" s="115" t="s">
        <v>2453</v>
      </c>
      <c r="C741" s="114">
        <v>1616</v>
      </c>
      <c r="D741" s="147"/>
      <c r="E741" s="148"/>
      <c r="F741" s="148"/>
    </row>
    <row r="742" spans="2:6" x14ac:dyDescent="0.2">
      <c r="B742" s="115" t="s">
        <v>2452</v>
      </c>
      <c r="C742" s="114">
        <v>2756</v>
      </c>
      <c r="D742" s="147"/>
      <c r="E742" s="148"/>
      <c r="F742" s="148"/>
    </row>
    <row r="743" spans="2:6" x14ac:dyDescent="0.2">
      <c r="B743" s="115" t="s">
        <v>2451</v>
      </c>
      <c r="C743" s="114">
        <v>539</v>
      </c>
      <c r="D743" s="147"/>
      <c r="E743" s="148"/>
      <c r="F743" s="148"/>
    </row>
    <row r="744" spans="2:6" x14ac:dyDescent="0.2">
      <c r="B744" s="198" t="s">
        <v>2450</v>
      </c>
      <c r="C744" s="197">
        <v>3393</v>
      </c>
      <c r="D744" s="147"/>
      <c r="E744" s="148"/>
      <c r="F744" s="148"/>
    </row>
    <row r="745" spans="2:6" x14ac:dyDescent="0.2">
      <c r="B745" s="198" t="s">
        <v>2449</v>
      </c>
      <c r="C745" s="197">
        <v>706</v>
      </c>
      <c r="D745" s="147"/>
      <c r="E745" s="148"/>
      <c r="F745" s="148"/>
    </row>
    <row r="746" spans="2:6" x14ac:dyDescent="0.2">
      <c r="B746" s="115" t="s">
        <v>2448</v>
      </c>
      <c r="C746" s="114">
        <v>247</v>
      </c>
      <c r="D746" s="147"/>
      <c r="E746" s="148"/>
      <c r="F746" s="148"/>
    </row>
    <row r="747" spans="2:6" x14ac:dyDescent="0.2">
      <c r="B747" s="115" t="s">
        <v>2447</v>
      </c>
      <c r="C747" s="114">
        <v>1234</v>
      </c>
      <c r="D747" s="147"/>
      <c r="E747" s="148"/>
      <c r="F747" s="148"/>
    </row>
    <row r="748" spans="2:6" x14ac:dyDescent="0.2">
      <c r="B748" s="115" t="s">
        <v>2446</v>
      </c>
      <c r="C748" s="114">
        <v>630</v>
      </c>
      <c r="D748" s="147"/>
      <c r="E748" s="148"/>
      <c r="F748" s="148"/>
    </row>
    <row r="749" spans="2:6" x14ac:dyDescent="0.2">
      <c r="B749" s="115" t="s">
        <v>2445</v>
      </c>
      <c r="C749" s="114">
        <v>439</v>
      </c>
      <c r="D749" s="147"/>
      <c r="E749" s="148"/>
      <c r="F749" s="148"/>
    </row>
    <row r="750" spans="2:6" x14ac:dyDescent="0.2">
      <c r="B750" s="115" t="s">
        <v>2444</v>
      </c>
      <c r="C750" s="114">
        <v>28521</v>
      </c>
      <c r="D750" s="147"/>
      <c r="E750" s="148"/>
      <c r="F750" s="148"/>
    </row>
    <row r="751" spans="2:6" x14ac:dyDescent="0.2">
      <c r="B751" s="198" t="s">
        <v>2443</v>
      </c>
      <c r="C751" s="197">
        <v>567</v>
      </c>
      <c r="D751" s="147"/>
      <c r="E751" s="148"/>
      <c r="F751" s="148"/>
    </row>
    <row r="752" spans="2:6" x14ac:dyDescent="0.2">
      <c r="B752" s="198" t="s">
        <v>2442</v>
      </c>
      <c r="C752" s="197">
        <v>1294</v>
      </c>
      <c r="D752" s="147"/>
      <c r="E752" s="148"/>
      <c r="F752" s="148"/>
    </row>
    <row r="753" spans="2:6" x14ac:dyDescent="0.2">
      <c r="B753" s="115" t="s">
        <v>2441</v>
      </c>
      <c r="C753" s="114">
        <v>4510</v>
      </c>
      <c r="D753" s="147"/>
      <c r="E753" s="148"/>
      <c r="F753" s="148"/>
    </row>
    <row r="754" spans="2:6" x14ac:dyDescent="0.2">
      <c r="B754" s="115" t="s">
        <v>2440</v>
      </c>
      <c r="C754" s="114">
        <v>1644</v>
      </c>
      <c r="D754" s="147"/>
      <c r="E754" s="148"/>
      <c r="F754" s="148"/>
    </row>
    <row r="755" spans="2:6" x14ac:dyDescent="0.2">
      <c r="B755" s="115" t="s">
        <v>2439</v>
      </c>
      <c r="C755" s="114">
        <v>1847</v>
      </c>
      <c r="D755" s="147"/>
      <c r="E755" s="148"/>
      <c r="F755" s="148"/>
    </row>
    <row r="756" spans="2:6" x14ac:dyDescent="0.2">
      <c r="B756" s="198" t="s">
        <v>2438</v>
      </c>
      <c r="C756" s="197">
        <v>652</v>
      </c>
      <c r="D756" s="147"/>
      <c r="E756" s="148"/>
      <c r="F756" s="148"/>
    </row>
    <row r="757" spans="2:6" x14ac:dyDescent="0.2">
      <c r="B757" s="115" t="s">
        <v>2437</v>
      </c>
      <c r="C757" s="114">
        <v>4035</v>
      </c>
      <c r="D757" s="147"/>
      <c r="E757" s="148"/>
      <c r="F757" s="148"/>
    </row>
    <row r="758" spans="2:6" x14ac:dyDescent="0.2">
      <c r="B758" s="198" t="s">
        <v>2436</v>
      </c>
      <c r="C758" s="197">
        <v>510</v>
      </c>
      <c r="D758" s="147"/>
      <c r="E758" s="148"/>
      <c r="F758" s="148"/>
    </row>
    <row r="759" spans="2:6" x14ac:dyDescent="0.2">
      <c r="B759" s="115" t="s">
        <v>2435</v>
      </c>
      <c r="C759" s="114">
        <v>1549</v>
      </c>
      <c r="D759" s="147"/>
      <c r="E759" s="148"/>
      <c r="F759" s="148"/>
    </row>
    <row r="760" spans="2:6" x14ac:dyDescent="0.2">
      <c r="B760" s="115" t="s">
        <v>2434</v>
      </c>
      <c r="C760" s="114">
        <v>309</v>
      </c>
      <c r="D760" s="147"/>
      <c r="E760" s="148"/>
      <c r="F760" s="148"/>
    </row>
    <row r="761" spans="2:6" x14ac:dyDescent="0.2">
      <c r="B761" s="198" t="s">
        <v>2433</v>
      </c>
      <c r="C761" s="197">
        <v>1890</v>
      </c>
      <c r="D761" s="147"/>
      <c r="E761" s="148"/>
      <c r="F761" s="148"/>
    </row>
    <row r="762" spans="2:6" x14ac:dyDescent="0.2">
      <c r="B762" s="115" t="s">
        <v>2432</v>
      </c>
      <c r="C762" s="114">
        <v>400</v>
      </c>
      <c r="D762" s="147"/>
      <c r="E762" s="148"/>
      <c r="F762" s="148"/>
    </row>
    <row r="763" spans="2:6" x14ac:dyDescent="0.2">
      <c r="B763" s="115" t="s">
        <v>2431</v>
      </c>
      <c r="C763" s="114">
        <v>1890</v>
      </c>
      <c r="D763" s="147"/>
      <c r="E763" s="148"/>
      <c r="F763" s="148"/>
    </row>
    <row r="764" spans="2:6" x14ac:dyDescent="0.2">
      <c r="B764" s="115" t="s">
        <v>2430</v>
      </c>
      <c r="C764" s="114">
        <v>3414</v>
      </c>
      <c r="D764" s="147"/>
      <c r="E764" s="148"/>
      <c r="F764" s="148"/>
    </row>
    <row r="765" spans="2:6" x14ac:dyDescent="0.2">
      <c r="B765" s="198" t="s">
        <v>2429</v>
      </c>
      <c r="C765" s="197">
        <v>179</v>
      </c>
      <c r="D765" s="147"/>
      <c r="E765" s="148"/>
      <c r="F765" s="148"/>
    </row>
    <row r="766" spans="2:6" x14ac:dyDescent="0.2">
      <c r="B766" s="198" t="s">
        <v>2428</v>
      </c>
      <c r="C766" s="197">
        <v>282</v>
      </c>
      <c r="D766" s="147"/>
      <c r="E766" s="148"/>
      <c r="F766" s="148"/>
    </row>
    <row r="767" spans="2:6" x14ac:dyDescent="0.2">
      <c r="B767" s="115" t="s">
        <v>2427</v>
      </c>
      <c r="C767" s="114">
        <v>6000</v>
      </c>
      <c r="D767" s="147"/>
      <c r="E767" s="148"/>
      <c r="F767" s="148"/>
    </row>
    <row r="768" spans="2:6" x14ac:dyDescent="0.2">
      <c r="B768" s="115" t="s">
        <v>2426</v>
      </c>
      <c r="C768" s="114">
        <v>6809</v>
      </c>
      <c r="D768" s="147"/>
      <c r="E768" s="148"/>
      <c r="F768" s="148"/>
    </row>
    <row r="769" spans="2:6" x14ac:dyDescent="0.2">
      <c r="B769" s="115" t="s">
        <v>2425</v>
      </c>
      <c r="C769" s="114">
        <v>472</v>
      </c>
      <c r="D769" s="147"/>
      <c r="E769" s="148"/>
      <c r="F769" s="148"/>
    </row>
    <row r="770" spans="2:6" x14ac:dyDescent="0.2">
      <c r="B770" s="115" t="s">
        <v>2424</v>
      </c>
      <c r="C770" s="114">
        <v>2098</v>
      </c>
      <c r="D770" s="147"/>
      <c r="E770" s="148"/>
      <c r="F770" s="148"/>
    </row>
    <row r="771" spans="2:6" x14ac:dyDescent="0.2">
      <c r="B771" s="198" t="s">
        <v>2423</v>
      </c>
      <c r="C771" s="197">
        <v>187</v>
      </c>
      <c r="D771" s="147"/>
      <c r="E771" s="148"/>
      <c r="F771" s="148"/>
    </row>
    <row r="772" spans="2:6" x14ac:dyDescent="0.2">
      <c r="B772" s="198" t="s">
        <v>2422</v>
      </c>
      <c r="C772" s="197">
        <v>676</v>
      </c>
      <c r="D772" s="147"/>
      <c r="E772" s="148"/>
      <c r="F772" s="148"/>
    </row>
    <row r="773" spans="2:6" x14ac:dyDescent="0.2">
      <c r="B773" s="115" t="s">
        <v>2421</v>
      </c>
      <c r="C773" s="114">
        <v>2014</v>
      </c>
      <c r="D773" s="147"/>
      <c r="E773" s="148"/>
      <c r="F773" s="148"/>
    </row>
    <row r="774" spans="2:6" x14ac:dyDescent="0.2">
      <c r="B774" s="198" t="s">
        <v>2420</v>
      </c>
      <c r="C774" s="197">
        <v>1023</v>
      </c>
      <c r="D774" s="147"/>
      <c r="E774" s="148"/>
      <c r="F774" s="148"/>
    </row>
    <row r="775" spans="2:6" x14ac:dyDescent="0.2">
      <c r="B775" s="198" t="s">
        <v>2419</v>
      </c>
      <c r="C775" s="197">
        <v>1085</v>
      </c>
      <c r="D775" s="147"/>
      <c r="E775" s="148"/>
      <c r="F775" s="148"/>
    </row>
    <row r="776" spans="2:6" x14ac:dyDescent="0.2">
      <c r="B776" s="115" t="s">
        <v>2418</v>
      </c>
      <c r="C776" s="114">
        <v>973</v>
      </c>
      <c r="D776" s="147"/>
      <c r="E776" s="148"/>
      <c r="F776" s="148"/>
    </row>
    <row r="777" spans="2:6" x14ac:dyDescent="0.2">
      <c r="B777" s="198" t="s">
        <v>2417</v>
      </c>
      <c r="C777" s="197">
        <v>234</v>
      </c>
      <c r="D777" s="147"/>
      <c r="E777" s="148"/>
      <c r="F777" s="148"/>
    </row>
    <row r="778" spans="2:6" x14ac:dyDescent="0.2">
      <c r="B778" s="198" t="s">
        <v>2416</v>
      </c>
      <c r="C778" s="197">
        <v>498</v>
      </c>
      <c r="D778" s="147"/>
      <c r="E778" s="148"/>
      <c r="F778" s="148"/>
    </row>
    <row r="779" spans="2:6" x14ac:dyDescent="0.2">
      <c r="B779" s="115" t="s">
        <v>2415</v>
      </c>
      <c r="C779" s="114">
        <v>833</v>
      </c>
      <c r="D779" s="147"/>
      <c r="E779" s="148"/>
      <c r="F779" s="148"/>
    </row>
    <row r="780" spans="2:6" x14ac:dyDescent="0.2">
      <c r="B780" s="198" t="s">
        <v>2414</v>
      </c>
      <c r="C780" s="197">
        <v>117</v>
      </c>
      <c r="D780" s="147"/>
      <c r="E780" s="148"/>
      <c r="F780" s="148"/>
    </row>
    <row r="781" spans="2:6" x14ac:dyDescent="0.2">
      <c r="B781" s="115" t="s">
        <v>2413</v>
      </c>
      <c r="C781" s="114">
        <v>219</v>
      </c>
      <c r="D781" s="147"/>
      <c r="E781" s="148"/>
      <c r="F781" s="148"/>
    </row>
    <row r="782" spans="2:6" x14ac:dyDescent="0.2">
      <c r="B782" s="198" t="s">
        <v>2412</v>
      </c>
      <c r="C782" s="197">
        <v>168</v>
      </c>
      <c r="D782" s="147"/>
      <c r="E782" s="148"/>
      <c r="F782" s="148"/>
    </row>
    <row r="783" spans="2:6" x14ac:dyDescent="0.2">
      <c r="B783" s="198" t="s">
        <v>2411</v>
      </c>
      <c r="C783" s="197">
        <v>355</v>
      </c>
      <c r="D783" s="147"/>
      <c r="E783" s="148"/>
      <c r="F783" s="148"/>
    </row>
    <row r="784" spans="2:6" x14ac:dyDescent="0.2">
      <c r="B784" s="198" t="s">
        <v>2410</v>
      </c>
      <c r="C784" s="197">
        <v>1003</v>
      </c>
      <c r="D784" s="147"/>
      <c r="E784" s="148"/>
      <c r="F784" s="148"/>
    </row>
    <row r="785" spans="2:6" x14ac:dyDescent="0.2">
      <c r="B785" s="115" t="s">
        <v>2409</v>
      </c>
      <c r="C785" s="114">
        <v>251</v>
      </c>
      <c r="D785" s="147"/>
      <c r="E785" s="148"/>
      <c r="F785" s="148"/>
    </row>
    <row r="786" spans="2:6" x14ac:dyDescent="0.2">
      <c r="B786" s="115" t="s">
        <v>2408</v>
      </c>
      <c r="C786" s="114">
        <v>311</v>
      </c>
      <c r="D786" s="147"/>
      <c r="E786" s="148"/>
      <c r="F786" s="148"/>
    </row>
    <row r="787" spans="2:6" x14ac:dyDescent="0.2">
      <c r="B787" s="198" t="s">
        <v>2407</v>
      </c>
      <c r="C787" s="197">
        <v>563</v>
      </c>
      <c r="D787" s="147"/>
      <c r="E787" s="148"/>
      <c r="F787" s="148"/>
    </row>
    <row r="788" spans="2:6" x14ac:dyDescent="0.2">
      <c r="B788" s="198" t="s">
        <v>2406</v>
      </c>
      <c r="C788" s="197">
        <v>869</v>
      </c>
      <c r="D788" s="147"/>
      <c r="E788" s="148"/>
      <c r="F788" s="148"/>
    </row>
    <row r="789" spans="2:6" x14ac:dyDescent="0.2">
      <c r="B789" s="115" t="s">
        <v>2405</v>
      </c>
      <c r="C789" s="114">
        <v>1008</v>
      </c>
      <c r="D789" s="147"/>
      <c r="E789" s="148"/>
      <c r="F789" s="148"/>
    </row>
    <row r="790" spans="2:6" x14ac:dyDescent="0.2">
      <c r="B790" s="115" t="s">
        <v>2404</v>
      </c>
      <c r="C790" s="114">
        <v>2093</v>
      </c>
      <c r="D790" s="147"/>
      <c r="E790" s="148"/>
      <c r="F790" s="148"/>
    </row>
    <row r="791" spans="2:6" x14ac:dyDescent="0.2">
      <c r="B791" s="115" t="s">
        <v>2403</v>
      </c>
      <c r="C791" s="114">
        <v>686</v>
      </c>
      <c r="D791" s="147"/>
      <c r="E791" s="148"/>
      <c r="F791" s="148"/>
    </row>
    <row r="792" spans="2:6" x14ac:dyDescent="0.2">
      <c r="B792" s="198" t="s">
        <v>2402</v>
      </c>
      <c r="C792" s="197">
        <v>3756</v>
      </c>
      <c r="D792" s="147"/>
      <c r="E792" s="148"/>
      <c r="F792" s="148"/>
    </row>
    <row r="793" spans="2:6" x14ac:dyDescent="0.2">
      <c r="B793" s="115" t="s">
        <v>2401</v>
      </c>
      <c r="C793" s="114">
        <v>571</v>
      </c>
      <c r="D793" s="147"/>
      <c r="E793" s="148"/>
      <c r="F793" s="148"/>
    </row>
    <row r="794" spans="2:6" x14ac:dyDescent="0.2">
      <c r="B794" s="115" t="s">
        <v>2400</v>
      </c>
      <c r="C794" s="114">
        <v>746</v>
      </c>
      <c r="D794" s="147"/>
      <c r="E794" s="148"/>
      <c r="F794" s="148"/>
    </row>
    <row r="795" spans="2:6" x14ac:dyDescent="0.2">
      <c r="B795" s="115" t="s">
        <v>2399</v>
      </c>
      <c r="C795" s="114">
        <v>316</v>
      </c>
      <c r="D795" s="147"/>
      <c r="E795" s="148"/>
      <c r="F795" s="148"/>
    </row>
    <row r="796" spans="2:6" x14ac:dyDescent="0.2">
      <c r="B796" s="115" t="s">
        <v>2398</v>
      </c>
      <c r="C796" s="114">
        <v>15</v>
      </c>
      <c r="D796" s="147"/>
      <c r="E796" s="148"/>
      <c r="F796" s="148"/>
    </row>
    <row r="797" spans="2:6" x14ac:dyDescent="0.2">
      <c r="B797" s="115" t="s">
        <v>2397</v>
      </c>
      <c r="C797" s="114">
        <v>1681</v>
      </c>
      <c r="D797" s="147"/>
      <c r="E797" s="148"/>
      <c r="F797" s="148"/>
    </row>
    <row r="798" spans="2:6" x14ac:dyDescent="0.2">
      <c r="B798" s="198" t="s">
        <v>2396</v>
      </c>
      <c r="C798" s="197">
        <v>715</v>
      </c>
      <c r="D798" s="147"/>
      <c r="E798" s="148"/>
      <c r="F798" s="148"/>
    </row>
    <row r="799" spans="2:6" x14ac:dyDescent="0.2">
      <c r="B799" s="115" t="s">
        <v>2395</v>
      </c>
      <c r="C799" s="114">
        <v>523</v>
      </c>
      <c r="D799" s="147"/>
      <c r="E799" s="148"/>
      <c r="F799" s="148"/>
    </row>
    <row r="800" spans="2:6" x14ac:dyDescent="0.2">
      <c r="B800" s="115" t="s">
        <v>2394</v>
      </c>
      <c r="C800" s="114">
        <v>3444</v>
      </c>
      <c r="D800" s="147"/>
      <c r="E800" s="148"/>
      <c r="F800" s="148"/>
    </row>
    <row r="801" spans="2:6" x14ac:dyDescent="0.2">
      <c r="B801" s="198" t="s">
        <v>2393</v>
      </c>
      <c r="C801" s="197">
        <v>632</v>
      </c>
      <c r="D801" s="147"/>
      <c r="E801" s="148"/>
      <c r="F801" s="148"/>
    </row>
    <row r="802" spans="2:6" x14ac:dyDescent="0.2">
      <c r="B802" s="115" t="s">
        <v>2392</v>
      </c>
      <c r="C802" s="114">
        <v>127</v>
      </c>
      <c r="D802" s="147"/>
      <c r="E802" s="148"/>
      <c r="F802" s="148"/>
    </row>
    <row r="803" spans="2:6" x14ac:dyDescent="0.2">
      <c r="B803" s="115" t="s">
        <v>2391</v>
      </c>
      <c r="C803" s="114">
        <v>565</v>
      </c>
      <c r="D803" s="147"/>
      <c r="E803" s="148"/>
      <c r="F803" s="148"/>
    </row>
    <row r="804" spans="2:6" x14ac:dyDescent="0.2">
      <c r="B804" s="115" t="s">
        <v>2390</v>
      </c>
      <c r="C804" s="114">
        <v>6375</v>
      </c>
      <c r="D804" s="147"/>
      <c r="E804" s="148"/>
      <c r="F804" s="148"/>
    </row>
    <row r="805" spans="2:6" x14ac:dyDescent="0.2">
      <c r="B805" s="115" t="s">
        <v>2389</v>
      </c>
      <c r="C805" s="114">
        <v>2256</v>
      </c>
      <c r="D805" s="147"/>
      <c r="E805" s="148"/>
      <c r="F805" s="148"/>
    </row>
    <row r="806" spans="2:6" x14ac:dyDescent="0.2">
      <c r="B806" s="198" t="s">
        <v>2388</v>
      </c>
      <c r="C806" s="197">
        <v>92</v>
      </c>
      <c r="D806" s="147"/>
      <c r="E806" s="148"/>
      <c r="F806" s="148"/>
    </row>
    <row r="807" spans="2:6" x14ac:dyDescent="0.2">
      <c r="B807" s="115" t="s">
        <v>2387</v>
      </c>
      <c r="C807" s="114">
        <v>603</v>
      </c>
      <c r="D807" s="147"/>
      <c r="E807" s="148"/>
      <c r="F807" s="148"/>
    </row>
    <row r="808" spans="2:6" x14ac:dyDescent="0.2">
      <c r="B808" s="198" t="s">
        <v>2386</v>
      </c>
      <c r="C808" s="197">
        <v>304</v>
      </c>
      <c r="D808" s="147"/>
      <c r="E808" s="148"/>
      <c r="F808" s="148"/>
    </row>
    <row r="809" spans="2:6" x14ac:dyDescent="0.2">
      <c r="B809" s="115" t="s">
        <v>2385</v>
      </c>
      <c r="C809" s="114">
        <v>3409</v>
      </c>
      <c r="D809" s="147"/>
      <c r="E809" s="148"/>
      <c r="F809" s="148"/>
    </row>
    <row r="810" spans="2:6" x14ac:dyDescent="0.2">
      <c r="B810" s="198" t="s">
        <v>2384</v>
      </c>
      <c r="C810" s="197">
        <v>617</v>
      </c>
      <c r="D810" s="147"/>
      <c r="E810" s="148"/>
      <c r="F810" s="148"/>
    </row>
    <row r="811" spans="2:6" x14ac:dyDescent="0.2">
      <c r="B811" s="115" t="s">
        <v>2383</v>
      </c>
      <c r="C811" s="114">
        <v>906</v>
      </c>
      <c r="D811" s="147"/>
      <c r="E811" s="148"/>
      <c r="F811" s="148"/>
    </row>
    <row r="812" spans="2:6" x14ac:dyDescent="0.2">
      <c r="B812" s="198" t="s">
        <v>2382</v>
      </c>
      <c r="C812" s="197">
        <v>2473</v>
      </c>
      <c r="D812" s="147"/>
      <c r="E812" s="148"/>
      <c r="F812" s="148"/>
    </row>
    <row r="813" spans="2:6" x14ac:dyDescent="0.2">
      <c r="B813" s="198" t="s">
        <v>2381</v>
      </c>
      <c r="C813" s="197">
        <v>3933</v>
      </c>
      <c r="D813" s="147"/>
      <c r="E813" s="148"/>
      <c r="F813" s="148"/>
    </row>
    <row r="814" spans="2:6" x14ac:dyDescent="0.2">
      <c r="B814" s="115" t="s">
        <v>2380</v>
      </c>
      <c r="C814" s="114">
        <v>1425</v>
      </c>
      <c r="D814" s="147"/>
      <c r="E814" s="148"/>
      <c r="F814" s="148"/>
    </row>
    <row r="815" spans="2:6" x14ac:dyDescent="0.2">
      <c r="B815" s="115" t="s">
        <v>2379</v>
      </c>
      <c r="C815" s="114">
        <v>104</v>
      </c>
      <c r="D815" s="147"/>
      <c r="E815" s="148"/>
      <c r="F815" s="148"/>
    </row>
    <row r="816" spans="2:6" x14ac:dyDescent="0.2">
      <c r="B816" s="198" t="s">
        <v>2378</v>
      </c>
      <c r="C816" s="197">
        <v>77</v>
      </c>
      <c r="D816" s="147"/>
      <c r="E816" s="148"/>
      <c r="F816" s="148"/>
    </row>
    <row r="817" spans="2:6" x14ac:dyDescent="0.2">
      <c r="B817" s="198" t="s">
        <v>2377</v>
      </c>
      <c r="C817" s="197">
        <v>561</v>
      </c>
      <c r="D817" s="147"/>
      <c r="E817" s="148"/>
      <c r="F817" s="148"/>
    </row>
    <row r="818" spans="2:6" x14ac:dyDescent="0.2">
      <c r="B818" s="115" t="s">
        <v>2376</v>
      </c>
      <c r="C818" s="114">
        <v>1354</v>
      </c>
      <c r="D818" s="147"/>
      <c r="E818" s="148"/>
      <c r="F818" s="148"/>
    </row>
    <row r="819" spans="2:6" x14ac:dyDescent="0.2">
      <c r="B819" s="115" t="s">
        <v>2375</v>
      </c>
      <c r="C819" s="114">
        <v>259</v>
      </c>
      <c r="D819" s="147"/>
      <c r="E819" s="148"/>
      <c r="F819" s="148"/>
    </row>
    <row r="820" spans="2:6" x14ac:dyDescent="0.2">
      <c r="B820" s="115" t="s">
        <v>2374</v>
      </c>
      <c r="C820" s="114">
        <v>298</v>
      </c>
      <c r="D820" s="147"/>
      <c r="E820" s="148"/>
      <c r="F820" s="148"/>
    </row>
    <row r="821" spans="2:6" x14ac:dyDescent="0.2">
      <c r="B821" s="198" t="s">
        <v>2373</v>
      </c>
      <c r="C821" s="197">
        <v>318</v>
      </c>
      <c r="D821" s="147"/>
      <c r="E821" s="148"/>
      <c r="F821" s="148"/>
    </row>
    <row r="822" spans="2:6" x14ac:dyDescent="0.2">
      <c r="B822" s="198" t="s">
        <v>2372</v>
      </c>
      <c r="C822" s="197">
        <v>5055</v>
      </c>
      <c r="D822" s="147"/>
      <c r="E822" s="148"/>
      <c r="F822" s="148"/>
    </row>
    <row r="823" spans="2:6" x14ac:dyDescent="0.2">
      <c r="B823" s="198" t="s">
        <v>2371</v>
      </c>
      <c r="C823" s="197">
        <v>2009</v>
      </c>
      <c r="D823" s="147"/>
      <c r="E823" s="148"/>
      <c r="F823" s="148"/>
    </row>
    <row r="824" spans="2:6" x14ac:dyDescent="0.2">
      <c r="B824" s="115" t="s">
        <v>2370</v>
      </c>
      <c r="C824" s="114">
        <v>2669</v>
      </c>
      <c r="D824" s="147"/>
      <c r="E824" s="148"/>
      <c r="F824" s="148"/>
    </row>
    <row r="825" spans="2:6" x14ac:dyDescent="0.2">
      <c r="B825" s="115" t="s">
        <v>2369</v>
      </c>
      <c r="C825" s="114">
        <v>20823</v>
      </c>
      <c r="D825" s="147"/>
      <c r="E825" s="148"/>
      <c r="F825" s="148"/>
    </row>
    <row r="826" spans="2:6" x14ac:dyDescent="0.2">
      <c r="B826" s="198" t="s">
        <v>2368</v>
      </c>
      <c r="C826" s="197">
        <v>2869</v>
      </c>
      <c r="D826" s="147"/>
      <c r="E826" s="148"/>
      <c r="F826" s="148"/>
    </row>
    <row r="827" spans="2:6" x14ac:dyDescent="0.2">
      <c r="B827" s="115" t="s">
        <v>2367</v>
      </c>
      <c r="C827" s="114">
        <v>3602</v>
      </c>
      <c r="D827" s="147"/>
      <c r="E827" s="148"/>
      <c r="F827" s="148"/>
    </row>
    <row r="828" spans="2:6" x14ac:dyDescent="0.2">
      <c r="B828" s="115" t="s">
        <v>2366</v>
      </c>
      <c r="C828" s="114">
        <v>72</v>
      </c>
      <c r="D828" s="147"/>
      <c r="E828" s="148"/>
      <c r="F828" s="148"/>
    </row>
    <row r="829" spans="2:6" x14ac:dyDescent="0.2">
      <c r="B829" s="115" t="s">
        <v>2365</v>
      </c>
      <c r="C829" s="114">
        <v>471</v>
      </c>
      <c r="D829" s="147"/>
      <c r="E829" s="148"/>
      <c r="F829" s="148"/>
    </row>
    <row r="830" spans="2:6" x14ac:dyDescent="0.2">
      <c r="B830" s="198" t="s">
        <v>2364</v>
      </c>
      <c r="C830" s="197">
        <v>1170</v>
      </c>
      <c r="D830" s="147"/>
      <c r="E830" s="148"/>
      <c r="F830" s="148"/>
    </row>
    <row r="831" spans="2:6" x14ac:dyDescent="0.2">
      <c r="B831" s="115" t="s">
        <v>2363</v>
      </c>
      <c r="C831" s="114">
        <v>851</v>
      </c>
      <c r="D831" s="147"/>
      <c r="E831" s="148"/>
      <c r="F831" s="148"/>
    </row>
    <row r="832" spans="2:6" x14ac:dyDescent="0.2">
      <c r="B832" s="115" t="s">
        <v>2362</v>
      </c>
      <c r="C832" s="114">
        <v>383</v>
      </c>
      <c r="D832" s="147"/>
      <c r="E832" s="148"/>
      <c r="F832" s="148"/>
    </row>
    <row r="833" spans="2:6" x14ac:dyDescent="0.2">
      <c r="B833" s="115" t="s">
        <v>2361</v>
      </c>
      <c r="C833" s="114">
        <v>1573</v>
      </c>
      <c r="D833" s="147"/>
      <c r="E833" s="148"/>
      <c r="F833" s="148"/>
    </row>
    <row r="834" spans="2:6" x14ac:dyDescent="0.2">
      <c r="B834" s="198" t="s">
        <v>2360</v>
      </c>
      <c r="C834" s="197">
        <v>857</v>
      </c>
      <c r="D834" s="147"/>
      <c r="E834" s="148"/>
      <c r="F834" s="148"/>
    </row>
    <row r="835" spans="2:6" x14ac:dyDescent="0.2">
      <c r="B835" s="115" t="s">
        <v>2359</v>
      </c>
      <c r="C835" s="114">
        <v>1173</v>
      </c>
      <c r="D835" s="147"/>
      <c r="E835" s="148"/>
      <c r="F835" s="148"/>
    </row>
    <row r="836" spans="2:6" x14ac:dyDescent="0.2">
      <c r="B836" s="115" t="s">
        <v>2358</v>
      </c>
      <c r="C836" s="114">
        <v>2255</v>
      </c>
      <c r="D836" s="147"/>
      <c r="E836" s="148"/>
      <c r="F836" s="148"/>
    </row>
    <row r="837" spans="2:6" x14ac:dyDescent="0.2">
      <c r="B837" s="115" t="s">
        <v>2357</v>
      </c>
      <c r="C837" s="114">
        <v>380</v>
      </c>
      <c r="D837" s="147"/>
      <c r="E837" s="148"/>
      <c r="F837" s="148"/>
    </row>
    <row r="838" spans="2:6" x14ac:dyDescent="0.2">
      <c r="B838" s="198" t="s">
        <v>2356</v>
      </c>
      <c r="C838" s="197">
        <v>622</v>
      </c>
      <c r="D838" s="147"/>
      <c r="E838" s="148"/>
      <c r="F838" s="148"/>
    </row>
    <row r="839" spans="2:6" x14ac:dyDescent="0.2">
      <c r="B839" s="115" t="s">
        <v>2355</v>
      </c>
      <c r="C839" s="114">
        <v>320</v>
      </c>
      <c r="D839" s="147"/>
      <c r="E839" s="148"/>
      <c r="F839" s="148"/>
    </row>
    <row r="840" spans="2:6" x14ac:dyDescent="0.2">
      <c r="B840" s="115" t="s">
        <v>2354</v>
      </c>
      <c r="C840" s="114">
        <v>123</v>
      </c>
      <c r="D840" s="147"/>
      <c r="E840" s="148"/>
      <c r="F840" s="148"/>
    </row>
    <row r="841" spans="2:6" x14ac:dyDescent="0.2">
      <c r="B841" s="115" t="s">
        <v>2353</v>
      </c>
      <c r="C841" s="114">
        <v>290</v>
      </c>
      <c r="D841" s="147"/>
      <c r="E841" s="148"/>
      <c r="F841" s="148"/>
    </row>
    <row r="842" spans="2:6" x14ac:dyDescent="0.2">
      <c r="B842" s="198" t="s">
        <v>2352</v>
      </c>
      <c r="C842" s="197">
        <v>265</v>
      </c>
      <c r="D842" s="147"/>
      <c r="E842" s="148"/>
      <c r="F842" s="148"/>
    </row>
    <row r="843" spans="2:6" x14ac:dyDescent="0.2">
      <c r="B843" s="198" t="s">
        <v>2351</v>
      </c>
      <c r="C843" s="197">
        <v>7098</v>
      </c>
      <c r="D843" s="147"/>
      <c r="E843" s="148"/>
      <c r="F843" s="148"/>
    </row>
    <row r="844" spans="2:6" x14ac:dyDescent="0.2">
      <c r="B844" s="198" t="s">
        <v>2350</v>
      </c>
      <c r="C844" s="197">
        <v>4871</v>
      </c>
      <c r="D844" s="147"/>
      <c r="E844" s="148"/>
      <c r="F844" s="148"/>
    </row>
    <row r="845" spans="2:6" x14ac:dyDescent="0.2">
      <c r="B845" s="115" t="s">
        <v>2349</v>
      </c>
      <c r="C845" s="114">
        <v>134</v>
      </c>
      <c r="D845" s="147"/>
      <c r="E845" s="148"/>
      <c r="F845" s="148"/>
    </row>
    <row r="846" spans="2:6" x14ac:dyDescent="0.2">
      <c r="B846" s="115" t="s">
        <v>2348</v>
      </c>
      <c r="C846" s="114">
        <v>832</v>
      </c>
      <c r="D846" s="147"/>
      <c r="E846" s="148"/>
      <c r="F846" s="148"/>
    </row>
    <row r="847" spans="2:6" x14ac:dyDescent="0.2">
      <c r="B847" s="198" t="s">
        <v>2347</v>
      </c>
      <c r="C847" s="197">
        <v>69</v>
      </c>
      <c r="D847" s="147"/>
      <c r="E847" s="148"/>
      <c r="F847" s="148"/>
    </row>
    <row r="848" spans="2:6" x14ac:dyDescent="0.2">
      <c r="B848" s="198" t="s">
        <v>2346</v>
      </c>
      <c r="C848" s="197">
        <v>814</v>
      </c>
      <c r="D848" s="147"/>
      <c r="E848" s="148"/>
      <c r="F848" s="148"/>
    </row>
    <row r="849" spans="2:6" x14ac:dyDescent="0.2">
      <c r="B849" s="198" t="s">
        <v>2345</v>
      </c>
      <c r="C849" s="197">
        <v>74</v>
      </c>
      <c r="D849" s="147"/>
      <c r="E849" s="148"/>
      <c r="F849" s="148"/>
    </row>
    <row r="850" spans="2:6" x14ac:dyDescent="0.2">
      <c r="B850" s="115" t="s">
        <v>2344</v>
      </c>
      <c r="C850" s="114">
        <v>302</v>
      </c>
      <c r="D850" s="147"/>
      <c r="E850" s="148"/>
      <c r="F850" s="148"/>
    </row>
    <row r="851" spans="2:6" x14ac:dyDescent="0.2">
      <c r="B851" s="198" t="s">
        <v>2343</v>
      </c>
      <c r="C851" s="197">
        <v>310</v>
      </c>
      <c r="D851" s="147"/>
      <c r="E851" s="148"/>
      <c r="F851" s="148"/>
    </row>
    <row r="852" spans="2:6" x14ac:dyDescent="0.2">
      <c r="B852" s="115" t="s">
        <v>2342</v>
      </c>
      <c r="C852" s="114">
        <v>3254</v>
      </c>
      <c r="D852" s="147"/>
      <c r="E852" s="148"/>
      <c r="F852" s="148"/>
    </row>
    <row r="853" spans="2:6" x14ac:dyDescent="0.2">
      <c r="B853" s="115" t="s">
        <v>2341</v>
      </c>
      <c r="C853" s="114">
        <v>33</v>
      </c>
      <c r="D853" s="147"/>
      <c r="E853" s="148"/>
      <c r="F853" s="148"/>
    </row>
    <row r="854" spans="2:6" x14ac:dyDescent="0.2">
      <c r="B854" s="115" t="s">
        <v>2340</v>
      </c>
      <c r="C854" s="114">
        <v>214</v>
      </c>
      <c r="D854" s="147"/>
      <c r="E854" s="148"/>
      <c r="F854" s="148"/>
    </row>
    <row r="855" spans="2:6" x14ac:dyDescent="0.2">
      <c r="B855" s="198" t="s">
        <v>2339</v>
      </c>
      <c r="C855" s="197">
        <v>202</v>
      </c>
      <c r="D855" s="147"/>
      <c r="E855" s="148"/>
      <c r="F855" s="148"/>
    </row>
    <row r="856" spans="2:6" x14ac:dyDescent="0.2">
      <c r="B856" s="115" t="s">
        <v>2338</v>
      </c>
      <c r="C856" s="114">
        <v>1226</v>
      </c>
      <c r="D856" s="147"/>
      <c r="E856" s="148"/>
      <c r="F856" s="148"/>
    </row>
    <row r="857" spans="2:6" x14ac:dyDescent="0.2">
      <c r="B857" s="115" t="s">
        <v>2337</v>
      </c>
      <c r="C857" s="114">
        <v>608</v>
      </c>
      <c r="D857" s="147"/>
      <c r="E857" s="148"/>
      <c r="F857" s="148"/>
    </row>
    <row r="858" spans="2:6" x14ac:dyDescent="0.2">
      <c r="B858" s="198" t="s">
        <v>2336</v>
      </c>
      <c r="C858" s="197">
        <v>930</v>
      </c>
      <c r="D858" s="147"/>
      <c r="E858" s="148"/>
      <c r="F858" s="148"/>
    </row>
    <row r="859" spans="2:6" x14ac:dyDescent="0.2">
      <c r="B859" s="115" t="s">
        <v>2335</v>
      </c>
      <c r="C859" s="114">
        <v>2542</v>
      </c>
      <c r="D859" s="147"/>
      <c r="E859" s="148"/>
      <c r="F859" s="148"/>
    </row>
    <row r="860" spans="2:6" x14ac:dyDescent="0.2">
      <c r="B860" s="115" t="s">
        <v>2334</v>
      </c>
      <c r="C860" s="114">
        <v>1857</v>
      </c>
      <c r="D860" s="147"/>
      <c r="E860" s="148"/>
      <c r="F860" s="148"/>
    </row>
    <row r="861" spans="2:6" x14ac:dyDescent="0.2">
      <c r="B861" s="198" t="s">
        <v>2333</v>
      </c>
      <c r="C861" s="197">
        <v>224</v>
      </c>
      <c r="D861" s="147"/>
      <c r="E861" s="148"/>
      <c r="F861" s="148"/>
    </row>
    <row r="862" spans="2:6" x14ac:dyDescent="0.2">
      <c r="B862" s="115" t="s">
        <v>2332</v>
      </c>
      <c r="C862" s="114">
        <v>82</v>
      </c>
      <c r="D862" s="147"/>
      <c r="E862" s="148"/>
      <c r="F862" s="148"/>
    </row>
    <row r="863" spans="2:6" x14ac:dyDescent="0.2">
      <c r="B863" s="115" t="s">
        <v>2331</v>
      </c>
      <c r="C863" s="114">
        <v>625</v>
      </c>
      <c r="D863" s="147"/>
      <c r="E863" s="148"/>
      <c r="F863" s="148"/>
    </row>
    <row r="864" spans="2:6" x14ac:dyDescent="0.2">
      <c r="B864" s="198" t="s">
        <v>2330</v>
      </c>
      <c r="C864" s="197">
        <v>248</v>
      </c>
      <c r="D864" s="147"/>
      <c r="E864" s="148"/>
      <c r="F864" s="148"/>
    </row>
    <row r="865" spans="2:6" x14ac:dyDescent="0.2">
      <c r="B865" s="198" t="s">
        <v>2329</v>
      </c>
      <c r="C865" s="197">
        <v>727</v>
      </c>
      <c r="D865" s="147"/>
      <c r="E865" s="148"/>
      <c r="F865" s="148"/>
    </row>
    <row r="866" spans="2:6" x14ac:dyDescent="0.2">
      <c r="B866" s="198" t="s">
        <v>2328</v>
      </c>
      <c r="C866" s="197">
        <v>2086</v>
      </c>
      <c r="D866" s="147"/>
      <c r="E866" s="148"/>
      <c r="F866" s="148"/>
    </row>
    <row r="867" spans="2:6" x14ac:dyDescent="0.2">
      <c r="B867" s="198" t="s">
        <v>2327</v>
      </c>
      <c r="C867" s="197">
        <v>40</v>
      </c>
      <c r="D867" s="147"/>
      <c r="E867" s="148"/>
      <c r="F867" s="148"/>
    </row>
    <row r="868" spans="2:6" x14ac:dyDescent="0.2">
      <c r="B868" s="115" t="s">
        <v>2326</v>
      </c>
      <c r="C868" s="114">
        <v>617</v>
      </c>
      <c r="D868" s="147"/>
      <c r="E868" s="148"/>
      <c r="F868" s="148"/>
    </row>
    <row r="869" spans="2:6" x14ac:dyDescent="0.2">
      <c r="B869" s="198" t="s">
        <v>2325</v>
      </c>
      <c r="C869" s="197">
        <v>358</v>
      </c>
      <c r="D869" s="147"/>
      <c r="E869" s="148"/>
      <c r="F869" s="148"/>
    </row>
    <row r="870" spans="2:6" x14ac:dyDescent="0.2">
      <c r="B870" s="198" t="s">
        <v>2324</v>
      </c>
      <c r="C870" s="197">
        <v>124</v>
      </c>
      <c r="D870" s="147"/>
      <c r="E870" s="148"/>
      <c r="F870" s="148"/>
    </row>
    <row r="871" spans="2:6" x14ac:dyDescent="0.2">
      <c r="B871" s="115" t="s">
        <v>2323</v>
      </c>
      <c r="C871" s="114">
        <v>13811</v>
      </c>
      <c r="D871" s="147"/>
      <c r="E871" s="148"/>
      <c r="F871" s="148"/>
    </row>
    <row r="872" spans="2:6" x14ac:dyDescent="0.2">
      <c r="B872" s="198" t="s">
        <v>2322</v>
      </c>
      <c r="C872" s="197">
        <v>277</v>
      </c>
      <c r="D872" s="147"/>
      <c r="E872" s="148"/>
      <c r="F872" s="148"/>
    </row>
    <row r="873" spans="2:6" x14ac:dyDescent="0.2">
      <c r="B873" s="198" t="s">
        <v>2321</v>
      </c>
      <c r="C873" s="197">
        <v>404</v>
      </c>
      <c r="D873" s="147"/>
      <c r="E873" s="148"/>
      <c r="F873" s="148"/>
    </row>
    <row r="874" spans="2:6" x14ac:dyDescent="0.2">
      <c r="B874" s="115" t="s">
        <v>2320</v>
      </c>
      <c r="C874" s="114">
        <v>844</v>
      </c>
      <c r="D874" s="147"/>
      <c r="E874" s="148"/>
      <c r="F874" s="148"/>
    </row>
    <row r="875" spans="2:6" x14ac:dyDescent="0.2">
      <c r="B875" s="198" t="s">
        <v>2319</v>
      </c>
      <c r="C875" s="197">
        <v>3271</v>
      </c>
      <c r="D875" s="147"/>
      <c r="E875" s="148"/>
      <c r="F875" s="148"/>
    </row>
    <row r="876" spans="2:6" x14ac:dyDescent="0.2">
      <c r="B876" s="115" t="s">
        <v>2318</v>
      </c>
      <c r="C876" s="114">
        <v>426</v>
      </c>
      <c r="D876" s="147"/>
      <c r="E876" s="148"/>
      <c r="F876" s="148"/>
    </row>
    <row r="877" spans="2:6" x14ac:dyDescent="0.2">
      <c r="B877" s="115" t="s">
        <v>2317</v>
      </c>
      <c r="C877" s="114">
        <v>394</v>
      </c>
      <c r="D877" s="147"/>
      <c r="E877" s="148"/>
      <c r="F877" s="148"/>
    </row>
    <row r="878" spans="2:6" x14ac:dyDescent="0.2">
      <c r="B878" s="198" t="s">
        <v>2316</v>
      </c>
      <c r="C878" s="197">
        <v>864</v>
      </c>
      <c r="D878" s="147"/>
      <c r="E878" s="148"/>
      <c r="F878" s="148"/>
    </row>
    <row r="879" spans="2:6" x14ac:dyDescent="0.2">
      <c r="B879" s="198" t="s">
        <v>2315</v>
      </c>
      <c r="C879" s="197">
        <v>1748</v>
      </c>
      <c r="D879" s="147"/>
      <c r="E879" s="148"/>
      <c r="F879" s="148"/>
    </row>
    <row r="880" spans="2:6" x14ac:dyDescent="0.2">
      <c r="B880" s="115" t="s">
        <v>2314</v>
      </c>
      <c r="C880" s="114">
        <v>543</v>
      </c>
      <c r="D880" s="147"/>
      <c r="E880" s="148"/>
      <c r="F880" s="148"/>
    </row>
    <row r="881" spans="2:6" x14ac:dyDescent="0.2">
      <c r="B881" s="198" t="s">
        <v>2313</v>
      </c>
      <c r="C881" s="197">
        <v>496</v>
      </c>
      <c r="D881" s="147"/>
      <c r="E881" s="148"/>
      <c r="F881" s="148"/>
    </row>
    <row r="882" spans="2:6" x14ac:dyDescent="0.2">
      <c r="B882" s="115" t="s">
        <v>2312</v>
      </c>
      <c r="C882" s="114">
        <v>1469</v>
      </c>
      <c r="D882" s="147"/>
      <c r="E882" s="148"/>
      <c r="F882" s="148"/>
    </row>
    <row r="883" spans="2:6" x14ac:dyDescent="0.2">
      <c r="B883" s="198" t="s">
        <v>2311</v>
      </c>
      <c r="C883" s="197">
        <v>970</v>
      </c>
      <c r="D883" s="147"/>
      <c r="E883" s="148"/>
      <c r="F883" s="148"/>
    </row>
    <row r="884" spans="2:6" x14ac:dyDescent="0.2">
      <c r="B884" s="198" t="s">
        <v>2310</v>
      </c>
      <c r="C884" s="197">
        <v>259</v>
      </c>
      <c r="D884" s="147"/>
      <c r="E884" s="148"/>
      <c r="F884" s="148"/>
    </row>
    <row r="885" spans="2:6" x14ac:dyDescent="0.2">
      <c r="B885" s="198" t="s">
        <v>2309</v>
      </c>
      <c r="C885" s="197">
        <v>799</v>
      </c>
      <c r="D885" s="147"/>
      <c r="E885" s="148"/>
      <c r="F885" s="148"/>
    </row>
    <row r="886" spans="2:6" x14ac:dyDescent="0.2">
      <c r="B886" s="115" t="s">
        <v>2308</v>
      </c>
      <c r="C886" s="114">
        <v>2674</v>
      </c>
      <c r="D886" s="147"/>
      <c r="E886" s="148"/>
      <c r="F886" s="148"/>
    </row>
    <row r="887" spans="2:6" x14ac:dyDescent="0.2">
      <c r="B887" s="115" t="s">
        <v>2307</v>
      </c>
      <c r="C887" s="114">
        <v>1074</v>
      </c>
      <c r="D887" s="147"/>
      <c r="E887" s="148"/>
      <c r="F887" s="148"/>
    </row>
    <row r="888" spans="2:6" x14ac:dyDescent="0.2">
      <c r="B888" s="115" t="s">
        <v>2306</v>
      </c>
      <c r="C888" s="114">
        <v>470</v>
      </c>
      <c r="D888" s="147"/>
      <c r="E888" s="148"/>
      <c r="F888" s="148"/>
    </row>
    <row r="889" spans="2:6" x14ac:dyDescent="0.2">
      <c r="B889" s="198" t="s">
        <v>2305</v>
      </c>
      <c r="C889" s="197">
        <v>1024</v>
      </c>
      <c r="D889" s="147"/>
      <c r="E889" s="148"/>
      <c r="F889" s="148"/>
    </row>
    <row r="890" spans="2:6" x14ac:dyDescent="0.2">
      <c r="B890" s="115" t="s">
        <v>2304</v>
      </c>
      <c r="C890" s="114">
        <v>203</v>
      </c>
      <c r="D890" s="147"/>
      <c r="E890" s="148"/>
      <c r="F890" s="148"/>
    </row>
    <row r="891" spans="2:6" x14ac:dyDescent="0.2">
      <c r="B891" s="115" t="s">
        <v>2303</v>
      </c>
      <c r="C891" s="114">
        <v>735</v>
      </c>
      <c r="D891" s="147"/>
      <c r="E891" s="148"/>
      <c r="F891" s="148"/>
    </row>
    <row r="892" spans="2:6" x14ac:dyDescent="0.2">
      <c r="B892" s="115" t="s">
        <v>2302</v>
      </c>
      <c r="C892" s="114">
        <v>1159</v>
      </c>
      <c r="D892" s="147"/>
      <c r="E892" s="148"/>
      <c r="F892" s="148"/>
    </row>
    <row r="893" spans="2:6" x14ac:dyDescent="0.2">
      <c r="B893" s="115" t="s">
        <v>2301</v>
      </c>
      <c r="C893" s="114">
        <v>619</v>
      </c>
      <c r="D893" s="147"/>
      <c r="E893" s="148"/>
      <c r="F893" s="148"/>
    </row>
    <row r="894" spans="2:6" x14ac:dyDescent="0.2">
      <c r="B894" s="198" t="s">
        <v>2300</v>
      </c>
      <c r="C894" s="197">
        <v>642</v>
      </c>
      <c r="D894" s="147"/>
      <c r="E894" s="148"/>
      <c r="F894" s="148"/>
    </row>
    <row r="895" spans="2:6" x14ac:dyDescent="0.2">
      <c r="B895" s="115" t="s">
        <v>2299</v>
      </c>
      <c r="C895" s="114">
        <v>2628</v>
      </c>
      <c r="D895" s="147"/>
      <c r="E895" s="148"/>
      <c r="F895" s="148"/>
    </row>
    <row r="896" spans="2:6" x14ac:dyDescent="0.2">
      <c r="B896" s="198" t="s">
        <v>2298</v>
      </c>
      <c r="C896" s="197">
        <v>1578</v>
      </c>
      <c r="D896" s="147"/>
      <c r="E896" s="148"/>
      <c r="F896" s="148"/>
    </row>
    <row r="897" spans="2:6" x14ac:dyDescent="0.2">
      <c r="B897" s="198" t="s">
        <v>2297</v>
      </c>
      <c r="C897" s="197">
        <v>98</v>
      </c>
      <c r="D897" s="147"/>
      <c r="E897" s="148"/>
      <c r="F897" s="148"/>
    </row>
    <row r="898" spans="2:6" x14ac:dyDescent="0.2">
      <c r="B898" s="115" t="s">
        <v>2296</v>
      </c>
      <c r="C898" s="114">
        <v>340</v>
      </c>
      <c r="D898" s="147"/>
      <c r="E898" s="148"/>
      <c r="F898" s="148"/>
    </row>
    <row r="899" spans="2:6" x14ac:dyDescent="0.2">
      <c r="B899" s="198" t="s">
        <v>2295</v>
      </c>
      <c r="C899" s="197">
        <v>328</v>
      </c>
      <c r="D899" s="147"/>
      <c r="E899" s="148"/>
      <c r="F899" s="148"/>
    </row>
    <row r="900" spans="2:6" x14ac:dyDescent="0.2">
      <c r="B900" s="198" t="s">
        <v>2294</v>
      </c>
      <c r="C900" s="197">
        <v>392</v>
      </c>
      <c r="D900" s="147"/>
      <c r="E900" s="148"/>
      <c r="F900" s="148"/>
    </row>
    <row r="901" spans="2:6" x14ac:dyDescent="0.2">
      <c r="B901" s="198" t="s">
        <v>2293</v>
      </c>
      <c r="C901" s="197">
        <v>324</v>
      </c>
      <c r="D901" s="147"/>
      <c r="E901" s="148"/>
      <c r="F901" s="148"/>
    </row>
    <row r="902" spans="2:6" x14ac:dyDescent="0.2">
      <c r="B902" s="115" t="s">
        <v>2292</v>
      </c>
      <c r="C902" s="114">
        <v>894</v>
      </c>
      <c r="D902" s="147"/>
      <c r="E902" s="148"/>
      <c r="F902" s="148"/>
    </row>
    <row r="903" spans="2:6" x14ac:dyDescent="0.2">
      <c r="B903" s="115" t="s">
        <v>2291</v>
      </c>
      <c r="C903" s="114">
        <v>690</v>
      </c>
      <c r="D903" s="147"/>
      <c r="E903" s="148"/>
      <c r="F903" s="148"/>
    </row>
    <row r="904" spans="2:6" x14ac:dyDescent="0.2">
      <c r="B904" s="198" t="s">
        <v>2290</v>
      </c>
      <c r="C904" s="197">
        <v>568</v>
      </c>
      <c r="D904" s="147"/>
      <c r="E904" s="148"/>
      <c r="F904" s="148"/>
    </row>
    <row r="905" spans="2:6" x14ac:dyDescent="0.2">
      <c r="B905" s="115" t="s">
        <v>2289</v>
      </c>
      <c r="C905" s="114">
        <v>3192</v>
      </c>
      <c r="D905" s="147"/>
      <c r="E905" s="148"/>
      <c r="F905" s="148"/>
    </row>
    <row r="906" spans="2:6" x14ac:dyDescent="0.2">
      <c r="B906" s="198" t="s">
        <v>2288</v>
      </c>
      <c r="C906" s="197">
        <v>66</v>
      </c>
      <c r="D906" s="147"/>
      <c r="E906" s="148"/>
      <c r="F906" s="148"/>
    </row>
    <row r="907" spans="2:6" x14ac:dyDescent="0.2">
      <c r="B907" s="198" t="s">
        <v>2287</v>
      </c>
      <c r="C907" s="197">
        <v>340</v>
      </c>
      <c r="D907" s="147"/>
      <c r="E907" s="148"/>
      <c r="F907" s="148"/>
    </row>
    <row r="908" spans="2:6" x14ac:dyDescent="0.2">
      <c r="B908" s="115" t="s">
        <v>2286</v>
      </c>
      <c r="C908" s="114">
        <v>285</v>
      </c>
      <c r="D908" s="147"/>
      <c r="E908" s="148"/>
      <c r="F908" s="148"/>
    </row>
    <row r="909" spans="2:6" x14ac:dyDescent="0.2">
      <c r="B909" s="198" t="s">
        <v>2285</v>
      </c>
      <c r="C909" s="197">
        <v>67</v>
      </c>
      <c r="D909" s="147"/>
      <c r="E909" s="148"/>
      <c r="F909" s="148"/>
    </row>
    <row r="910" spans="2:6" x14ac:dyDescent="0.2">
      <c r="B910" s="115" t="s">
        <v>2284</v>
      </c>
      <c r="C910" s="114">
        <v>21838</v>
      </c>
      <c r="D910" s="147"/>
      <c r="E910" s="148"/>
      <c r="F910" s="148"/>
    </row>
    <row r="911" spans="2:6" x14ac:dyDescent="0.2">
      <c r="B911" s="115" t="s">
        <v>2283</v>
      </c>
      <c r="C911" s="114">
        <v>32410</v>
      </c>
      <c r="D911" s="147"/>
      <c r="E911" s="148"/>
      <c r="F911" s="148"/>
    </row>
    <row r="912" spans="2:6" x14ac:dyDescent="0.2">
      <c r="B912" s="115" t="s">
        <v>2282</v>
      </c>
      <c r="C912" s="114">
        <v>708</v>
      </c>
      <c r="D912" s="147"/>
      <c r="E912" s="148"/>
      <c r="F912" s="148"/>
    </row>
    <row r="913" spans="2:6" x14ac:dyDescent="0.2">
      <c r="B913" s="198" t="s">
        <v>2281</v>
      </c>
      <c r="C913" s="197">
        <v>715</v>
      </c>
      <c r="D913" s="147"/>
      <c r="E913" s="148"/>
      <c r="F913" s="148"/>
    </row>
    <row r="914" spans="2:6" x14ac:dyDescent="0.2">
      <c r="B914" s="115" t="s">
        <v>2280</v>
      </c>
      <c r="C914" s="114">
        <v>69</v>
      </c>
      <c r="D914" s="147"/>
      <c r="E914" s="148"/>
      <c r="F914" s="148"/>
    </row>
    <row r="915" spans="2:6" x14ac:dyDescent="0.2">
      <c r="B915" s="115" t="s">
        <v>2279</v>
      </c>
      <c r="C915" s="114">
        <v>1928</v>
      </c>
      <c r="D915" s="147"/>
      <c r="E915" s="148"/>
      <c r="F915" s="148"/>
    </row>
    <row r="916" spans="2:6" x14ac:dyDescent="0.2">
      <c r="B916" s="115" t="s">
        <v>2278</v>
      </c>
      <c r="C916" s="114">
        <v>653</v>
      </c>
      <c r="D916" s="147"/>
      <c r="E916" s="148"/>
      <c r="F916" s="148"/>
    </row>
    <row r="917" spans="2:6" x14ac:dyDescent="0.2">
      <c r="B917" s="198" t="s">
        <v>2277</v>
      </c>
      <c r="C917" s="197">
        <v>3262</v>
      </c>
      <c r="D917" s="147"/>
      <c r="E917" s="148"/>
      <c r="F917" s="148"/>
    </row>
    <row r="918" spans="2:6" x14ac:dyDescent="0.2">
      <c r="B918" s="115" t="s">
        <v>2276</v>
      </c>
      <c r="C918" s="114">
        <v>2237</v>
      </c>
      <c r="D918" s="147"/>
      <c r="E918" s="148"/>
      <c r="F918" s="148"/>
    </row>
    <row r="919" spans="2:6" x14ac:dyDescent="0.2">
      <c r="B919" s="198" t="s">
        <v>2275</v>
      </c>
      <c r="C919" s="197">
        <v>1588</v>
      </c>
      <c r="D919" s="147"/>
      <c r="E919" s="148"/>
      <c r="F919" s="148"/>
    </row>
    <row r="920" spans="2:6" x14ac:dyDescent="0.2">
      <c r="B920" s="198" t="s">
        <v>2274</v>
      </c>
      <c r="C920" s="197">
        <v>324</v>
      </c>
      <c r="D920" s="147"/>
      <c r="E920" s="148"/>
      <c r="F920" s="148"/>
    </row>
    <row r="921" spans="2:6" x14ac:dyDescent="0.2">
      <c r="B921" s="115" t="s">
        <v>2273</v>
      </c>
      <c r="C921" s="114">
        <v>1007</v>
      </c>
      <c r="D921" s="147"/>
      <c r="E921" s="148"/>
      <c r="F921" s="148"/>
    </row>
    <row r="922" spans="2:6" x14ac:dyDescent="0.2">
      <c r="B922" s="115" t="s">
        <v>2272</v>
      </c>
      <c r="C922" s="114">
        <v>308</v>
      </c>
      <c r="D922" s="147"/>
      <c r="E922" s="148"/>
      <c r="F922" s="148"/>
    </row>
    <row r="923" spans="2:6" x14ac:dyDescent="0.2">
      <c r="B923" s="115" t="s">
        <v>2271</v>
      </c>
      <c r="C923" s="114">
        <v>153</v>
      </c>
      <c r="D923" s="147"/>
      <c r="E923" s="148"/>
      <c r="F923" s="148"/>
    </row>
    <row r="924" spans="2:6" x14ac:dyDescent="0.2">
      <c r="B924" s="115" t="s">
        <v>2270</v>
      </c>
      <c r="C924" s="114">
        <v>919</v>
      </c>
      <c r="D924" s="147"/>
      <c r="E924" s="148"/>
      <c r="F924" s="148"/>
    </row>
    <row r="925" spans="2:6" x14ac:dyDescent="0.2">
      <c r="B925" s="115" t="s">
        <v>2269</v>
      </c>
      <c r="C925" s="114">
        <v>849</v>
      </c>
      <c r="D925" s="147"/>
      <c r="E925" s="148"/>
      <c r="F925" s="148"/>
    </row>
    <row r="926" spans="2:6" x14ac:dyDescent="0.2">
      <c r="B926" s="115" t="s">
        <v>2268</v>
      </c>
      <c r="C926" s="114">
        <v>24267</v>
      </c>
      <c r="D926" s="147"/>
      <c r="E926" s="148"/>
      <c r="F926" s="148"/>
    </row>
    <row r="927" spans="2:6" x14ac:dyDescent="0.2">
      <c r="B927" s="115" t="s">
        <v>2267</v>
      </c>
      <c r="C927" s="114">
        <v>89</v>
      </c>
      <c r="D927" s="147"/>
      <c r="E927" s="148"/>
      <c r="F927" s="148"/>
    </row>
    <row r="928" spans="2:6" x14ac:dyDescent="0.2">
      <c r="B928" s="115" t="s">
        <v>2266</v>
      </c>
      <c r="C928" s="114">
        <v>154</v>
      </c>
      <c r="D928" s="147"/>
      <c r="E928" s="148"/>
      <c r="F928" s="148"/>
    </row>
    <row r="929" spans="2:6" x14ac:dyDescent="0.2">
      <c r="B929" s="115" t="s">
        <v>2265</v>
      </c>
      <c r="C929" s="114">
        <v>1358</v>
      </c>
      <c r="D929" s="147"/>
      <c r="E929" s="148"/>
      <c r="F929" s="148"/>
    </row>
    <row r="930" spans="2:6" x14ac:dyDescent="0.2">
      <c r="B930" s="198" t="s">
        <v>2264</v>
      </c>
      <c r="C930" s="197">
        <v>973</v>
      </c>
      <c r="D930" s="147"/>
      <c r="E930" s="148"/>
      <c r="F930" s="148"/>
    </row>
    <row r="931" spans="2:6" x14ac:dyDescent="0.2">
      <c r="B931" s="198" t="s">
        <v>2263</v>
      </c>
      <c r="C931" s="197">
        <v>3964</v>
      </c>
      <c r="D931" s="147"/>
      <c r="E931" s="148"/>
      <c r="F931" s="148"/>
    </row>
    <row r="932" spans="2:6" x14ac:dyDescent="0.2">
      <c r="B932" s="198" t="s">
        <v>2262</v>
      </c>
      <c r="C932" s="197">
        <v>334</v>
      </c>
      <c r="D932" s="147"/>
      <c r="E932" s="148"/>
      <c r="F932" s="148"/>
    </row>
    <row r="933" spans="2:6" x14ac:dyDescent="0.2">
      <c r="B933" s="115" t="s">
        <v>2261</v>
      </c>
      <c r="C933" s="114">
        <v>1545</v>
      </c>
      <c r="D933" s="147"/>
      <c r="E933" s="148"/>
      <c r="F933" s="148"/>
    </row>
    <row r="934" spans="2:6" x14ac:dyDescent="0.2">
      <c r="B934" s="198" t="s">
        <v>2260</v>
      </c>
      <c r="C934" s="197">
        <v>788</v>
      </c>
      <c r="D934" s="147"/>
      <c r="E934" s="148"/>
      <c r="F934" s="148"/>
    </row>
    <row r="935" spans="2:6" x14ac:dyDescent="0.2">
      <c r="B935" s="115" t="s">
        <v>2259</v>
      </c>
      <c r="C935" s="114">
        <v>11828</v>
      </c>
      <c r="D935" s="147"/>
      <c r="E935" s="148"/>
      <c r="F935" s="148"/>
    </row>
    <row r="936" spans="2:6" x14ac:dyDescent="0.2">
      <c r="B936" s="115" t="s">
        <v>2258</v>
      </c>
      <c r="C936" s="114">
        <v>364</v>
      </c>
      <c r="D936" s="147"/>
      <c r="E936" s="148"/>
      <c r="F936" s="148"/>
    </row>
    <row r="937" spans="2:6" x14ac:dyDescent="0.2">
      <c r="B937" s="115" t="s">
        <v>2257</v>
      </c>
      <c r="C937" s="114">
        <v>1244</v>
      </c>
      <c r="D937" s="147"/>
      <c r="E937" s="148"/>
      <c r="F937" s="148"/>
    </row>
    <row r="938" spans="2:6" x14ac:dyDescent="0.2">
      <c r="B938" s="115" t="s">
        <v>2256</v>
      </c>
      <c r="C938" s="114">
        <v>20355</v>
      </c>
      <c r="D938" s="147"/>
      <c r="E938" s="148"/>
      <c r="F938" s="148"/>
    </row>
    <row r="939" spans="2:6" x14ac:dyDescent="0.2">
      <c r="B939" s="198" t="s">
        <v>2255</v>
      </c>
      <c r="C939" s="197">
        <v>123</v>
      </c>
      <c r="D939" s="147"/>
      <c r="E939" s="148"/>
      <c r="F939" s="148"/>
    </row>
    <row r="940" spans="2:6" x14ac:dyDescent="0.2">
      <c r="B940" s="115" t="s">
        <v>2254</v>
      </c>
      <c r="C940" s="114">
        <v>27294</v>
      </c>
      <c r="D940" s="147"/>
      <c r="E940" s="148"/>
      <c r="F940" s="148"/>
    </row>
    <row r="941" spans="2:6" x14ac:dyDescent="0.2">
      <c r="B941" s="115" t="s">
        <v>2253</v>
      </c>
      <c r="C941" s="114">
        <v>1080</v>
      </c>
      <c r="D941" s="147"/>
      <c r="E941" s="148"/>
      <c r="F941" s="148"/>
    </row>
    <row r="942" spans="2:6" x14ac:dyDescent="0.2">
      <c r="B942" s="115" t="s">
        <v>2252</v>
      </c>
      <c r="C942" s="114">
        <v>2576</v>
      </c>
      <c r="D942" s="147"/>
      <c r="E942" s="148"/>
      <c r="F942" s="148"/>
    </row>
    <row r="943" spans="2:6" x14ac:dyDescent="0.2">
      <c r="B943" s="115" t="s">
        <v>2251</v>
      </c>
      <c r="C943" s="114">
        <v>269</v>
      </c>
      <c r="D943" s="147"/>
      <c r="E943" s="148"/>
      <c r="F943" s="148"/>
    </row>
    <row r="944" spans="2:6" x14ac:dyDescent="0.2">
      <c r="B944" s="115" t="s">
        <v>2250</v>
      </c>
      <c r="C944" s="114">
        <v>1417</v>
      </c>
      <c r="D944" s="147"/>
      <c r="E944" s="148"/>
      <c r="F944" s="148"/>
    </row>
    <row r="945" spans="2:6" x14ac:dyDescent="0.2">
      <c r="B945" s="115" t="s">
        <v>2249</v>
      </c>
      <c r="C945" s="114">
        <v>2204</v>
      </c>
      <c r="D945" s="147"/>
      <c r="E945" s="148"/>
      <c r="F945" s="148"/>
    </row>
    <row r="946" spans="2:6" x14ac:dyDescent="0.2">
      <c r="B946" s="115" t="s">
        <v>2248</v>
      </c>
      <c r="C946" s="114">
        <v>2695</v>
      </c>
      <c r="D946" s="147"/>
      <c r="E946" s="148"/>
      <c r="F946" s="148"/>
    </row>
    <row r="947" spans="2:6" x14ac:dyDescent="0.2">
      <c r="B947" s="115" t="s">
        <v>2247</v>
      </c>
      <c r="C947" s="114">
        <v>2160</v>
      </c>
      <c r="D947" s="147"/>
      <c r="E947" s="148"/>
      <c r="F947" s="148"/>
    </row>
    <row r="948" spans="2:6" x14ac:dyDescent="0.2">
      <c r="B948" s="115" t="s">
        <v>2246</v>
      </c>
      <c r="C948" s="114">
        <v>1602</v>
      </c>
      <c r="D948" s="147"/>
      <c r="E948" s="148"/>
      <c r="F948" s="148"/>
    </row>
    <row r="949" spans="2:6" x14ac:dyDescent="0.2">
      <c r="B949" s="115" t="s">
        <v>2245</v>
      </c>
      <c r="C949" s="114">
        <v>129373</v>
      </c>
      <c r="D949" s="147"/>
      <c r="E949" s="148"/>
      <c r="F949" s="148"/>
    </row>
    <row r="950" spans="2:6" x14ac:dyDescent="0.2">
      <c r="B950" s="198" t="s">
        <v>2244</v>
      </c>
      <c r="C950" s="197">
        <v>506</v>
      </c>
      <c r="D950" s="147"/>
      <c r="E950" s="148"/>
      <c r="F950" s="148"/>
    </row>
    <row r="951" spans="2:6" x14ac:dyDescent="0.2">
      <c r="B951" s="115" t="s">
        <v>2243</v>
      </c>
      <c r="C951" s="114">
        <v>562</v>
      </c>
      <c r="D951" s="147"/>
      <c r="E951" s="148"/>
      <c r="F951" s="148"/>
    </row>
    <row r="952" spans="2:6" x14ac:dyDescent="0.2">
      <c r="B952" s="115" t="s">
        <v>2242</v>
      </c>
      <c r="C952" s="114">
        <v>463</v>
      </c>
      <c r="D952" s="147"/>
      <c r="E952" s="148"/>
      <c r="F952" s="148"/>
    </row>
    <row r="953" spans="2:6" x14ac:dyDescent="0.2">
      <c r="B953" s="198" t="s">
        <v>2241</v>
      </c>
      <c r="C953" s="197">
        <v>989</v>
      </c>
      <c r="D953" s="147"/>
      <c r="E953" s="148"/>
      <c r="F953" s="148"/>
    </row>
    <row r="954" spans="2:6" x14ac:dyDescent="0.2">
      <c r="B954" s="198" t="s">
        <v>2240</v>
      </c>
      <c r="C954" s="197">
        <v>1937</v>
      </c>
      <c r="D954" s="147"/>
      <c r="E954" s="148"/>
      <c r="F954" s="148"/>
    </row>
    <row r="955" spans="2:6" x14ac:dyDescent="0.2">
      <c r="B955" s="115" t="s">
        <v>2239</v>
      </c>
      <c r="C955" s="114">
        <v>114</v>
      </c>
      <c r="D955" s="147"/>
      <c r="E955" s="148"/>
      <c r="F955" s="148"/>
    </row>
    <row r="956" spans="2:6" x14ac:dyDescent="0.2">
      <c r="B956" s="198" t="s">
        <v>2238</v>
      </c>
      <c r="C956" s="197">
        <v>1725</v>
      </c>
      <c r="D956" s="147"/>
      <c r="E956" s="148"/>
      <c r="F956" s="148"/>
    </row>
    <row r="957" spans="2:6" x14ac:dyDescent="0.2">
      <c r="B957" s="115" t="s">
        <v>2237</v>
      </c>
      <c r="C957" s="114">
        <v>783</v>
      </c>
      <c r="D957" s="147"/>
      <c r="E957" s="148"/>
      <c r="F957" s="148"/>
    </row>
    <row r="958" spans="2:6" x14ac:dyDescent="0.2">
      <c r="B958" s="198" t="s">
        <v>2236</v>
      </c>
      <c r="C958" s="197">
        <v>3617</v>
      </c>
      <c r="D958" s="147"/>
      <c r="E958" s="148"/>
      <c r="F958" s="148"/>
    </row>
    <row r="959" spans="2:6" x14ac:dyDescent="0.2">
      <c r="B959" s="115" t="s">
        <v>2235</v>
      </c>
      <c r="C959" s="114">
        <v>1584</v>
      </c>
      <c r="D959" s="147"/>
      <c r="E959" s="148"/>
      <c r="F959" s="148"/>
    </row>
    <row r="960" spans="2:6" x14ac:dyDescent="0.2">
      <c r="B960" s="115" t="s">
        <v>2234</v>
      </c>
      <c r="C960" s="114">
        <v>8303</v>
      </c>
      <c r="D960" s="147"/>
      <c r="E960" s="148"/>
      <c r="F960" s="148"/>
    </row>
    <row r="961" spans="2:6" x14ac:dyDescent="0.2">
      <c r="B961" s="115" t="s">
        <v>2233</v>
      </c>
      <c r="C961" s="114">
        <v>2519</v>
      </c>
      <c r="D961" s="147"/>
      <c r="E961" s="148"/>
      <c r="F961" s="148"/>
    </row>
    <row r="962" spans="2:6" x14ac:dyDescent="0.2">
      <c r="B962" s="198" t="s">
        <v>2232</v>
      </c>
      <c r="C962" s="197">
        <v>601</v>
      </c>
      <c r="D962" s="147"/>
      <c r="E962" s="148"/>
      <c r="F962" s="148"/>
    </row>
    <row r="963" spans="2:6" x14ac:dyDescent="0.2">
      <c r="B963" s="115" t="s">
        <v>2231</v>
      </c>
      <c r="C963" s="114">
        <v>3994</v>
      </c>
      <c r="D963" s="147"/>
      <c r="E963" s="148"/>
      <c r="F963" s="148"/>
    </row>
    <row r="964" spans="2:6" x14ac:dyDescent="0.2">
      <c r="B964" s="115" t="s">
        <v>2230</v>
      </c>
      <c r="C964" s="114">
        <v>304</v>
      </c>
      <c r="D964" s="147"/>
      <c r="E964" s="148"/>
      <c r="F964" s="148"/>
    </row>
    <row r="965" spans="2:6" x14ac:dyDescent="0.2">
      <c r="B965" s="198" t="s">
        <v>2229</v>
      </c>
      <c r="C965" s="197">
        <v>27616</v>
      </c>
      <c r="D965" s="147"/>
      <c r="E965" s="148"/>
      <c r="F965" s="148"/>
    </row>
    <row r="966" spans="2:6" x14ac:dyDescent="0.2">
      <c r="B966" s="198" t="s">
        <v>2228</v>
      </c>
      <c r="C966" s="197">
        <v>1708</v>
      </c>
      <c r="D966" s="147"/>
      <c r="E966" s="148"/>
      <c r="F966" s="148"/>
    </row>
    <row r="967" spans="2:6" x14ac:dyDescent="0.2">
      <c r="B967" s="115" t="s">
        <v>2227</v>
      </c>
      <c r="C967" s="114">
        <v>772</v>
      </c>
      <c r="D967" s="147"/>
      <c r="E967" s="148"/>
      <c r="F967" s="148"/>
    </row>
    <row r="968" spans="2:6" x14ac:dyDescent="0.2">
      <c r="B968" s="198" t="s">
        <v>2226</v>
      </c>
      <c r="C968" s="197">
        <v>622</v>
      </c>
      <c r="D968" s="147"/>
      <c r="E968" s="148"/>
      <c r="F968" s="148"/>
    </row>
    <row r="969" spans="2:6" x14ac:dyDescent="0.2">
      <c r="B969" s="198" t="s">
        <v>2225</v>
      </c>
      <c r="C969" s="197">
        <v>1334</v>
      </c>
      <c r="D969" s="147"/>
      <c r="E969" s="148"/>
      <c r="F969" s="148"/>
    </row>
    <row r="970" spans="2:6" x14ac:dyDescent="0.2">
      <c r="B970" s="198" t="s">
        <v>2224</v>
      </c>
      <c r="C970" s="197">
        <v>273</v>
      </c>
      <c r="D970" s="147"/>
      <c r="E970" s="148"/>
      <c r="F970" s="148"/>
    </row>
    <row r="971" spans="2:6" x14ac:dyDescent="0.2">
      <c r="B971" s="198" t="s">
        <v>2223</v>
      </c>
      <c r="C971" s="197">
        <v>1178</v>
      </c>
      <c r="D971" s="147"/>
      <c r="E971" s="148"/>
      <c r="F971" s="148"/>
    </row>
    <row r="972" spans="2:6" x14ac:dyDescent="0.2">
      <c r="B972" s="198" t="s">
        <v>2222</v>
      </c>
      <c r="C972" s="197">
        <v>77</v>
      </c>
      <c r="D972" s="147"/>
      <c r="E972" s="148"/>
      <c r="F972" s="148"/>
    </row>
    <row r="973" spans="2:6" x14ac:dyDescent="0.2">
      <c r="B973" s="115" t="s">
        <v>2221</v>
      </c>
      <c r="C973" s="114">
        <v>345</v>
      </c>
      <c r="D973" s="147"/>
      <c r="E973" s="148"/>
      <c r="F973" s="148"/>
    </row>
    <row r="974" spans="2:6" x14ac:dyDescent="0.2">
      <c r="B974" s="198" t="s">
        <v>2220</v>
      </c>
      <c r="C974" s="197">
        <v>274</v>
      </c>
      <c r="D974" s="147"/>
      <c r="E974" s="148"/>
      <c r="F974" s="148"/>
    </row>
    <row r="975" spans="2:6" x14ac:dyDescent="0.2">
      <c r="B975" s="115" t="s">
        <v>2219</v>
      </c>
      <c r="C975" s="114">
        <v>904</v>
      </c>
      <c r="D975" s="147"/>
      <c r="E975" s="148"/>
      <c r="F975" s="148"/>
    </row>
    <row r="976" spans="2:6" x14ac:dyDescent="0.2">
      <c r="B976" s="115" t="s">
        <v>2218</v>
      </c>
      <c r="C976" s="114">
        <v>1944</v>
      </c>
      <c r="D976" s="147"/>
      <c r="E976" s="148"/>
      <c r="F976" s="148"/>
    </row>
    <row r="977" spans="2:6" x14ac:dyDescent="0.2">
      <c r="B977" s="115" t="s">
        <v>2217</v>
      </c>
      <c r="C977" s="114">
        <v>29304</v>
      </c>
      <c r="D977" s="147"/>
      <c r="E977" s="148"/>
      <c r="F977" s="148"/>
    </row>
    <row r="978" spans="2:6" x14ac:dyDescent="0.2">
      <c r="B978" s="115" t="s">
        <v>2216</v>
      </c>
      <c r="C978" s="114">
        <v>8272</v>
      </c>
      <c r="D978" s="147"/>
      <c r="E978" s="148"/>
      <c r="F978" s="148"/>
    </row>
    <row r="979" spans="2:6" x14ac:dyDescent="0.2">
      <c r="B979" s="115" t="s">
        <v>2215</v>
      </c>
      <c r="C979" s="114">
        <v>13104</v>
      </c>
      <c r="D979" s="147"/>
      <c r="E979" s="148"/>
      <c r="F979" s="148"/>
    </row>
    <row r="980" spans="2:6" x14ac:dyDescent="0.2">
      <c r="B980" s="115" t="s">
        <v>2214</v>
      </c>
      <c r="C980" s="114">
        <v>15986</v>
      </c>
      <c r="D980" s="147"/>
      <c r="E980" s="148"/>
      <c r="F980" s="148"/>
    </row>
    <row r="981" spans="2:6" x14ac:dyDescent="0.2">
      <c r="B981" s="198" t="s">
        <v>2213</v>
      </c>
      <c r="C981" s="197">
        <v>14220</v>
      </c>
      <c r="D981" s="147"/>
      <c r="E981" s="148"/>
      <c r="F981" s="148"/>
    </row>
    <row r="982" spans="2:6" x14ac:dyDescent="0.2">
      <c r="B982" s="115" t="s">
        <v>2212</v>
      </c>
      <c r="C982" s="114">
        <v>23871</v>
      </c>
      <c r="D982" s="147"/>
      <c r="E982" s="148"/>
      <c r="F982" s="148"/>
    </row>
    <row r="983" spans="2:6" x14ac:dyDescent="0.2">
      <c r="B983" s="115" t="s">
        <v>2211</v>
      </c>
      <c r="C983" s="114">
        <v>2918</v>
      </c>
      <c r="D983" s="147"/>
      <c r="E983" s="148"/>
      <c r="F983" s="148"/>
    </row>
    <row r="984" spans="2:6" x14ac:dyDescent="0.2">
      <c r="B984" s="115" t="s">
        <v>2210</v>
      </c>
      <c r="C984" s="114">
        <v>208</v>
      </c>
      <c r="D984" s="147"/>
      <c r="E984" s="148"/>
      <c r="F984" s="148"/>
    </row>
    <row r="985" spans="2:6" x14ac:dyDescent="0.2">
      <c r="B985" s="115" t="s">
        <v>2209</v>
      </c>
      <c r="C985" s="114">
        <v>2963</v>
      </c>
      <c r="D985" s="147"/>
      <c r="E985" s="148"/>
      <c r="F985" s="148"/>
    </row>
    <row r="986" spans="2:6" x14ac:dyDescent="0.2">
      <c r="B986" s="115" t="s">
        <v>2208</v>
      </c>
      <c r="C986" s="114">
        <v>2684</v>
      </c>
      <c r="D986" s="147"/>
      <c r="E986" s="148"/>
      <c r="F986" s="148"/>
    </row>
    <row r="987" spans="2:6" x14ac:dyDescent="0.2">
      <c r="B987" s="115" t="s">
        <v>2207</v>
      </c>
      <c r="C987" s="114">
        <v>79</v>
      </c>
      <c r="D987" s="147"/>
      <c r="E987" s="148"/>
      <c r="F987" s="148"/>
    </row>
    <row r="988" spans="2:6" x14ac:dyDescent="0.2">
      <c r="B988" s="115" t="s">
        <v>2206</v>
      </c>
      <c r="C988" s="114">
        <v>3279</v>
      </c>
      <c r="D988" s="147"/>
      <c r="E988" s="148"/>
      <c r="F988" s="148"/>
    </row>
    <row r="989" spans="2:6" x14ac:dyDescent="0.2">
      <c r="B989" s="115" t="s">
        <v>2205</v>
      </c>
      <c r="C989" s="114">
        <v>12084</v>
      </c>
      <c r="D989" s="147"/>
      <c r="E989" s="148"/>
      <c r="F989" s="148"/>
    </row>
    <row r="990" spans="2:6" x14ac:dyDescent="0.2">
      <c r="B990" s="198" t="s">
        <v>2204</v>
      </c>
      <c r="C990" s="197">
        <v>1143</v>
      </c>
      <c r="D990" s="147"/>
      <c r="E990" s="148"/>
      <c r="F990" s="148"/>
    </row>
    <row r="991" spans="2:6" x14ac:dyDescent="0.2">
      <c r="B991" s="115" t="s">
        <v>2203</v>
      </c>
      <c r="C991" s="114">
        <v>1712</v>
      </c>
      <c r="D991" s="147"/>
      <c r="E991" s="148"/>
      <c r="F991" s="148"/>
    </row>
    <row r="992" spans="2:6" x14ac:dyDescent="0.2">
      <c r="B992" s="198" t="s">
        <v>2202</v>
      </c>
      <c r="C992" s="197">
        <v>1297</v>
      </c>
      <c r="D992" s="147"/>
      <c r="E992" s="148"/>
      <c r="F992" s="148"/>
    </row>
    <row r="993" spans="2:6" x14ac:dyDescent="0.2">
      <c r="B993" s="198" t="s">
        <v>2201</v>
      </c>
      <c r="C993" s="197">
        <v>255</v>
      </c>
      <c r="D993" s="147"/>
      <c r="E993" s="148"/>
      <c r="F993" s="148"/>
    </row>
    <row r="994" spans="2:6" x14ac:dyDescent="0.2">
      <c r="B994" s="115" t="s">
        <v>2200</v>
      </c>
      <c r="C994" s="114">
        <v>591</v>
      </c>
      <c r="D994" s="147"/>
      <c r="E994" s="148"/>
      <c r="F994" s="148"/>
    </row>
    <row r="995" spans="2:6" x14ac:dyDescent="0.2">
      <c r="B995" s="115" t="s">
        <v>2199</v>
      </c>
      <c r="C995" s="114">
        <v>1386</v>
      </c>
      <c r="D995" s="147"/>
      <c r="E995" s="148"/>
      <c r="F995" s="148"/>
    </row>
    <row r="996" spans="2:6" x14ac:dyDescent="0.2">
      <c r="B996" s="115" t="s">
        <v>2198</v>
      </c>
      <c r="C996" s="114">
        <v>831</v>
      </c>
      <c r="D996" s="147"/>
      <c r="E996" s="148"/>
      <c r="F996" s="148"/>
    </row>
    <row r="997" spans="2:6" x14ac:dyDescent="0.2">
      <c r="B997" s="198" t="s">
        <v>2197</v>
      </c>
      <c r="C997" s="197">
        <v>180</v>
      </c>
      <c r="D997" s="147"/>
      <c r="E997" s="148"/>
      <c r="F997" s="148"/>
    </row>
    <row r="998" spans="2:6" x14ac:dyDescent="0.2">
      <c r="B998" s="198" t="s">
        <v>2196</v>
      </c>
      <c r="C998" s="197">
        <v>763</v>
      </c>
      <c r="D998" s="147"/>
      <c r="E998" s="148"/>
      <c r="F998" s="148"/>
    </row>
    <row r="999" spans="2:6" x14ac:dyDescent="0.2">
      <c r="B999" s="115" t="s">
        <v>2195</v>
      </c>
      <c r="C999" s="114">
        <v>3159</v>
      </c>
      <c r="D999" s="147"/>
      <c r="E999" s="148"/>
      <c r="F999" s="148"/>
    </row>
    <row r="1000" spans="2:6" x14ac:dyDescent="0.2">
      <c r="B1000" s="198" t="s">
        <v>2194</v>
      </c>
      <c r="C1000" s="197">
        <v>689</v>
      </c>
      <c r="D1000" s="147"/>
      <c r="E1000" s="148"/>
      <c r="F1000" s="148"/>
    </row>
    <row r="1001" spans="2:6" x14ac:dyDescent="0.2">
      <c r="B1001" s="115" t="s">
        <v>2193</v>
      </c>
      <c r="C1001" s="114">
        <v>4765</v>
      </c>
      <c r="D1001" s="147"/>
      <c r="E1001" s="148"/>
      <c r="F1001" s="148"/>
    </row>
    <row r="1002" spans="2:6" x14ac:dyDescent="0.2">
      <c r="B1002" s="115" t="s">
        <v>2192</v>
      </c>
      <c r="C1002" s="114">
        <v>622</v>
      </c>
      <c r="D1002" s="147"/>
      <c r="E1002" s="148"/>
      <c r="F1002" s="148"/>
    </row>
    <row r="1003" spans="2:6" x14ac:dyDescent="0.2">
      <c r="B1003" s="115" t="s">
        <v>2191</v>
      </c>
      <c r="C1003" s="114">
        <v>114</v>
      </c>
      <c r="D1003" s="147"/>
      <c r="E1003" s="148"/>
      <c r="F1003" s="148"/>
    </row>
    <row r="1004" spans="2:6" x14ac:dyDescent="0.2">
      <c r="B1004" s="115" t="s">
        <v>2190</v>
      </c>
      <c r="C1004" s="114">
        <v>1877</v>
      </c>
      <c r="D1004" s="147"/>
      <c r="E1004" s="148"/>
      <c r="F1004" s="148"/>
    </row>
    <row r="1005" spans="2:6" x14ac:dyDescent="0.2">
      <c r="B1005" s="115" t="s">
        <v>2189</v>
      </c>
      <c r="C1005" s="114">
        <v>662</v>
      </c>
      <c r="D1005" s="147"/>
      <c r="E1005" s="148"/>
      <c r="F1005" s="148"/>
    </row>
    <row r="1006" spans="2:6" x14ac:dyDescent="0.2">
      <c r="B1006" s="198" t="s">
        <v>2188</v>
      </c>
      <c r="C1006" s="197">
        <v>3310</v>
      </c>
      <c r="D1006" s="147"/>
      <c r="E1006" s="148"/>
      <c r="F1006" s="148"/>
    </row>
    <row r="1007" spans="2:6" x14ac:dyDescent="0.2">
      <c r="B1007" s="198" t="s">
        <v>2187</v>
      </c>
      <c r="C1007" s="197">
        <v>257</v>
      </c>
      <c r="D1007" s="147"/>
      <c r="E1007" s="148"/>
      <c r="F1007" s="148"/>
    </row>
    <row r="1008" spans="2:6" x14ac:dyDescent="0.2">
      <c r="B1008" s="115" t="s">
        <v>2186</v>
      </c>
      <c r="C1008" s="114">
        <v>19505</v>
      </c>
      <c r="D1008" s="147"/>
      <c r="E1008" s="148"/>
      <c r="F1008" s="148"/>
    </row>
    <row r="1009" spans="2:6" x14ac:dyDescent="0.2">
      <c r="B1009" s="115" t="s">
        <v>2185</v>
      </c>
      <c r="C1009" s="114">
        <v>1356</v>
      </c>
      <c r="D1009" s="147"/>
      <c r="E1009" s="148"/>
      <c r="F1009" s="148"/>
    </row>
    <row r="1010" spans="2:6" x14ac:dyDescent="0.2">
      <c r="B1010" s="115" t="s">
        <v>2184</v>
      </c>
      <c r="C1010" s="114">
        <v>321</v>
      </c>
      <c r="D1010" s="147"/>
      <c r="E1010" s="148"/>
      <c r="F1010" s="148"/>
    </row>
    <row r="1011" spans="2:6" x14ac:dyDescent="0.2">
      <c r="B1011" s="198" t="s">
        <v>2183</v>
      </c>
      <c r="C1011" s="197">
        <v>145</v>
      </c>
      <c r="D1011" s="147"/>
      <c r="E1011" s="148"/>
      <c r="F1011" s="148"/>
    </row>
    <row r="1012" spans="2:6" x14ac:dyDescent="0.2">
      <c r="B1012" s="115" t="s">
        <v>2182</v>
      </c>
      <c r="C1012" s="114">
        <v>3663</v>
      </c>
      <c r="D1012" s="147"/>
      <c r="E1012" s="148"/>
      <c r="F1012" s="148"/>
    </row>
    <row r="1013" spans="2:6" x14ac:dyDescent="0.2">
      <c r="B1013" s="115" t="s">
        <v>2181</v>
      </c>
      <c r="C1013" s="114">
        <v>726</v>
      </c>
      <c r="D1013" s="147"/>
      <c r="E1013" s="148"/>
      <c r="F1013" s="148"/>
    </row>
    <row r="1014" spans="2:6" x14ac:dyDescent="0.2">
      <c r="B1014" s="115" t="s">
        <v>2180</v>
      </c>
      <c r="C1014" s="114">
        <v>152</v>
      </c>
      <c r="D1014" s="147"/>
      <c r="E1014" s="148"/>
      <c r="F1014" s="148"/>
    </row>
    <row r="1015" spans="2:6" x14ac:dyDescent="0.2">
      <c r="B1015" s="198" t="s">
        <v>2179</v>
      </c>
      <c r="C1015" s="197">
        <v>118</v>
      </c>
      <c r="D1015" s="147"/>
      <c r="E1015" s="148"/>
      <c r="F1015" s="148"/>
    </row>
    <row r="1016" spans="2:6" x14ac:dyDescent="0.2">
      <c r="B1016" s="115" t="s">
        <v>2178</v>
      </c>
      <c r="C1016" s="114">
        <v>134</v>
      </c>
      <c r="D1016" s="147"/>
      <c r="E1016" s="148"/>
      <c r="F1016" s="148"/>
    </row>
    <row r="1017" spans="2:6" x14ac:dyDescent="0.2">
      <c r="B1017" s="115" t="s">
        <v>2177</v>
      </c>
      <c r="C1017" s="114">
        <v>262</v>
      </c>
      <c r="D1017" s="147"/>
      <c r="E1017" s="148"/>
      <c r="F1017" s="148"/>
    </row>
    <row r="1018" spans="2:6" x14ac:dyDescent="0.2">
      <c r="B1018" s="198" t="s">
        <v>2176</v>
      </c>
      <c r="C1018" s="197">
        <v>59</v>
      </c>
      <c r="D1018" s="147"/>
      <c r="E1018" s="148"/>
      <c r="F1018" s="148"/>
    </row>
    <row r="1019" spans="2:6" x14ac:dyDescent="0.2">
      <c r="B1019" s="198" t="s">
        <v>2175</v>
      </c>
      <c r="C1019" s="197">
        <v>140</v>
      </c>
      <c r="D1019" s="147"/>
      <c r="E1019" s="148"/>
      <c r="F1019" s="148"/>
    </row>
    <row r="1020" spans="2:6" x14ac:dyDescent="0.2">
      <c r="B1020" s="115" t="s">
        <v>2174</v>
      </c>
      <c r="C1020" s="114">
        <v>1686</v>
      </c>
      <c r="D1020" s="147"/>
      <c r="E1020" s="148"/>
      <c r="F1020" s="148"/>
    </row>
    <row r="1021" spans="2:6" x14ac:dyDescent="0.2">
      <c r="B1021" s="198" t="s">
        <v>2173</v>
      </c>
      <c r="C1021" s="197">
        <v>294</v>
      </c>
      <c r="D1021" s="147"/>
      <c r="E1021" s="148"/>
      <c r="F1021" s="148"/>
    </row>
    <row r="1022" spans="2:6" x14ac:dyDescent="0.2">
      <c r="B1022" s="198" t="s">
        <v>2172</v>
      </c>
      <c r="C1022" s="197">
        <v>100</v>
      </c>
      <c r="D1022" s="147"/>
      <c r="E1022" s="148"/>
      <c r="F1022" s="148"/>
    </row>
    <row r="1023" spans="2:6" x14ac:dyDescent="0.2">
      <c r="B1023" s="198" t="s">
        <v>2171</v>
      </c>
      <c r="C1023" s="197">
        <v>383</v>
      </c>
      <c r="D1023" s="147"/>
      <c r="E1023" s="148"/>
      <c r="F1023" s="148"/>
    </row>
    <row r="1024" spans="2:6" x14ac:dyDescent="0.2">
      <c r="B1024" s="115" t="s">
        <v>2170</v>
      </c>
      <c r="C1024" s="114">
        <v>921</v>
      </c>
      <c r="D1024" s="147"/>
      <c r="E1024" s="148"/>
      <c r="F1024" s="148"/>
    </row>
    <row r="1025" spans="2:6" x14ac:dyDescent="0.2">
      <c r="B1025" s="198" t="s">
        <v>2169</v>
      </c>
      <c r="C1025" s="197">
        <v>219</v>
      </c>
      <c r="D1025" s="147"/>
      <c r="E1025" s="148"/>
      <c r="F1025" s="148"/>
    </row>
    <row r="1026" spans="2:6" x14ac:dyDescent="0.2">
      <c r="B1026" s="115" t="s">
        <v>2168</v>
      </c>
      <c r="C1026" s="114">
        <v>1899</v>
      </c>
      <c r="D1026" s="147"/>
      <c r="E1026" s="148"/>
      <c r="F1026" s="148"/>
    </row>
    <row r="1027" spans="2:6" x14ac:dyDescent="0.2">
      <c r="B1027" s="198" t="s">
        <v>2167</v>
      </c>
      <c r="C1027" s="197">
        <v>941</v>
      </c>
      <c r="D1027" s="147"/>
      <c r="E1027" s="148"/>
      <c r="F1027" s="148"/>
    </row>
    <row r="1028" spans="2:6" x14ac:dyDescent="0.2">
      <c r="B1028" s="198" t="s">
        <v>2166</v>
      </c>
      <c r="C1028" s="197">
        <v>257</v>
      </c>
      <c r="D1028" s="147"/>
      <c r="E1028" s="148"/>
      <c r="F1028" s="148"/>
    </row>
    <row r="1029" spans="2:6" x14ac:dyDescent="0.2">
      <c r="B1029" s="198" t="s">
        <v>2165</v>
      </c>
      <c r="C1029" s="197">
        <v>993</v>
      </c>
      <c r="D1029" s="147"/>
      <c r="E1029" s="148"/>
      <c r="F1029" s="148"/>
    </row>
    <row r="1030" spans="2:6" x14ac:dyDescent="0.2">
      <c r="B1030" s="115" t="s">
        <v>2164</v>
      </c>
      <c r="C1030" s="114">
        <v>767</v>
      </c>
      <c r="D1030" s="147"/>
      <c r="E1030" s="148"/>
      <c r="F1030" s="148"/>
    </row>
    <row r="1031" spans="2:6" x14ac:dyDescent="0.2">
      <c r="B1031" s="115" t="s">
        <v>2163</v>
      </c>
      <c r="C1031" s="114">
        <v>428</v>
      </c>
      <c r="D1031" s="147"/>
      <c r="E1031" s="148"/>
      <c r="F1031" s="148"/>
    </row>
    <row r="1032" spans="2:6" x14ac:dyDescent="0.2">
      <c r="B1032" s="115" t="s">
        <v>2162</v>
      </c>
      <c r="C1032" s="114">
        <v>5070</v>
      </c>
      <c r="D1032" s="147"/>
      <c r="E1032" s="148"/>
      <c r="F1032" s="148"/>
    </row>
    <row r="1033" spans="2:6" x14ac:dyDescent="0.2">
      <c r="B1033" s="115" t="s">
        <v>2161</v>
      </c>
      <c r="C1033" s="114">
        <v>1108</v>
      </c>
      <c r="D1033" s="147"/>
      <c r="E1033" s="148"/>
      <c r="F1033" s="148"/>
    </row>
    <row r="1034" spans="2:6" x14ac:dyDescent="0.2">
      <c r="B1034" s="198" t="s">
        <v>2160</v>
      </c>
      <c r="C1034" s="197">
        <v>300</v>
      </c>
      <c r="D1034" s="147"/>
      <c r="E1034" s="148"/>
      <c r="F1034" s="148"/>
    </row>
    <row r="1035" spans="2:6" x14ac:dyDescent="0.2">
      <c r="B1035" s="198" t="s">
        <v>2159</v>
      </c>
      <c r="C1035" s="197">
        <v>2807</v>
      </c>
      <c r="D1035" s="147"/>
      <c r="E1035" s="148"/>
      <c r="F1035" s="148"/>
    </row>
    <row r="1036" spans="2:6" x14ac:dyDescent="0.2">
      <c r="B1036" s="198" t="s">
        <v>2158</v>
      </c>
      <c r="C1036" s="197">
        <v>598</v>
      </c>
      <c r="D1036" s="147"/>
      <c r="E1036" s="148"/>
      <c r="F1036" s="148"/>
    </row>
    <row r="1037" spans="2:6" x14ac:dyDescent="0.2">
      <c r="B1037" s="115" t="s">
        <v>2157</v>
      </c>
      <c r="C1037" s="114">
        <v>1628</v>
      </c>
      <c r="D1037" s="147"/>
      <c r="E1037" s="148"/>
      <c r="F1037" s="148"/>
    </row>
    <row r="1038" spans="2:6" x14ac:dyDescent="0.2">
      <c r="B1038" s="115" t="s">
        <v>2156</v>
      </c>
      <c r="C1038" s="114">
        <v>1745</v>
      </c>
      <c r="D1038" s="147"/>
      <c r="E1038" s="148"/>
      <c r="F1038" s="148"/>
    </row>
    <row r="1039" spans="2:6" x14ac:dyDescent="0.2">
      <c r="B1039" s="198" t="s">
        <v>2155</v>
      </c>
      <c r="C1039" s="197">
        <v>1098</v>
      </c>
      <c r="D1039" s="147"/>
      <c r="E1039" s="148"/>
      <c r="F1039" s="148"/>
    </row>
    <row r="1040" spans="2:6" x14ac:dyDescent="0.2">
      <c r="B1040" s="198" t="s">
        <v>2154</v>
      </c>
      <c r="C1040" s="197">
        <v>549</v>
      </c>
      <c r="D1040" s="147"/>
      <c r="E1040" s="148"/>
      <c r="F1040" s="148"/>
    </row>
    <row r="1041" spans="2:6" x14ac:dyDescent="0.2">
      <c r="B1041" s="115" t="s">
        <v>2153</v>
      </c>
      <c r="C1041" s="114">
        <v>3438</v>
      </c>
      <c r="D1041" s="147"/>
      <c r="E1041" s="148"/>
      <c r="F1041" s="148"/>
    </row>
    <row r="1042" spans="2:6" x14ac:dyDescent="0.2">
      <c r="B1042" s="115" t="s">
        <v>2152</v>
      </c>
      <c r="C1042" s="114">
        <v>257</v>
      </c>
      <c r="D1042" s="147"/>
      <c r="E1042" s="148"/>
      <c r="F1042" s="148"/>
    </row>
    <row r="1043" spans="2:6" x14ac:dyDescent="0.2">
      <c r="B1043" s="115" t="s">
        <v>2151</v>
      </c>
      <c r="C1043" s="114">
        <v>230</v>
      </c>
      <c r="D1043" s="147"/>
      <c r="E1043" s="148"/>
      <c r="F1043" s="148"/>
    </row>
    <row r="1044" spans="2:6" x14ac:dyDescent="0.2">
      <c r="B1044" s="198" t="s">
        <v>2150</v>
      </c>
      <c r="C1044" s="197">
        <v>4143</v>
      </c>
      <c r="D1044" s="147"/>
      <c r="E1044" s="148"/>
      <c r="F1044" s="148"/>
    </row>
    <row r="1045" spans="2:6" x14ac:dyDescent="0.2">
      <c r="B1045" s="115" t="s">
        <v>2149</v>
      </c>
      <c r="C1045" s="114">
        <v>124</v>
      </c>
      <c r="D1045" s="147"/>
      <c r="E1045" s="148"/>
      <c r="F1045" s="148"/>
    </row>
    <row r="1046" spans="2:6" x14ac:dyDescent="0.2">
      <c r="B1046" s="198" t="s">
        <v>2148</v>
      </c>
      <c r="C1046" s="197">
        <v>250</v>
      </c>
      <c r="D1046" s="147"/>
      <c r="E1046" s="148"/>
      <c r="F1046" s="148"/>
    </row>
    <row r="1047" spans="2:6" x14ac:dyDescent="0.2">
      <c r="B1047" s="115" t="s">
        <v>2147</v>
      </c>
      <c r="C1047" s="114">
        <v>1514</v>
      </c>
      <c r="D1047" s="147"/>
      <c r="E1047" s="148"/>
      <c r="F1047" s="148"/>
    </row>
    <row r="1048" spans="2:6" x14ac:dyDescent="0.2">
      <c r="B1048" s="115" t="s">
        <v>2146</v>
      </c>
      <c r="C1048" s="114">
        <v>334</v>
      </c>
      <c r="D1048" s="147"/>
      <c r="E1048" s="148"/>
      <c r="F1048" s="148"/>
    </row>
    <row r="1049" spans="2:6" x14ac:dyDescent="0.2">
      <c r="B1049" s="115" t="s">
        <v>2145</v>
      </c>
      <c r="C1049" s="114">
        <v>3464</v>
      </c>
      <c r="D1049" s="147"/>
      <c r="E1049" s="148"/>
      <c r="F1049" s="148"/>
    </row>
    <row r="1050" spans="2:6" x14ac:dyDescent="0.2">
      <c r="B1050" s="198" t="s">
        <v>2144</v>
      </c>
      <c r="C1050" s="197">
        <v>198</v>
      </c>
      <c r="D1050" s="147"/>
      <c r="E1050" s="148"/>
      <c r="F1050" s="148"/>
    </row>
    <row r="1051" spans="2:6" x14ac:dyDescent="0.2">
      <c r="B1051" s="198" t="s">
        <v>2143</v>
      </c>
      <c r="C1051" s="197">
        <v>494</v>
      </c>
      <c r="D1051" s="147"/>
      <c r="E1051" s="148"/>
      <c r="F1051" s="148"/>
    </row>
    <row r="1052" spans="2:6" x14ac:dyDescent="0.2">
      <c r="B1052" s="115" t="s">
        <v>2142</v>
      </c>
      <c r="C1052" s="114">
        <v>212</v>
      </c>
      <c r="D1052" s="147"/>
      <c r="E1052" s="148"/>
      <c r="F1052" s="148"/>
    </row>
    <row r="1053" spans="2:6" x14ac:dyDescent="0.2">
      <c r="B1053" s="115" t="s">
        <v>2141</v>
      </c>
      <c r="C1053" s="114">
        <v>1064</v>
      </c>
      <c r="D1053" s="147"/>
      <c r="E1053" s="148"/>
      <c r="F1053" s="148"/>
    </row>
    <row r="1054" spans="2:6" x14ac:dyDescent="0.2">
      <c r="B1054" s="198" t="s">
        <v>2140</v>
      </c>
      <c r="C1054" s="197">
        <v>86</v>
      </c>
      <c r="D1054" s="147"/>
      <c r="E1054" s="148"/>
      <c r="F1054" s="148"/>
    </row>
    <row r="1055" spans="2:6" x14ac:dyDescent="0.2">
      <c r="B1055" s="198" t="s">
        <v>2139</v>
      </c>
      <c r="C1055" s="197">
        <v>435</v>
      </c>
      <c r="D1055" s="147"/>
      <c r="E1055" s="148"/>
      <c r="F1055" s="148"/>
    </row>
    <row r="1056" spans="2:6" x14ac:dyDescent="0.2">
      <c r="B1056" s="198" t="s">
        <v>2138</v>
      </c>
      <c r="C1056" s="197">
        <v>297</v>
      </c>
      <c r="D1056" s="147"/>
      <c r="E1056" s="148"/>
      <c r="F1056" s="148"/>
    </row>
    <row r="1057" spans="2:6" x14ac:dyDescent="0.2">
      <c r="B1057" s="198" t="s">
        <v>2137</v>
      </c>
      <c r="C1057" s="197">
        <v>1024</v>
      </c>
      <c r="D1057" s="147"/>
      <c r="E1057" s="148"/>
      <c r="F1057" s="148"/>
    </row>
    <row r="1058" spans="2:6" x14ac:dyDescent="0.2">
      <c r="B1058" s="198" t="s">
        <v>2136</v>
      </c>
      <c r="C1058" s="197">
        <v>437</v>
      </c>
      <c r="D1058" s="147"/>
      <c r="E1058" s="148"/>
      <c r="F1058" s="148"/>
    </row>
    <row r="1059" spans="2:6" x14ac:dyDescent="0.2">
      <c r="B1059" s="115" t="s">
        <v>2135</v>
      </c>
      <c r="C1059" s="114">
        <v>77</v>
      </c>
      <c r="D1059" s="147"/>
      <c r="E1059" s="148"/>
      <c r="F1059" s="148"/>
    </row>
    <row r="1060" spans="2:6" x14ac:dyDescent="0.2">
      <c r="B1060" s="115" t="s">
        <v>2134</v>
      </c>
      <c r="C1060" s="114">
        <v>9870</v>
      </c>
      <c r="D1060" s="147"/>
      <c r="E1060" s="148"/>
      <c r="F1060" s="148"/>
    </row>
    <row r="1061" spans="2:6" x14ac:dyDescent="0.2">
      <c r="B1061" s="198" t="s">
        <v>2133</v>
      </c>
      <c r="C1061" s="197">
        <v>567</v>
      </c>
      <c r="D1061" s="147"/>
      <c r="E1061" s="148"/>
      <c r="F1061" s="148"/>
    </row>
    <row r="1062" spans="2:6" x14ac:dyDescent="0.2">
      <c r="B1062" s="115" t="s">
        <v>2132</v>
      </c>
      <c r="C1062" s="114">
        <v>593</v>
      </c>
      <c r="D1062" s="147"/>
      <c r="E1062" s="148"/>
      <c r="F1062" s="148"/>
    </row>
    <row r="1063" spans="2:6" x14ac:dyDescent="0.2">
      <c r="B1063" s="115" t="s">
        <v>2131</v>
      </c>
      <c r="C1063" s="114">
        <v>4500</v>
      </c>
      <c r="D1063" s="147"/>
      <c r="E1063" s="148"/>
      <c r="F1063" s="148"/>
    </row>
    <row r="1064" spans="2:6" x14ac:dyDescent="0.2">
      <c r="B1064" s="198" t="s">
        <v>2130</v>
      </c>
      <c r="C1064" s="197">
        <v>3348</v>
      </c>
      <c r="D1064" s="147"/>
      <c r="E1064" s="148"/>
      <c r="F1064" s="148"/>
    </row>
    <row r="1065" spans="2:6" x14ac:dyDescent="0.2">
      <c r="B1065" s="115" t="s">
        <v>2129</v>
      </c>
      <c r="C1065" s="114">
        <v>1777</v>
      </c>
      <c r="D1065" s="147"/>
      <c r="E1065" s="148"/>
      <c r="F1065" s="148"/>
    </row>
    <row r="1066" spans="2:6" x14ac:dyDescent="0.2">
      <c r="B1066" s="115" t="s">
        <v>2128</v>
      </c>
      <c r="C1066" s="114">
        <v>977</v>
      </c>
      <c r="D1066" s="147"/>
      <c r="E1066" s="148"/>
      <c r="F1066" s="148"/>
    </row>
    <row r="1067" spans="2:6" x14ac:dyDescent="0.2">
      <c r="B1067" s="115" t="s">
        <v>2127</v>
      </c>
      <c r="C1067" s="114">
        <v>461</v>
      </c>
      <c r="D1067" s="147"/>
      <c r="E1067" s="148"/>
      <c r="F1067" s="148"/>
    </row>
    <row r="1068" spans="2:6" x14ac:dyDescent="0.2">
      <c r="B1068" s="115" t="s">
        <v>2126</v>
      </c>
      <c r="C1068" s="114">
        <v>457</v>
      </c>
      <c r="D1068" s="147"/>
      <c r="E1068" s="148"/>
      <c r="F1068" s="148"/>
    </row>
    <row r="1069" spans="2:6" x14ac:dyDescent="0.2">
      <c r="B1069" s="115" t="s">
        <v>2125</v>
      </c>
      <c r="C1069" s="114">
        <v>496</v>
      </c>
      <c r="D1069" s="147"/>
      <c r="E1069" s="148"/>
      <c r="F1069" s="148"/>
    </row>
    <row r="1070" spans="2:6" x14ac:dyDescent="0.2">
      <c r="B1070" s="115" t="s">
        <v>2124</v>
      </c>
      <c r="C1070" s="114">
        <v>919</v>
      </c>
      <c r="D1070" s="147"/>
      <c r="E1070" s="148"/>
      <c r="F1070" s="148"/>
    </row>
    <row r="1071" spans="2:6" x14ac:dyDescent="0.2">
      <c r="B1071" s="198" t="s">
        <v>2123</v>
      </c>
      <c r="C1071" s="197">
        <v>623</v>
      </c>
      <c r="D1071" s="147"/>
      <c r="E1071" s="148"/>
      <c r="F1071" s="148"/>
    </row>
    <row r="1072" spans="2:6" x14ac:dyDescent="0.2">
      <c r="B1072" s="198" t="s">
        <v>2122</v>
      </c>
      <c r="C1072" s="197">
        <v>232</v>
      </c>
      <c r="D1072" s="147"/>
      <c r="E1072" s="148"/>
      <c r="F1072" s="148"/>
    </row>
    <row r="1073" spans="2:6" x14ac:dyDescent="0.2">
      <c r="B1073" s="115" t="s">
        <v>2121</v>
      </c>
      <c r="C1073" s="114">
        <v>870</v>
      </c>
      <c r="D1073" s="147"/>
      <c r="E1073" s="148"/>
      <c r="F1073" s="148"/>
    </row>
    <row r="1074" spans="2:6" x14ac:dyDescent="0.2">
      <c r="B1074" s="115" t="s">
        <v>2120</v>
      </c>
      <c r="C1074" s="114">
        <v>3193</v>
      </c>
      <c r="D1074" s="147"/>
      <c r="E1074" s="148"/>
      <c r="F1074" s="148"/>
    </row>
    <row r="1075" spans="2:6" x14ac:dyDescent="0.2">
      <c r="B1075" s="115" t="s">
        <v>2119</v>
      </c>
      <c r="C1075" s="114">
        <v>41669</v>
      </c>
      <c r="D1075" s="147"/>
      <c r="E1075" s="148"/>
      <c r="F1075" s="148"/>
    </row>
    <row r="1076" spans="2:6" x14ac:dyDescent="0.2">
      <c r="B1076" s="198" t="s">
        <v>2118</v>
      </c>
      <c r="C1076" s="197">
        <v>236</v>
      </c>
      <c r="D1076" s="147"/>
      <c r="E1076" s="148"/>
      <c r="F1076" s="148"/>
    </row>
    <row r="1077" spans="2:6" x14ac:dyDescent="0.2">
      <c r="B1077" s="198" t="s">
        <v>2117</v>
      </c>
      <c r="C1077" s="197">
        <v>735</v>
      </c>
      <c r="D1077" s="147"/>
      <c r="E1077" s="148"/>
      <c r="F1077" s="148"/>
    </row>
    <row r="1078" spans="2:6" x14ac:dyDescent="0.2">
      <c r="B1078" s="198" t="s">
        <v>2116</v>
      </c>
      <c r="C1078" s="197">
        <v>308</v>
      </c>
      <c r="D1078" s="147"/>
      <c r="E1078" s="148"/>
      <c r="F1078" s="148"/>
    </row>
    <row r="1079" spans="2:6" x14ac:dyDescent="0.2">
      <c r="B1079" s="198" t="s">
        <v>2115</v>
      </c>
      <c r="C1079" s="197">
        <v>594</v>
      </c>
      <c r="D1079" s="147"/>
      <c r="E1079" s="148"/>
      <c r="F1079" s="148"/>
    </row>
    <row r="1080" spans="2:6" x14ac:dyDescent="0.2">
      <c r="B1080" s="115" t="s">
        <v>2114</v>
      </c>
      <c r="C1080" s="114">
        <v>266</v>
      </c>
      <c r="D1080" s="147"/>
      <c r="E1080" s="148"/>
      <c r="F1080" s="148"/>
    </row>
    <row r="1081" spans="2:6" x14ac:dyDescent="0.2">
      <c r="B1081" s="115" t="s">
        <v>2113</v>
      </c>
      <c r="C1081" s="114">
        <v>1174</v>
      </c>
      <c r="D1081" s="147"/>
      <c r="E1081" s="148"/>
      <c r="F1081" s="148"/>
    </row>
    <row r="1082" spans="2:6" x14ac:dyDescent="0.2">
      <c r="B1082" s="115" t="s">
        <v>2112</v>
      </c>
      <c r="C1082" s="114">
        <v>927</v>
      </c>
      <c r="D1082" s="147"/>
      <c r="E1082" s="148"/>
      <c r="F1082" s="148"/>
    </row>
    <row r="1083" spans="2:6" x14ac:dyDescent="0.2">
      <c r="B1083" s="198" t="s">
        <v>2111</v>
      </c>
      <c r="C1083" s="197">
        <v>522</v>
      </c>
      <c r="D1083" s="147"/>
      <c r="E1083" s="148"/>
      <c r="F1083" s="148"/>
    </row>
    <row r="1084" spans="2:6" x14ac:dyDescent="0.2">
      <c r="B1084" s="198" t="s">
        <v>2110</v>
      </c>
      <c r="C1084" s="197">
        <v>899</v>
      </c>
      <c r="D1084" s="147"/>
      <c r="E1084" s="148"/>
      <c r="F1084" s="148"/>
    </row>
    <row r="1085" spans="2:6" x14ac:dyDescent="0.2">
      <c r="B1085" s="198" t="s">
        <v>2109</v>
      </c>
      <c r="C1085" s="197">
        <v>511</v>
      </c>
      <c r="D1085" s="147"/>
      <c r="E1085" s="148"/>
      <c r="F1085" s="148"/>
    </row>
    <row r="1086" spans="2:6" x14ac:dyDescent="0.2">
      <c r="B1086" s="115" t="s">
        <v>2108</v>
      </c>
      <c r="C1086" s="114">
        <v>152</v>
      </c>
      <c r="D1086" s="147"/>
      <c r="E1086" s="148"/>
      <c r="F1086" s="148"/>
    </row>
    <row r="1087" spans="2:6" x14ac:dyDescent="0.2">
      <c r="B1087" s="115" t="s">
        <v>2107</v>
      </c>
      <c r="C1087" s="114">
        <v>3575</v>
      </c>
      <c r="D1087" s="147"/>
      <c r="E1087" s="148"/>
      <c r="F1087" s="148"/>
    </row>
    <row r="1088" spans="2:6" x14ac:dyDescent="0.2">
      <c r="B1088" s="198" t="s">
        <v>2106</v>
      </c>
      <c r="C1088" s="197">
        <v>1229</v>
      </c>
      <c r="D1088" s="147"/>
      <c r="E1088" s="148"/>
      <c r="F1088" s="148"/>
    </row>
    <row r="1089" spans="2:6" x14ac:dyDescent="0.2">
      <c r="B1089" s="115" t="s">
        <v>2105</v>
      </c>
      <c r="C1089" s="114">
        <v>51</v>
      </c>
      <c r="D1089" s="147"/>
      <c r="E1089" s="148"/>
      <c r="F1089" s="148"/>
    </row>
    <row r="1090" spans="2:6" x14ac:dyDescent="0.2">
      <c r="B1090" s="198" t="s">
        <v>2104</v>
      </c>
      <c r="C1090" s="197">
        <v>185</v>
      </c>
      <c r="D1090" s="147"/>
      <c r="E1090" s="148"/>
      <c r="F1090" s="148"/>
    </row>
    <row r="1091" spans="2:6" x14ac:dyDescent="0.2">
      <c r="B1091" s="198" t="s">
        <v>2103</v>
      </c>
      <c r="C1091" s="197">
        <v>799</v>
      </c>
      <c r="D1091" s="147"/>
      <c r="E1091" s="148"/>
      <c r="F1091" s="148"/>
    </row>
    <row r="1092" spans="2:6" x14ac:dyDescent="0.2">
      <c r="B1092" s="115" t="s">
        <v>2102</v>
      </c>
      <c r="C1092" s="114">
        <v>3341</v>
      </c>
      <c r="D1092" s="147"/>
      <c r="E1092" s="148"/>
      <c r="F1092" s="148"/>
    </row>
    <row r="1093" spans="2:6" x14ac:dyDescent="0.2">
      <c r="B1093" s="115" t="s">
        <v>2101</v>
      </c>
      <c r="C1093" s="114">
        <v>5473</v>
      </c>
      <c r="D1093" s="147"/>
      <c r="E1093" s="148"/>
      <c r="F1093" s="148"/>
    </row>
    <row r="1094" spans="2:6" x14ac:dyDescent="0.2">
      <c r="B1094" s="198" t="s">
        <v>2100</v>
      </c>
      <c r="C1094" s="197">
        <v>610</v>
      </c>
      <c r="D1094" s="147"/>
      <c r="E1094" s="148"/>
      <c r="F1094" s="148"/>
    </row>
    <row r="1095" spans="2:6" x14ac:dyDescent="0.2">
      <c r="B1095" s="115" t="s">
        <v>2099</v>
      </c>
      <c r="C1095" s="114">
        <v>55</v>
      </c>
      <c r="D1095" s="147"/>
      <c r="E1095" s="148"/>
      <c r="F1095" s="148"/>
    </row>
    <row r="1096" spans="2:6" x14ac:dyDescent="0.2">
      <c r="B1096" s="115" t="s">
        <v>2098</v>
      </c>
      <c r="C1096" s="114">
        <v>181</v>
      </c>
      <c r="D1096" s="147"/>
      <c r="E1096" s="148"/>
      <c r="F1096" s="148"/>
    </row>
    <row r="1097" spans="2:6" x14ac:dyDescent="0.2">
      <c r="B1097" s="115" t="s">
        <v>2097</v>
      </c>
      <c r="C1097" s="114">
        <v>70</v>
      </c>
      <c r="D1097" s="147"/>
      <c r="E1097" s="148"/>
      <c r="F1097" s="148"/>
    </row>
    <row r="1098" spans="2:6" x14ac:dyDescent="0.2">
      <c r="B1098" s="115" t="s">
        <v>2096</v>
      </c>
      <c r="C1098" s="114">
        <v>332</v>
      </c>
      <c r="D1098" s="147"/>
      <c r="E1098" s="148"/>
      <c r="F1098" s="148"/>
    </row>
    <row r="1099" spans="2:6" x14ac:dyDescent="0.2">
      <c r="B1099" s="115" t="s">
        <v>2095</v>
      </c>
      <c r="C1099" s="114">
        <v>2501</v>
      </c>
      <c r="D1099" s="147"/>
      <c r="E1099" s="148"/>
      <c r="F1099" s="148"/>
    </row>
    <row r="1100" spans="2:6" x14ac:dyDescent="0.2">
      <c r="B1100" s="198" t="s">
        <v>2094</v>
      </c>
      <c r="C1100" s="197">
        <v>335</v>
      </c>
      <c r="D1100" s="147"/>
      <c r="E1100" s="148"/>
      <c r="F1100" s="148"/>
    </row>
    <row r="1101" spans="2:6" x14ac:dyDescent="0.2">
      <c r="B1101" s="115" t="s">
        <v>2093</v>
      </c>
      <c r="C1101" s="114">
        <v>888</v>
      </c>
      <c r="D1101" s="147"/>
      <c r="E1101" s="148"/>
      <c r="F1101" s="148"/>
    </row>
    <row r="1102" spans="2:6" x14ac:dyDescent="0.2">
      <c r="B1102" s="115" t="s">
        <v>2092</v>
      </c>
      <c r="C1102" s="114">
        <v>551</v>
      </c>
      <c r="D1102" s="147"/>
      <c r="E1102" s="148"/>
      <c r="F1102" s="148"/>
    </row>
    <row r="1103" spans="2:6" x14ac:dyDescent="0.2">
      <c r="B1103" s="115" t="s">
        <v>2091</v>
      </c>
      <c r="C1103" s="114">
        <v>163</v>
      </c>
      <c r="D1103" s="147"/>
      <c r="E1103" s="148"/>
      <c r="F1103" s="148"/>
    </row>
    <row r="1104" spans="2:6" x14ac:dyDescent="0.2">
      <c r="B1104" s="198" t="s">
        <v>2090</v>
      </c>
      <c r="C1104" s="197">
        <v>53</v>
      </c>
      <c r="D1104" s="147"/>
      <c r="E1104" s="148"/>
      <c r="F1104" s="148"/>
    </row>
    <row r="1105" spans="2:6" x14ac:dyDescent="0.2">
      <c r="B1105" s="115" t="s">
        <v>2089</v>
      </c>
      <c r="C1105" s="114">
        <v>179</v>
      </c>
      <c r="D1105" s="147"/>
      <c r="E1105" s="148"/>
      <c r="F1105" s="148"/>
    </row>
    <row r="1106" spans="2:6" x14ac:dyDescent="0.2">
      <c r="B1106" s="115" t="s">
        <v>2088</v>
      </c>
      <c r="C1106" s="114">
        <v>13</v>
      </c>
      <c r="D1106" s="147"/>
      <c r="E1106" s="148"/>
      <c r="F1106" s="148"/>
    </row>
    <row r="1107" spans="2:6" x14ac:dyDescent="0.2">
      <c r="B1107" s="198" t="s">
        <v>2087</v>
      </c>
      <c r="C1107" s="197">
        <v>6256</v>
      </c>
      <c r="D1107" s="147"/>
      <c r="E1107" s="148"/>
      <c r="F1107" s="148"/>
    </row>
    <row r="1108" spans="2:6" x14ac:dyDescent="0.2">
      <c r="B1108" s="115" t="s">
        <v>2086</v>
      </c>
      <c r="C1108" s="114">
        <v>1346</v>
      </c>
      <c r="D1108" s="147"/>
      <c r="E1108" s="148"/>
      <c r="F1108" s="148"/>
    </row>
    <row r="1109" spans="2:6" x14ac:dyDescent="0.2">
      <c r="B1109" s="115" t="s">
        <v>2085</v>
      </c>
      <c r="C1109" s="114">
        <v>737</v>
      </c>
      <c r="D1109" s="147"/>
      <c r="E1109" s="148"/>
      <c r="F1109" s="148"/>
    </row>
    <row r="1110" spans="2:6" x14ac:dyDescent="0.2">
      <c r="B1110" s="198" t="s">
        <v>2084</v>
      </c>
      <c r="C1110" s="197">
        <v>1071</v>
      </c>
      <c r="D1110" s="147"/>
      <c r="E1110" s="148"/>
      <c r="F1110" s="148"/>
    </row>
    <row r="1111" spans="2:6" x14ac:dyDescent="0.2">
      <c r="B1111" s="115" t="s">
        <v>2083</v>
      </c>
      <c r="C1111" s="114">
        <v>431</v>
      </c>
      <c r="D1111" s="147"/>
      <c r="E1111" s="148"/>
      <c r="F1111" s="148"/>
    </row>
    <row r="1112" spans="2:6" x14ac:dyDescent="0.2">
      <c r="B1112" s="115" t="s">
        <v>2082</v>
      </c>
      <c r="C1112" s="114">
        <v>1147</v>
      </c>
      <c r="D1112" s="147"/>
      <c r="E1112" s="148"/>
      <c r="F1112" s="148"/>
    </row>
    <row r="1113" spans="2:6" x14ac:dyDescent="0.2">
      <c r="B1113" s="198" t="s">
        <v>2081</v>
      </c>
      <c r="C1113" s="197">
        <v>1621</v>
      </c>
      <c r="D1113" s="147"/>
      <c r="E1113" s="148"/>
      <c r="F1113" s="148"/>
    </row>
    <row r="1114" spans="2:6" x14ac:dyDescent="0.2">
      <c r="B1114" s="115" t="s">
        <v>2080</v>
      </c>
      <c r="C1114" s="114">
        <v>1978</v>
      </c>
      <c r="D1114" s="147"/>
      <c r="E1114" s="148"/>
      <c r="F1114" s="148"/>
    </row>
    <row r="1115" spans="2:6" x14ac:dyDescent="0.2">
      <c r="B1115" s="115" t="s">
        <v>2079</v>
      </c>
      <c r="C1115" s="114">
        <v>50</v>
      </c>
      <c r="D1115" s="147"/>
      <c r="E1115" s="148"/>
      <c r="F1115" s="148"/>
    </row>
    <row r="1116" spans="2:6" x14ac:dyDescent="0.2">
      <c r="B1116" s="115" t="s">
        <v>2078</v>
      </c>
      <c r="C1116" s="114">
        <v>257</v>
      </c>
      <c r="D1116" s="147"/>
      <c r="E1116" s="148"/>
      <c r="F1116" s="148"/>
    </row>
    <row r="1117" spans="2:6" x14ac:dyDescent="0.2">
      <c r="B1117" s="115" t="s">
        <v>2077</v>
      </c>
      <c r="C1117" s="114">
        <v>1839</v>
      </c>
      <c r="D1117" s="147"/>
      <c r="E1117" s="148"/>
      <c r="F1117" s="148"/>
    </row>
    <row r="1118" spans="2:6" x14ac:dyDescent="0.2">
      <c r="B1118" s="115" t="s">
        <v>2076</v>
      </c>
      <c r="C1118" s="114">
        <v>132</v>
      </c>
      <c r="D1118" s="147"/>
      <c r="E1118" s="148"/>
      <c r="F1118" s="148"/>
    </row>
    <row r="1119" spans="2:6" x14ac:dyDescent="0.2">
      <c r="B1119" s="115" t="s">
        <v>2075</v>
      </c>
      <c r="C1119" s="114">
        <v>1109</v>
      </c>
      <c r="D1119" s="147"/>
      <c r="E1119" s="148"/>
      <c r="F1119" s="148"/>
    </row>
    <row r="1120" spans="2:6" x14ac:dyDescent="0.2">
      <c r="B1120" s="198" t="s">
        <v>2074</v>
      </c>
      <c r="C1120" s="197">
        <v>232</v>
      </c>
      <c r="D1120" s="147"/>
      <c r="E1120" s="148"/>
      <c r="F1120" s="148"/>
    </row>
    <row r="1121" spans="2:6" x14ac:dyDescent="0.2">
      <c r="B1121" s="115" t="s">
        <v>2073</v>
      </c>
      <c r="C1121" s="114">
        <v>77</v>
      </c>
      <c r="D1121" s="147"/>
      <c r="E1121" s="148"/>
      <c r="F1121" s="148"/>
    </row>
    <row r="1122" spans="2:6" x14ac:dyDescent="0.2">
      <c r="B1122" s="115" t="s">
        <v>2072</v>
      </c>
      <c r="C1122" s="114">
        <v>586</v>
      </c>
      <c r="D1122" s="147"/>
      <c r="E1122" s="148"/>
      <c r="F1122" s="148"/>
    </row>
    <row r="1123" spans="2:6" x14ac:dyDescent="0.2">
      <c r="B1123" s="115" t="s">
        <v>2071</v>
      </c>
      <c r="C1123" s="114">
        <v>1143</v>
      </c>
      <c r="D1123" s="147"/>
      <c r="E1123" s="148"/>
      <c r="F1123" s="148"/>
    </row>
    <row r="1124" spans="2:6" x14ac:dyDescent="0.2">
      <c r="B1124" s="115" t="s">
        <v>2070</v>
      </c>
      <c r="C1124" s="114">
        <v>4885</v>
      </c>
      <c r="D1124" s="147"/>
      <c r="E1124" s="148"/>
      <c r="F1124" s="148"/>
    </row>
    <row r="1125" spans="2:6" x14ac:dyDescent="0.2">
      <c r="B1125" s="198" t="s">
        <v>2069</v>
      </c>
      <c r="C1125" s="197">
        <v>1077</v>
      </c>
      <c r="D1125" s="147"/>
      <c r="E1125" s="148"/>
      <c r="F1125" s="148"/>
    </row>
    <row r="1126" spans="2:6" x14ac:dyDescent="0.2">
      <c r="B1126" s="115" t="s">
        <v>2068</v>
      </c>
      <c r="C1126" s="114">
        <v>185</v>
      </c>
      <c r="D1126" s="147"/>
      <c r="E1126" s="148"/>
      <c r="F1126" s="148"/>
    </row>
    <row r="1127" spans="2:6" x14ac:dyDescent="0.2">
      <c r="B1127" s="198" t="s">
        <v>2067</v>
      </c>
      <c r="C1127" s="197">
        <v>397</v>
      </c>
      <c r="D1127" s="147"/>
      <c r="E1127" s="148"/>
      <c r="F1127" s="148"/>
    </row>
    <row r="1128" spans="2:6" x14ac:dyDescent="0.2">
      <c r="B1128" s="198" t="s">
        <v>2066</v>
      </c>
      <c r="C1128" s="197">
        <v>553</v>
      </c>
      <c r="D1128" s="147"/>
      <c r="E1128" s="148"/>
      <c r="F1128" s="148"/>
    </row>
    <row r="1129" spans="2:6" x14ac:dyDescent="0.2">
      <c r="B1129" s="115" t="s">
        <v>2065</v>
      </c>
      <c r="C1129" s="114">
        <v>398</v>
      </c>
      <c r="D1129" s="147"/>
      <c r="E1129" s="148"/>
      <c r="F1129" s="148"/>
    </row>
    <row r="1130" spans="2:6" x14ac:dyDescent="0.2">
      <c r="B1130" s="198" t="s">
        <v>2064</v>
      </c>
      <c r="C1130" s="197">
        <v>373</v>
      </c>
      <c r="D1130" s="147"/>
      <c r="E1130" s="148"/>
      <c r="F1130" s="148"/>
    </row>
    <row r="1131" spans="2:6" x14ac:dyDescent="0.2">
      <c r="B1131" s="198" t="s">
        <v>2063</v>
      </c>
      <c r="C1131" s="197">
        <v>707</v>
      </c>
      <c r="D1131" s="147"/>
      <c r="E1131" s="148"/>
      <c r="F1131" s="148"/>
    </row>
    <row r="1132" spans="2:6" x14ac:dyDescent="0.2">
      <c r="B1132" s="115" t="s">
        <v>2062</v>
      </c>
      <c r="C1132" s="114">
        <v>2382</v>
      </c>
      <c r="D1132" s="147"/>
      <c r="E1132" s="148"/>
      <c r="F1132" s="148"/>
    </row>
    <row r="1133" spans="2:6" x14ac:dyDescent="0.2">
      <c r="B1133" s="198" t="s">
        <v>2061</v>
      </c>
      <c r="C1133" s="197">
        <v>76</v>
      </c>
      <c r="D1133" s="147"/>
      <c r="E1133" s="148"/>
      <c r="F1133" s="148"/>
    </row>
    <row r="1134" spans="2:6" x14ac:dyDescent="0.2">
      <c r="B1134" s="198" t="s">
        <v>2060</v>
      </c>
      <c r="C1134" s="197">
        <v>11556</v>
      </c>
      <c r="D1134" s="147"/>
      <c r="E1134" s="148"/>
      <c r="F1134" s="148"/>
    </row>
    <row r="1135" spans="2:6" x14ac:dyDescent="0.2">
      <c r="B1135" s="115" t="s">
        <v>2059</v>
      </c>
      <c r="C1135" s="114">
        <v>91</v>
      </c>
      <c r="D1135" s="147"/>
      <c r="E1135" s="148"/>
      <c r="F1135" s="148"/>
    </row>
    <row r="1136" spans="2:6" x14ac:dyDescent="0.2">
      <c r="B1136" s="115" t="s">
        <v>2058</v>
      </c>
      <c r="C1136" s="114">
        <v>1232</v>
      </c>
      <c r="D1136" s="147"/>
      <c r="E1136" s="148"/>
      <c r="F1136" s="148"/>
    </row>
    <row r="1137" spans="2:6" x14ac:dyDescent="0.2">
      <c r="B1137" s="115" t="s">
        <v>2057</v>
      </c>
      <c r="C1137" s="114">
        <v>492</v>
      </c>
      <c r="D1137" s="147"/>
      <c r="E1137" s="148"/>
      <c r="F1137" s="148"/>
    </row>
    <row r="1138" spans="2:6" x14ac:dyDescent="0.2">
      <c r="B1138" s="115" t="s">
        <v>2056</v>
      </c>
      <c r="C1138" s="114">
        <v>2277</v>
      </c>
      <c r="D1138" s="147"/>
      <c r="E1138" s="148"/>
      <c r="F1138" s="148"/>
    </row>
    <row r="1139" spans="2:6" x14ac:dyDescent="0.2">
      <c r="B1139" s="198" t="s">
        <v>2055</v>
      </c>
      <c r="C1139" s="197">
        <v>330</v>
      </c>
      <c r="D1139" s="147"/>
      <c r="E1139" s="148"/>
      <c r="F1139" s="148"/>
    </row>
    <row r="1140" spans="2:6" x14ac:dyDescent="0.2">
      <c r="B1140" s="115" t="s">
        <v>2054</v>
      </c>
      <c r="C1140" s="114">
        <v>897</v>
      </c>
      <c r="D1140" s="147"/>
      <c r="E1140" s="148"/>
      <c r="F1140" s="148"/>
    </row>
    <row r="1141" spans="2:6" x14ac:dyDescent="0.2">
      <c r="B1141" s="198" t="s">
        <v>2053</v>
      </c>
      <c r="C1141" s="197">
        <v>327</v>
      </c>
      <c r="D1141" s="147"/>
      <c r="E1141" s="148"/>
      <c r="F1141" s="148"/>
    </row>
    <row r="1142" spans="2:6" x14ac:dyDescent="0.2">
      <c r="B1142" s="198" t="s">
        <v>2052</v>
      </c>
      <c r="C1142" s="197">
        <v>1169</v>
      </c>
      <c r="D1142" s="147"/>
      <c r="E1142" s="148"/>
      <c r="F1142" s="148"/>
    </row>
    <row r="1143" spans="2:6" x14ac:dyDescent="0.2">
      <c r="B1143" s="115" t="s">
        <v>2051</v>
      </c>
      <c r="C1143" s="114">
        <v>97</v>
      </c>
      <c r="D1143" s="147"/>
      <c r="E1143" s="148"/>
      <c r="F1143" s="148"/>
    </row>
    <row r="1144" spans="2:6" x14ac:dyDescent="0.2">
      <c r="B1144" s="115" t="s">
        <v>2050</v>
      </c>
      <c r="C1144" s="114">
        <v>596</v>
      </c>
      <c r="D1144" s="147"/>
      <c r="E1144" s="148"/>
      <c r="F1144" s="148"/>
    </row>
    <row r="1145" spans="2:6" x14ac:dyDescent="0.2">
      <c r="B1145" s="115" t="s">
        <v>2049</v>
      </c>
      <c r="C1145" s="114">
        <v>2790</v>
      </c>
      <c r="D1145" s="147"/>
      <c r="E1145" s="148"/>
      <c r="F1145" s="148"/>
    </row>
    <row r="1146" spans="2:6" x14ac:dyDescent="0.2">
      <c r="B1146" s="198" t="s">
        <v>2048</v>
      </c>
      <c r="C1146" s="197">
        <v>181</v>
      </c>
      <c r="D1146" s="147"/>
      <c r="E1146" s="148"/>
      <c r="F1146" s="148"/>
    </row>
    <row r="1147" spans="2:6" x14ac:dyDescent="0.2">
      <c r="B1147" s="198" t="s">
        <v>2047</v>
      </c>
      <c r="C1147" s="197">
        <v>440</v>
      </c>
      <c r="D1147" s="147"/>
      <c r="E1147" s="148"/>
      <c r="F1147" s="148"/>
    </row>
    <row r="1148" spans="2:6" x14ac:dyDescent="0.2">
      <c r="B1148" s="198" t="s">
        <v>2046</v>
      </c>
      <c r="C1148" s="197">
        <v>5511</v>
      </c>
      <c r="D1148" s="147"/>
      <c r="E1148" s="148"/>
      <c r="F1148" s="148"/>
    </row>
    <row r="1149" spans="2:6" x14ac:dyDescent="0.2">
      <c r="B1149" s="198" t="s">
        <v>2045</v>
      </c>
      <c r="C1149" s="197">
        <v>1682</v>
      </c>
      <c r="D1149" s="147"/>
      <c r="E1149" s="148"/>
      <c r="F1149" s="148"/>
    </row>
    <row r="1150" spans="2:6" x14ac:dyDescent="0.2">
      <c r="B1150" s="115" t="s">
        <v>2044</v>
      </c>
      <c r="C1150" s="114">
        <v>218</v>
      </c>
      <c r="D1150" s="147"/>
      <c r="E1150" s="148"/>
      <c r="F1150" s="148"/>
    </row>
    <row r="1151" spans="2:6" x14ac:dyDescent="0.2">
      <c r="B1151" s="115" t="s">
        <v>2043</v>
      </c>
      <c r="C1151" s="114">
        <v>2548</v>
      </c>
      <c r="D1151" s="147"/>
      <c r="E1151" s="148"/>
      <c r="F1151" s="148"/>
    </row>
    <row r="1152" spans="2:6" x14ac:dyDescent="0.2">
      <c r="B1152" s="115" t="s">
        <v>2042</v>
      </c>
      <c r="C1152" s="114">
        <v>2666</v>
      </c>
      <c r="D1152" s="147"/>
      <c r="E1152" s="148"/>
      <c r="F1152" s="148"/>
    </row>
    <row r="1153" spans="2:6" x14ac:dyDescent="0.2">
      <c r="B1153" s="198" t="s">
        <v>2041</v>
      </c>
      <c r="C1153" s="197">
        <v>457</v>
      </c>
      <c r="D1153" s="147"/>
      <c r="E1153" s="148"/>
      <c r="F1153" s="148"/>
    </row>
    <row r="1154" spans="2:6" x14ac:dyDescent="0.2">
      <c r="B1154" s="115" t="s">
        <v>2040</v>
      </c>
      <c r="C1154" s="114">
        <v>487</v>
      </c>
      <c r="D1154" s="147"/>
      <c r="E1154" s="148"/>
      <c r="F1154" s="148"/>
    </row>
    <row r="1155" spans="2:6" x14ac:dyDescent="0.2">
      <c r="B1155" s="115" t="s">
        <v>2039</v>
      </c>
      <c r="C1155" s="114">
        <v>578</v>
      </c>
      <c r="D1155" s="147"/>
      <c r="E1155" s="148"/>
      <c r="F1155" s="148"/>
    </row>
    <row r="1156" spans="2:6" x14ac:dyDescent="0.2">
      <c r="B1156" s="198" t="s">
        <v>2038</v>
      </c>
      <c r="C1156" s="197">
        <v>715</v>
      </c>
      <c r="D1156" s="147"/>
      <c r="E1156" s="148"/>
      <c r="F1156" s="148"/>
    </row>
    <row r="1157" spans="2:6" x14ac:dyDescent="0.2">
      <c r="B1157" s="115" t="s">
        <v>2037</v>
      </c>
      <c r="C1157" s="114">
        <v>1647</v>
      </c>
      <c r="D1157" s="147"/>
      <c r="E1157" s="148"/>
      <c r="F1157" s="148"/>
    </row>
    <row r="1158" spans="2:6" x14ac:dyDescent="0.2">
      <c r="B1158" s="115" t="s">
        <v>2036</v>
      </c>
      <c r="C1158" s="114">
        <v>7973</v>
      </c>
      <c r="D1158" s="147"/>
      <c r="E1158" s="148"/>
      <c r="F1158" s="148"/>
    </row>
    <row r="1159" spans="2:6" x14ac:dyDescent="0.2">
      <c r="B1159" s="198" t="s">
        <v>2035</v>
      </c>
      <c r="C1159" s="197">
        <v>2187</v>
      </c>
      <c r="D1159" s="147"/>
      <c r="E1159" s="148"/>
      <c r="F1159" s="148"/>
    </row>
    <row r="1160" spans="2:6" x14ac:dyDescent="0.2">
      <c r="B1160" s="115" t="s">
        <v>2034</v>
      </c>
      <c r="C1160" s="114">
        <v>2392</v>
      </c>
      <c r="D1160" s="147"/>
      <c r="E1160" s="148"/>
      <c r="F1160" s="148"/>
    </row>
    <row r="1161" spans="2:6" x14ac:dyDescent="0.2">
      <c r="B1161" s="115" t="s">
        <v>2033</v>
      </c>
      <c r="C1161" s="114">
        <v>5863</v>
      </c>
      <c r="D1161" s="147"/>
      <c r="E1161" s="148"/>
      <c r="F1161" s="148"/>
    </row>
    <row r="1162" spans="2:6" x14ac:dyDescent="0.2">
      <c r="B1162" s="115" t="s">
        <v>2032</v>
      </c>
      <c r="C1162" s="114">
        <v>1660</v>
      </c>
      <c r="D1162" s="147"/>
      <c r="E1162" s="148"/>
      <c r="F1162" s="148"/>
    </row>
    <row r="1163" spans="2:6" x14ac:dyDescent="0.2">
      <c r="B1163" s="198" t="s">
        <v>2031</v>
      </c>
      <c r="C1163" s="197">
        <v>1166</v>
      </c>
      <c r="D1163" s="147"/>
      <c r="E1163" s="148"/>
      <c r="F1163" s="148"/>
    </row>
    <row r="1164" spans="2:6" x14ac:dyDescent="0.2">
      <c r="B1164" s="115" t="s">
        <v>2030</v>
      </c>
      <c r="C1164" s="114">
        <v>631</v>
      </c>
      <c r="D1164" s="147"/>
      <c r="E1164" s="148"/>
      <c r="F1164" s="148"/>
    </row>
    <row r="1165" spans="2:6" x14ac:dyDescent="0.2">
      <c r="B1165" s="198" t="s">
        <v>2029</v>
      </c>
      <c r="C1165" s="197">
        <v>677</v>
      </c>
      <c r="D1165" s="147"/>
      <c r="E1165" s="148"/>
      <c r="F1165" s="148"/>
    </row>
    <row r="1166" spans="2:6" x14ac:dyDescent="0.2">
      <c r="B1166" s="198" t="s">
        <v>2028</v>
      </c>
      <c r="C1166" s="197">
        <v>3127</v>
      </c>
      <c r="D1166" s="147"/>
      <c r="E1166" s="148"/>
      <c r="F1166" s="148"/>
    </row>
    <row r="1167" spans="2:6" x14ac:dyDescent="0.2">
      <c r="B1167" s="115" t="s">
        <v>2027</v>
      </c>
      <c r="C1167" s="114">
        <v>8107</v>
      </c>
      <c r="D1167" s="147"/>
      <c r="E1167" s="148"/>
      <c r="F1167" s="148"/>
    </row>
    <row r="1168" spans="2:6" x14ac:dyDescent="0.2">
      <c r="B1168" s="115" t="s">
        <v>2026</v>
      </c>
      <c r="C1168" s="114">
        <v>7429</v>
      </c>
      <c r="D1168" s="147"/>
      <c r="E1168" s="148"/>
      <c r="F1168" s="148"/>
    </row>
    <row r="1169" spans="2:6" x14ac:dyDescent="0.2">
      <c r="B1169" s="115" t="s">
        <v>2025</v>
      </c>
      <c r="C1169" s="114">
        <v>25323</v>
      </c>
      <c r="D1169" s="147"/>
      <c r="E1169" s="148"/>
      <c r="F1169" s="148"/>
    </row>
    <row r="1170" spans="2:6" x14ac:dyDescent="0.2">
      <c r="B1170" s="198" t="s">
        <v>2024</v>
      </c>
      <c r="C1170" s="197">
        <v>1601</v>
      </c>
      <c r="D1170" s="147"/>
      <c r="E1170" s="148"/>
      <c r="F1170" s="148"/>
    </row>
    <row r="1171" spans="2:6" x14ac:dyDescent="0.2">
      <c r="B1171" s="115" t="s">
        <v>2023</v>
      </c>
      <c r="C1171" s="114">
        <v>2020</v>
      </c>
      <c r="D1171" s="147"/>
      <c r="E1171" s="148"/>
      <c r="F1171" s="148"/>
    </row>
    <row r="1172" spans="2:6" x14ac:dyDescent="0.2">
      <c r="B1172" s="115" t="s">
        <v>2022</v>
      </c>
      <c r="C1172" s="114">
        <v>1894</v>
      </c>
      <c r="D1172" s="147"/>
      <c r="E1172" s="148"/>
      <c r="F1172" s="148"/>
    </row>
    <row r="1173" spans="2:6" x14ac:dyDescent="0.2">
      <c r="B1173" s="115" t="s">
        <v>2021</v>
      </c>
      <c r="C1173" s="114">
        <v>5876</v>
      </c>
      <c r="D1173" s="147"/>
      <c r="E1173" s="148"/>
      <c r="F1173" s="148"/>
    </row>
    <row r="1174" spans="2:6" x14ac:dyDescent="0.2">
      <c r="B1174" s="115" t="s">
        <v>2020</v>
      </c>
      <c r="C1174" s="114">
        <v>370</v>
      </c>
      <c r="D1174" s="147"/>
      <c r="E1174" s="148"/>
      <c r="F1174" s="148"/>
    </row>
    <row r="1175" spans="2:6" x14ac:dyDescent="0.2">
      <c r="B1175" s="198" t="s">
        <v>2019</v>
      </c>
      <c r="C1175" s="197">
        <v>2733</v>
      </c>
      <c r="D1175" s="147"/>
      <c r="E1175" s="148"/>
      <c r="F1175" s="148"/>
    </row>
    <row r="1176" spans="2:6" x14ac:dyDescent="0.2">
      <c r="B1176" s="198" t="s">
        <v>2018</v>
      </c>
      <c r="C1176" s="197">
        <v>2473</v>
      </c>
      <c r="D1176" s="147"/>
      <c r="E1176" s="148"/>
      <c r="F1176" s="148"/>
    </row>
    <row r="1177" spans="2:6" x14ac:dyDescent="0.2">
      <c r="B1177" s="115" t="s">
        <v>2017</v>
      </c>
      <c r="C1177" s="114">
        <v>4753</v>
      </c>
      <c r="D1177" s="147"/>
      <c r="E1177" s="148"/>
      <c r="F1177" s="148"/>
    </row>
    <row r="1178" spans="2:6" x14ac:dyDescent="0.2">
      <c r="B1178" s="115" t="s">
        <v>2016</v>
      </c>
      <c r="C1178" s="114">
        <v>5492</v>
      </c>
      <c r="D1178" s="147"/>
      <c r="E1178" s="148"/>
      <c r="F1178" s="148"/>
    </row>
    <row r="1179" spans="2:6" x14ac:dyDescent="0.2">
      <c r="B1179" s="115" t="s">
        <v>2015</v>
      </c>
      <c r="C1179" s="114">
        <v>2560</v>
      </c>
      <c r="D1179" s="147"/>
      <c r="E1179" s="148"/>
      <c r="F1179" s="148"/>
    </row>
    <row r="1180" spans="2:6" x14ac:dyDescent="0.2">
      <c r="B1180" s="115" t="s">
        <v>2014</v>
      </c>
      <c r="C1180" s="114">
        <v>2365</v>
      </c>
      <c r="D1180" s="147"/>
      <c r="E1180" s="148"/>
      <c r="F1180" s="148"/>
    </row>
    <row r="1181" spans="2:6" x14ac:dyDescent="0.2">
      <c r="B1181" s="115" t="s">
        <v>2013</v>
      </c>
      <c r="C1181" s="114">
        <v>1554</v>
      </c>
      <c r="D1181" s="147"/>
      <c r="E1181" s="148"/>
      <c r="F1181" s="148"/>
    </row>
    <row r="1182" spans="2:6" x14ac:dyDescent="0.2">
      <c r="B1182" s="115" t="s">
        <v>2012</v>
      </c>
      <c r="C1182" s="114">
        <v>690</v>
      </c>
      <c r="D1182" s="147"/>
      <c r="E1182" s="148"/>
      <c r="F1182" s="148"/>
    </row>
    <row r="1183" spans="2:6" x14ac:dyDescent="0.2">
      <c r="B1183" s="115" t="s">
        <v>2011</v>
      </c>
      <c r="C1183" s="114">
        <v>1224</v>
      </c>
      <c r="D1183" s="147"/>
      <c r="E1183" s="148"/>
      <c r="F1183" s="148"/>
    </row>
    <row r="1184" spans="2:6" x14ac:dyDescent="0.2">
      <c r="B1184" s="115" t="s">
        <v>2010</v>
      </c>
      <c r="C1184" s="114">
        <v>484</v>
      </c>
      <c r="D1184" s="147"/>
      <c r="E1184" s="148"/>
      <c r="F1184" s="148"/>
    </row>
    <row r="1185" spans="2:6" x14ac:dyDescent="0.2">
      <c r="B1185" s="198" t="s">
        <v>2009</v>
      </c>
      <c r="C1185" s="197">
        <v>1819</v>
      </c>
      <c r="D1185" s="147"/>
      <c r="E1185" s="148"/>
      <c r="F1185" s="148"/>
    </row>
    <row r="1186" spans="2:6" x14ac:dyDescent="0.2">
      <c r="B1186" s="115" t="s">
        <v>2008</v>
      </c>
      <c r="C1186" s="114">
        <v>249</v>
      </c>
      <c r="D1186" s="147"/>
      <c r="E1186" s="148"/>
      <c r="F1186" s="148"/>
    </row>
    <row r="1187" spans="2:6" x14ac:dyDescent="0.2">
      <c r="B1187" s="198" t="s">
        <v>2007</v>
      </c>
      <c r="C1187" s="197">
        <v>1097</v>
      </c>
      <c r="D1187" s="147"/>
      <c r="E1187" s="148"/>
      <c r="F1187" s="148"/>
    </row>
    <row r="1188" spans="2:6" x14ac:dyDescent="0.2">
      <c r="B1188" s="115" t="s">
        <v>2006</v>
      </c>
      <c r="C1188" s="114">
        <v>5144</v>
      </c>
      <c r="D1188" s="147"/>
      <c r="E1188" s="148"/>
      <c r="F1188" s="148"/>
    </row>
    <row r="1189" spans="2:6" x14ac:dyDescent="0.2">
      <c r="B1189" s="115" t="s">
        <v>2005</v>
      </c>
      <c r="C1189" s="114">
        <v>183</v>
      </c>
      <c r="D1189" s="147"/>
      <c r="E1189" s="148"/>
      <c r="F1189" s="148"/>
    </row>
    <row r="1190" spans="2:6" x14ac:dyDescent="0.2">
      <c r="B1190" s="198" t="s">
        <v>2004</v>
      </c>
      <c r="C1190" s="197">
        <v>432</v>
      </c>
      <c r="D1190" s="147"/>
      <c r="E1190" s="148"/>
      <c r="F1190" s="148"/>
    </row>
    <row r="1191" spans="2:6" x14ac:dyDescent="0.2">
      <c r="B1191" s="198" t="s">
        <v>2003</v>
      </c>
      <c r="C1191" s="197">
        <v>289</v>
      </c>
      <c r="D1191" s="147"/>
      <c r="E1191" s="148"/>
      <c r="F1191" s="148"/>
    </row>
    <row r="1192" spans="2:6" x14ac:dyDescent="0.2">
      <c r="B1192" s="115" t="s">
        <v>2002</v>
      </c>
      <c r="C1192" s="114">
        <v>2305</v>
      </c>
      <c r="D1192" s="147"/>
      <c r="E1192" s="148"/>
      <c r="F1192" s="148"/>
    </row>
    <row r="1193" spans="2:6" x14ac:dyDescent="0.2">
      <c r="B1193" s="115" t="s">
        <v>2001</v>
      </c>
      <c r="C1193" s="114">
        <v>1343</v>
      </c>
      <c r="D1193" s="147"/>
      <c r="E1193" s="148"/>
      <c r="F1193" s="148"/>
    </row>
    <row r="1194" spans="2:6" x14ac:dyDescent="0.2">
      <c r="B1194" s="115" t="s">
        <v>2000</v>
      </c>
      <c r="C1194" s="114">
        <v>1239</v>
      </c>
      <c r="D1194" s="147"/>
      <c r="E1194" s="148"/>
      <c r="F1194" s="148"/>
    </row>
    <row r="1195" spans="2:6" x14ac:dyDescent="0.2">
      <c r="B1195" s="115" t="s">
        <v>1999</v>
      </c>
      <c r="C1195" s="114">
        <v>1015</v>
      </c>
      <c r="D1195" s="147"/>
      <c r="E1195" s="148"/>
      <c r="F1195" s="148"/>
    </row>
    <row r="1196" spans="2:6" x14ac:dyDescent="0.2">
      <c r="B1196" s="198" t="s">
        <v>1998</v>
      </c>
      <c r="C1196" s="197">
        <v>1489</v>
      </c>
      <c r="D1196" s="147"/>
      <c r="E1196" s="148"/>
      <c r="F1196" s="148"/>
    </row>
    <row r="1197" spans="2:6" x14ac:dyDescent="0.2">
      <c r="B1197" s="198" t="s">
        <v>1997</v>
      </c>
      <c r="C1197" s="197">
        <v>193</v>
      </c>
      <c r="D1197" s="147"/>
      <c r="E1197" s="148"/>
      <c r="F1197" s="148"/>
    </row>
    <row r="1198" spans="2:6" x14ac:dyDescent="0.2">
      <c r="B1198" s="115" t="s">
        <v>1996</v>
      </c>
      <c r="C1198" s="114">
        <v>3170</v>
      </c>
      <c r="D1198" s="147"/>
      <c r="E1198" s="148"/>
      <c r="F1198" s="148"/>
    </row>
    <row r="1199" spans="2:6" x14ac:dyDescent="0.2">
      <c r="B1199" s="198" t="s">
        <v>1995</v>
      </c>
      <c r="C1199" s="197">
        <v>3446</v>
      </c>
      <c r="D1199" s="147"/>
      <c r="E1199" s="148"/>
      <c r="F1199" s="148"/>
    </row>
    <row r="1200" spans="2:6" x14ac:dyDescent="0.2">
      <c r="B1200" s="198" t="s">
        <v>1994</v>
      </c>
      <c r="C1200" s="197">
        <v>118</v>
      </c>
      <c r="D1200" s="147"/>
      <c r="E1200" s="148"/>
      <c r="F1200" s="148"/>
    </row>
    <row r="1201" spans="2:6" x14ac:dyDescent="0.2">
      <c r="B1201" s="198" t="s">
        <v>1993</v>
      </c>
      <c r="C1201" s="197">
        <v>963</v>
      </c>
      <c r="D1201" s="147"/>
      <c r="E1201" s="148"/>
      <c r="F1201" s="148"/>
    </row>
    <row r="1202" spans="2:6" x14ac:dyDescent="0.2">
      <c r="B1202" s="115" t="s">
        <v>1992</v>
      </c>
      <c r="C1202" s="114">
        <v>1636</v>
      </c>
      <c r="D1202" s="147"/>
      <c r="E1202" s="148"/>
      <c r="F1202" s="148"/>
    </row>
    <row r="1203" spans="2:6" x14ac:dyDescent="0.2">
      <c r="B1203" s="198" t="s">
        <v>1991</v>
      </c>
      <c r="C1203" s="197">
        <v>97</v>
      </c>
      <c r="D1203" s="147"/>
      <c r="E1203" s="148"/>
      <c r="F1203" s="148"/>
    </row>
    <row r="1204" spans="2:6" x14ac:dyDescent="0.2">
      <c r="B1204" s="115" t="s">
        <v>1990</v>
      </c>
      <c r="C1204" s="114">
        <v>3390</v>
      </c>
      <c r="D1204" s="147"/>
      <c r="E1204" s="148"/>
      <c r="F1204" s="148"/>
    </row>
    <row r="1205" spans="2:6" x14ac:dyDescent="0.2">
      <c r="B1205" s="115" t="s">
        <v>1989</v>
      </c>
      <c r="C1205" s="114">
        <v>539</v>
      </c>
      <c r="D1205" s="147"/>
      <c r="E1205" s="148"/>
      <c r="F1205" s="148"/>
    </row>
    <row r="1206" spans="2:6" x14ac:dyDescent="0.2">
      <c r="B1206" s="115" t="s">
        <v>1988</v>
      </c>
      <c r="C1206" s="114">
        <v>1735</v>
      </c>
      <c r="D1206" s="147"/>
      <c r="E1206" s="148"/>
      <c r="F1206" s="148"/>
    </row>
    <row r="1207" spans="2:6" x14ac:dyDescent="0.2">
      <c r="B1207" s="198" t="s">
        <v>1987</v>
      </c>
      <c r="C1207" s="197">
        <v>124</v>
      </c>
      <c r="D1207" s="147"/>
      <c r="E1207" s="148"/>
      <c r="F1207" s="148"/>
    </row>
    <row r="1208" spans="2:6" x14ac:dyDescent="0.2">
      <c r="B1208" s="115" t="s">
        <v>1986</v>
      </c>
      <c r="C1208" s="114">
        <v>14257</v>
      </c>
      <c r="D1208" s="147"/>
      <c r="E1208" s="148"/>
      <c r="F1208" s="148"/>
    </row>
    <row r="1209" spans="2:6" x14ac:dyDescent="0.2">
      <c r="B1209" s="115" t="s">
        <v>1985</v>
      </c>
      <c r="C1209" s="114">
        <v>2230</v>
      </c>
      <c r="D1209" s="147"/>
      <c r="E1209" s="148"/>
      <c r="F1209" s="148"/>
    </row>
    <row r="1210" spans="2:6" x14ac:dyDescent="0.2">
      <c r="B1210" s="198" t="s">
        <v>1984</v>
      </c>
      <c r="C1210" s="197">
        <v>405</v>
      </c>
      <c r="D1210" s="147"/>
      <c r="E1210" s="148"/>
      <c r="F1210" s="148"/>
    </row>
    <row r="1211" spans="2:6" x14ac:dyDescent="0.2">
      <c r="B1211" s="115" t="s">
        <v>1983</v>
      </c>
      <c r="C1211" s="114">
        <v>434</v>
      </c>
      <c r="D1211" s="147"/>
      <c r="E1211" s="148"/>
      <c r="F1211" s="148"/>
    </row>
    <row r="1212" spans="2:6" x14ac:dyDescent="0.2">
      <c r="B1212" s="115" t="s">
        <v>1982</v>
      </c>
      <c r="C1212" s="114">
        <v>892</v>
      </c>
      <c r="D1212" s="147"/>
      <c r="E1212" s="148"/>
      <c r="F1212" s="148"/>
    </row>
    <row r="1213" spans="2:6" x14ac:dyDescent="0.2">
      <c r="B1213" s="198" t="s">
        <v>1981</v>
      </c>
      <c r="C1213" s="197">
        <v>136</v>
      </c>
      <c r="D1213" s="147"/>
      <c r="E1213" s="148"/>
      <c r="F1213" s="148"/>
    </row>
    <row r="1214" spans="2:6" x14ac:dyDescent="0.2">
      <c r="B1214" s="115" t="s">
        <v>1980</v>
      </c>
      <c r="C1214" s="114">
        <v>1885</v>
      </c>
      <c r="D1214" s="147"/>
      <c r="E1214" s="148"/>
      <c r="F1214" s="148"/>
    </row>
    <row r="1215" spans="2:6" x14ac:dyDescent="0.2">
      <c r="B1215" s="198" t="s">
        <v>1979</v>
      </c>
      <c r="C1215" s="197">
        <v>62</v>
      </c>
      <c r="D1215" s="147"/>
      <c r="E1215" s="148"/>
      <c r="F1215" s="148"/>
    </row>
    <row r="1216" spans="2:6" x14ac:dyDescent="0.2">
      <c r="B1216" s="115" t="s">
        <v>1978</v>
      </c>
      <c r="C1216" s="114">
        <v>409</v>
      </c>
      <c r="D1216" s="147"/>
      <c r="E1216" s="148"/>
      <c r="F1216" s="148"/>
    </row>
    <row r="1217" spans="2:6" x14ac:dyDescent="0.2">
      <c r="B1217" s="115" t="s">
        <v>1977</v>
      </c>
      <c r="C1217" s="114">
        <v>131</v>
      </c>
      <c r="D1217" s="147"/>
      <c r="E1217" s="148"/>
      <c r="F1217" s="148"/>
    </row>
    <row r="1218" spans="2:6" x14ac:dyDescent="0.2">
      <c r="B1218" s="115" t="s">
        <v>1976</v>
      </c>
      <c r="C1218" s="114">
        <v>484</v>
      </c>
      <c r="D1218" s="147"/>
      <c r="E1218" s="148"/>
      <c r="F1218" s="148"/>
    </row>
    <row r="1219" spans="2:6" x14ac:dyDescent="0.2">
      <c r="B1219" s="115" t="s">
        <v>1975</v>
      </c>
      <c r="C1219" s="114">
        <v>1375</v>
      </c>
      <c r="D1219" s="147"/>
      <c r="E1219" s="148"/>
      <c r="F1219" s="148"/>
    </row>
    <row r="1220" spans="2:6" x14ac:dyDescent="0.2">
      <c r="B1220" s="115" t="s">
        <v>1974</v>
      </c>
      <c r="C1220" s="114">
        <v>4087</v>
      </c>
      <c r="D1220" s="147"/>
      <c r="E1220" s="148"/>
      <c r="F1220" s="148"/>
    </row>
    <row r="1221" spans="2:6" x14ac:dyDescent="0.2">
      <c r="B1221" s="198" t="s">
        <v>1973</v>
      </c>
      <c r="C1221" s="197">
        <v>595</v>
      </c>
      <c r="D1221" s="147"/>
      <c r="E1221" s="148"/>
      <c r="F1221" s="148"/>
    </row>
    <row r="1222" spans="2:6" x14ac:dyDescent="0.2">
      <c r="B1222" s="198" t="s">
        <v>1972</v>
      </c>
      <c r="C1222" s="197">
        <v>1448</v>
      </c>
      <c r="D1222" s="147"/>
      <c r="E1222" s="148"/>
      <c r="F1222" s="148"/>
    </row>
    <row r="1223" spans="2:6" x14ac:dyDescent="0.2">
      <c r="B1223" s="115" t="s">
        <v>1971</v>
      </c>
      <c r="C1223" s="114">
        <v>76</v>
      </c>
      <c r="D1223" s="147"/>
      <c r="E1223" s="148"/>
      <c r="F1223" s="148"/>
    </row>
    <row r="1224" spans="2:6" x14ac:dyDescent="0.2">
      <c r="B1224" s="198" t="s">
        <v>1970</v>
      </c>
      <c r="C1224" s="197">
        <v>457</v>
      </c>
      <c r="D1224" s="147"/>
      <c r="E1224" s="148"/>
      <c r="F1224" s="148"/>
    </row>
    <row r="1225" spans="2:6" x14ac:dyDescent="0.2">
      <c r="B1225" s="198" t="s">
        <v>1969</v>
      </c>
      <c r="C1225" s="197">
        <v>317</v>
      </c>
      <c r="D1225" s="147"/>
      <c r="E1225" s="148"/>
      <c r="F1225" s="148"/>
    </row>
    <row r="1226" spans="2:6" x14ac:dyDescent="0.2">
      <c r="B1226" s="115" t="s">
        <v>1968</v>
      </c>
      <c r="C1226" s="114">
        <v>2316</v>
      </c>
      <c r="D1226" s="147"/>
      <c r="E1226" s="148"/>
      <c r="F1226" s="148"/>
    </row>
    <row r="1227" spans="2:6" x14ac:dyDescent="0.2">
      <c r="B1227" s="115" t="s">
        <v>1967</v>
      </c>
      <c r="C1227" s="114">
        <v>829</v>
      </c>
      <c r="D1227" s="147"/>
      <c r="E1227" s="148"/>
      <c r="F1227" s="148"/>
    </row>
    <row r="1228" spans="2:6" x14ac:dyDescent="0.2">
      <c r="B1228" s="198" t="s">
        <v>1966</v>
      </c>
      <c r="C1228" s="197">
        <v>723</v>
      </c>
      <c r="D1228" s="147"/>
      <c r="E1228" s="148"/>
      <c r="F1228" s="148"/>
    </row>
    <row r="1229" spans="2:6" x14ac:dyDescent="0.2">
      <c r="B1229" s="115" t="s">
        <v>1965</v>
      </c>
      <c r="C1229" s="114">
        <v>58459</v>
      </c>
      <c r="D1229" s="147"/>
      <c r="E1229" s="148"/>
      <c r="F1229" s="148"/>
    </row>
    <row r="1230" spans="2:6" x14ac:dyDescent="0.2">
      <c r="B1230" s="115" t="s">
        <v>1964</v>
      </c>
      <c r="C1230" s="114">
        <v>1514</v>
      </c>
      <c r="D1230" s="147"/>
      <c r="E1230" s="148"/>
      <c r="F1230" s="148"/>
    </row>
    <row r="1231" spans="2:6" x14ac:dyDescent="0.2">
      <c r="B1231" s="198" t="s">
        <v>1963</v>
      </c>
      <c r="C1231" s="197">
        <v>954</v>
      </c>
      <c r="D1231" s="147"/>
      <c r="E1231" s="148"/>
      <c r="F1231" s="148"/>
    </row>
    <row r="1232" spans="2:6" x14ac:dyDescent="0.2">
      <c r="B1232" s="198" t="s">
        <v>1962</v>
      </c>
      <c r="C1232" s="197">
        <v>729</v>
      </c>
      <c r="D1232" s="147"/>
      <c r="E1232" s="148"/>
      <c r="F1232" s="148"/>
    </row>
    <row r="1233" spans="2:6" x14ac:dyDescent="0.2">
      <c r="B1233" s="115" t="s">
        <v>1961</v>
      </c>
      <c r="C1233" s="114">
        <v>483</v>
      </c>
      <c r="D1233" s="147"/>
      <c r="E1233" s="148"/>
      <c r="F1233" s="148"/>
    </row>
    <row r="1234" spans="2:6" x14ac:dyDescent="0.2">
      <c r="B1234" s="115" t="s">
        <v>1960</v>
      </c>
      <c r="C1234" s="114">
        <v>9974</v>
      </c>
      <c r="D1234" s="147"/>
      <c r="E1234" s="148"/>
      <c r="F1234" s="148"/>
    </row>
    <row r="1235" spans="2:6" x14ac:dyDescent="0.2">
      <c r="B1235" s="198" t="s">
        <v>1959</v>
      </c>
      <c r="C1235" s="197">
        <v>54</v>
      </c>
      <c r="D1235" s="147"/>
      <c r="E1235" s="148"/>
      <c r="F1235" s="148"/>
    </row>
    <row r="1236" spans="2:6" x14ac:dyDescent="0.2">
      <c r="B1236" s="115" t="s">
        <v>1958</v>
      </c>
      <c r="C1236" s="114">
        <v>2785</v>
      </c>
      <c r="D1236" s="147"/>
      <c r="E1236" s="148"/>
      <c r="F1236" s="148"/>
    </row>
    <row r="1237" spans="2:6" x14ac:dyDescent="0.2">
      <c r="B1237" s="198" t="s">
        <v>1957</v>
      </c>
      <c r="C1237" s="197">
        <v>1407</v>
      </c>
      <c r="D1237" s="147"/>
      <c r="E1237" s="148"/>
      <c r="F1237" s="148"/>
    </row>
    <row r="1238" spans="2:6" x14ac:dyDescent="0.2">
      <c r="B1238" s="115" t="s">
        <v>1956</v>
      </c>
      <c r="C1238" s="114">
        <v>197</v>
      </c>
      <c r="D1238" s="147"/>
      <c r="E1238" s="148"/>
      <c r="F1238" s="148"/>
    </row>
    <row r="1239" spans="2:6" x14ac:dyDescent="0.2">
      <c r="B1239" s="198" t="s">
        <v>1955</v>
      </c>
      <c r="C1239" s="197">
        <v>288</v>
      </c>
      <c r="D1239" s="147"/>
      <c r="E1239" s="148"/>
      <c r="F1239" s="148"/>
    </row>
    <row r="1240" spans="2:6" x14ac:dyDescent="0.2">
      <c r="B1240" s="115" t="s">
        <v>1954</v>
      </c>
      <c r="C1240" s="114">
        <v>1392</v>
      </c>
      <c r="D1240" s="147"/>
      <c r="E1240" s="148"/>
      <c r="F1240" s="148"/>
    </row>
    <row r="1241" spans="2:6" x14ac:dyDescent="0.2">
      <c r="B1241" s="115" t="s">
        <v>1953</v>
      </c>
      <c r="C1241" s="114">
        <v>686</v>
      </c>
      <c r="D1241" s="147"/>
      <c r="E1241" s="148"/>
      <c r="F1241" s="148"/>
    </row>
    <row r="1242" spans="2:6" x14ac:dyDescent="0.2">
      <c r="B1242" s="115" t="s">
        <v>1952</v>
      </c>
      <c r="C1242" s="114">
        <v>1620</v>
      </c>
      <c r="D1242" s="147"/>
      <c r="E1242" s="148"/>
      <c r="F1242" s="148"/>
    </row>
    <row r="1243" spans="2:6" x14ac:dyDescent="0.2">
      <c r="B1243" s="115" t="s">
        <v>1951</v>
      </c>
      <c r="C1243" s="114">
        <v>2453</v>
      </c>
      <c r="D1243" s="147"/>
      <c r="E1243" s="148"/>
      <c r="F1243" s="148"/>
    </row>
    <row r="1244" spans="2:6" x14ac:dyDescent="0.2">
      <c r="B1244" s="198" t="s">
        <v>1950</v>
      </c>
      <c r="C1244" s="197">
        <v>1166</v>
      </c>
      <c r="D1244" s="147"/>
      <c r="E1244" s="148"/>
      <c r="F1244" s="148"/>
    </row>
    <row r="1245" spans="2:6" x14ac:dyDescent="0.2">
      <c r="B1245" s="198" t="s">
        <v>1949</v>
      </c>
      <c r="C1245" s="197">
        <v>305</v>
      </c>
      <c r="D1245" s="147"/>
      <c r="E1245" s="148"/>
      <c r="F1245" s="148"/>
    </row>
    <row r="1246" spans="2:6" x14ac:dyDescent="0.2">
      <c r="B1246" s="115" t="s">
        <v>1948</v>
      </c>
      <c r="C1246" s="114">
        <v>18022</v>
      </c>
      <c r="D1246" s="147"/>
      <c r="E1246" s="148"/>
      <c r="F1246" s="148"/>
    </row>
    <row r="1247" spans="2:6" x14ac:dyDescent="0.2">
      <c r="B1247" s="198" t="s">
        <v>1947</v>
      </c>
      <c r="C1247" s="197">
        <v>1560</v>
      </c>
      <c r="D1247" s="147"/>
      <c r="E1247" s="148"/>
      <c r="F1247" s="148"/>
    </row>
    <row r="1248" spans="2:6" x14ac:dyDescent="0.2">
      <c r="B1248" s="115" t="s">
        <v>1946</v>
      </c>
      <c r="C1248" s="114">
        <v>503</v>
      </c>
      <c r="D1248" s="147"/>
      <c r="E1248" s="148"/>
      <c r="F1248" s="148"/>
    </row>
    <row r="1249" spans="2:6" x14ac:dyDescent="0.2">
      <c r="B1249" s="198" t="s">
        <v>1945</v>
      </c>
      <c r="C1249" s="197">
        <v>728</v>
      </c>
      <c r="D1249" s="147"/>
      <c r="E1249" s="148"/>
      <c r="F1249" s="148"/>
    </row>
    <row r="1250" spans="2:6" x14ac:dyDescent="0.2">
      <c r="B1250" s="198" t="s">
        <v>1944</v>
      </c>
      <c r="C1250" s="197">
        <v>736</v>
      </c>
      <c r="D1250" s="147"/>
      <c r="E1250" s="148"/>
      <c r="F1250" s="148"/>
    </row>
    <row r="1251" spans="2:6" x14ac:dyDescent="0.2">
      <c r="B1251" s="115" t="s">
        <v>1943</v>
      </c>
      <c r="C1251" s="114">
        <v>420</v>
      </c>
      <c r="D1251" s="147"/>
      <c r="E1251" s="148"/>
      <c r="F1251" s="148"/>
    </row>
    <row r="1252" spans="2:6" x14ac:dyDescent="0.2">
      <c r="B1252" s="198" t="s">
        <v>1942</v>
      </c>
      <c r="C1252" s="197">
        <v>510</v>
      </c>
      <c r="D1252" s="147"/>
      <c r="E1252" s="148"/>
      <c r="F1252" s="148"/>
    </row>
    <row r="1253" spans="2:6" x14ac:dyDescent="0.2">
      <c r="B1253" s="198" t="s">
        <v>1941</v>
      </c>
      <c r="C1253" s="197">
        <v>5985</v>
      </c>
      <c r="D1253" s="147"/>
      <c r="E1253" s="148"/>
      <c r="F1253" s="148"/>
    </row>
    <row r="1254" spans="2:6" x14ac:dyDescent="0.2">
      <c r="B1254" s="198" t="s">
        <v>1940</v>
      </c>
      <c r="C1254" s="197">
        <v>261</v>
      </c>
      <c r="D1254" s="147"/>
      <c r="E1254" s="148"/>
      <c r="F1254" s="148"/>
    </row>
    <row r="1255" spans="2:6" x14ac:dyDescent="0.2">
      <c r="B1255" s="115" t="s">
        <v>1939</v>
      </c>
      <c r="C1255" s="114">
        <v>943</v>
      </c>
      <c r="D1255" s="147"/>
      <c r="E1255" s="148"/>
      <c r="F1255" s="148"/>
    </row>
    <row r="1256" spans="2:6" x14ac:dyDescent="0.2">
      <c r="B1256" s="198" t="s">
        <v>1938</v>
      </c>
      <c r="C1256" s="197">
        <v>275</v>
      </c>
      <c r="D1256" s="147"/>
      <c r="E1256" s="148"/>
      <c r="F1256" s="148"/>
    </row>
    <row r="1257" spans="2:6" x14ac:dyDescent="0.2">
      <c r="B1257" s="115" t="s">
        <v>1937</v>
      </c>
      <c r="C1257" s="114">
        <v>1598</v>
      </c>
      <c r="D1257" s="147"/>
      <c r="E1257" s="148"/>
      <c r="F1257" s="148"/>
    </row>
    <row r="1258" spans="2:6" x14ac:dyDescent="0.2">
      <c r="B1258" s="115" t="s">
        <v>1936</v>
      </c>
      <c r="C1258" s="114">
        <v>83</v>
      </c>
      <c r="D1258" s="147"/>
      <c r="E1258" s="148"/>
      <c r="F1258" s="148"/>
    </row>
    <row r="1259" spans="2:6" x14ac:dyDescent="0.2">
      <c r="B1259" s="115" t="s">
        <v>1935</v>
      </c>
      <c r="C1259" s="114">
        <v>128</v>
      </c>
      <c r="D1259" s="147"/>
      <c r="E1259" s="148"/>
      <c r="F1259" s="148"/>
    </row>
    <row r="1260" spans="2:6" x14ac:dyDescent="0.2">
      <c r="B1260" s="115" t="s">
        <v>1934</v>
      </c>
      <c r="C1260" s="114">
        <v>313</v>
      </c>
      <c r="D1260" s="147"/>
      <c r="E1260" s="148"/>
      <c r="F1260" s="148"/>
    </row>
    <row r="1261" spans="2:6" x14ac:dyDescent="0.2">
      <c r="B1261" s="115" t="s">
        <v>1933</v>
      </c>
      <c r="C1261" s="114">
        <v>282</v>
      </c>
      <c r="D1261" s="147"/>
      <c r="E1261" s="148"/>
      <c r="F1261" s="148"/>
    </row>
    <row r="1262" spans="2:6" x14ac:dyDescent="0.2">
      <c r="B1262" s="198" t="s">
        <v>1932</v>
      </c>
      <c r="C1262" s="197">
        <v>1478</v>
      </c>
      <c r="D1262" s="147"/>
      <c r="E1262" s="148"/>
      <c r="F1262" s="148"/>
    </row>
    <row r="1263" spans="2:6" x14ac:dyDescent="0.2">
      <c r="B1263" s="115" t="s">
        <v>1931</v>
      </c>
      <c r="C1263" s="114">
        <v>621</v>
      </c>
      <c r="D1263" s="147"/>
      <c r="E1263" s="148"/>
      <c r="F1263" s="148"/>
    </row>
    <row r="1264" spans="2:6" x14ac:dyDescent="0.2">
      <c r="B1264" s="115" t="s">
        <v>1930</v>
      </c>
      <c r="C1264" s="114">
        <v>263</v>
      </c>
      <c r="D1264" s="147"/>
      <c r="E1264" s="148"/>
      <c r="F1264" s="148"/>
    </row>
    <row r="1265" spans="2:6" x14ac:dyDescent="0.2">
      <c r="B1265" s="115" t="s">
        <v>1929</v>
      </c>
      <c r="C1265" s="114">
        <v>1576</v>
      </c>
      <c r="D1265" s="147"/>
      <c r="E1265" s="148"/>
      <c r="F1265" s="148"/>
    </row>
    <row r="1266" spans="2:6" x14ac:dyDescent="0.2">
      <c r="B1266" s="115" t="s">
        <v>1928</v>
      </c>
      <c r="C1266" s="114">
        <v>23608</v>
      </c>
      <c r="D1266" s="147"/>
      <c r="E1266" s="148"/>
      <c r="F1266" s="148"/>
    </row>
    <row r="1267" spans="2:6" x14ac:dyDescent="0.2">
      <c r="B1267" s="198" t="s">
        <v>1927</v>
      </c>
      <c r="C1267" s="197">
        <v>947</v>
      </c>
      <c r="D1267" s="147"/>
      <c r="E1267" s="148"/>
      <c r="F1267" s="148"/>
    </row>
    <row r="1268" spans="2:6" x14ac:dyDescent="0.2">
      <c r="B1268" s="198" t="s">
        <v>1926</v>
      </c>
      <c r="C1268" s="197">
        <v>306</v>
      </c>
      <c r="D1268" s="147"/>
      <c r="E1268" s="148"/>
      <c r="F1268" s="148"/>
    </row>
    <row r="1269" spans="2:6" x14ac:dyDescent="0.2">
      <c r="B1269" s="198" t="s">
        <v>1925</v>
      </c>
      <c r="C1269" s="197">
        <v>7826</v>
      </c>
      <c r="D1269" s="147"/>
      <c r="E1269" s="148"/>
      <c r="F1269" s="148"/>
    </row>
    <row r="1270" spans="2:6" x14ac:dyDescent="0.2">
      <c r="B1270" s="115" t="s">
        <v>1924</v>
      </c>
      <c r="C1270" s="114">
        <v>2072</v>
      </c>
      <c r="D1270" s="147"/>
      <c r="E1270" s="148"/>
      <c r="F1270" s="148"/>
    </row>
    <row r="1271" spans="2:6" x14ac:dyDescent="0.2">
      <c r="B1271" s="115" t="s">
        <v>1923</v>
      </c>
      <c r="C1271" s="114">
        <v>108651</v>
      </c>
      <c r="D1271" s="147"/>
      <c r="E1271" s="148"/>
      <c r="F1271" s="148"/>
    </row>
    <row r="1272" spans="2:6" x14ac:dyDescent="0.2">
      <c r="B1272" s="115" t="s">
        <v>1922</v>
      </c>
      <c r="C1272" s="114">
        <v>1220</v>
      </c>
      <c r="D1272" s="147"/>
      <c r="E1272" s="148"/>
      <c r="F1272" s="148"/>
    </row>
    <row r="1273" spans="2:6" x14ac:dyDescent="0.2">
      <c r="B1273" s="198" t="s">
        <v>1921</v>
      </c>
      <c r="C1273" s="197">
        <v>1858</v>
      </c>
      <c r="D1273" s="147"/>
      <c r="E1273" s="148"/>
      <c r="F1273" s="148"/>
    </row>
    <row r="1274" spans="2:6" x14ac:dyDescent="0.2">
      <c r="B1274" s="115" t="s">
        <v>1920</v>
      </c>
      <c r="C1274" s="114">
        <v>1387</v>
      </c>
      <c r="D1274" s="147"/>
      <c r="E1274" s="148"/>
      <c r="F1274" s="148"/>
    </row>
    <row r="1275" spans="2:6" x14ac:dyDescent="0.2">
      <c r="B1275" s="198" t="s">
        <v>1919</v>
      </c>
      <c r="C1275" s="197">
        <v>253</v>
      </c>
      <c r="D1275" s="147"/>
      <c r="E1275" s="148"/>
      <c r="F1275" s="148"/>
    </row>
    <row r="1276" spans="2:6" x14ac:dyDescent="0.2">
      <c r="B1276" s="198" t="s">
        <v>1918</v>
      </c>
      <c r="C1276" s="197">
        <v>163</v>
      </c>
      <c r="D1276" s="147"/>
      <c r="E1276" s="148"/>
      <c r="F1276" s="148"/>
    </row>
    <row r="1277" spans="2:6" x14ac:dyDescent="0.2">
      <c r="B1277" s="198" t="s">
        <v>1917</v>
      </c>
      <c r="C1277" s="197">
        <v>52</v>
      </c>
      <c r="D1277" s="147"/>
      <c r="E1277" s="148"/>
      <c r="F1277" s="148"/>
    </row>
    <row r="1278" spans="2:6" x14ac:dyDescent="0.2">
      <c r="B1278" s="198" t="s">
        <v>1916</v>
      </c>
      <c r="C1278" s="197">
        <v>2310</v>
      </c>
      <c r="D1278" s="147"/>
      <c r="E1278" s="148"/>
      <c r="F1278" s="148"/>
    </row>
    <row r="1279" spans="2:6" x14ac:dyDescent="0.2">
      <c r="B1279" s="115" t="s">
        <v>1915</v>
      </c>
      <c r="C1279" s="114">
        <v>95</v>
      </c>
      <c r="D1279" s="147"/>
      <c r="E1279" s="148"/>
      <c r="F1279" s="148"/>
    </row>
    <row r="1280" spans="2:6" x14ac:dyDescent="0.2">
      <c r="B1280" s="115" t="s">
        <v>1914</v>
      </c>
      <c r="C1280" s="114">
        <v>410</v>
      </c>
      <c r="D1280" s="147"/>
      <c r="E1280" s="148"/>
      <c r="F1280" s="148"/>
    </row>
    <row r="1281" spans="2:6" x14ac:dyDescent="0.2">
      <c r="B1281" s="198" t="s">
        <v>1913</v>
      </c>
      <c r="C1281" s="197">
        <v>394</v>
      </c>
      <c r="D1281" s="147"/>
      <c r="E1281" s="148"/>
      <c r="F1281" s="148"/>
    </row>
    <row r="1282" spans="2:6" x14ac:dyDescent="0.2">
      <c r="B1282" s="198" t="s">
        <v>1912</v>
      </c>
      <c r="C1282" s="197">
        <v>333</v>
      </c>
      <c r="D1282" s="147"/>
      <c r="E1282" s="148"/>
      <c r="F1282" s="148"/>
    </row>
    <row r="1283" spans="2:6" x14ac:dyDescent="0.2">
      <c r="B1283" s="198" t="s">
        <v>1911</v>
      </c>
      <c r="C1283" s="197">
        <v>4611</v>
      </c>
      <c r="D1283" s="147"/>
      <c r="E1283" s="148"/>
      <c r="F1283" s="148"/>
    </row>
    <row r="1284" spans="2:6" x14ac:dyDescent="0.2">
      <c r="B1284" s="115" t="s">
        <v>1910</v>
      </c>
      <c r="C1284" s="114">
        <v>880</v>
      </c>
      <c r="D1284" s="147"/>
      <c r="E1284" s="148"/>
      <c r="F1284" s="148"/>
    </row>
    <row r="1285" spans="2:6" x14ac:dyDescent="0.2">
      <c r="B1285" s="115" t="s">
        <v>1909</v>
      </c>
      <c r="C1285" s="114">
        <v>452</v>
      </c>
      <c r="D1285" s="147"/>
      <c r="E1285" s="148"/>
      <c r="F1285" s="148"/>
    </row>
    <row r="1286" spans="2:6" x14ac:dyDescent="0.2">
      <c r="B1286" s="115" t="s">
        <v>1908</v>
      </c>
      <c r="C1286" s="114">
        <v>486</v>
      </c>
      <c r="D1286" s="147"/>
      <c r="E1286" s="148"/>
      <c r="F1286" s="148"/>
    </row>
    <row r="1287" spans="2:6" x14ac:dyDescent="0.2">
      <c r="B1287" s="198" t="s">
        <v>1907</v>
      </c>
      <c r="C1287" s="197">
        <v>98</v>
      </c>
      <c r="D1287" s="147"/>
      <c r="E1287" s="148"/>
      <c r="F1287" s="148"/>
    </row>
    <row r="1288" spans="2:6" x14ac:dyDescent="0.2">
      <c r="B1288" s="115" t="s">
        <v>1906</v>
      </c>
      <c r="C1288" s="114">
        <v>811</v>
      </c>
      <c r="D1288" s="147"/>
      <c r="E1288" s="148"/>
      <c r="F1288" s="148"/>
    </row>
    <row r="1289" spans="2:6" x14ac:dyDescent="0.2">
      <c r="B1289" s="115" t="s">
        <v>1905</v>
      </c>
      <c r="C1289" s="114">
        <v>460</v>
      </c>
      <c r="D1289" s="147"/>
      <c r="E1289" s="148"/>
      <c r="F1289" s="148"/>
    </row>
    <row r="1290" spans="2:6" x14ac:dyDescent="0.2">
      <c r="B1290" s="198" t="s">
        <v>1904</v>
      </c>
      <c r="C1290" s="197">
        <v>354</v>
      </c>
      <c r="D1290" s="147"/>
      <c r="E1290" s="148"/>
      <c r="F1290" s="148"/>
    </row>
    <row r="1291" spans="2:6" x14ac:dyDescent="0.2">
      <c r="B1291" s="198" t="s">
        <v>1903</v>
      </c>
      <c r="C1291" s="197">
        <v>482</v>
      </c>
      <c r="D1291" s="147"/>
      <c r="E1291" s="148"/>
      <c r="F1291" s="148"/>
    </row>
    <row r="1292" spans="2:6" x14ac:dyDescent="0.2">
      <c r="B1292" s="115" t="s">
        <v>1902</v>
      </c>
      <c r="C1292" s="114">
        <v>202</v>
      </c>
      <c r="D1292" s="147"/>
      <c r="E1292" s="148"/>
      <c r="F1292" s="148"/>
    </row>
    <row r="1293" spans="2:6" x14ac:dyDescent="0.2">
      <c r="B1293" s="115" t="s">
        <v>1901</v>
      </c>
      <c r="C1293" s="114">
        <v>640</v>
      </c>
      <c r="D1293" s="147"/>
      <c r="E1293" s="148"/>
      <c r="F1293" s="148"/>
    </row>
    <row r="1294" spans="2:6" x14ac:dyDescent="0.2">
      <c r="B1294" s="198" t="s">
        <v>1900</v>
      </c>
      <c r="C1294" s="197">
        <v>76</v>
      </c>
      <c r="D1294" s="147"/>
      <c r="E1294" s="148"/>
      <c r="F1294" s="148"/>
    </row>
    <row r="1295" spans="2:6" x14ac:dyDescent="0.2">
      <c r="B1295" s="198" t="s">
        <v>1899</v>
      </c>
      <c r="C1295" s="197">
        <v>433</v>
      </c>
      <c r="D1295" s="147"/>
      <c r="E1295" s="148"/>
      <c r="F1295" s="148"/>
    </row>
    <row r="1296" spans="2:6" x14ac:dyDescent="0.2">
      <c r="B1296" s="115" t="s">
        <v>1898</v>
      </c>
      <c r="C1296" s="114">
        <v>225</v>
      </c>
      <c r="D1296" s="147"/>
      <c r="E1296" s="148"/>
      <c r="F1296" s="148"/>
    </row>
    <row r="1297" spans="2:6" x14ac:dyDescent="0.2">
      <c r="B1297" s="115" t="s">
        <v>1897</v>
      </c>
      <c r="C1297" s="114">
        <v>52</v>
      </c>
      <c r="D1297" s="147"/>
      <c r="E1297" s="148"/>
      <c r="F1297" s="148"/>
    </row>
    <row r="1298" spans="2:6" x14ac:dyDescent="0.2">
      <c r="B1298" s="115" t="s">
        <v>1896</v>
      </c>
      <c r="C1298" s="114">
        <v>3977</v>
      </c>
      <c r="D1298" s="147"/>
      <c r="E1298" s="148"/>
      <c r="F1298" s="148"/>
    </row>
    <row r="1299" spans="2:6" x14ac:dyDescent="0.2">
      <c r="B1299" s="115" t="s">
        <v>1895</v>
      </c>
      <c r="C1299" s="114">
        <v>247</v>
      </c>
      <c r="D1299" s="147"/>
      <c r="E1299" s="148"/>
      <c r="F1299" s="148"/>
    </row>
    <row r="1300" spans="2:6" x14ac:dyDescent="0.2">
      <c r="B1300" s="115" t="s">
        <v>1894</v>
      </c>
      <c r="C1300" s="114">
        <v>952</v>
      </c>
      <c r="D1300" s="147"/>
      <c r="E1300" s="148"/>
      <c r="F1300" s="148"/>
    </row>
    <row r="1301" spans="2:6" x14ac:dyDescent="0.2">
      <c r="B1301" s="115" t="s">
        <v>1893</v>
      </c>
      <c r="C1301" s="114">
        <v>3186</v>
      </c>
      <c r="D1301" s="147"/>
      <c r="E1301" s="148"/>
      <c r="F1301" s="148"/>
    </row>
    <row r="1302" spans="2:6" x14ac:dyDescent="0.2">
      <c r="B1302" s="198" t="s">
        <v>1892</v>
      </c>
      <c r="C1302" s="197">
        <v>773</v>
      </c>
      <c r="D1302" s="147"/>
      <c r="E1302" s="148"/>
      <c r="F1302" s="148"/>
    </row>
    <row r="1303" spans="2:6" x14ac:dyDescent="0.2">
      <c r="B1303" s="198" t="s">
        <v>1891</v>
      </c>
      <c r="C1303" s="197">
        <v>181</v>
      </c>
      <c r="D1303" s="147"/>
      <c r="E1303" s="148"/>
      <c r="F1303" s="148"/>
    </row>
    <row r="1304" spans="2:6" x14ac:dyDescent="0.2">
      <c r="B1304" s="198" t="s">
        <v>1890</v>
      </c>
      <c r="C1304" s="197">
        <v>324</v>
      </c>
      <c r="D1304" s="147"/>
      <c r="E1304" s="148"/>
      <c r="F1304" s="148"/>
    </row>
    <row r="1305" spans="2:6" x14ac:dyDescent="0.2">
      <c r="B1305" s="115" t="s">
        <v>1889</v>
      </c>
      <c r="C1305" s="114">
        <v>2198</v>
      </c>
      <c r="D1305" s="147"/>
      <c r="E1305" s="148"/>
      <c r="F1305" s="148"/>
    </row>
    <row r="1306" spans="2:6" x14ac:dyDescent="0.2">
      <c r="B1306" s="198" t="s">
        <v>1888</v>
      </c>
      <c r="C1306" s="197">
        <v>241</v>
      </c>
      <c r="D1306" s="147"/>
      <c r="E1306" s="148"/>
      <c r="F1306" s="148"/>
    </row>
    <row r="1307" spans="2:6" x14ac:dyDescent="0.2">
      <c r="B1307" s="115" t="s">
        <v>1887</v>
      </c>
      <c r="C1307" s="114">
        <v>6396</v>
      </c>
      <c r="D1307" s="147"/>
      <c r="E1307" s="148"/>
      <c r="F1307" s="148"/>
    </row>
    <row r="1308" spans="2:6" x14ac:dyDescent="0.2">
      <c r="B1308" s="115" t="s">
        <v>1886</v>
      </c>
      <c r="C1308" s="114">
        <v>896</v>
      </c>
      <c r="D1308" s="147"/>
      <c r="E1308" s="148"/>
      <c r="F1308" s="148"/>
    </row>
    <row r="1309" spans="2:6" x14ac:dyDescent="0.2">
      <c r="B1309" s="115" t="s">
        <v>1885</v>
      </c>
      <c r="C1309" s="114">
        <v>525</v>
      </c>
      <c r="D1309" s="147"/>
      <c r="E1309" s="148"/>
      <c r="F1309" s="148"/>
    </row>
    <row r="1310" spans="2:6" x14ac:dyDescent="0.2">
      <c r="B1310" s="115" t="s">
        <v>1884</v>
      </c>
      <c r="C1310" s="114">
        <v>627</v>
      </c>
      <c r="D1310" s="147"/>
      <c r="E1310" s="148"/>
      <c r="F1310" s="148"/>
    </row>
    <row r="1311" spans="2:6" x14ac:dyDescent="0.2">
      <c r="B1311" s="115" t="s">
        <v>1883</v>
      </c>
      <c r="C1311" s="114">
        <v>11175</v>
      </c>
      <c r="D1311" s="147"/>
      <c r="E1311" s="148"/>
      <c r="F1311" s="148"/>
    </row>
    <row r="1312" spans="2:6" x14ac:dyDescent="0.2">
      <c r="B1312" s="115" t="s">
        <v>1882</v>
      </c>
      <c r="C1312" s="114">
        <v>21</v>
      </c>
      <c r="D1312" s="147"/>
      <c r="E1312" s="148"/>
      <c r="F1312" s="148"/>
    </row>
    <row r="1313" spans="2:6" x14ac:dyDescent="0.2">
      <c r="B1313" s="115" t="s">
        <v>1881</v>
      </c>
      <c r="C1313" s="114">
        <v>270</v>
      </c>
      <c r="D1313" s="147"/>
      <c r="E1313" s="148"/>
      <c r="F1313" s="148"/>
    </row>
    <row r="1314" spans="2:6" x14ac:dyDescent="0.2">
      <c r="B1314" s="198" t="s">
        <v>1880</v>
      </c>
      <c r="C1314" s="197">
        <v>122</v>
      </c>
      <c r="D1314" s="147"/>
      <c r="E1314" s="148"/>
      <c r="F1314" s="148"/>
    </row>
    <row r="1315" spans="2:6" x14ac:dyDescent="0.2">
      <c r="B1315" s="198" t="s">
        <v>1879</v>
      </c>
      <c r="C1315" s="197">
        <v>124</v>
      </c>
      <c r="D1315" s="147"/>
      <c r="E1315" s="148"/>
      <c r="F1315" s="148"/>
    </row>
    <row r="1316" spans="2:6" x14ac:dyDescent="0.2">
      <c r="B1316" s="198" t="s">
        <v>1878</v>
      </c>
      <c r="C1316" s="197">
        <v>85</v>
      </c>
      <c r="D1316" s="147"/>
      <c r="E1316" s="148"/>
      <c r="F1316" s="148"/>
    </row>
    <row r="1317" spans="2:6" x14ac:dyDescent="0.2">
      <c r="B1317" s="115" t="s">
        <v>1877</v>
      </c>
      <c r="C1317" s="114">
        <v>181</v>
      </c>
      <c r="D1317" s="147"/>
      <c r="E1317" s="148"/>
      <c r="F1317" s="148"/>
    </row>
    <row r="1318" spans="2:6" x14ac:dyDescent="0.2">
      <c r="B1318" s="115" t="s">
        <v>1876</v>
      </c>
      <c r="C1318" s="114">
        <v>182</v>
      </c>
      <c r="D1318" s="147"/>
      <c r="E1318" s="148"/>
      <c r="F1318" s="148"/>
    </row>
    <row r="1319" spans="2:6" x14ac:dyDescent="0.2">
      <c r="B1319" s="198" t="s">
        <v>1875</v>
      </c>
      <c r="C1319" s="197">
        <v>296</v>
      </c>
      <c r="D1319" s="147"/>
      <c r="E1319" s="148"/>
      <c r="F1319" s="148"/>
    </row>
    <row r="1320" spans="2:6" x14ac:dyDescent="0.2">
      <c r="B1320" s="198" t="s">
        <v>1874</v>
      </c>
      <c r="C1320" s="197">
        <v>496</v>
      </c>
      <c r="D1320" s="147"/>
      <c r="E1320" s="148"/>
      <c r="F1320" s="148"/>
    </row>
    <row r="1321" spans="2:6" x14ac:dyDescent="0.2">
      <c r="B1321" s="198" t="s">
        <v>1873</v>
      </c>
      <c r="C1321" s="197">
        <v>293</v>
      </c>
      <c r="D1321" s="147"/>
      <c r="E1321" s="148"/>
      <c r="F1321" s="148"/>
    </row>
    <row r="1322" spans="2:6" x14ac:dyDescent="0.2">
      <c r="B1322" s="198" t="s">
        <v>1872</v>
      </c>
      <c r="C1322" s="197">
        <v>717</v>
      </c>
      <c r="D1322" s="147"/>
      <c r="E1322" s="148"/>
      <c r="F1322" s="148"/>
    </row>
    <row r="1323" spans="2:6" x14ac:dyDescent="0.2">
      <c r="B1323" s="115" t="s">
        <v>1871</v>
      </c>
      <c r="C1323" s="114">
        <v>1855</v>
      </c>
      <c r="D1323" s="147"/>
      <c r="E1323" s="148"/>
      <c r="F1323" s="148"/>
    </row>
    <row r="1324" spans="2:6" x14ac:dyDescent="0.2">
      <c r="B1324" s="115" t="s">
        <v>1870</v>
      </c>
      <c r="C1324" s="114">
        <v>168</v>
      </c>
      <c r="D1324" s="147"/>
      <c r="E1324" s="148"/>
      <c r="F1324" s="148"/>
    </row>
    <row r="1325" spans="2:6" x14ac:dyDescent="0.2">
      <c r="B1325" s="198" t="s">
        <v>1869</v>
      </c>
      <c r="C1325" s="197">
        <v>17455</v>
      </c>
      <c r="D1325" s="147"/>
      <c r="E1325" s="148"/>
      <c r="F1325" s="148"/>
    </row>
    <row r="1326" spans="2:6" x14ac:dyDescent="0.2">
      <c r="B1326" s="115" t="s">
        <v>1868</v>
      </c>
      <c r="C1326" s="114">
        <v>2634</v>
      </c>
      <c r="D1326" s="147"/>
      <c r="E1326" s="148"/>
      <c r="F1326" s="148"/>
    </row>
    <row r="1327" spans="2:6" x14ac:dyDescent="0.2">
      <c r="B1327" s="198" t="s">
        <v>1867</v>
      </c>
      <c r="C1327" s="197">
        <v>1385</v>
      </c>
      <c r="D1327" s="147"/>
      <c r="E1327" s="148"/>
      <c r="F1327" s="148"/>
    </row>
    <row r="1328" spans="2:6" x14ac:dyDescent="0.2">
      <c r="B1328" s="198" t="s">
        <v>1866</v>
      </c>
      <c r="C1328" s="197">
        <v>434</v>
      </c>
      <c r="D1328" s="147"/>
      <c r="E1328" s="148"/>
      <c r="F1328" s="148"/>
    </row>
    <row r="1329" spans="2:6" x14ac:dyDescent="0.2">
      <c r="B1329" s="115" t="s">
        <v>1865</v>
      </c>
      <c r="C1329" s="114">
        <v>3262</v>
      </c>
      <c r="D1329" s="147"/>
      <c r="E1329" s="148"/>
      <c r="F1329" s="148"/>
    </row>
    <row r="1330" spans="2:6" x14ac:dyDescent="0.2">
      <c r="B1330" s="115" t="s">
        <v>1864</v>
      </c>
      <c r="C1330" s="114">
        <v>2180</v>
      </c>
      <c r="D1330" s="147"/>
      <c r="E1330" s="148"/>
      <c r="F1330" s="148"/>
    </row>
    <row r="1331" spans="2:6" x14ac:dyDescent="0.2">
      <c r="B1331" s="198" t="s">
        <v>1863</v>
      </c>
      <c r="C1331" s="197">
        <v>566</v>
      </c>
      <c r="D1331" s="147"/>
      <c r="E1331" s="148"/>
      <c r="F1331" s="148"/>
    </row>
    <row r="1332" spans="2:6" x14ac:dyDescent="0.2">
      <c r="B1332" s="115" t="s">
        <v>1862</v>
      </c>
      <c r="C1332" s="114">
        <v>1204</v>
      </c>
      <c r="D1332" s="147"/>
      <c r="E1332" s="148"/>
      <c r="F1332" s="148"/>
    </row>
    <row r="1333" spans="2:6" x14ac:dyDescent="0.2">
      <c r="B1333" s="198" t="s">
        <v>1861</v>
      </c>
      <c r="C1333" s="197">
        <v>635</v>
      </c>
      <c r="D1333" s="147"/>
      <c r="E1333" s="148"/>
      <c r="F1333" s="148"/>
    </row>
    <row r="1334" spans="2:6" x14ac:dyDescent="0.2">
      <c r="B1334" s="198" t="s">
        <v>1860</v>
      </c>
      <c r="C1334" s="197">
        <v>90</v>
      </c>
      <c r="D1334" s="147"/>
      <c r="E1334" s="148"/>
      <c r="F1334" s="148"/>
    </row>
    <row r="1335" spans="2:6" x14ac:dyDescent="0.2">
      <c r="B1335" s="198" t="s">
        <v>1859</v>
      </c>
      <c r="C1335" s="197">
        <v>629</v>
      </c>
      <c r="D1335" s="147"/>
      <c r="E1335" s="148"/>
      <c r="F1335" s="148"/>
    </row>
    <row r="1336" spans="2:6" x14ac:dyDescent="0.2">
      <c r="B1336" s="115" t="s">
        <v>1858</v>
      </c>
      <c r="C1336" s="114">
        <v>1571</v>
      </c>
      <c r="D1336" s="147"/>
      <c r="E1336" s="148"/>
      <c r="F1336" s="148"/>
    </row>
    <row r="1337" spans="2:6" x14ac:dyDescent="0.2">
      <c r="B1337" s="115" t="s">
        <v>1857</v>
      </c>
      <c r="C1337" s="114">
        <v>213</v>
      </c>
      <c r="D1337" s="147"/>
      <c r="E1337" s="148"/>
      <c r="F1337" s="148"/>
    </row>
    <row r="1338" spans="2:6" x14ac:dyDescent="0.2">
      <c r="B1338" s="198" t="s">
        <v>1856</v>
      </c>
      <c r="C1338" s="197">
        <v>2291</v>
      </c>
      <c r="D1338" s="147"/>
      <c r="E1338" s="148"/>
      <c r="F1338" s="148"/>
    </row>
    <row r="1339" spans="2:6" x14ac:dyDescent="0.2">
      <c r="B1339" s="198" t="s">
        <v>1855</v>
      </c>
      <c r="C1339" s="197">
        <v>1451</v>
      </c>
      <c r="D1339" s="147"/>
      <c r="E1339" s="148"/>
      <c r="F1339" s="148"/>
    </row>
    <row r="1340" spans="2:6" x14ac:dyDescent="0.2">
      <c r="B1340" s="115" t="s">
        <v>1854</v>
      </c>
      <c r="C1340" s="114">
        <v>606</v>
      </c>
      <c r="D1340" s="147"/>
      <c r="E1340" s="148"/>
      <c r="F1340" s="148"/>
    </row>
    <row r="1341" spans="2:6" x14ac:dyDescent="0.2">
      <c r="B1341" s="115" t="s">
        <v>1853</v>
      </c>
      <c r="C1341" s="114">
        <v>809</v>
      </c>
      <c r="D1341" s="147"/>
      <c r="E1341" s="148"/>
      <c r="F1341" s="148"/>
    </row>
    <row r="1342" spans="2:6" x14ac:dyDescent="0.2">
      <c r="B1342" s="115" t="s">
        <v>1852</v>
      </c>
      <c r="C1342" s="114">
        <v>592</v>
      </c>
      <c r="D1342" s="147"/>
      <c r="E1342" s="148"/>
      <c r="F1342" s="148"/>
    </row>
    <row r="1343" spans="2:6" x14ac:dyDescent="0.2">
      <c r="B1343" s="198" t="s">
        <v>1851</v>
      </c>
      <c r="C1343" s="197">
        <v>449</v>
      </c>
      <c r="D1343" s="147"/>
      <c r="E1343" s="148"/>
      <c r="F1343" s="148"/>
    </row>
    <row r="1344" spans="2:6" x14ac:dyDescent="0.2">
      <c r="B1344" s="198" t="s">
        <v>1850</v>
      </c>
      <c r="C1344" s="197">
        <v>356</v>
      </c>
      <c r="D1344" s="147"/>
      <c r="E1344" s="148"/>
      <c r="F1344" s="148"/>
    </row>
    <row r="1345" spans="2:6" x14ac:dyDescent="0.2">
      <c r="B1345" s="115" t="s">
        <v>1849</v>
      </c>
      <c r="C1345" s="114">
        <v>1407</v>
      </c>
      <c r="D1345" s="147"/>
      <c r="E1345" s="148"/>
      <c r="F1345" s="148"/>
    </row>
    <row r="1346" spans="2:6" x14ac:dyDescent="0.2">
      <c r="B1346" s="198" t="s">
        <v>1848</v>
      </c>
      <c r="C1346" s="197">
        <v>926</v>
      </c>
      <c r="D1346" s="147"/>
      <c r="E1346" s="148"/>
      <c r="F1346" s="148"/>
    </row>
    <row r="1347" spans="2:6" x14ac:dyDescent="0.2">
      <c r="B1347" s="198" t="s">
        <v>1847</v>
      </c>
      <c r="C1347" s="197">
        <v>144</v>
      </c>
      <c r="D1347" s="147"/>
      <c r="E1347" s="148"/>
      <c r="F1347" s="148"/>
    </row>
    <row r="1348" spans="2:6" x14ac:dyDescent="0.2">
      <c r="B1348" s="198" t="s">
        <v>1846</v>
      </c>
      <c r="C1348" s="197">
        <v>181</v>
      </c>
      <c r="D1348" s="147"/>
      <c r="E1348" s="148"/>
      <c r="F1348" s="148"/>
    </row>
    <row r="1349" spans="2:6" x14ac:dyDescent="0.2">
      <c r="B1349" s="115" t="s">
        <v>1845</v>
      </c>
      <c r="C1349" s="114">
        <v>232</v>
      </c>
      <c r="D1349" s="147"/>
      <c r="E1349" s="148"/>
      <c r="F1349" s="148"/>
    </row>
    <row r="1350" spans="2:6" x14ac:dyDescent="0.2">
      <c r="B1350" s="198" t="s">
        <v>1844</v>
      </c>
      <c r="C1350" s="197">
        <v>390</v>
      </c>
      <c r="D1350" s="147"/>
      <c r="E1350" s="148"/>
      <c r="F1350" s="148"/>
    </row>
    <row r="1351" spans="2:6" x14ac:dyDescent="0.2">
      <c r="B1351" s="198" t="s">
        <v>1843</v>
      </c>
      <c r="C1351" s="197">
        <v>921</v>
      </c>
      <c r="D1351" s="147"/>
      <c r="E1351" s="148"/>
      <c r="F1351" s="148"/>
    </row>
    <row r="1352" spans="2:6" x14ac:dyDescent="0.2">
      <c r="B1352" s="115" t="s">
        <v>1842</v>
      </c>
      <c r="C1352" s="114">
        <v>300</v>
      </c>
      <c r="D1352" s="147"/>
      <c r="E1352" s="148"/>
      <c r="F1352" s="148"/>
    </row>
    <row r="1353" spans="2:6" x14ac:dyDescent="0.2">
      <c r="B1353" s="198" t="s">
        <v>1841</v>
      </c>
      <c r="C1353" s="197">
        <v>314</v>
      </c>
      <c r="D1353" s="147"/>
      <c r="E1353" s="148"/>
      <c r="F1353" s="148"/>
    </row>
    <row r="1354" spans="2:6" x14ac:dyDescent="0.2">
      <c r="B1354" s="115" t="s">
        <v>1840</v>
      </c>
      <c r="C1354" s="114">
        <v>133</v>
      </c>
      <c r="D1354" s="147"/>
      <c r="E1354" s="148"/>
      <c r="F1354" s="148"/>
    </row>
    <row r="1355" spans="2:6" x14ac:dyDescent="0.2">
      <c r="B1355" s="115" t="s">
        <v>1839</v>
      </c>
      <c r="C1355" s="114">
        <v>5397</v>
      </c>
      <c r="D1355" s="147"/>
      <c r="E1355" s="148"/>
      <c r="F1355" s="148"/>
    </row>
    <row r="1356" spans="2:6" x14ac:dyDescent="0.2">
      <c r="B1356" s="115" t="s">
        <v>1838</v>
      </c>
      <c r="C1356" s="114">
        <v>188</v>
      </c>
      <c r="D1356" s="147"/>
      <c r="E1356" s="148"/>
      <c r="F1356" s="148"/>
    </row>
    <row r="1357" spans="2:6" x14ac:dyDescent="0.2">
      <c r="B1357" s="198" t="s">
        <v>1837</v>
      </c>
      <c r="C1357" s="197">
        <v>98</v>
      </c>
      <c r="D1357" s="147"/>
      <c r="E1357" s="148"/>
      <c r="F1357" s="148"/>
    </row>
    <row r="1358" spans="2:6" x14ac:dyDescent="0.2">
      <c r="B1358" s="115" t="s">
        <v>1836</v>
      </c>
      <c r="C1358" s="114">
        <v>76</v>
      </c>
      <c r="D1358" s="147"/>
      <c r="E1358" s="148"/>
      <c r="F1358" s="148"/>
    </row>
    <row r="1359" spans="2:6" x14ac:dyDescent="0.2">
      <c r="B1359" s="198" t="s">
        <v>1835</v>
      </c>
      <c r="C1359" s="197">
        <v>368</v>
      </c>
      <c r="D1359" s="147"/>
      <c r="E1359" s="148"/>
      <c r="F1359" s="148"/>
    </row>
    <row r="1360" spans="2:6" x14ac:dyDescent="0.2">
      <c r="B1360" s="115" t="s">
        <v>1834</v>
      </c>
      <c r="C1360" s="114">
        <v>416</v>
      </c>
      <c r="D1360" s="147"/>
      <c r="E1360" s="148"/>
      <c r="F1360" s="148"/>
    </row>
    <row r="1361" spans="2:6" x14ac:dyDescent="0.2">
      <c r="B1361" s="115" t="s">
        <v>1833</v>
      </c>
      <c r="C1361" s="114">
        <v>91</v>
      </c>
      <c r="D1361" s="147"/>
      <c r="E1361" s="148"/>
      <c r="F1361" s="148"/>
    </row>
    <row r="1362" spans="2:6" x14ac:dyDescent="0.2">
      <c r="B1362" s="198" t="s">
        <v>1832</v>
      </c>
      <c r="C1362" s="197">
        <v>186</v>
      </c>
      <c r="D1362" s="147"/>
      <c r="E1362" s="148"/>
      <c r="F1362" s="148"/>
    </row>
    <row r="1363" spans="2:6" x14ac:dyDescent="0.2">
      <c r="B1363" s="198" t="s">
        <v>1831</v>
      </c>
      <c r="C1363" s="197">
        <v>171</v>
      </c>
      <c r="D1363" s="147"/>
      <c r="E1363" s="148"/>
      <c r="F1363" s="148"/>
    </row>
    <row r="1364" spans="2:6" x14ac:dyDescent="0.2">
      <c r="B1364" s="115" t="s">
        <v>1830</v>
      </c>
      <c r="C1364" s="114">
        <v>115</v>
      </c>
      <c r="D1364" s="147"/>
      <c r="E1364" s="148"/>
      <c r="F1364" s="148"/>
    </row>
    <row r="1365" spans="2:6" x14ac:dyDescent="0.2">
      <c r="B1365" s="198" t="s">
        <v>1829</v>
      </c>
      <c r="C1365" s="197">
        <v>114</v>
      </c>
      <c r="D1365" s="147"/>
      <c r="E1365" s="148"/>
      <c r="F1365" s="148"/>
    </row>
    <row r="1366" spans="2:6" x14ac:dyDescent="0.2">
      <c r="B1366" s="115" t="s">
        <v>1828</v>
      </c>
      <c r="C1366" s="114">
        <v>238</v>
      </c>
      <c r="D1366" s="147"/>
      <c r="E1366" s="148"/>
      <c r="F1366" s="148"/>
    </row>
    <row r="1367" spans="2:6" x14ac:dyDescent="0.2">
      <c r="B1367" s="115" t="s">
        <v>1827</v>
      </c>
      <c r="C1367" s="114">
        <v>351</v>
      </c>
      <c r="D1367" s="147"/>
      <c r="E1367" s="148"/>
      <c r="F1367" s="148"/>
    </row>
    <row r="1368" spans="2:6" x14ac:dyDescent="0.2">
      <c r="B1368" s="115" t="s">
        <v>1826</v>
      </c>
      <c r="C1368" s="114">
        <v>642</v>
      </c>
      <c r="D1368" s="147"/>
      <c r="E1368" s="148"/>
      <c r="F1368" s="148"/>
    </row>
    <row r="1369" spans="2:6" x14ac:dyDescent="0.2">
      <c r="B1369" s="115" t="s">
        <v>1825</v>
      </c>
      <c r="C1369" s="114">
        <v>211</v>
      </c>
      <c r="D1369" s="147"/>
      <c r="E1369" s="148"/>
      <c r="F1369" s="148"/>
    </row>
    <row r="1370" spans="2:6" x14ac:dyDescent="0.2">
      <c r="B1370" s="115" t="s">
        <v>1824</v>
      </c>
      <c r="C1370" s="114">
        <v>669</v>
      </c>
      <c r="D1370" s="147"/>
      <c r="E1370" s="148"/>
      <c r="F1370" s="148"/>
    </row>
    <row r="1371" spans="2:6" x14ac:dyDescent="0.2">
      <c r="B1371" s="198" t="s">
        <v>1823</v>
      </c>
      <c r="C1371" s="197">
        <v>112</v>
      </c>
      <c r="D1371" s="147"/>
      <c r="E1371" s="148"/>
      <c r="F1371" s="148"/>
    </row>
    <row r="1372" spans="2:6" x14ac:dyDescent="0.2">
      <c r="B1372" s="115" t="s">
        <v>1822</v>
      </c>
      <c r="C1372" s="114">
        <v>172</v>
      </c>
      <c r="D1372" s="147"/>
      <c r="E1372" s="148"/>
      <c r="F1372" s="148"/>
    </row>
    <row r="1373" spans="2:6" x14ac:dyDescent="0.2">
      <c r="B1373" s="198" t="s">
        <v>1821</v>
      </c>
      <c r="C1373" s="197">
        <v>180</v>
      </c>
      <c r="D1373" s="147"/>
      <c r="E1373" s="148"/>
      <c r="F1373" s="148"/>
    </row>
    <row r="1374" spans="2:6" x14ac:dyDescent="0.2">
      <c r="B1374" s="198" t="s">
        <v>1820</v>
      </c>
      <c r="C1374" s="197">
        <v>1570</v>
      </c>
      <c r="D1374" s="147"/>
      <c r="E1374" s="148"/>
      <c r="F1374" s="148"/>
    </row>
    <row r="1375" spans="2:6" x14ac:dyDescent="0.2">
      <c r="B1375" s="198" t="s">
        <v>1819</v>
      </c>
      <c r="C1375" s="197">
        <v>171</v>
      </c>
      <c r="D1375" s="147"/>
      <c r="E1375" s="148"/>
      <c r="F1375" s="148"/>
    </row>
    <row r="1376" spans="2:6" x14ac:dyDescent="0.2">
      <c r="B1376" s="198" t="s">
        <v>1818</v>
      </c>
      <c r="C1376" s="197">
        <v>444</v>
      </c>
      <c r="D1376" s="147"/>
      <c r="E1376" s="148"/>
      <c r="F1376" s="148"/>
    </row>
    <row r="1377" spans="2:6" x14ac:dyDescent="0.2">
      <c r="B1377" s="198" t="s">
        <v>1817</v>
      </c>
      <c r="C1377" s="197">
        <v>496</v>
      </c>
      <c r="D1377" s="147"/>
      <c r="E1377" s="148"/>
      <c r="F1377" s="148"/>
    </row>
    <row r="1378" spans="2:6" x14ac:dyDescent="0.2">
      <c r="B1378" s="115" t="s">
        <v>1816</v>
      </c>
      <c r="C1378" s="114">
        <v>181</v>
      </c>
      <c r="D1378" s="147"/>
      <c r="E1378" s="148"/>
      <c r="F1378" s="148"/>
    </row>
    <row r="1379" spans="2:6" x14ac:dyDescent="0.2">
      <c r="B1379" s="198" t="s">
        <v>1815</v>
      </c>
      <c r="C1379" s="197">
        <v>48</v>
      </c>
      <c r="D1379" s="147"/>
      <c r="E1379" s="148"/>
      <c r="F1379" s="148"/>
    </row>
    <row r="1380" spans="2:6" x14ac:dyDescent="0.2">
      <c r="B1380" s="198" t="s">
        <v>1814</v>
      </c>
      <c r="C1380" s="197">
        <v>259</v>
      </c>
      <c r="D1380" s="147"/>
      <c r="E1380" s="148"/>
      <c r="F1380" s="148"/>
    </row>
    <row r="1381" spans="2:6" x14ac:dyDescent="0.2">
      <c r="B1381" s="115" t="s">
        <v>1813</v>
      </c>
      <c r="C1381" s="114">
        <v>461</v>
      </c>
      <c r="D1381" s="147"/>
      <c r="E1381" s="148"/>
      <c r="F1381" s="148"/>
    </row>
    <row r="1382" spans="2:6" x14ac:dyDescent="0.2">
      <c r="B1382" s="115" t="s">
        <v>1812</v>
      </c>
      <c r="C1382" s="114">
        <v>88</v>
      </c>
      <c r="D1382" s="147"/>
      <c r="E1382" s="148"/>
      <c r="F1382" s="148"/>
    </row>
    <row r="1383" spans="2:6" x14ac:dyDescent="0.2">
      <c r="B1383" s="198" t="s">
        <v>1811</v>
      </c>
      <c r="C1383" s="197">
        <v>210</v>
      </c>
      <c r="D1383" s="147"/>
      <c r="E1383" s="148"/>
      <c r="F1383" s="148"/>
    </row>
    <row r="1384" spans="2:6" x14ac:dyDescent="0.2">
      <c r="B1384" s="115" t="s">
        <v>1810</v>
      </c>
      <c r="C1384" s="114">
        <v>349</v>
      </c>
      <c r="D1384" s="147"/>
      <c r="E1384" s="148"/>
      <c r="F1384" s="148"/>
    </row>
    <row r="1385" spans="2:6" x14ac:dyDescent="0.2">
      <c r="B1385" s="198" t="s">
        <v>1809</v>
      </c>
      <c r="C1385" s="197">
        <v>844</v>
      </c>
      <c r="D1385" s="147"/>
      <c r="E1385" s="148"/>
      <c r="F1385" s="148"/>
    </row>
    <row r="1386" spans="2:6" x14ac:dyDescent="0.2">
      <c r="B1386" s="115" t="s">
        <v>1808</v>
      </c>
      <c r="C1386" s="114">
        <v>2602</v>
      </c>
      <c r="D1386" s="147"/>
      <c r="E1386" s="148"/>
      <c r="F1386" s="148"/>
    </row>
    <row r="1387" spans="2:6" x14ac:dyDescent="0.2">
      <c r="B1387" s="115" t="s">
        <v>1807</v>
      </c>
      <c r="C1387" s="114">
        <v>13106</v>
      </c>
      <c r="D1387" s="147"/>
      <c r="E1387" s="148"/>
      <c r="F1387" s="148"/>
    </row>
    <row r="1388" spans="2:6" x14ac:dyDescent="0.2">
      <c r="B1388" s="115" t="s">
        <v>1806</v>
      </c>
      <c r="C1388" s="114">
        <v>28382</v>
      </c>
      <c r="D1388" s="147"/>
      <c r="E1388" s="148"/>
      <c r="F1388" s="148"/>
    </row>
    <row r="1389" spans="2:6" x14ac:dyDescent="0.2">
      <c r="B1389" s="115" t="s">
        <v>1805</v>
      </c>
      <c r="C1389" s="114">
        <v>25717</v>
      </c>
      <c r="D1389" s="147"/>
      <c r="E1389" s="148"/>
      <c r="F1389" s="148"/>
    </row>
    <row r="1390" spans="2:6" x14ac:dyDescent="0.2">
      <c r="B1390" s="115" t="s">
        <v>1804</v>
      </c>
      <c r="C1390" s="114">
        <v>9441</v>
      </c>
      <c r="D1390" s="147"/>
      <c r="E1390" s="148"/>
      <c r="F1390" s="148"/>
    </row>
    <row r="1391" spans="2:6" x14ac:dyDescent="0.2">
      <c r="B1391" s="115" t="s">
        <v>1803</v>
      </c>
      <c r="C1391" s="114">
        <v>10853</v>
      </c>
      <c r="D1391" s="147"/>
      <c r="E1391" s="148"/>
      <c r="F1391" s="148"/>
    </row>
    <row r="1392" spans="2:6" x14ac:dyDescent="0.2">
      <c r="B1392" s="115" t="s">
        <v>1802</v>
      </c>
      <c r="C1392" s="114">
        <v>190</v>
      </c>
      <c r="D1392" s="147"/>
      <c r="E1392" s="148"/>
      <c r="F1392" s="148"/>
    </row>
    <row r="1393" spans="2:6" x14ac:dyDescent="0.2">
      <c r="B1393" s="115" t="s">
        <v>1801</v>
      </c>
      <c r="C1393" s="114">
        <v>2394</v>
      </c>
      <c r="D1393" s="147"/>
      <c r="E1393" s="148"/>
      <c r="F1393" s="148"/>
    </row>
    <row r="1394" spans="2:6" x14ac:dyDescent="0.2">
      <c r="B1394" s="115" t="s">
        <v>1800</v>
      </c>
      <c r="C1394" s="114">
        <v>1570</v>
      </c>
      <c r="D1394" s="147"/>
      <c r="E1394" s="148"/>
      <c r="F1394" s="148"/>
    </row>
    <row r="1395" spans="2:6" x14ac:dyDescent="0.2">
      <c r="B1395" s="198" t="s">
        <v>1799</v>
      </c>
      <c r="C1395" s="197">
        <v>258</v>
      </c>
      <c r="D1395" s="147"/>
      <c r="E1395" s="148"/>
      <c r="F1395" s="148"/>
    </row>
    <row r="1396" spans="2:6" x14ac:dyDescent="0.2">
      <c r="B1396" s="198" t="s">
        <v>1798</v>
      </c>
      <c r="C1396" s="197">
        <v>1118</v>
      </c>
      <c r="D1396" s="147"/>
      <c r="E1396" s="148"/>
      <c r="F1396" s="148"/>
    </row>
    <row r="1397" spans="2:6" x14ac:dyDescent="0.2">
      <c r="B1397" s="115" t="s">
        <v>1797</v>
      </c>
      <c r="C1397" s="114">
        <v>302</v>
      </c>
      <c r="D1397" s="147"/>
      <c r="E1397" s="148"/>
      <c r="F1397" s="148"/>
    </row>
    <row r="1398" spans="2:6" x14ac:dyDescent="0.2">
      <c r="B1398" s="115" t="s">
        <v>1796</v>
      </c>
      <c r="C1398" s="114">
        <v>1088</v>
      </c>
      <c r="D1398" s="147"/>
      <c r="E1398" s="148"/>
      <c r="F1398" s="148"/>
    </row>
    <row r="1399" spans="2:6" x14ac:dyDescent="0.2">
      <c r="B1399" s="115" t="s">
        <v>1795</v>
      </c>
      <c r="C1399" s="114">
        <v>2617</v>
      </c>
      <c r="D1399" s="147"/>
      <c r="E1399" s="148"/>
      <c r="F1399" s="148"/>
    </row>
    <row r="1400" spans="2:6" x14ac:dyDescent="0.2">
      <c r="B1400" s="115" t="s">
        <v>1794</v>
      </c>
      <c r="C1400" s="114">
        <v>269</v>
      </c>
      <c r="D1400" s="147"/>
      <c r="E1400" s="148"/>
      <c r="F1400" s="148"/>
    </row>
    <row r="1401" spans="2:6" x14ac:dyDescent="0.2">
      <c r="B1401" s="115" t="s">
        <v>1793</v>
      </c>
      <c r="C1401" s="114">
        <v>957</v>
      </c>
      <c r="D1401" s="147"/>
      <c r="E1401" s="148"/>
      <c r="F1401" s="148"/>
    </row>
    <row r="1402" spans="2:6" x14ac:dyDescent="0.2">
      <c r="B1402" s="115" t="s">
        <v>1792</v>
      </c>
      <c r="C1402" s="114">
        <v>664</v>
      </c>
      <c r="D1402" s="147"/>
      <c r="E1402" s="148"/>
      <c r="F1402" s="148"/>
    </row>
    <row r="1403" spans="2:6" x14ac:dyDescent="0.2">
      <c r="B1403" s="115" t="s">
        <v>1791</v>
      </c>
      <c r="C1403" s="114">
        <v>154</v>
      </c>
      <c r="D1403" s="147"/>
      <c r="E1403" s="148"/>
      <c r="F1403" s="148"/>
    </row>
    <row r="1404" spans="2:6" x14ac:dyDescent="0.2">
      <c r="B1404" s="115" t="s">
        <v>1790</v>
      </c>
      <c r="C1404" s="114">
        <v>913</v>
      </c>
      <c r="D1404" s="147"/>
      <c r="E1404" s="148"/>
      <c r="F1404" s="148"/>
    </row>
    <row r="1405" spans="2:6" x14ac:dyDescent="0.2">
      <c r="B1405" s="115" t="s">
        <v>1789</v>
      </c>
      <c r="C1405" s="114">
        <v>591</v>
      </c>
      <c r="D1405" s="147"/>
      <c r="E1405" s="148"/>
      <c r="F1405" s="148"/>
    </row>
    <row r="1406" spans="2:6" x14ac:dyDescent="0.2">
      <c r="B1406" s="115" t="s">
        <v>1788</v>
      </c>
      <c r="C1406" s="114">
        <v>267</v>
      </c>
      <c r="D1406" s="147"/>
      <c r="E1406" s="148"/>
      <c r="F1406" s="148"/>
    </row>
    <row r="1407" spans="2:6" x14ac:dyDescent="0.2">
      <c r="B1407" s="198" t="s">
        <v>1787</v>
      </c>
      <c r="C1407" s="197">
        <v>65</v>
      </c>
      <c r="D1407" s="147"/>
      <c r="E1407" s="148"/>
      <c r="F1407" s="148"/>
    </row>
    <row r="1408" spans="2:6" x14ac:dyDescent="0.2">
      <c r="B1408" s="198" t="s">
        <v>1786</v>
      </c>
      <c r="C1408" s="197">
        <v>159</v>
      </c>
      <c r="D1408" s="147"/>
      <c r="E1408" s="148"/>
      <c r="F1408" s="148"/>
    </row>
    <row r="1409" spans="2:6" x14ac:dyDescent="0.2">
      <c r="B1409" s="115" t="s">
        <v>1785</v>
      </c>
      <c r="C1409" s="114">
        <v>171</v>
      </c>
      <c r="D1409" s="147"/>
      <c r="E1409" s="148"/>
      <c r="F1409" s="148"/>
    </row>
    <row r="1410" spans="2:6" x14ac:dyDescent="0.2">
      <c r="B1410" s="115" t="s">
        <v>1784</v>
      </c>
      <c r="C1410" s="114">
        <v>193</v>
      </c>
      <c r="D1410" s="147"/>
      <c r="E1410" s="148"/>
      <c r="F1410" s="148"/>
    </row>
    <row r="1411" spans="2:6" x14ac:dyDescent="0.2">
      <c r="B1411" s="115" t="s">
        <v>1783</v>
      </c>
      <c r="C1411" s="114">
        <v>280</v>
      </c>
      <c r="D1411" s="147"/>
      <c r="E1411" s="148"/>
      <c r="F1411" s="148"/>
    </row>
    <row r="1412" spans="2:6" x14ac:dyDescent="0.2">
      <c r="B1412" s="115" t="s">
        <v>1782</v>
      </c>
      <c r="C1412" s="114">
        <v>228</v>
      </c>
      <c r="D1412" s="147"/>
      <c r="E1412" s="148"/>
      <c r="F1412" s="148"/>
    </row>
    <row r="1413" spans="2:6" x14ac:dyDescent="0.2">
      <c r="B1413" s="115" t="s">
        <v>1781</v>
      </c>
      <c r="C1413" s="114">
        <v>111</v>
      </c>
      <c r="D1413" s="147"/>
      <c r="E1413" s="148"/>
      <c r="F1413" s="148"/>
    </row>
    <row r="1414" spans="2:6" x14ac:dyDescent="0.2">
      <c r="B1414" s="198" t="s">
        <v>1780</v>
      </c>
      <c r="C1414" s="197">
        <v>206</v>
      </c>
      <c r="D1414" s="147"/>
      <c r="E1414" s="148"/>
      <c r="F1414" s="148"/>
    </row>
    <row r="1415" spans="2:6" x14ac:dyDescent="0.2">
      <c r="B1415" s="115" t="s">
        <v>1779</v>
      </c>
      <c r="C1415" s="114">
        <v>13554</v>
      </c>
      <c r="D1415" s="147"/>
      <c r="E1415" s="148"/>
      <c r="F1415" s="148"/>
    </row>
    <row r="1416" spans="2:6" x14ac:dyDescent="0.2">
      <c r="B1416" s="115" t="s">
        <v>1778</v>
      </c>
      <c r="C1416" s="114">
        <v>7037</v>
      </c>
      <c r="D1416" s="147"/>
      <c r="E1416" s="148"/>
      <c r="F1416" s="148"/>
    </row>
    <row r="1417" spans="2:6" x14ac:dyDescent="0.2">
      <c r="B1417" s="198" t="s">
        <v>1777</v>
      </c>
      <c r="C1417" s="197">
        <v>2464</v>
      </c>
      <c r="D1417" s="147"/>
      <c r="E1417" s="148"/>
      <c r="F1417" s="148"/>
    </row>
    <row r="1418" spans="2:6" x14ac:dyDescent="0.2">
      <c r="B1418" s="115" t="s">
        <v>1776</v>
      </c>
      <c r="C1418" s="114">
        <v>149</v>
      </c>
      <c r="D1418" s="147"/>
      <c r="E1418" s="148"/>
      <c r="F1418" s="148"/>
    </row>
    <row r="1419" spans="2:6" x14ac:dyDescent="0.2">
      <c r="B1419" s="198" t="s">
        <v>1775</v>
      </c>
      <c r="C1419" s="197">
        <v>250</v>
      </c>
      <c r="D1419" s="147"/>
      <c r="E1419" s="148"/>
      <c r="F1419" s="148"/>
    </row>
    <row r="1420" spans="2:6" x14ac:dyDescent="0.2">
      <c r="B1420" s="198" t="s">
        <v>1774</v>
      </c>
      <c r="C1420" s="197">
        <v>297</v>
      </c>
      <c r="D1420" s="147"/>
      <c r="E1420" s="148"/>
      <c r="F1420" s="148"/>
    </row>
    <row r="1421" spans="2:6" x14ac:dyDescent="0.2">
      <c r="B1421" s="198" t="s">
        <v>1773</v>
      </c>
      <c r="C1421" s="197">
        <v>9635</v>
      </c>
      <c r="D1421" s="147"/>
      <c r="E1421" s="148"/>
      <c r="F1421" s="148"/>
    </row>
    <row r="1422" spans="2:6" x14ac:dyDescent="0.2">
      <c r="B1422" s="198" t="s">
        <v>1772</v>
      </c>
      <c r="C1422" s="197">
        <v>446</v>
      </c>
      <c r="D1422" s="147"/>
      <c r="E1422" s="148"/>
      <c r="F1422" s="148"/>
    </row>
    <row r="1423" spans="2:6" x14ac:dyDescent="0.2">
      <c r="B1423" s="115" t="s">
        <v>1771</v>
      </c>
      <c r="C1423" s="114">
        <v>14616</v>
      </c>
      <c r="D1423" s="147"/>
      <c r="E1423" s="148"/>
      <c r="F1423" s="148"/>
    </row>
    <row r="1424" spans="2:6" x14ac:dyDescent="0.2">
      <c r="B1424" s="115" t="s">
        <v>1770</v>
      </c>
      <c r="C1424" s="114">
        <v>973</v>
      </c>
      <c r="D1424" s="147"/>
      <c r="E1424" s="148"/>
      <c r="F1424" s="148"/>
    </row>
    <row r="1425" spans="2:6" x14ac:dyDescent="0.2">
      <c r="B1425" s="198" t="s">
        <v>1769</v>
      </c>
      <c r="C1425" s="197">
        <v>55</v>
      </c>
      <c r="D1425" s="147"/>
      <c r="E1425" s="148"/>
      <c r="F1425" s="148"/>
    </row>
    <row r="1426" spans="2:6" x14ac:dyDescent="0.2">
      <c r="B1426" s="198" t="s">
        <v>1768</v>
      </c>
      <c r="C1426" s="197">
        <v>291</v>
      </c>
      <c r="D1426" s="147"/>
      <c r="E1426" s="148"/>
      <c r="F1426" s="148"/>
    </row>
    <row r="1427" spans="2:6" x14ac:dyDescent="0.2">
      <c r="B1427" s="198" t="s">
        <v>1767</v>
      </c>
      <c r="C1427" s="197">
        <v>357</v>
      </c>
      <c r="D1427" s="147"/>
      <c r="E1427" s="148"/>
      <c r="F1427" s="148"/>
    </row>
    <row r="1428" spans="2:6" x14ac:dyDescent="0.2">
      <c r="B1428" s="115" t="s">
        <v>1766</v>
      </c>
      <c r="C1428" s="114">
        <v>3609</v>
      </c>
      <c r="D1428" s="147"/>
      <c r="E1428" s="148"/>
      <c r="F1428" s="148"/>
    </row>
    <row r="1429" spans="2:6" x14ac:dyDescent="0.2">
      <c r="B1429" s="115" t="s">
        <v>1765</v>
      </c>
      <c r="C1429" s="114">
        <v>83</v>
      </c>
      <c r="D1429" s="147"/>
      <c r="E1429" s="148"/>
      <c r="F1429" s="148"/>
    </row>
    <row r="1430" spans="2:6" x14ac:dyDescent="0.2">
      <c r="B1430" s="115" t="s">
        <v>1764</v>
      </c>
      <c r="C1430" s="114">
        <v>2141</v>
      </c>
      <c r="D1430" s="147"/>
      <c r="E1430" s="148"/>
      <c r="F1430" s="148"/>
    </row>
    <row r="1431" spans="2:6" x14ac:dyDescent="0.2">
      <c r="B1431" s="115" t="s">
        <v>1763</v>
      </c>
      <c r="C1431" s="114">
        <v>283</v>
      </c>
      <c r="D1431" s="147"/>
      <c r="E1431" s="148"/>
      <c r="F1431" s="148"/>
    </row>
    <row r="1432" spans="2:6" x14ac:dyDescent="0.2">
      <c r="B1432" s="198" t="s">
        <v>1762</v>
      </c>
      <c r="C1432" s="197">
        <v>507</v>
      </c>
      <c r="D1432" s="147"/>
      <c r="E1432" s="148"/>
      <c r="F1432" s="148"/>
    </row>
    <row r="1433" spans="2:6" x14ac:dyDescent="0.2">
      <c r="B1433" s="115" t="s">
        <v>1761</v>
      </c>
      <c r="C1433" s="114">
        <v>201</v>
      </c>
      <c r="D1433" s="147"/>
      <c r="E1433" s="148"/>
      <c r="F1433" s="148"/>
    </row>
    <row r="1434" spans="2:6" x14ac:dyDescent="0.2">
      <c r="B1434" s="198" t="s">
        <v>1760</v>
      </c>
      <c r="C1434" s="197">
        <v>149</v>
      </c>
      <c r="D1434" s="147"/>
      <c r="E1434" s="148"/>
      <c r="F1434" s="148"/>
    </row>
    <row r="1435" spans="2:6" x14ac:dyDescent="0.2">
      <c r="B1435" s="115" t="s">
        <v>1759</v>
      </c>
      <c r="C1435" s="114">
        <v>130</v>
      </c>
      <c r="D1435" s="147"/>
      <c r="E1435" s="148"/>
      <c r="F1435" s="148"/>
    </row>
    <row r="1436" spans="2:6" x14ac:dyDescent="0.2">
      <c r="B1436" s="198" t="s">
        <v>1758</v>
      </c>
      <c r="C1436" s="197">
        <v>425</v>
      </c>
      <c r="D1436" s="147"/>
      <c r="E1436" s="148"/>
      <c r="F1436" s="148"/>
    </row>
    <row r="1437" spans="2:6" x14ac:dyDescent="0.2">
      <c r="B1437" s="198" t="s">
        <v>1757</v>
      </c>
      <c r="C1437" s="197">
        <v>2654</v>
      </c>
      <c r="D1437" s="147"/>
      <c r="E1437" s="148"/>
      <c r="F1437" s="148"/>
    </row>
    <row r="1438" spans="2:6" x14ac:dyDescent="0.2">
      <c r="B1438" s="115" t="s">
        <v>1756</v>
      </c>
      <c r="C1438" s="114">
        <v>1822</v>
      </c>
      <c r="D1438" s="147"/>
      <c r="E1438" s="148"/>
      <c r="F1438" s="148"/>
    </row>
    <row r="1439" spans="2:6" x14ac:dyDescent="0.2">
      <c r="B1439" s="115" t="s">
        <v>1755</v>
      </c>
      <c r="C1439" s="114">
        <v>1131</v>
      </c>
      <c r="D1439" s="147"/>
      <c r="E1439" s="148"/>
      <c r="F1439" s="148"/>
    </row>
    <row r="1440" spans="2:6" x14ac:dyDescent="0.2">
      <c r="B1440" s="115" t="s">
        <v>1754</v>
      </c>
      <c r="C1440" s="114">
        <v>2659</v>
      </c>
      <c r="D1440" s="147"/>
      <c r="E1440" s="148"/>
      <c r="F1440" s="148"/>
    </row>
    <row r="1441" spans="2:6" x14ac:dyDescent="0.2">
      <c r="B1441" s="115" t="s">
        <v>1753</v>
      </c>
      <c r="C1441" s="114">
        <v>4454</v>
      </c>
      <c r="D1441" s="147"/>
      <c r="E1441" s="148"/>
      <c r="F1441" s="148"/>
    </row>
    <row r="1442" spans="2:6" x14ac:dyDescent="0.2">
      <c r="B1442" s="115" t="s">
        <v>1752</v>
      </c>
      <c r="C1442" s="114">
        <v>513</v>
      </c>
      <c r="D1442" s="147"/>
      <c r="E1442" s="148"/>
      <c r="F1442" s="148"/>
    </row>
    <row r="1443" spans="2:6" x14ac:dyDescent="0.2">
      <c r="B1443" s="198" t="s">
        <v>1751</v>
      </c>
      <c r="C1443" s="197">
        <v>673</v>
      </c>
      <c r="D1443" s="147"/>
      <c r="E1443" s="148"/>
      <c r="F1443" s="148"/>
    </row>
    <row r="1444" spans="2:6" x14ac:dyDescent="0.2">
      <c r="B1444" s="115" t="s">
        <v>1750</v>
      </c>
      <c r="C1444" s="114">
        <v>4819</v>
      </c>
      <c r="D1444" s="147"/>
      <c r="E1444" s="148"/>
      <c r="F1444" s="148"/>
    </row>
    <row r="1445" spans="2:6" x14ac:dyDescent="0.2">
      <c r="B1445" s="198" t="s">
        <v>1749</v>
      </c>
      <c r="C1445" s="197">
        <v>19862</v>
      </c>
      <c r="D1445" s="147"/>
      <c r="E1445" s="148"/>
      <c r="F1445" s="148"/>
    </row>
    <row r="1446" spans="2:6" x14ac:dyDescent="0.2">
      <c r="B1446" s="115" t="s">
        <v>1748</v>
      </c>
      <c r="C1446" s="114">
        <v>195</v>
      </c>
      <c r="D1446" s="147"/>
      <c r="E1446" s="148"/>
      <c r="F1446" s="148"/>
    </row>
    <row r="1447" spans="2:6" x14ac:dyDescent="0.2">
      <c r="B1447" s="115" t="s">
        <v>1747</v>
      </c>
      <c r="C1447" s="114">
        <v>21567</v>
      </c>
      <c r="D1447" s="147"/>
      <c r="E1447" s="148"/>
      <c r="F1447" s="148"/>
    </row>
    <row r="1448" spans="2:6" x14ac:dyDescent="0.2">
      <c r="B1448" s="115" t="s">
        <v>1746</v>
      </c>
      <c r="C1448" s="114">
        <v>109</v>
      </c>
      <c r="D1448" s="147"/>
      <c r="E1448" s="148"/>
      <c r="F1448" s="148"/>
    </row>
    <row r="1449" spans="2:6" x14ac:dyDescent="0.2">
      <c r="B1449" s="198" t="s">
        <v>1745</v>
      </c>
      <c r="C1449" s="197">
        <v>169</v>
      </c>
      <c r="D1449" s="147"/>
      <c r="E1449" s="148"/>
      <c r="F1449" s="148"/>
    </row>
    <row r="1450" spans="2:6" x14ac:dyDescent="0.2">
      <c r="B1450" s="198" t="s">
        <v>1744</v>
      </c>
      <c r="C1450" s="197">
        <v>217</v>
      </c>
      <c r="D1450" s="147"/>
      <c r="E1450" s="148"/>
      <c r="F1450" s="148"/>
    </row>
    <row r="1451" spans="2:6" x14ac:dyDescent="0.2">
      <c r="B1451" s="115" t="s">
        <v>1743</v>
      </c>
      <c r="C1451" s="114">
        <v>1102</v>
      </c>
      <c r="D1451" s="147"/>
      <c r="E1451" s="148"/>
      <c r="F1451" s="148"/>
    </row>
    <row r="1452" spans="2:6" x14ac:dyDescent="0.2">
      <c r="B1452" s="198" t="s">
        <v>1742</v>
      </c>
      <c r="C1452" s="197">
        <v>1813</v>
      </c>
      <c r="D1452" s="147"/>
      <c r="E1452" s="148"/>
      <c r="F1452" s="148"/>
    </row>
    <row r="1453" spans="2:6" x14ac:dyDescent="0.2">
      <c r="B1453" s="198" t="s">
        <v>1741</v>
      </c>
      <c r="C1453" s="197">
        <v>471</v>
      </c>
      <c r="D1453" s="147"/>
      <c r="E1453" s="148"/>
      <c r="F1453" s="148"/>
    </row>
    <row r="1454" spans="2:6" x14ac:dyDescent="0.2">
      <c r="B1454" s="198" t="s">
        <v>1740</v>
      </c>
      <c r="C1454" s="197">
        <v>464</v>
      </c>
      <c r="D1454" s="147"/>
      <c r="E1454" s="148"/>
      <c r="F1454" s="148"/>
    </row>
    <row r="1455" spans="2:6" x14ac:dyDescent="0.2">
      <c r="B1455" s="198" t="s">
        <v>1739</v>
      </c>
      <c r="C1455" s="197">
        <v>4454</v>
      </c>
      <c r="D1455" s="147"/>
      <c r="E1455" s="148"/>
      <c r="F1455" s="148"/>
    </row>
    <row r="1456" spans="2:6" x14ac:dyDescent="0.2">
      <c r="B1456" s="198" t="s">
        <v>1738</v>
      </c>
      <c r="C1456" s="197">
        <v>2713</v>
      </c>
      <c r="D1456" s="147"/>
      <c r="E1456" s="148"/>
      <c r="F1456" s="148"/>
    </row>
    <row r="1457" spans="2:6" x14ac:dyDescent="0.2">
      <c r="B1457" s="198" t="s">
        <v>1737</v>
      </c>
      <c r="C1457" s="197">
        <v>2064</v>
      </c>
      <c r="D1457" s="147"/>
      <c r="E1457" s="148"/>
      <c r="F1457" s="148"/>
    </row>
    <row r="1458" spans="2:6" x14ac:dyDescent="0.2">
      <c r="B1458" s="115" t="s">
        <v>1736</v>
      </c>
      <c r="C1458" s="114">
        <v>2022</v>
      </c>
      <c r="D1458" s="147"/>
      <c r="E1458" s="148"/>
      <c r="F1458" s="148"/>
    </row>
    <row r="1459" spans="2:6" x14ac:dyDescent="0.2">
      <c r="B1459" s="198" t="s">
        <v>1735</v>
      </c>
      <c r="C1459" s="197">
        <v>293</v>
      </c>
      <c r="D1459" s="147"/>
      <c r="E1459" s="148"/>
      <c r="F1459" s="148"/>
    </row>
    <row r="1460" spans="2:6" x14ac:dyDescent="0.2">
      <c r="B1460" s="115" t="s">
        <v>1734</v>
      </c>
      <c r="C1460" s="114">
        <v>320</v>
      </c>
      <c r="D1460" s="147"/>
      <c r="E1460" s="148"/>
      <c r="F1460" s="148"/>
    </row>
    <row r="1461" spans="2:6" x14ac:dyDescent="0.2">
      <c r="B1461" s="115" t="s">
        <v>1733</v>
      </c>
      <c r="C1461" s="114">
        <v>2615</v>
      </c>
      <c r="D1461" s="147"/>
      <c r="E1461" s="148"/>
      <c r="F1461" s="148"/>
    </row>
    <row r="1462" spans="2:6" x14ac:dyDescent="0.2">
      <c r="B1462" s="198" t="s">
        <v>1732</v>
      </c>
      <c r="C1462" s="197">
        <v>171</v>
      </c>
      <c r="D1462" s="147"/>
      <c r="E1462" s="148"/>
      <c r="F1462" s="148"/>
    </row>
    <row r="1463" spans="2:6" x14ac:dyDescent="0.2">
      <c r="B1463" s="115" t="s">
        <v>1731</v>
      </c>
      <c r="C1463" s="114">
        <v>2493</v>
      </c>
      <c r="D1463" s="147"/>
      <c r="E1463" s="148"/>
      <c r="F1463" s="148"/>
    </row>
    <row r="1464" spans="2:6" x14ac:dyDescent="0.2">
      <c r="B1464" s="115" t="s">
        <v>1730</v>
      </c>
      <c r="C1464" s="114">
        <v>722</v>
      </c>
      <c r="D1464" s="147"/>
      <c r="E1464" s="148"/>
      <c r="F1464" s="148"/>
    </row>
    <row r="1465" spans="2:6" x14ac:dyDescent="0.2">
      <c r="B1465" s="115" t="s">
        <v>1729</v>
      </c>
      <c r="C1465" s="114">
        <v>4473</v>
      </c>
      <c r="D1465" s="147"/>
      <c r="E1465" s="148"/>
      <c r="F1465" s="148"/>
    </row>
    <row r="1466" spans="2:6" x14ac:dyDescent="0.2">
      <c r="B1466" s="198" t="s">
        <v>1728</v>
      </c>
      <c r="C1466" s="197">
        <v>202</v>
      </c>
      <c r="D1466" s="147"/>
      <c r="E1466" s="148"/>
      <c r="F1466" s="148"/>
    </row>
    <row r="1467" spans="2:6" x14ac:dyDescent="0.2">
      <c r="B1467" s="198" t="s">
        <v>1727</v>
      </c>
      <c r="C1467" s="197">
        <v>65</v>
      </c>
      <c r="D1467" s="147"/>
      <c r="E1467" s="148"/>
      <c r="F1467" s="148"/>
    </row>
    <row r="1468" spans="2:6" x14ac:dyDescent="0.2">
      <c r="B1468" s="115" t="s">
        <v>1726</v>
      </c>
      <c r="C1468" s="114">
        <v>589</v>
      </c>
      <c r="D1468" s="147"/>
      <c r="E1468" s="148"/>
      <c r="F1468" s="148"/>
    </row>
    <row r="1469" spans="2:6" x14ac:dyDescent="0.2">
      <c r="B1469" s="198" t="s">
        <v>1725</v>
      </c>
      <c r="C1469" s="197">
        <v>161</v>
      </c>
      <c r="D1469" s="147"/>
      <c r="E1469" s="148"/>
      <c r="F1469" s="148"/>
    </row>
    <row r="1470" spans="2:6" x14ac:dyDescent="0.2">
      <c r="B1470" s="115" t="s">
        <v>1724</v>
      </c>
      <c r="C1470" s="114">
        <v>6817</v>
      </c>
      <c r="D1470" s="147"/>
      <c r="E1470" s="148"/>
      <c r="F1470" s="148"/>
    </row>
    <row r="1471" spans="2:6" x14ac:dyDescent="0.2">
      <c r="B1471" s="115" t="s">
        <v>1723</v>
      </c>
      <c r="C1471" s="114">
        <v>33</v>
      </c>
      <c r="D1471" s="147"/>
      <c r="E1471" s="148"/>
      <c r="F1471" s="148"/>
    </row>
    <row r="1472" spans="2:6" x14ac:dyDescent="0.2">
      <c r="B1472" s="115" t="s">
        <v>1722</v>
      </c>
      <c r="C1472" s="114">
        <v>190</v>
      </c>
      <c r="D1472" s="147"/>
      <c r="E1472" s="148"/>
      <c r="F1472" s="148"/>
    </row>
    <row r="1473" spans="2:6" x14ac:dyDescent="0.2">
      <c r="B1473" s="115" t="s">
        <v>1721</v>
      </c>
      <c r="C1473" s="114">
        <v>238</v>
      </c>
      <c r="D1473" s="147"/>
      <c r="E1473" s="148"/>
      <c r="F1473" s="148"/>
    </row>
    <row r="1474" spans="2:6" x14ac:dyDescent="0.2">
      <c r="B1474" s="198" t="s">
        <v>1720</v>
      </c>
      <c r="C1474" s="197">
        <v>635</v>
      </c>
      <c r="D1474" s="147"/>
      <c r="E1474" s="148"/>
      <c r="F1474" s="148"/>
    </row>
    <row r="1475" spans="2:6" x14ac:dyDescent="0.2">
      <c r="B1475" s="198" t="s">
        <v>1719</v>
      </c>
      <c r="C1475" s="197">
        <v>522</v>
      </c>
      <c r="D1475" s="147"/>
      <c r="E1475" s="148"/>
      <c r="F1475" s="148"/>
    </row>
    <row r="1476" spans="2:6" x14ac:dyDescent="0.2">
      <c r="B1476" s="115" t="s">
        <v>1718</v>
      </c>
      <c r="C1476" s="114">
        <v>1167</v>
      </c>
      <c r="D1476" s="147"/>
      <c r="E1476" s="148"/>
      <c r="F1476" s="148"/>
    </row>
    <row r="1477" spans="2:6" x14ac:dyDescent="0.2">
      <c r="B1477" s="198" t="s">
        <v>1717</v>
      </c>
      <c r="C1477" s="197">
        <v>1311</v>
      </c>
      <c r="D1477" s="147"/>
      <c r="E1477" s="148"/>
      <c r="F1477" s="148"/>
    </row>
    <row r="1478" spans="2:6" x14ac:dyDescent="0.2">
      <c r="B1478" s="198" t="s">
        <v>1716</v>
      </c>
      <c r="C1478" s="197">
        <v>946</v>
      </c>
      <c r="D1478" s="147"/>
      <c r="E1478" s="148"/>
      <c r="F1478" s="148"/>
    </row>
    <row r="1479" spans="2:6" x14ac:dyDescent="0.2">
      <c r="B1479" s="198" t="s">
        <v>1715</v>
      </c>
      <c r="C1479" s="197">
        <v>1891</v>
      </c>
      <c r="D1479" s="147"/>
      <c r="E1479" s="148"/>
      <c r="F1479" s="148"/>
    </row>
    <row r="1480" spans="2:6" x14ac:dyDescent="0.2">
      <c r="B1480" s="115" t="s">
        <v>1714</v>
      </c>
      <c r="C1480" s="114">
        <v>1105</v>
      </c>
      <c r="D1480" s="147"/>
      <c r="E1480" s="148"/>
      <c r="F1480" s="148"/>
    </row>
    <row r="1481" spans="2:6" x14ac:dyDescent="0.2">
      <c r="B1481" s="115" t="s">
        <v>1713</v>
      </c>
      <c r="C1481" s="114">
        <v>483</v>
      </c>
      <c r="D1481" s="147"/>
      <c r="E1481" s="148"/>
      <c r="F1481" s="148"/>
    </row>
    <row r="1482" spans="2:6" x14ac:dyDescent="0.2">
      <c r="B1482" s="198" t="s">
        <v>1712</v>
      </c>
      <c r="C1482" s="197">
        <v>673</v>
      </c>
      <c r="D1482" s="147"/>
      <c r="E1482" s="148"/>
      <c r="F1482" s="148"/>
    </row>
    <row r="1483" spans="2:6" x14ac:dyDescent="0.2">
      <c r="B1483" s="115" t="s">
        <v>1711</v>
      </c>
      <c r="C1483" s="114">
        <v>10062</v>
      </c>
      <c r="D1483" s="147"/>
      <c r="E1483" s="148"/>
      <c r="F1483" s="148"/>
    </row>
    <row r="1484" spans="2:6" x14ac:dyDescent="0.2">
      <c r="B1484" s="115" t="s">
        <v>1710</v>
      </c>
      <c r="C1484" s="114">
        <v>4801</v>
      </c>
      <c r="D1484" s="147"/>
      <c r="E1484" s="148"/>
      <c r="F1484" s="148"/>
    </row>
    <row r="1485" spans="2:6" x14ac:dyDescent="0.2">
      <c r="B1485" s="115" t="s">
        <v>1709</v>
      </c>
      <c r="C1485" s="114">
        <v>1327</v>
      </c>
      <c r="D1485" s="147"/>
      <c r="E1485" s="148"/>
      <c r="F1485" s="148"/>
    </row>
    <row r="1486" spans="2:6" x14ac:dyDescent="0.2">
      <c r="B1486" s="115" t="s">
        <v>1708</v>
      </c>
      <c r="C1486" s="114">
        <v>1404</v>
      </c>
      <c r="D1486" s="147"/>
      <c r="E1486" s="148"/>
      <c r="F1486" s="148"/>
    </row>
    <row r="1487" spans="2:6" x14ac:dyDescent="0.2">
      <c r="B1487" s="115" t="s">
        <v>1707</v>
      </c>
      <c r="C1487" s="114">
        <v>3970</v>
      </c>
      <c r="D1487" s="147"/>
      <c r="E1487" s="148"/>
      <c r="F1487" s="148"/>
    </row>
    <row r="1488" spans="2:6" x14ac:dyDescent="0.2">
      <c r="B1488" s="115" t="s">
        <v>1706</v>
      </c>
      <c r="C1488" s="114">
        <v>404</v>
      </c>
      <c r="D1488" s="147"/>
      <c r="E1488" s="148"/>
      <c r="F1488" s="148"/>
    </row>
    <row r="1489" spans="2:6" x14ac:dyDescent="0.2">
      <c r="B1489" s="115" t="s">
        <v>1705</v>
      </c>
      <c r="C1489" s="114">
        <v>2144</v>
      </c>
      <c r="D1489" s="147"/>
      <c r="E1489" s="148"/>
      <c r="F1489" s="148"/>
    </row>
    <row r="1490" spans="2:6" x14ac:dyDescent="0.2">
      <c r="B1490" s="198" t="s">
        <v>1704</v>
      </c>
      <c r="C1490" s="197">
        <v>728</v>
      </c>
      <c r="D1490" s="147"/>
      <c r="E1490" s="148"/>
      <c r="F1490" s="148"/>
    </row>
    <row r="1491" spans="2:6" x14ac:dyDescent="0.2">
      <c r="B1491" s="115" t="s">
        <v>1703</v>
      </c>
      <c r="C1491" s="114">
        <v>292</v>
      </c>
      <c r="D1491" s="147"/>
      <c r="E1491" s="148"/>
      <c r="F1491" s="148"/>
    </row>
    <row r="1492" spans="2:6" x14ac:dyDescent="0.2">
      <c r="B1492" s="115" t="s">
        <v>1702</v>
      </c>
      <c r="C1492" s="114">
        <v>651</v>
      </c>
      <c r="D1492" s="147"/>
      <c r="E1492" s="148"/>
      <c r="F1492" s="148"/>
    </row>
    <row r="1493" spans="2:6" x14ac:dyDescent="0.2">
      <c r="B1493" s="198" t="s">
        <v>1701</v>
      </c>
      <c r="C1493" s="197">
        <v>769</v>
      </c>
      <c r="D1493" s="147"/>
      <c r="E1493" s="148"/>
      <c r="F1493" s="148"/>
    </row>
    <row r="1494" spans="2:6" x14ac:dyDescent="0.2">
      <c r="B1494" s="115" t="s">
        <v>1700</v>
      </c>
      <c r="C1494" s="114">
        <v>1547</v>
      </c>
      <c r="D1494" s="147"/>
      <c r="E1494" s="148"/>
      <c r="F1494" s="148"/>
    </row>
    <row r="1495" spans="2:6" x14ac:dyDescent="0.2">
      <c r="B1495" s="115" t="s">
        <v>1699</v>
      </c>
      <c r="C1495" s="114">
        <v>11654</v>
      </c>
      <c r="D1495" s="147"/>
      <c r="E1495" s="148"/>
      <c r="F1495" s="148"/>
    </row>
    <row r="1496" spans="2:6" x14ac:dyDescent="0.2">
      <c r="B1496" s="115" t="s">
        <v>1698</v>
      </c>
      <c r="C1496" s="114">
        <v>313</v>
      </c>
      <c r="D1496" s="147"/>
      <c r="E1496" s="148"/>
      <c r="F1496" s="148"/>
    </row>
    <row r="1497" spans="2:6" x14ac:dyDescent="0.2">
      <c r="B1497" s="198" t="s">
        <v>1697</v>
      </c>
      <c r="C1497" s="197">
        <v>214</v>
      </c>
      <c r="D1497" s="147"/>
      <c r="E1497" s="148"/>
      <c r="F1497" s="148"/>
    </row>
    <row r="1498" spans="2:6" x14ac:dyDescent="0.2">
      <c r="B1498" s="115" t="s">
        <v>1696</v>
      </c>
      <c r="C1498" s="114">
        <v>542</v>
      </c>
      <c r="D1498" s="147"/>
      <c r="E1498" s="148"/>
      <c r="F1498" s="148"/>
    </row>
    <row r="1499" spans="2:6" x14ac:dyDescent="0.2">
      <c r="B1499" s="115" t="s">
        <v>1695</v>
      </c>
      <c r="C1499" s="114">
        <v>489</v>
      </c>
      <c r="D1499" s="147"/>
      <c r="E1499" s="148"/>
      <c r="F1499" s="148"/>
    </row>
    <row r="1500" spans="2:6" x14ac:dyDescent="0.2">
      <c r="B1500" s="115" t="s">
        <v>1694</v>
      </c>
      <c r="C1500" s="114">
        <v>1149</v>
      </c>
      <c r="D1500" s="147"/>
      <c r="E1500" s="148"/>
      <c r="F1500" s="148"/>
    </row>
    <row r="1501" spans="2:6" x14ac:dyDescent="0.2">
      <c r="B1501" s="198" t="s">
        <v>1693</v>
      </c>
      <c r="C1501" s="197">
        <v>1510</v>
      </c>
      <c r="D1501" s="147"/>
      <c r="E1501" s="148"/>
      <c r="F1501" s="148"/>
    </row>
    <row r="1502" spans="2:6" x14ac:dyDescent="0.2">
      <c r="B1502" s="198" t="s">
        <v>1692</v>
      </c>
      <c r="C1502" s="197">
        <v>648</v>
      </c>
      <c r="D1502" s="147"/>
      <c r="E1502" s="148"/>
      <c r="F1502" s="148"/>
    </row>
    <row r="1503" spans="2:6" x14ac:dyDescent="0.2">
      <c r="B1503" s="115" t="s">
        <v>1691</v>
      </c>
      <c r="C1503" s="114">
        <v>1360</v>
      </c>
      <c r="D1503" s="147"/>
      <c r="E1503" s="148"/>
      <c r="F1503" s="148"/>
    </row>
    <row r="1504" spans="2:6" x14ac:dyDescent="0.2">
      <c r="B1504" s="115" t="s">
        <v>1690</v>
      </c>
      <c r="C1504" s="114">
        <v>311</v>
      </c>
      <c r="D1504" s="147"/>
      <c r="E1504" s="148"/>
      <c r="F1504" s="148"/>
    </row>
    <row r="1505" spans="2:6" x14ac:dyDescent="0.2">
      <c r="B1505" s="115" t="s">
        <v>1689</v>
      </c>
      <c r="C1505" s="114">
        <v>300</v>
      </c>
      <c r="D1505" s="147"/>
      <c r="E1505" s="148"/>
      <c r="F1505" s="148"/>
    </row>
    <row r="1506" spans="2:6" x14ac:dyDescent="0.2">
      <c r="B1506" s="115" t="s">
        <v>1688</v>
      </c>
      <c r="C1506" s="114">
        <v>309</v>
      </c>
      <c r="D1506" s="147"/>
      <c r="E1506" s="148"/>
      <c r="F1506" s="148"/>
    </row>
    <row r="1507" spans="2:6" x14ac:dyDescent="0.2">
      <c r="B1507" s="115" t="s">
        <v>1687</v>
      </c>
      <c r="C1507" s="114">
        <v>442</v>
      </c>
      <c r="D1507" s="147"/>
      <c r="E1507" s="148"/>
      <c r="F1507" s="148"/>
    </row>
    <row r="1508" spans="2:6" x14ac:dyDescent="0.2">
      <c r="B1508" s="115" t="s">
        <v>1686</v>
      </c>
      <c r="C1508" s="114">
        <v>3613</v>
      </c>
      <c r="D1508" s="147"/>
      <c r="E1508" s="148"/>
      <c r="F1508" s="148"/>
    </row>
    <row r="1509" spans="2:6" x14ac:dyDescent="0.2">
      <c r="B1509" s="198" t="s">
        <v>1685</v>
      </c>
      <c r="C1509" s="197">
        <v>1367</v>
      </c>
      <c r="D1509" s="147"/>
      <c r="E1509" s="148"/>
      <c r="F1509" s="148"/>
    </row>
    <row r="1510" spans="2:6" x14ac:dyDescent="0.2">
      <c r="B1510" s="115" t="s">
        <v>1684</v>
      </c>
      <c r="C1510" s="114">
        <v>2267</v>
      </c>
      <c r="D1510" s="147"/>
      <c r="E1510" s="148"/>
      <c r="F1510" s="148"/>
    </row>
    <row r="1511" spans="2:6" x14ac:dyDescent="0.2">
      <c r="B1511" s="115" t="s">
        <v>1683</v>
      </c>
      <c r="C1511" s="114">
        <v>1308</v>
      </c>
      <c r="D1511" s="147"/>
      <c r="E1511" s="148"/>
      <c r="F1511" s="148"/>
    </row>
    <row r="1512" spans="2:6" x14ac:dyDescent="0.2">
      <c r="B1512" s="198" t="s">
        <v>1682</v>
      </c>
      <c r="C1512" s="197">
        <v>670</v>
      </c>
      <c r="D1512" s="147"/>
      <c r="E1512" s="148"/>
      <c r="F1512" s="148"/>
    </row>
    <row r="1513" spans="2:6" x14ac:dyDescent="0.2">
      <c r="B1513" s="198" t="s">
        <v>1681</v>
      </c>
      <c r="C1513" s="197">
        <v>530</v>
      </c>
      <c r="D1513" s="147"/>
      <c r="E1513" s="148"/>
      <c r="F1513" s="148"/>
    </row>
    <row r="1514" spans="2:6" x14ac:dyDescent="0.2">
      <c r="B1514" s="115" t="s">
        <v>1680</v>
      </c>
      <c r="C1514" s="114">
        <v>2035</v>
      </c>
      <c r="D1514" s="147"/>
      <c r="E1514" s="148"/>
      <c r="F1514" s="148"/>
    </row>
    <row r="1515" spans="2:6" x14ac:dyDescent="0.2">
      <c r="B1515" s="115" t="s">
        <v>1679</v>
      </c>
      <c r="C1515" s="114">
        <v>6823</v>
      </c>
      <c r="D1515" s="147"/>
      <c r="E1515" s="148"/>
      <c r="F1515" s="148"/>
    </row>
    <row r="1516" spans="2:6" x14ac:dyDescent="0.2">
      <c r="B1516" s="115" t="s">
        <v>1678</v>
      </c>
      <c r="C1516" s="114">
        <v>4851</v>
      </c>
      <c r="D1516" s="147"/>
      <c r="E1516" s="148"/>
      <c r="F1516" s="148"/>
    </row>
    <row r="1517" spans="2:6" x14ac:dyDescent="0.2">
      <c r="B1517" s="115" t="s">
        <v>1677</v>
      </c>
      <c r="C1517" s="114">
        <v>796</v>
      </c>
      <c r="D1517" s="147"/>
      <c r="E1517" s="148"/>
      <c r="F1517" s="148"/>
    </row>
    <row r="1518" spans="2:6" x14ac:dyDescent="0.2">
      <c r="B1518" s="115" t="s">
        <v>1676</v>
      </c>
      <c r="C1518" s="114">
        <v>1732</v>
      </c>
      <c r="D1518" s="147"/>
      <c r="E1518" s="148"/>
      <c r="F1518" s="148"/>
    </row>
    <row r="1519" spans="2:6" x14ac:dyDescent="0.2">
      <c r="B1519" s="115" t="s">
        <v>1675</v>
      </c>
      <c r="C1519" s="114">
        <v>7052</v>
      </c>
      <c r="D1519" s="147"/>
      <c r="E1519" s="148"/>
      <c r="F1519" s="148"/>
    </row>
    <row r="1520" spans="2:6" x14ac:dyDescent="0.2">
      <c r="B1520" s="198" t="s">
        <v>1674</v>
      </c>
      <c r="C1520" s="197">
        <v>7987</v>
      </c>
      <c r="D1520" s="147"/>
      <c r="E1520" s="148"/>
      <c r="F1520" s="148"/>
    </row>
    <row r="1521" spans="2:6" x14ac:dyDescent="0.2">
      <c r="B1521" s="115" t="s">
        <v>1673</v>
      </c>
      <c r="C1521" s="114">
        <v>1482</v>
      </c>
      <c r="D1521" s="147"/>
      <c r="E1521" s="148"/>
      <c r="F1521" s="148"/>
    </row>
    <row r="1522" spans="2:6" x14ac:dyDescent="0.2">
      <c r="B1522" s="198" t="s">
        <v>1672</v>
      </c>
      <c r="C1522" s="197">
        <v>406</v>
      </c>
      <c r="D1522" s="147"/>
      <c r="E1522" s="148"/>
      <c r="F1522" s="148"/>
    </row>
    <row r="1523" spans="2:6" x14ac:dyDescent="0.2">
      <c r="B1523" s="198" t="s">
        <v>1671</v>
      </c>
      <c r="C1523" s="197">
        <v>159</v>
      </c>
      <c r="D1523" s="147"/>
      <c r="E1523" s="148"/>
      <c r="F1523" s="148"/>
    </row>
    <row r="1524" spans="2:6" x14ac:dyDescent="0.2">
      <c r="B1524" s="198" t="s">
        <v>1670</v>
      </c>
      <c r="C1524" s="197">
        <v>965</v>
      </c>
      <c r="D1524" s="147"/>
      <c r="E1524" s="148"/>
      <c r="F1524" s="148"/>
    </row>
    <row r="1525" spans="2:6" x14ac:dyDescent="0.2">
      <c r="B1525" s="115" t="s">
        <v>1669</v>
      </c>
      <c r="C1525" s="114">
        <v>1433</v>
      </c>
      <c r="D1525" s="147"/>
      <c r="E1525" s="148"/>
      <c r="F1525" s="148"/>
    </row>
    <row r="1526" spans="2:6" x14ac:dyDescent="0.2">
      <c r="B1526" s="198" t="s">
        <v>1668</v>
      </c>
      <c r="C1526" s="197">
        <v>454</v>
      </c>
      <c r="D1526" s="147"/>
      <c r="E1526" s="148"/>
      <c r="F1526" s="148"/>
    </row>
    <row r="1527" spans="2:6" x14ac:dyDescent="0.2">
      <c r="B1527" s="115" t="s">
        <v>1667</v>
      </c>
      <c r="C1527" s="114">
        <v>1213</v>
      </c>
      <c r="D1527" s="147"/>
      <c r="E1527" s="148"/>
      <c r="F1527" s="148"/>
    </row>
    <row r="1528" spans="2:6" x14ac:dyDescent="0.2">
      <c r="B1528" s="115" t="s">
        <v>1666</v>
      </c>
      <c r="C1528" s="114">
        <v>86</v>
      </c>
      <c r="D1528" s="147"/>
      <c r="E1528" s="148"/>
      <c r="F1528" s="148"/>
    </row>
    <row r="1529" spans="2:6" x14ac:dyDescent="0.2">
      <c r="B1529" s="115" t="s">
        <v>1665</v>
      </c>
      <c r="C1529" s="114">
        <v>1432</v>
      </c>
      <c r="D1529" s="147"/>
      <c r="E1529" s="148"/>
      <c r="F1529" s="148"/>
    </row>
    <row r="1530" spans="2:6" x14ac:dyDescent="0.2">
      <c r="B1530" s="115" t="s">
        <v>1664</v>
      </c>
      <c r="C1530" s="114">
        <v>63</v>
      </c>
      <c r="D1530" s="147"/>
      <c r="E1530" s="148"/>
      <c r="F1530" s="148"/>
    </row>
    <row r="1531" spans="2:6" x14ac:dyDescent="0.2">
      <c r="B1531" s="198" t="s">
        <v>1663</v>
      </c>
      <c r="C1531" s="197">
        <v>750</v>
      </c>
      <c r="D1531" s="147"/>
      <c r="E1531" s="148"/>
      <c r="F1531" s="148"/>
    </row>
    <row r="1532" spans="2:6" x14ac:dyDescent="0.2">
      <c r="B1532" s="198" t="s">
        <v>1662</v>
      </c>
      <c r="C1532" s="197">
        <v>502</v>
      </c>
      <c r="D1532" s="147"/>
      <c r="E1532" s="148"/>
      <c r="F1532" s="148"/>
    </row>
    <row r="1533" spans="2:6" x14ac:dyDescent="0.2">
      <c r="B1533" s="115" t="s">
        <v>1661</v>
      </c>
      <c r="C1533" s="114">
        <v>4851</v>
      </c>
      <c r="D1533" s="147"/>
      <c r="E1533" s="148"/>
      <c r="F1533" s="148"/>
    </row>
    <row r="1534" spans="2:6" x14ac:dyDescent="0.2">
      <c r="B1534" s="115" t="s">
        <v>1660</v>
      </c>
      <c r="C1534" s="114">
        <v>1706</v>
      </c>
      <c r="D1534" s="147"/>
      <c r="E1534" s="148"/>
      <c r="F1534" s="148"/>
    </row>
    <row r="1535" spans="2:6" x14ac:dyDescent="0.2">
      <c r="B1535" s="198" t="s">
        <v>1659</v>
      </c>
      <c r="C1535" s="197">
        <v>262</v>
      </c>
      <c r="D1535" s="147"/>
      <c r="E1535" s="148"/>
      <c r="F1535" s="148"/>
    </row>
    <row r="1536" spans="2:6" x14ac:dyDescent="0.2">
      <c r="B1536" s="115" t="s">
        <v>1658</v>
      </c>
      <c r="C1536" s="114">
        <v>525</v>
      </c>
      <c r="D1536" s="147"/>
      <c r="E1536" s="148"/>
      <c r="F1536" s="148"/>
    </row>
    <row r="1537" spans="2:6" x14ac:dyDescent="0.2">
      <c r="B1537" s="198" t="s">
        <v>1657</v>
      </c>
      <c r="C1537" s="197">
        <v>1712</v>
      </c>
      <c r="D1537" s="147"/>
      <c r="E1537" s="148"/>
      <c r="F1537" s="148"/>
    </row>
    <row r="1538" spans="2:6" x14ac:dyDescent="0.2">
      <c r="B1538" s="115" t="s">
        <v>1656</v>
      </c>
      <c r="C1538" s="114">
        <v>263</v>
      </c>
      <c r="D1538" s="147"/>
      <c r="E1538" s="148"/>
      <c r="F1538" s="148"/>
    </row>
    <row r="1539" spans="2:6" x14ac:dyDescent="0.2">
      <c r="B1539" s="115" t="s">
        <v>1655</v>
      </c>
      <c r="C1539" s="114">
        <v>1879</v>
      </c>
      <c r="D1539" s="147"/>
      <c r="E1539" s="148"/>
      <c r="F1539" s="148"/>
    </row>
    <row r="1540" spans="2:6" x14ac:dyDescent="0.2">
      <c r="B1540" s="115" t="s">
        <v>1654</v>
      </c>
      <c r="C1540" s="114">
        <v>11662</v>
      </c>
      <c r="D1540" s="147"/>
      <c r="E1540" s="148"/>
      <c r="F1540" s="148"/>
    </row>
    <row r="1541" spans="2:6" x14ac:dyDescent="0.2">
      <c r="B1541" s="198" t="s">
        <v>1653</v>
      </c>
      <c r="C1541" s="197">
        <v>641</v>
      </c>
      <c r="D1541" s="147"/>
      <c r="E1541" s="148"/>
      <c r="F1541" s="148"/>
    </row>
    <row r="1542" spans="2:6" x14ac:dyDescent="0.2">
      <c r="B1542" s="198" t="s">
        <v>1652</v>
      </c>
      <c r="C1542" s="197">
        <v>427</v>
      </c>
      <c r="D1542" s="147"/>
      <c r="E1542" s="148"/>
      <c r="F1542" s="148"/>
    </row>
    <row r="1543" spans="2:6" x14ac:dyDescent="0.2">
      <c r="B1543" s="115" t="s">
        <v>1651</v>
      </c>
      <c r="C1543" s="114">
        <v>4886</v>
      </c>
      <c r="D1543" s="147"/>
      <c r="E1543" s="148"/>
      <c r="F1543" s="148"/>
    </row>
    <row r="1544" spans="2:6" x14ac:dyDescent="0.2">
      <c r="B1544" s="198" t="s">
        <v>1650</v>
      </c>
      <c r="C1544" s="197">
        <v>487</v>
      </c>
      <c r="D1544" s="147"/>
      <c r="E1544" s="148"/>
      <c r="F1544" s="148"/>
    </row>
    <row r="1545" spans="2:6" x14ac:dyDescent="0.2">
      <c r="B1545" s="115" t="s">
        <v>1649</v>
      </c>
      <c r="C1545" s="114">
        <v>2181</v>
      </c>
      <c r="D1545" s="147"/>
      <c r="E1545" s="148"/>
      <c r="F1545" s="148"/>
    </row>
    <row r="1546" spans="2:6" x14ac:dyDescent="0.2">
      <c r="B1546" s="198" t="s">
        <v>1648</v>
      </c>
      <c r="C1546" s="197">
        <v>145</v>
      </c>
      <c r="D1546" s="147"/>
      <c r="E1546" s="148"/>
      <c r="F1546" s="148"/>
    </row>
    <row r="1547" spans="2:6" x14ac:dyDescent="0.2">
      <c r="B1547" s="198" t="s">
        <v>1647</v>
      </c>
      <c r="C1547" s="197">
        <v>158</v>
      </c>
      <c r="D1547" s="147"/>
      <c r="E1547" s="148"/>
      <c r="F1547" s="148"/>
    </row>
    <row r="1548" spans="2:6" x14ac:dyDescent="0.2">
      <c r="B1548" s="115" t="s">
        <v>1646</v>
      </c>
      <c r="C1548" s="114">
        <v>774</v>
      </c>
      <c r="D1548" s="147"/>
      <c r="E1548" s="148"/>
      <c r="F1548" s="148"/>
    </row>
    <row r="1549" spans="2:6" x14ac:dyDescent="0.2">
      <c r="B1549" s="198" t="s">
        <v>1645</v>
      </c>
      <c r="C1549" s="197">
        <v>47</v>
      </c>
      <c r="D1549" s="147"/>
      <c r="E1549" s="148"/>
      <c r="F1549" s="148"/>
    </row>
    <row r="1550" spans="2:6" x14ac:dyDescent="0.2">
      <c r="B1550" s="198" t="s">
        <v>1644</v>
      </c>
      <c r="C1550" s="197">
        <v>1295</v>
      </c>
      <c r="D1550" s="147"/>
      <c r="E1550" s="148"/>
      <c r="F1550" s="148"/>
    </row>
    <row r="1551" spans="2:6" x14ac:dyDescent="0.2">
      <c r="B1551" s="198" t="s">
        <v>1643</v>
      </c>
      <c r="C1551" s="197">
        <v>515</v>
      </c>
      <c r="D1551" s="147"/>
      <c r="E1551" s="148"/>
      <c r="F1551" s="148"/>
    </row>
    <row r="1552" spans="2:6" x14ac:dyDescent="0.2">
      <c r="B1552" s="115" t="s">
        <v>1642</v>
      </c>
      <c r="C1552" s="114">
        <v>4053</v>
      </c>
      <c r="D1552" s="147"/>
      <c r="E1552" s="148"/>
      <c r="F1552" s="148"/>
    </row>
    <row r="1553" spans="2:6" x14ac:dyDescent="0.2">
      <c r="B1553" s="115" t="s">
        <v>1641</v>
      </c>
      <c r="C1553" s="114">
        <v>1761</v>
      </c>
      <c r="D1553" s="147"/>
      <c r="E1553" s="148"/>
      <c r="F1553" s="148"/>
    </row>
    <row r="1554" spans="2:6" x14ac:dyDescent="0.2">
      <c r="B1554" s="115" t="s">
        <v>1640</v>
      </c>
      <c r="C1554" s="114">
        <v>3283</v>
      </c>
      <c r="D1554" s="147"/>
      <c r="E1554" s="148"/>
      <c r="F1554" s="148"/>
    </row>
    <row r="1555" spans="2:6" x14ac:dyDescent="0.2">
      <c r="B1555" s="198" t="s">
        <v>1639</v>
      </c>
      <c r="C1555" s="197">
        <v>429</v>
      </c>
      <c r="D1555" s="147"/>
      <c r="E1555" s="148"/>
      <c r="F1555" s="148"/>
    </row>
    <row r="1556" spans="2:6" x14ac:dyDescent="0.2">
      <c r="B1556" s="115" t="s">
        <v>1638</v>
      </c>
      <c r="C1556" s="114">
        <v>1366</v>
      </c>
      <c r="D1556" s="147"/>
      <c r="E1556" s="148"/>
      <c r="F1556" s="148"/>
    </row>
    <row r="1557" spans="2:6" x14ac:dyDescent="0.2">
      <c r="B1557" s="198" t="s">
        <v>1637</v>
      </c>
      <c r="C1557" s="197">
        <v>444</v>
      </c>
      <c r="D1557" s="147"/>
      <c r="E1557" s="148"/>
      <c r="F1557" s="148"/>
    </row>
    <row r="1558" spans="2:6" x14ac:dyDescent="0.2">
      <c r="B1558" s="198" t="s">
        <v>1636</v>
      </c>
      <c r="C1558" s="197">
        <v>237</v>
      </c>
      <c r="D1558" s="147"/>
      <c r="E1558" s="148"/>
      <c r="F1558" s="148"/>
    </row>
    <row r="1559" spans="2:6" x14ac:dyDescent="0.2">
      <c r="B1559" s="198" t="s">
        <v>1635</v>
      </c>
      <c r="C1559" s="197">
        <v>30</v>
      </c>
      <c r="D1559" s="147"/>
      <c r="E1559" s="148"/>
      <c r="F1559" s="148"/>
    </row>
    <row r="1560" spans="2:6" x14ac:dyDescent="0.2">
      <c r="B1560" s="198" t="s">
        <v>1634</v>
      </c>
      <c r="C1560" s="197">
        <v>43</v>
      </c>
      <c r="D1560" s="147"/>
      <c r="E1560" s="148"/>
      <c r="F1560" s="148"/>
    </row>
    <row r="1561" spans="2:6" x14ac:dyDescent="0.2">
      <c r="B1561" s="198" t="s">
        <v>1633</v>
      </c>
      <c r="C1561" s="197">
        <v>456</v>
      </c>
      <c r="D1561" s="147"/>
      <c r="E1561" s="148"/>
      <c r="F1561" s="148"/>
    </row>
    <row r="1562" spans="2:6" x14ac:dyDescent="0.2">
      <c r="B1562" s="115" t="s">
        <v>1632</v>
      </c>
      <c r="C1562" s="114">
        <v>2837</v>
      </c>
      <c r="D1562" s="147"/>
      <c r="E1562" s="148"/>
      <c r="F1562" s="148"/>
    </row>
    <row r="1563" spans="2:6" x14ac:dyDescent="0.2">
      <c r="B1563" s="198" t="s">
        <v>1631</v>
      </c>
      <c r="C1563" s="197">
        <v>6820</v>
      </c>
      <c r="D1563" s="147"/>
      <c r="E1563" s="148"/>
      <c r="F1563" s="148"/>
    </row>
    <row r="1564" spans="2:6" x14ac:dyDescent="0.2">
      <c r="B1564" s="115" t="s">
        <v>1630</v>
      </c>
      <c r="C1564" s="114">
        <v>3016</v>
      </c>
      <c r="D1564" s="147"/>
      <c r="E1564" s="148"/>
      <c r="F1564" s="148"/>
    </row>
    <row r="1565" spans="2:6" x14ac:dyDescent="0.2">
      <c r="B1565" s="115" t="s">
        <v>1629</v>
      </c>
      <c r="C1565" s="114">
        <v>298</v>
      </c>
      <c r="D1565" s="147"/>
      <c r="E1565" s="148"/>
      <c r="F1565" s="148"/>
    </row>
    <row r="1566" spans="2:6" x14ac:dyDescent="0.2">
      <c r="B1566" s="198" t="s">
        <v>1628</v>
      </c>
      <c r="C1566" s="197">
        <v>945</v>
      </c>
      <c r="D1566" s="147"/>
      <c r="E1566" s="148"/>
      <c r="F1566" s="148"/>
    </row>
    <row r="1567" spans="2:6" x14ac:dyDescent="0.2">
      <c r="B1567" s="115" t="s">
        <v>1627</v>
      </c>
      <c r="C1567" s="114">
        <v>1034</v>
      </c>
      <c r="D1567" s="147"/>
      <c r="E1567" s="148"/>
      <c r="F1567" s="148"/>
    </row>
    <row r="1568" spans="2:6" x14ac:dyDescent="0.2">
      <c r="B1568" s="198" t="s">
        <v>1626</v>
      </c>
      <c r="C1568" s="197">
        <v>6748</v>
      </c>
      <c r="D1568" s="147"/>
      <c r="E1568" s="148"/>
      <c r="F1568" s="148"/>
    </row>
    <row r="1569" spans="2:6" x14ac:dyDescent="0.2">
      <c r="B1569" s="115" t="s">
        <v>1625</v>
      </c>
      <c r="C1569" s="114">
        <v>3677</v>
      </c>
      <c r="D1569" s="147"/>
      <c r="E1569" s="148"/>
      <c r="F1569" s="148"/>
    </row>
    <row r="1570" spans="2:6" x14ac:dyDescent="0.2">
      <c r="B1570" s="115" t="s">
        <v>1624</v>
      </c>
      <c r="C1570" s="114">
        <v>1034</v>
      </c>
      <c r="D1570" s="147"/>
      <c r="E1570" s="148"/>
      <c r="F1570" s="148"/>
    </row>
    <row r="1571" spans="2:6" x14ac:dyDescent="0.2">
      <c r="B1571" s="198" t="s">
        <v>1623</v>
      </c>
      <c r="C1571" s="197">
        <v>2563</v>
      </c>
      <c r="D1571" s="147"/>
      <c r="E1571" s="148"/>
      <c r="F1571" s="148"/>
    </row>
    <row r="1572" spans="2:6" x14ac:dyDescent="0.2">
      <c r="B1572" s="115" t="s">
        <v>1622</v>
      </c>
      <c r="C1572" s="114">
        <v>2662</v>
      </c>
      <c r="D1572" s="147"/>
      <c r="E1572" s="148"/>
      <c r="F1572" s="148"/>
    </row>
    <row r="1573" spans="2:6" x14ac:dyDescent="0.2">
      <c r="B1573" s="198" t="s">
        <v>1621</v>
      </c>
      <c r="C1573" s="197">
        <v>28</v>
      </c>
      <c r="D1573" s="147"/>
      <c r="E1573" s="148"/>
      <c r="F1573" s="148"/>
    </row>
    <row r="1574" spans="2:6" x14ac:dyDescent="0.2">
      <c r="B1574" s="198" t="s">
        <v>1620</v>
      </c>
      <c r="C1574" s="197">
        <v>200</v>
      </c>
      <c r="D1574" s="147"/>
      <c r="E1574" s="148"/>
      <c r="F1574" s="148"/>
    </row>
    <row r="1575" spans="2:6" x14ac:dyDescent="0.2">
      <c r="B1575" s="115" t="s">
        <v>1619</v>
      </c>
      <c r="C1575" s="114">
        <v>356</v>
      </c>
      <c r="D1575" s="147"/>
      <c r="E1575" s="148"/>
      <c r="F1575" s="148"/>
    </row>
    <row r="1576" spans="2:6" x14ac:dyDescent="0.2">
      <c r="B1576" s="115" t="s">
        <v>1618</v>
      </c>
      <c r="C1576" s="114">
        <v>66</v>
      </c>
      <c r="D1576" s="147"/>
      <c r="E1576" s="148"/>
      <c r="F1576" s="148"/>
    </row>
    <row r="1577" spans="2:6" x14ac:dyDescent="0.2">
      <c r="B1577" s="198" t="s">
        <v>1617</v>
      </c>
      <c r="C1577" s="197">
        <v>840</v>
      </c>
      <c r="D1577" s="147"/>
      <c r="E1577" s="148"/>
      <c r="F1577" s="148"/>
    </row>
    <row r="1578" spans="2:6" x14ac:dyDescent="0.2">
      <c r="B1578" s="115" t="s">
        <v>1616</v>
      </c>
      <c r="C1578" s="114">
        <v>469</v>
      </c>
      <c r="D1578" s="147"/>
      <c r="E1578" s="148"/>
      <c r="F1578" s="148"/>
    </row>
    <row r="1579" spans="2:6" x14ac:dyDescent="0.2">
      <c r="B1579" s="198" t="s">
        <v>1615</v>
      </c>
      <c r="C1579" s="197">
        <v>175</v>
      </c>
      <c r="D1579" s="147"/>
      <c r="E1579" s="148"/>
      <c r="F1579" s="148"/>
    </row>
    <row r="1580" spans="2:6" x14ac:dyDescent="0.2">
      <c r="B1580" s="115" t="s">
        <v>1614</v>
      </c>
      <c r="C1580" s="114">
        <v>234</v>
      </c>
      <c r="D1580" s="147"/>
      <c r="E1580" s="148"/>
      <c r="F1580" s="148"/>
    </row>
    <row r="1581" spans="2:6" x14ac:dyDescent="0.2">
      <c r="B1581" s="198" t="s">
        <v>1613</v>
      </c>
      <c r="C1581" s="197">
        <v>341</v>
      </c>
      <c r="D1581" s="147"/>
      <c r="E1581" s="148"/>
      <c r="F1581" s="148"/>
    </row>
    <row r="1582" spans="2:6" x14ac:dyDescent="0.2">
      <c r="B1582" s="115" t="s">
        <v>1612</v>
      </c>
      <c r="C1582" s="114">
        <v>2192</v>
      </c>
      <c r="D1582" s="147"/>
      <c r="E1582" s="148"/>
      <c r="F1582" s="148"/>
    </row>
    <row r="1583" spans="2:6" x14ac:dyDescent="0.2">
      <c r="B1583" s="198" t="s">
        <v>1611</v>
      </c>
      <c r="C1583" s="197">
        <v>31</v>
      </c>
      <c r="D1583" s="147"/>
      <c r="E1583" s="148"/>
      <c r="F1583" s="148"/>
    </row>
    <row r="1584" spans="2:6" x14ac:dyDescent="0.2">
      <c r="B1584" s="198" t="s">
        <v>1610</v>
      </c>
      <c r="C1584" s="197">
        <v>746</v>
      </c>
      <c r="D1584" s="147"/>
      <c r="E1584" s="148"/>
      <c r="F1584" s="148"/>
    </row>
    <row r="1585" spans="2:6" x14ac:dyDescent="0.2">
      <c r="B1585" s="115" t="s">
        <v>1609</v>
      </c>
      <c r="C1585" s="114">
        <v>152</v>
      </c>
      <c r="D1585" s="147"/>
      <c r="E1585" s="148"/>
      <c r="F1585" s="148"/>
    </row>
    <row r="1586" spans="2:6" x14ac:dyDescent="0.2">
      <c r="B1586" s="198" t="s">
        <v>1608</v>
      </c>
      <c r="C1586" s="197">
        <v>479</v>
      </c>
      <c r="D1586" s="147"/>
      <c r="E1586" s="148"/>
      <c r="F1586" s="148"/>
    </row>
    <row r="1587" spans="2:6" x14ac:dyDescent="0.2">
      <c r="B1587" s="198" t="s">
        <v>1607</v>
      </c>
      <c r="C1587" s="197">
        <v>654</v>
      </c>
      <c r="D1587" s="147"/>
      <c r="E1587" s="148"/>
      <c r="F1587" s="148"/>
    </row>
    <row r="1588" spans="2:6" x14ac:dyDescent="0.2">
      <c r="B1588" s="115" t="s">
        <v>1606</v>
      </c>
      <c r="C1588" s="114">
        <v>294</v>
      </c>
      <c r="D1588" s="147"/>
      <c r="E1588" s="148"/>
      <c r="F1588" s="148"/>
    </row>
    <row r="1589" spans="2:6" x14ac:dyDescent="0.2">
      <c r="B1589" s="115" t="s">
        <v>1605</v>
      </c>
      <c r="C1589" s="114">
        <v>234</v>
      </c>
      <c r="D1589" s="147"/>
      <c r="E1589" s="148"/>
      <c r="F1589" s="148"/>
    </row>
    <row r="1590" spans="2:6" x14ac:dyDescent="0.2">
      <c r="B1590" s="115" t="s">
        <v>1604</v>
      </c>
      <c r="C1590" s="114">
        <v>544</v>
      </c>
      <c r="D1590" s="147"/>
      <c r="E1590" s="148"/>
      <c r="F1590" s="148"/>
    </row>
    <row r="1591" spans="2:6" x14ac:dyDescent="0.2">
      <c r="B1591" s="115" t="s">
        <v>1603</v>
      </c>
      <c r="C1591" s="114">
        <v>2768</v>
      </c>
      <c r="D1591" s="147"/>
      <c r="E1591" s="148"/>
      <c r="F1591" s="148"/>
    </row>
    <row r="1592" spans="2:6" x14ac:dyDescent="0.2">
      <c r="B1592" s="198" t="s">
        <v>1602</v>
      </c>
      <c r="C1592" s="197">
        <v>261</v>
      </c>
      <c r="D1592" s="147"/>
      <c r="E1592" s="148"/>
      <c r="F1592" s="148"/>
    </row>
    <row r="1593" spans="2:6" x14ac:dyDescent="0.2">
      <c r="B1593" s="115" t="s">
        <v>1601</v>
      </c>
      <c r="C1593" s="114">
        <v>1095</v>
      </c>
      <c r="D1593" s="147"/>
      <c r="E1593" s="148"/>
      <c r="F1593" s="148"/>
    </row>
    <row r="1594" spans="2:6" x14ac:dyDescent="0.2">
      <c r="B1594" s="115" t="s">
        <v>1600</v>
      </c>
      <c r="C1594" s="114">
        <v>1116</v>
      </c>
      <c r="D1594" s="147"/>
      <c r="E1594" s="148"/>
      <c r="F1594" s="148"/>
    </row>
    <row r="1595" spans="2:6" x14ac:dyDescent="0.2">
      <c r="B1595" s="198" t="s">
        <v>1599</v>
      </c>
      <c r="C1595" s="197">
        <v>1406</v>
      </c>
      <c r="D1595" s="147"/>
      <c r="E1595" s="148"/>
      <c r="F1595" s="148"/>
    </row>
    <row r="1596" spans="2:6" x14ac:dyDescent="0.2">
      <c r="B1596" s="198" t="s">
        <v>1598</v>
      </c>
      <c r="C1596" s="197">
        <v>5365</v>
      </c>
      <c r="D1596" s="147"/>
      <c r="E1596" s="148"/>
      <c r="F1596" s="148"/>
    </row>
    <row r="1597" spans="2:6" x14ac:dyDescent="0.2">
      <c r="B1597" s="115" t="s">
        <v>1597</v>
      </c>
      <c r="C1597" s="114">
        <v>1364</v>
      </c>
      <c r="D1597" s="147"/>
      <c r="E1597" s="148"/>
      <c r="F1597" s="148"/>
    </row>
    <row r="1598" spans="2:6" x14ac:dyDescent="0.2">
      <c r="B1598" s="115" t="s">
        <v>1596</v>
      </c>
      <c r="C1598" s="114">
        <v>423</v>
      </c>
      <c r="D1598" s="147"/>
      <c r="E1598" s="148"/>
      <c r="F1598" s="148"/>
    </row>
    <row r="1599" spans="2:6" x14ac:dyDescent="0.2">
      <c r="B1599" s="198" t="s">
        <v>1595</v>
      </c>
      <c r="C1599" s="197">
        <v>556</v>
      </c>
      <c r="D1599" s="147"/>
      <c r="E1599" s="148"/>
      <c r="F1599" s="148"/>
    </row>
    <row r="1600" spans="2:6" x14ac:dyDescent="0.2">
      <c r="B1600" s="115" t="s">
        <v>1594</v>
      </c>
      <c r="C1600" s="114">
        <v>1410</v>
      </c>
      <c r="D1600" s="147"/>
      <c r="E1600" s="148"/>
      <c r="F1600" s="148"/>
    </row>
    <row r="1601" spans="2:6" x14ac:dyDescent="0.2">
      <c r="B1601" s="198" t="s">
        <v>1593</v>
      </c>
      <c r="C1601" s="197">
        <v>704</v>
      </c>
      <c r="D1601" s="147"/>
      <c r="E1601" s="148"/>
      <c r="F1601" s="148"/>
    </row>
    <row r="1602" spans="2:6" x14ac:dyDescent="0.2">
      <c r="B1602" s="115" t="s">
        <v>1592</v>
      </c>
      <c r="C1602" s="114">
        <v>1067</v>
      </c>
      <c r="D1602" s="147"/>
      <c r="E1602" s="148"/>
      <c r="F1602" s="148"/>
    </row>
    <row r="1603" spans="2:6" x14ac:dyDescent="0.2">
      <c r="B1603" s="198" t="s">
        <v>1591</v>
      </c>
      <c r="C1603" s="197">
        <v>206</v>
      </c>
      <c r="D1603" s="147"/>
      <c r="E1603" s="148"/>
      <c r="F1603" s="148"/>
    </row>
    <row r="1604" spans="2:6" x14ac:dyDescent="0.2">
      <c r="B1604" s="198" t="s">
        <v>1590</v>
      </c>
      <c r="C1604" s="197">
        <v>198</v>
      </c>
      <c r="D1604" s="147"/>
      <c r="E1604" s="148"/>
      <c r="F1604" s="148"/>
    </row>
    <row r="1605" spans="2:6" x14ac:dyDescent="0.2">
      <c r="B1605" s="115" t="s">
        <v>1589</v>
      </c>
      <c r="C1605" s="114">
        <v>1774</v>
      </c>
      <c r="D1605" s="147"/>
      <c r="E1605" s="148"/>
      <c r="F1605" s="148"/>
    </row>
    <row r="1606" spans="2:6" x14ac:dyDescent="0.2">
      <c r="B1606" s="115" t="s">
        <v>1588</v>
      </c>
      <c r="C1606" s="114">
        <v>2509</v>
      </c>
      <c r="D1606" s="147"/>
      <c r="E1606" s="148"/>
      <c r="F1606" s="148"/>
    </row>
    <row r="1607" spans="2:6" x14ac:dyDescent="0.2">
      <c r="B1607" s="198" t="s">
        <v>1587</v>
      </c>
      <c r="C1607" s="197">
        <v>1762</v>
      </c>
      <c r="D1607" s="147"/>
      <c r="E1607" s="148"/>
      <c r="F1607" s="148"/>
    </row>
    <row r="1608" spans="2:6" x14ac:dyDescent="0.2">
      <c r="B1608" s="115" t="s">
        <v>1586</v>
      </c>
      <c r="C1608" s="114">
        <v>133</v>
      </c>
      <c r="D1608" s="147"/>
      <c r="E1608" s="148"/>
      <c r="F1608" s="148"/>
    </row>
    <row r="1609" spans="2:6" x14ac:dyDescent="0.2">
      <c r="B1609" s="198" t="s">
        <v>1585</v>
      </c>
      <c r="C1609" s="197">
        <v>12303</v>
      </c>
      <c r="D1609" s="147"/>
      <c r="E1609" s="148"/>
      <c r="F1609" s="148"/>
    </row>
    <row r="1610" spans="2:6" x14ac:dyDescent="0.2">
      <c r="B1610" s="115" t="s">
        <v>1584</v>
      </c>
      <c r="C1610" s="114">
        <v>2135</v>
      </c>
      <c r="D1610" s="147"/>
      <c r="E1610" s="148"/>
      <c r="F1610" s="148"/>
    </row>
    <row r="1611" spans="2:6" x14ac:dyDescent="0.2">
      <c r="B1611" s="115" t="s">
        <v>1583</v>
      </c>
      <c r="C1611" s="114">
        <v>281</v>
      </c>
      <c r="D1611" s="147"/>
      <c r="E1611" s="148"/>
      <c r="F1611" s="148"/>
    </row>
    <row r="1612" spans="2:6" x14ac:dyDescent="0.2">
      <c r="B1612" s="198" t="s">
        <v>1582</v>
      </c>
      <c r="C1612" s="197">
        <v>837</v>
      </c>
      <c r="D1612" s="147"/>
      <c r="E1612" s="148"/>
      <c r="F1612" s="148"/>
    </row>
    <row r="1613" spans="2:6" x14ac:dyDescent="0.2">
      <c r="B1613" s="115" t="s">
        <v>1581</v>
      </c>
      <c r="C1613" s="114">
        <v>1666</v>
      </c>
      <c r="D1613" s="147"/>
      <c r="E1613" s="148"/>
      <c r="F1613" s="148"/>
    </row>
    <row r="1614" spans="2:6" x14ac:dyDescent="0.2">
      <c r="B1614" s="115" t="s">
        <v>1580</v>
      </c>
      <c r="C1614" s="114">
        <v>735</v>
      </c>
      <c r="D1614" s="147"/>
      <c r="E1614" s="148"/>
      <c r="F1614" s="148"/>
    </row>
    <row r="1615" spans="2:6" x14ac:dyDescent="0.2">
      <c r="B1615" s="198" t="s">
        <v>1579</v>
      </c>
      <c r="C1615" s="197">
        <v>1757</v>
      </c>
      <c r="D1615" s="147"/>
      <c r="E1615" s="148"/>
      <c r="F1615" s="148"/>
    </row>
    <row r="1616" spans="2:6" x14ac:dyDescent="0.2">
      <c r="B1616" s="115" t="s">
        <v>1578</v>
      </c>
      <c r="C1616" s="114">
        <v>895</v>
      </c>
      <c r="D1616" s="147"/>
      <c r="E1616" s="148"/>
      <c r="F1616" s="148"/>
    </row>
    <row r="1617" spans="2:6" x14ac:dyDescent="0.2">
      <c r="B1617" s="198" t="s">
        <v>1577</v>
      </c>
      <c r="C1617" s="197">
        <v>1229</v>
      </c>
      <c r="D1617" s="147"/>
      <c r="E1617" s="148"/>
      <c r="F1617" s="148"/>
    </row>
    <row r="1618" spans="2:6" x14ac:dyDescent="0.2">
      <c r="B1618" s="198" t="s">
        <v>1576</v>
      </c>
      <c r="C1618" s="197">
        <v>161</v>
      </c>
      <c r="D1618" s="147"/>
      <c r="E1618" s="148"/>
      <c r="F1618" s="148"/>
    </row>
    <row r="1619" spans="2:6" x14ac:dyDescent="0.2">
      <c r="B1619" s="115" t="s">
        <v>1575</v>
      </c>
      <c r="C1619" s="114">
        <v>656</v>
      </c>
      <c r="D1619" s="147"/>
      <c r="E1619" s="148"/>
      <c r="F1619" s="148"/>
    </row>
    <row r="1620" spans="2:6" x14ac:dyDescent="0.2">
      <c r="B1620" s="115" t="s">
        <v>1574</v>
      </c>
      <c r="C1620" s="114">
        <v>544</v>
      </c>
      <c r="D1620" s="147"/>
      <c r="E1620" s="148"/>
      <c r="F1620" s="148"/>
    </row>
    <row r="1621" spans="2:6" x14ac:dyDescent="0.2">
      <c r="B1621" s="115" t="s">
        <v>1573</v>
      </c>
      <c r="C1621" s="114">
        <v>38</v>
      </c>
      <c r="D1621" s="147"/>
      <c r="E1621" s="148"/>
      <c r="F1621" s="148"/>
    </row>
    <row r="1622" spans="2:6" x14ac:dyDescent="0.2">
      <c r="B1622" s="115" t="s">
        <v>1572</v>
      </c>
      <c r="C1622" s="114">
        <v>788</v>
      </c>
      <c r="D1622" s="147"/>
      <c r="E1622" s="148"/>
      <c r="F1622" s="148"/>
    </row>
    <row r="1623" spans="2:6" x14ac:dyDescent="0.2">
      <c r="B1623" s="198" t="s">
        <v>1571</v>
      </c>
      <c r="C1623" s="197">
        <v>464</v>
      </c>
      <c r="D1623" s="147"/>
      <c r="E1623" s="148"/>
      <c r="F1623" s="148"/>
    </row>
    <row r="1624" spans="2:6" x14ac:dyDescent="0.2">
      <c r="B1624" s="198" t="s">
        <v>1570</v>
      </c>
      <c r="C1624" s="197">
        <v>531</v>
      </c>
      <c r="D1624" s="147"/>
      <c r="E1624" s="148"/>
      <c r="F1624" s="148"/>
    </row>
    <row r="1625" spans="2:6" x14ac:dyDescent="0.2">
      <c r="B1625" s="198" t="s">
        <v>1569</v>
      </c>
      <c r="C1625" s="197">
        <v>717</v>
      </c>
      <c r="D1625" s="147"/>
      <c r="E1625" s="148"/>
      <c r="F1625" s="148"/>
    </row>
    <row r="1626" spans="2:6" x14ac:dyDescent="0.2">
      <c r="B1626" s="198" t="s">
        <v>1568</v>
      </c>
      <c r="C1626" s="197">
        <v>393</v>
      </c>
      <c r="D1626" s="147"/>
      <c r="E1626" s="148"/>
      <c r="F1626" s="148"/>
    </row>
    <row r="1627" spans="2:6" x14ac:dyDescent="0.2">
      <c r="B1627" s="198" t="s">
        <v>1567</v>
      </c>
      <c r="C1627" s="197">
        <v>1022</v>
      </c>
      <c r="D1627" s="147"/>
      <c r="E1627" s="148"/>
      <c r="F1627" s="148"/>
    </row>
    <row r="1628" spans="2:6" x14ac:dyDescent="0.2">
      <c r="B1628" s="115" t="s">
        <v>1566</v>
      </c>
      <c r="C1628" s="114">
        <v>739</v>
      </c>
      <c r="D1628" s="147"/>
      <c r="E1628" s="148"/>
      <c r="F1628" s="148"/>
    </row>
    <row r="1629" spans="2:6" x14ac:dyDescent="0.2">
      <c r="B1629" s="115" t="s">
        <v>1565</v>
      </c>
      <c r="C1629" s="114">
        <v>82</v>
      </c>
      <c r="D1629" s="147"/>
      <c r="E1629" s="148"/>
      <c r="F1629" s="148"/>
    </row>
    <row r="1630" spans="2:6" x14ac:dyDescent="0.2">
      <c r="B1630" s="115" t="s">
        <v>1564</v>
      </c>
      <c r="C1630" s="114">
        <v>304</v>
      </c>
      <c r="D1630" s="147"/>
      <c r="E1630" s="148"/>
      <c r="F1630" s="148"/>
    </row>
    <row r="1631" spans="2:6" x14ac:dyDescent="0.2">
      <c r="B1631" s="115" t="s">
        <v>1563</v>
      </c>
      <c r="C1631" s="114">
        <v>265</v>
      </c>
      <c r="D1631" s="147"/>
      <c r="E1631" s="148"/>
      <c r="F1631" s="148"/>
    </row>
    <row r="1632" spans="2:6" x14ac:dyDescent="0.2">
      <c r="B1632" s="198" t="s">
        <v>1562</v>
      </c>
      <c r="C1632" s="197">
        <v>1077</v>
      </c>
      <c r="D1632" s="147"/>
      <c r="E1632" s="148"/>
      <c r="F1632" s="148"/>
    </row>
    <row r="1633" spans="2:6" x14ac:dyDescent="0.2">
      <c r="B1633" s="115" t="s">
        <v>1561</v>
      </c>
      <c r="C1633" s="114">
        <v>1240</v>
      </c>
      <c r="D1633" s="147"/>
      <c r="E1633" s="148"/>
      <c r="F1633" s="148"/>
    </row>
    <row r="1634" spans="2:6" x14ac:dyDescent="0.2">
      <c r="B1634" s="198" t="s">
        <v>1560</v>
      </c>
      <c r="C1634" s="197">
        <v>271</v>
      </c>
      <c r="D1634" s="147"/>
      <c r="E1634" s="148"/>
      <c r="F1634" s="148"/>
    </row>
    <row r="1635" spans="2:6" x14ac:dyDescent="0.2">
      <c r="B1635" s="115" t="s">
        <v>1559</v>
      </c>
      <c r="C1635" s="114">
        <v>405</v>
      </c>
      <c r="D1635" s="147"/>
      <c r="E1635" s="148"/>
      <c r="F1635" s="148"/>
    </row>
    <row r="1636" spans="2:6" x14ac:dyDescent="0.2">
      <c r="B1636" s="198" t="s">
        <v>1558</v>
      </c>
      <c r="C1636" s="197">
        <v>946</v>
      </c>
      <c r="D1636" s="147"/>
      <c r="E1636" s="148"/>
      <c r="F1636" s="148"/>
    </row>
    <row r="1637" spans="2:6" x14ac:dyDescent="0.2">
      <c r="B1637" s="198" t="s">
        <v>1557</v>
      </c>
      <c r="C1637" s="197">
        <v>247</v>
      </c>
      <c r="D1637" s="147"/>
      <c r="E1637" s="148"/>
      <c r="F1637" s="148"/>
    </row>
    <row r="1638" spans="2:6" x14ac:dyDescent="0.2">
      <c r="B1638" s="198" t="s">
        <v>1556</v>
      </c>
      <c r="C1638" s="197">
        <v>410</v>
      </c>
      <c r="D1638" s="147"/>
      <c r="E1638" s="148"/>
      <c r="F1638" s="148"/>
    </row>
    <row r="1639" spans="2:6" x14ac:dyDescent="0.2">
      <c r="B1639" s="198" t="s">
        <v>1555</v>
      </c>
      <c r="C1639" s="197">
        <v>241</v>
      </c>
      <c r="D1639" s="147"/>
      <c r="E1639" s="148"/>
      <c r="F1639" s="148"/>
    </row>
    <row r="1640" spans="2:6" x14ac:dyDescent="0.2">
      <c r="B1640" s="198" t="s">
        <v>1554</v>
      </c>
      <c r="C1640" s="197">
        <v>198</v>
      </c>
      <c r="D1640" s="147"/>
      <c r="E1640" s="148"/>
      <c r="F1640" s="148"/>
    </row>
    <row r="1641" spans="2:6" x14ac:dyDescent="0.2">
      <c r="B1641" s="115" t="s">
        <v>1553</v>
      </c>
      <c r="C1641" s="114">
        <v>1697</v>
      </c>
      <c r="D1641" s="147"/>
      <c r="E1641" s="148"/>
      <c r="F1641" s="148"/>
    </row>
    <row r="1642" spans="2:6" x14ac:dyDescent="0.2">
      <c r="B1642" s="115" t="s">
        <v>1552</v>
      </c>
      <c r="C1642" s="114">
        <v>828</v>
      </c>
      <c r="D1642" s="147"/>
      <c r="E1642" s="148"/>
      <c r="F1642" s="148"/>
    </row>
    <row r="1643" spans="2:6" x14ac:dyDescent="0.2">
      <c r="B1643" s="115" t="s">
        <v>1551</v>
      </c>
      <c r="C1643" s="114">
        <v>1206</v>
      </c>
      <c r="D1643" s="147"/>
      <c r="E1643" s="148"/>
      <c r="F1643" s="148"/>
    </row>
    <row r="1644" spans="2:6" x14ac:dyDescent="0.2">
      <c r="B1644" s="198" t="s">
        <v>1550</v>
      </c>
      <c r="C1644" s="197">
        <v>733</v>
      </c>
      <c r="D1644" s="147"/>
      <c r="E1644" s="148"/>
      <c r="F1644" s="148"/>
    </row>
    <row r="1645" spans="2:6" x14ac:dyDescent="0.2">
      <c r="B1645" s="115" t="s">
        <v>1549</v>
      </c>
      <c r="C1645" s="114">
        <v>2368</v>
      </c>
      <c r="D1645" s="147"/>
      <c r="E1645" s="148"/>
      <c r="F1645" s="148"/>
    </row>
    <row r="1646" spans="2:6" x14ac:dyDescent="0.2">
      <c r="B1646" s="115" t="s">
        <v>1548</v>
      </c>
      <c r="C1646" s="114">
        <v>21703</v>
      </c>
      <c r="D1646" s="147"/>
      <c r="E1646" s="148"/>
      <c r="F1646" s="148"/>
    </row>
    <row r="1647" spans="2:6" x14ac:dyDescent="0.2">
      <c r="B1647" s="198" t="s">
        <v>1547</v>
      </c>
      <c r="C1647" s="197">
        <v>476</v>
      </c>
      <c r="D1647" s="147"/>
      <c r="E1647" s="148"/>
      <c r="F1647" s="148"/>
    </row>
    <row r="1648" spans="2:6" x14ac:dyDescent="0.2">
      <c r="B1648" s="115" t="s">
        <v>1546</v>
      </c>
      <c r="C1648" s="114">
        <v>4371</v>
      </c>
      <c r="D1648" s="147"/>
      <c r="E1648" s="148"/>
      <c r="F1648" s="148"/>
    </row>
    <row r="1649" spans="2:6" x14ac:dyDescent="0.2">
      <c r="B1649" s="115" t="s">
        <v>1545</v>
      </c>
      <c r="C1649" s="114">
        <v>451</v>
      </c>
      <c r="D1649" s="147"/>
      <c r="E1649" s="148"/>
      <c r="F1649" s="148"/>
    </row>
    <row r="1650" spans="2:6" x14ac:dyDescent="0.2">
      <c r="B1650" s="198" t="s">
        <v>1544</v>
      </c>
      <c r="C1650" s="197">
        <v>272</v>
      </c>
      <c r="D1650" s="147"/>
      <c r="E1650" s="148"/>
      <c r="F1650" s="148"/>
    </row>
    <row r="1651" spans="2:6" x14ac:dyDescent="0.2">
      <c r="B1651" s="115" t="s">
        <v>1543</v>
      </c>
      <c r="C1651" s="114">
        <v>3648</v>
      </c>
      <c r="D1651" s="147"/>
      <c r="E1651" s="148"/>
      <c r="F1651" s="148"/>
    </row>
    <row r="1652" spans="2:6" x14ac:dyDescent="0.2">
      <c r="B1652" s="198" t="s">
        <v>1542</v>
      </c>
      <c r="C1652" s="197">
        <v>736</v>
      </c>
      <c r="D1652" s="147"/>
      <c r="E1652" s="148"/>
      <c r="F1652" s="148"/>
    </row>
    <row r="1653" spans="2:6" x14ac:dyDescent="0.2">
      <c r="B1653" s="115" t="s">
        <v>1541</v>
      </c>
      <c r="C1653" s="114">
        <v>2392</v>
      </c>
      <c r="D1653" s="147"/>
      <c r="E1653" s="148"/>
      <c r="F1653" s="148"/>
    </row>
    <row r="1654" spans="2:6" x14ac:dyDescent="0.2">
      <c r="B1654" s="198" t="s">
        <v>1540</v>
      </c>
      <c r="C1654" s="197">
        <v>168</v>
      </c>
      <c r="D1654" s="147"/>
      <c r="E1654" s="148"/>
      <c r="F1654" s="148"/>
    </row>
    <row r="1655" spans="2:6" x14ac:dyDescent="0.2">
      <c r="B1655" s="115" t="s">
        <v>1539</v>
      </c>
      <c r="C1655" s="114">
        <v>356</v>
      </c>
      <c r="D1655" s="147"/>
      <c r="E1655" s="148"/>
      <c r="F1655" s="148"/>
    </row>
    <row r="1656" spans="2:6" x14ac:dyDescent="0.2">
      <c r="B1656" s="115" t="s">
        <v>1538</v>
      </c>
      <c r="C1656" s="114">
        <v>10373</v>
      </c>
      <c r="D1656" s="147"/>
      <c r="E1656" s="148"/>
      <c r="F1656" s="148"/>
    </row>
    <row r="1657" spans="2:6" x14ac:dyDescent="0.2">
      <c r="B1657" s="198" t="s">
        <v>1537</v>
      </c>
      <c r="C1657" s="197">
        <v>730</v>
      </c>
      <c r="D1657" s="147"/>
      <c r="E1657" s="148"/>
      <c r="F1657" s="148"/>
    </row>
    <row r="1658" spans="2:6" x14ac:dyDescent="0.2">
      <c r="B1658" s="115" t="s">
        <v>1536</v>
      </c>
      <c r="C1658" s="114">
        <v>184</v>
      </c>
      <c r="D1658" s="147"/>
      <c r="E1658" s="148"/>
      <c r="F1658" s="148"/>
    </row>
    <row r="1659" spans="2:6" x14ac:dyDescent="0.2">
      <c r="B1659" s="115" t="s">
        <v>1535</v>
      </c>
      <c r="C1659" s="114">
        <v>653</v>
      </c>
      <c r="D1659" s="147"/>
      <c r="E1659" s="148"/>
      <c r="F1659" s="148"/>
    </row>
    <row r="1660" spans="2:6" x14ac:dyDescent="0.2">
      <c r="B1660" s="198" t="s">
        <v>1534</v>
      </c>
      <c r="C1660" s="197">
        <v>2074</v>
      </c>
      <c r="D1660" s="147"/>
      <c r="E1660" s="148"/>
      <c r="F1660" s="148"/>
    </row>
    <row r="1661" spans="2:6" x14ac:dyDescent="0.2">
      <c r="B1661" s="115" t="s">
        <v>1533</v>
      </c>
      <c r="C1661" s="114">
        <v>542</v>
      </c>
      <c r="D1661" s="147"/>
      <c r="E1661" s="148"/>
      <c r="F1661" s="148"/>
    </row>
    <row r="1662" spans="2:6" x14ac:dyDescent="0.2">
      <c r="B1662" s="198" t="s">
        <v>1532</v>
      </c>
      <c r="C1662" s="197">
        <v>925</v>
      </c>
      <c r="D1662" s="147"/>
      <c r="E1662" s="148"/>
      <c r="F1662" s="148"/>
    </row>
    <row r="1663" spans="2:6" x14ac:dyDescent="0.2">
      <c r="B1663" s="115" t="s">
        <v>1531</v>
      </c>
      <c r="C1663" s="114">
        <v>1826</v>
      </c>
      <c r="D1663" s="147"/>
      <c r="E1663" s="148"/>
      <c r="F1663" s="148"/>
    </row>
    <row r="1664" spans="2:6" x14ac:dyDescent="0.2">
      <c r="B1664" s="198" t="s">
        <v>1530</v>
      </c>
      <c r="C1664" s="197">
        <v>1736</v>
      </c>
      <c r="D1664" s="147"/>
      <c r="E1664" s="148"/>
      <c r="F1664" s="148"/>
    </row>
    <row r="1665" spans="2:6" x14ac:dyDescent="0.2">
      <c r="B1665" s="115" t="s">
        <v>1529</v>
      </c>
      <c r="C1665" s="114">
        <v>219</v>
      </c>
      <c r="D1665" s="147"/>
      <c r="E1665" s="148"/>
      <c r="F1665" s="148"/>
    </row>
    <row r="1666" spans="2:6" x14ac:dyDescent="0.2">
      <c r="B1666" s="115" t="s">
        <v>1528</v>
      </c>
      <c r="C1666" s="114">
        <v>1790</v>
      </c>
      <c r="D1666" s="147"/>
      <c r="E1666" s="148"/>
      <c r="F1666" s="148"/>
    </row>
    <row r="1667" spans="2:6" x14ac:dyDescent="0.2">
      <c r="B1667" s="198" t="s">
        <v>1527</v>
      </c>
      <c r="C1667" s="197">
        <v>62</v>
      </c>
      <c r="D1667" s="147"/>
      <c r="E1667" s="148"/>
      <c r="F1667" s="148"/>
    </row>
    <row r="1668" spans="2:6" x14ac:dyDescent="0.2">
      <c r="B1668" s="198" t="s">
        <v>1526</v>
      </c>
      <c r="C1668" s="197">
        <v>503</v>
      </c>
      <c r="D1668" s="147"/>
      <c r="E1668" s="148"/>
      <c r="F1668" s="148"/>
    </row>
    <row r="1669" spans="2:6" x14ac:dyDescent="0.2">
      <c r="B1669" s="115" t="s">
        <v>1525</v>
      </c>
      <c r="C1669" s="114">
        <v>54</v>
      </c>
      <c r="D1669" s="147"/>
      <c r="E1669" s="148"/>
      <c r="F1669" s="148"/>
    </row>
    <row r="1670" spans="2:6" x14ac:dyDescent="0.2">
      <c r="B1670" s="198" t="s">
        <v>1524</v>
      </c>
      <c r="C1670" s="197">
        <v>73</v>
      </c>
      <c r="D1670" s="147"/>
      <c r="E1670" s="148"/>
      <c r="F1670" s="148"/>
    </row>
    <row r="1671" spans="2:6" x14ac:dyDescent="0.2">
      <c r="B1671" s="115" t="s">
        <v>1523</v>
      </c>
      <c r="C1671" s="114">
        <v>372</v>
      </c>
      <c r="D1671" s="147"/>
      <c r="E1671" s="148"/>
      <c r="F1671" s="148"/>
    </row>
    <row r="1672" spans="2:6" x14ac:dyDescent="0.2">
      <c r="B1672" s="115" t="s">
        <v>1522</v>
      </c>
      <c r="C1672" s="114">
        <v>66</v>
      </c>
      <c r="D1672" s="147"/>
      <c r="E1672" s="148"/>
      <c r="F1672" s="148"/>
    </row>
    <row r="1673" spans="2:6" x14ac:dyDescent="0.2">
      <c r="B1673" s="115" t="s">
        <v>1521</v>
      </c>
      <c r="C1673" s="114">
        <v>496</v>
      </c>
      <c r="D1673" s="147"/>
      <c r="E1673" s="148"/>
      <c r="F1673" s="148"/>
    </row>
    <row r="1674" spans="2:6" x14ac:dyDescent="0.2">
      <c r="B1674" s="115" t="s">
        <v>1520</v>
      </c>
      <c r="C1674" s="114">
        <v>2079</v>
      </c>
      <c r="D1674" s="147"/>
      <c r="E1674" s="148"/>
      <c r="F1674" s="148"/>
    </row>
    <row r="1675" spans="2:6" x14ac:dyDescent="0.2">
      <c r="B1675" s="115" t="s">
        <v>1519</v>
      </c>
      <c r="C1675" s="114">
        <v>1281</v>
      </c>
      <c r="D1675" s="147"/>
      <c r="E1675" s="148"/>
      <c r="F1675" s="148"/>
    </row>
    <row r="1676" spans="2:6" x14ac:dyDescent="0.2">
      <c r="B1676" s="115" t="s">
        <v>1518</v>
      </c>
      <c r="C1676" s="114">
        <v>5498</v>
      </c>
      <c r="D1676" s="147"/>
      <c r="E1676" s="148"/>
      <c r="F1676" s="148"/>
    </row>
    <row r="1677" spans="2:6" x14ac:dyDescent="0.2">
      <c r="B1677" s="115" t="s">
        <v>1517</v>
      </c>
      <c r="C1677" s="114">
        <v>203</v>
      </c>
      <c r="D1677" s="147"/>
      <c r="E1677" s="148"/>
      <c r="F1677" s="148"/>
    </row>
    <row r="1678" spans="2:6" x14ac:dyDescent="0.2">
      <c r="B1678" s="198" t="s">
        <v>1516</v>
      </c>
      <c r="C1678" s="197">
        <v>5944</v>
      </c>
      <c r="D1678" s="147"/>
      <c r="E1678" s="148"/>
      <c r="F1678" s="148"/>
    </row>
    <row r="1679" spans="2:6" x14ac:dyDescent="0.2">
      <c r="B1679" s="198" t="s">
        <v>1515</v>
      </c>
      <c r="C1679" s="197">
        <v>292</v>
      </c>
      <c r="D1679" s="147"/>
      <c r="E1679" s="148"/>
      <c r="F1679" s="148"/>
    </row>
    <row r="1680" spans="2:6" x14ac:dyDescent="0.2">
      <c r="B1680" s="115" t="s">
        <v>1514</v>
      </c>
      <c r="C1680" s="114">
        <v>14848</v>
      </c>
      <c r="D1680" s="147"/>
      <c r="E1680" s="148"/>
      <c r="F1680" s="148"/>
    </row>
    <row r="1681" spans="2:6" x14ac:dyDescent="0.2">
      <c r="B1681" s="198" t="s">
        <v>1513</v>
      </c>
      <c r="C1681" s="197">
        <v>449</v>
      </c>
      <c r="D1681" s="147"/>
      <c r="E1681" s="148"/>
      <c r="F1681" s="148"/>
    </row>
    <row r="1682" spans="2:6" x14ac:dyDescent="0.2">
      <c r="B1682" s="198" t="s">
        <v>1512</v>
      </c>
      <c r="C1682" s="197">
        <v>646</v>
      </c>
      <c r="D1682" s="147"/>
      <c r="E1682" s="148"/>
      <c r="F1682" s="148"/>
    </row>
    <row r="1683" spans="2:6" x14ac:dyDescent="0.2">
      <c r="B1683" s="115" t="s">
        <v>1511</v>
      </c>
      <c r="C1683" s="114">
        <v>1624</v>
      </c>
      <c r="D1683" s="147"/>
      <c r="E1683" s="148"/>
      <c r="F1683" s="148"/>
    </row>
    <row r="1684" spans="2:6" x14ac:dyDescent="0.2">
      <c r="B1684" s="115" t="s">
        <v>1510</v>
      </c>
      <c r="C1684" s="114">
        <v>684</v>
      </c>
      <c r="D1684" s="147"/>
      <c r="E1684" s="148"/>
      <c r="F1684" s="148"/>
    </row>
    <row r="1685" spans="2:6" x14ac:dyDescent="0.2">
      <c r="B1685" s="198" t="s">
        <v>1509</v>
      </c>
      <c r="C1685" s="197">
        <v>1527</v>
      </c>
      <c r="D1685" s="147"/>
      <c r="E1685" s="148"/>
      <c r="F1685" s="148"/>
    </row>
    <row r="1686" spans="2:6" x14ac:dyDescent="0.2">
      <c r="B1686" s="115" t="s">
        <v>1508</v>
      </c>
      <c r="C1686" s="114">
        <v>871</v>
      </c>
      <c r="D1686" s="147"/>
      <c r="E1686" s="148"/>
      <c r="F1686" s="148"/>
    </row>
    <row r="1687" spans="2:6" x14ac:dyDescent="0.2">
      <c r="B1687" s="198" t="s">
        <v>1507</v>
      </c>
      <c r="C1687" s="197">
        <v>462</v>
      </c>
      <c r="D1687" s="147"/>
      <c r="E1687" s="148"/>
      <c r="F1687" s="148"/>
    </row>
    <row r="1688" spans="2:6" x14ac:dyDescent="0.2">
      <c r="B1688" s="198" t="s">
        <v>1506</v>
      </c>
      <c r="C1688" s="197">
        <v>1425</v>
      </c>
      <c r="D1688" s="147"/>
      <c r="E1688" s="148"/>
      <c r="F1688" s="148"/>
    </row>
    <row r="1689" spans="2:6" x14ac:dyDescent="0.2">
      <c r="B1689" s="115" t="s">
        <v>1505</v>
      </c>
      <c r="C1689" s="114">
        <v>1591</v>
      </c>
      <c r="D1689" s="147"/>
      <c r="E1689" s="148"/>
      <c r="F1689" s="148"/>
    </row>
    <row r="1690" spans="2:6" x14ac:dyDescent="0.2">
      <c r="B1690" s="115" t="s">
        <v>1504</v>
      </c>
      <c r="C1690" s="114">
        <v>1626</v>
      </c>
      <c r="D1690" s="147"/>
      <c r="E1690" s="148"/>
      <c r="F1690" s="148"/>
    </row>
    <row r="1691" spans="2:6" x14ac:dyDescent="0.2">
      <c r="B1691" s="115" t="s">
        <v>1503</v>
      </c>
      <c r="C1691" s="114">
        <v>727</v>
      </c>
      <c r="D1691" s="147"/>
      <c r="E1691" s="148"/>
      <c r="F1691" s="148"/>
    </row>
    <row r="1692" spans="2:6" x14ac:dyDescent="0.2">
      <c r="B1692" s="198" t="s">
        <v>1502</v>
      </c>
      <c r="C1692" s="197">
        <v>326</v>
      </c>
      <c r="D1692" s="147"/>
      <c r="E1692" s="148"/>
      <c r="F1692" s="148"/>
    </row>
    <row r="1693" spans="2:6" x14ac:dyDescent="0.2">
      <c r="B1693" s="115" t="s">
        <v>1501</v>
      </c>
      <c r="C1693" s="114">
        <v>266</v>
      </c>
      <c r="D1693" s="147"/>
      <c r="E1693" s="148"/>
      <c r="F1693" s="148"/>
    </row>
    <row r="1694" spans="2:6" x14ac:dyDescent="0.2">
      <c r="B1694" s="115" t="s">
        <v>1500</v>
      </c>
      <c r="C1694" s="114">
        <v>1089</v>
      </c>
      <c r="D1694" s="147"/>
      <c r="E1694" s="148"/>
      <c r="F1694" s="148"/>
    </row>
    <row r="1695" spans="2:6" x14ac:dyDescent="0.2">
      <c r="B1695" s="198" t="s">
        <v>1499</v>
      </c>
      <c r="C1695" s="197">
        <v>1449</v>
      </c>
      <c r="D1695" s="147"/>
      <c r="E1695" s="148"/>
      <c r="F1695" s="148"/>
    </row>
    <row r="1696" spans="2:6" x14ac:dyDescent="0.2">
      <c r="B1696" s="198" t="s">
        <v>1498</v>
      </c>
      <c r="C1696" s="197">
        <v>375</v>
      </c>
      <c r="D1696" s="147"/>
      <c r="E1696" s="148"/>
      <c r="F1696" s="148"/>
    </row>
    <row r="1697" spans="2:6" x14ac:dyDescent="0.2">
      <c r="B1697" s="198" t="s">
        <v>1497</v>
      </c>
      <c r="C1697" s="197">
        <v>672</v>
      </c>
      <c r="D1697" s="147"/>
      <c r="E1697" s="148"/>
      <c r="F1697" s="148"/>
    </row>
    <row r="1698" spans="2:6" x14ac:dyDescent="0.2">
      <c r="B1698" s="198" t="s">
        <v>1496</v>
      </c>
      <c r="C1698" s="197">
        <v>805</v>
      </c>
      <c r="D1698" s="147"/>
      <c r="E1698" s="148"/>
      <c r="F1698" s="148"/>
    </row>
    <row r="1699" spans="2:6" x14ac:dyDescent="0.2">
      <c r="B1699" s="198" t="s">
        <v>1495</v>
      </c>
      <c r="C1699" s="197">
        <v>3122</v>
      </c>
      <c r="D1699" s="147"/>
      <c r="E1699" s="148"/>
      <c r="F1699" s="148"/>
    </row>
    <row r="1700" spans="2:6" x14ac:dyDescent="0.2">
      <c r="B1700" s="115" t="s">
        <v>1494</v>
      </c>
      <c r="C1700" s="114">
        <v>668</v>
      </c>
      <c r="D1700" s="147"/>
      <c r="E1700" s="148"/>
      <c r="F1700" s="148"/>
    </row>
    <row r="1701" spans="2:6" x14ac:dyDescent="0.2">
      <c r="B1701" s="115" t="s">
        <v>1493</v>
      </c>
      <c r="C1701" s="114">
        <v>2498</v>
      </c>
      <c r="D1701" s="147"/>
      <c r="E1701" s="148"/>
      <c r="F1701" s="148"/>
    </row>
    <row r="1702" spans="2:6" x14ac:dyDescent="0.2">
      <c r="B1702" s="198" t="s">
        <v>1492</v>
      </c>
      <c r="C1702" s="197">
        <v>299</v>
      </c>
      <c r="D1702" s="147"/>
      <c r="E1702" s="148"/>
      <c r="F1702" s="148"/>
    </row>
    <row r="1703" spans="2:6" x14ac:dyDescent="0.2">
      <c r="B1703" s="115" t="s">
        <v>1491</v>
      </c>
      <c r="C1703" s="114">
        <v>25</v>
      </c>
      <c r="D1703" s="147"/>
      <c r="E1703" s="148"/>
      <c r="F1703" s="148"/>
    </row>
    <row r="1704" spans="2:6" x14ac:dyDescent="0.2">
      <c r="B1704" s="115" t="s">
        <v>1490</v>
      </c>
      <c r="C1704" s="114">
        <v>723</v>
      </c>
      <c r="D1704" s="147"/>
      <c r="E1704" s="148"/>
      <c r="F1704" s="148"/>
    </row>
    <row r="1705" spans="2:6" x14ac:dyDescent="0.2">
      <c r="B1705" s="115" t="s">
        <v>1489</v>
      </c>
      <c r="C1705" s="114">
        <v>1870</v>
      </c>
      <c r="D1705" s="147"/>
      <c r="E1705" s="148"/>
      <c r="F1705" s="148"/>
    </row>
    <row r="1706" spans="2:6" x14ac:dyDescent="0.2">
      <c r="B1706" s="198" t="s">
        <v>1488</v>
      </c>
      <c r="C1706" s="197">
        <v>640</v>
      </c>
      <c r="D1706" s="147"/>
      <c r="E1706" s="148"/>
      <c r="F1706" s="148"/>
    </row>
    <row r="1707" spans="2:6" x14ac:dyDescent="0.2">
      <c r="B1707" s="115" t="s">
        <v>1487</v>
      </c>
      <c r="C1707" s="114">
        <v>240</v>
      </c>
      <c r="D1707" s="147"/>
      <c r="E1707" s="148"/>
      <c r="F1707" s="148"/>
    </row>
    <row r="1708" spans="2:6" x14ac:dyDescent="0.2">
      <c r="B1708" s="115" t="s">
        <v>1486</v>
      </c>
      <c r="C1708" s="114">
        <v>4594</v>
      </c>
      <c r="D1708" s="147"/>
      <c r="E1708" s="148"/>
      <c r="F1708" s="148"/>
    </row>
    <row r="1709" spans="2:6" x14ac:dyDescent="0.2">
      <c r="B1709" s="198" t="s">
        <v>1485</v>
      </c>
      <c r="C1709" s="197">
        <v>295</v>
      </c>
      <c r="D1709" s="147"/>
      <c r="E1709" s="148"/>
      <c r="F1709" s="148"/>
    </row>
    <row r="1710" spans="2:6" x14ac:dyDescent="0.2">
      <c r="B1710" s="115" t="s">
        <v>1484</v>
      </c>
      <c r="C1710" s="114">
        <v>4250</v>
      </c>
      <c r="D1710" s="147"/>
      <c r="E1710" s="148"/>
      <c r="F1710" s="148"/>
    </row>
    <row r="1711" spans="2:6" x14ac:dyDescent="0.2">
      <c r="B1711" s="198" t="s">
        <v>1483</v>
      </c>
      <c r="C1711" s="197">
        <v>1396</v>
      </c>
      <c r="D1711" s="147"/>
      <c r="E1711" s="148"/>
      <c r="F1711" s="148"/>
    </row>
    <row r="1712" spans="2:6" x14ac:dyDescent="0.2">
      <c r="B1712" s="115" t="s">
        <v>1482</v>
      </c>
      <c r="C1712" s="114">
        <v>243</v>
      </c>
      <c r="D1712" s="147"/>
      <c r="E1712" s="148"/>
      <c r="F1712" s="148"/>
    </row>
    <row r="1713" spans="2:6" x14ac:dyDescent="0.2">
      <c r="B1713" s="198" t="s">
        <v>1481</v>
      </c>
      <c r="C1713" s="197">
        <v>96</v>
      </c>
      <c r="D1713" s="147"/>
      <c r="E1713" s="148"/>
      <c r="F1713" s="148"/>
    </row>
    <row r="1714" spans="2:6" x14ac:dyDescent="0.2">
      <c r="B1714" s="115" t="s">
        <v>1480</v>
      </c>
      <c r="C1714" s="114">
        <v>1911</v>
      </c>
      <c r="D1714" s="147"/>
      <c r="E1714" s="148"/>
      <c r="F1714" s="148"/>
    </row>
    <row r="1715" spans="2:6" x14ac:dyDescent="0.2">
      <c r="B1715" s="198" t="s">
        <v>1479</v>
      </c>
      <c r="C1715" s="197">
        <v>1315</v>
      </c>
      <c r="D1715" s="147"/>
      <c r="E1715" s="148"/>
      <c r="F1715" s="148"/>
    </row>
    <row r="1716" spans="2:6" x14ac:dyDescent="0.2">
      <c r="B1716" s="115" t="s">
        <v>1478</v>
      </c>
      <c r="C1716" s="114">
        <v>568</v>
      </c>
      <c r="D1716" s="147"/>
      <c r="E1716" s="148"/>
      <c r="F1716" s="148"/>
    </row>
    <row r="1717" spans="2:6" x14ac:dyDescent="0.2">
      <c r="B1717" s="198" t="s">
        <v>1477</v>
      </c>
      <c r="C1717" s="114">
        <v>152</v>
      </c>
      <c r="D1717" s="147"/>
      <c r="E1717" s="148"/>
      <c r="F1717" s="148"/>
    </row>
    <row r="1718" spans="2:6" x14ac:dyDescent="0.2">
      <c r="B1718" s="115" t="s">
        <v>1476</v>
      </c>
      <c r="C1718" s="114">
        <v>260</v>
      </c>
      <c r="D1718" s="147"/>
      <c r="E1718" s="148"/>
      <c r="F1718" s="148"/>
    </row>
    <row r="1719" spans="2:6" x14ac:dyDescent="0.2">
      <c r="B1719" s="115" t="s">
        <v>1475</v>
      </c>
      <c r="C1719" s="114">
        <v>635</v>
      </c>
      <c r="D1719" s="147"/>
      <c r="E1719" s="148"/>
      <c r="F1719" s="148"/>
    </row>
    <row r="1720" spans="2:6" x14ac:dyDescent="0.2">
      <c r="B1720" s="198" t="s">
        <v>1474</v>
      </c>
      <c r="C1720" s="197">
        <v>151</v>
      </c>
      <c r="D1720" s="147"/>
      <c r="E1720" s="148"/>
      <c r="F1720" s="148"/>
    </row>
    <row r="1721" spans="2:6" x14ac:dyDescent="0.2">
      <c r="B1721" s="115" t="s">
        <v>1473</v>
      </c>
      <c r="C1721" s="114">
        <v>195</v>
      </c>
      <c r="D1721" s="147"/>
      <c r="E1721" s="148"/>
      <c r="F1721" s="148"/>
    </row>
    <row r="1722" spans="2:6" x14ac:dyDescent="0.2">
      <c r="B1722" s="115" t="s">
        <v>1472</v>
      </c>
      <c r="C1722" s="114">
        <v>1248</v>
      </c>
      <c r="D1722" s="147"/>
      <c r="E1722" s="148"/>
      <c r="F1722" s="148"/>
    </row>
    <row r="1723" spans="2:6" x14ac:dyDescent="0.2">
      <c r="B1723" s="115" t="s">
        <v>1471</v>
      </c>
      <c r="C1723" s="114">
        <v>9301</v>
      </c>
      <c r="D1723" s="147"/>
      <c r="E1723" s="148"/>
      <c r="F1723" s="148"/>
    </row>
    <row r="1724" spans="2:6" x14ac:dyDescent="0.2">
      <c r="B1724" s="115" t="s">
        <v>1470</v>
      </c>
      <c r="C1724" s="114">
        <v>5578</v>
      </c>
      <c r="D1724" s="147"/>
      <c r="E1724" s="148"/>
      <c r="F1724" s="148"/>
    </row>
    <row r="1725" spans="2:6" x14ac:dyDescent="0.2">
      <c r="B1725" s="198" t="s">
        <v>1469</v>
      </c>
      <c r="C1725" s="197">
        <v>1150</v>
      </c>
      <c r="D1725" s="147"/>
      <c r="E1725" s="148"/>
      <c r="F1725" s="148"/>
    </row>
    <row r="1726" spans="2:6" x14ac:dyDescent="0.2">
      <c r="B1726" s="198" t="s">
        <v>1468</v>
      </c>
      <c r="C1726" s="197">
        <v>114</v>
      </c>
      <c r="D1726" s="147"/>
      <c r="E1726" s="148"/>
      <c r="F1726" s="148"/>
    </row>
    <row r="1727" spans="2:6" x14ac:dyDescent="0.2">
      <c r="B1727" s="115" t="s">
        <v>1467</v>
      </c>
      <c r="C1727" s="114">
        <v>4447</v>
      </c>
      <c r="D1727" s="147"/>
      <c r="E1727" s="148"/>
      <c r="F1727" s="148"/>
    </row>
    <row r="1728" spans="2:6" x14ac:dyDescent="0.2">
      <c r="B1728" s="115" t="s">
        <v>1466</v>
      </c>
      <c r="C1728" s="114">
        <v>807</v>
      </c>
      <c r="D1728" s="147"/>
      <c r="E1728" s="148"/>
      <c r="F1728" s="148"/>
    </row>
    <row r="1729" spans="2:6" x14ac:dyDescent="0.2">
      <c r="B1729" s="198" t="s">
        <v>1465</v>
      </c>
      <c r="C1729" s="197">
        <v>4173</v>
      </c>
      <c r="D1729" s="147"/>
      <c r="E1729" s="148"/>
      <c r="F1729" s="148"/>
    </row>
    <row r="1730" spans="2:6" x14ac:dyDescent="0.2">
      <c r="B1730" s="198" t="s">
        <v>1464</v>
      </c>
      <c r="C1730" s="197">
        <v>302</v>
      </c>
      <c r="D1730" s="147"/>
      <c r="E1730" s="148"/>
      <c r="F1730" s="148"/>
    </row>
    <row r="1731" spans="2:6" x14ac:dyDescent="0.2">
      <c r="B1731" s="115" t="s">
        <v>1463</v>
      </c>
      <c r="C1731" s="114">
        <v>3459</v>
      </c>
      <c r="D1731" s="147"/>
      <c r="E1731" s="148"/>
      <c r="F1731" s="148"/>
    </row>
    <row r="1732" spans="2:6" x14ac:dyDescent="0.2">
      <c r="B1732" s="198" t="s">
        <v>1462</v>
      </c>
      <c r="C1732" s="197">
        <v>830</v>
      </c>
      <c r="D1732" s="147"/>
      <c r="E1732" s="148"/>
      <c r="F1732" s="148"/>
    </row>
    <row r="1733" spans="2:6" x14ac:dyDescent="0.2">
      <c r="B1733" s="115" t="s">
        <v>1461</v>
      </c>
      <c r="C1733" s="114">
        <v>5251</v>
      </c>
      <c r="D1733" s="147"/>
      <c r="E1733" s="148"/>
      <c r="F1733" s="148"/>
    </row>
    <row r="1734" spans="2:6" x14ac:dyDescent="0.2">
      <c r="B1734" s="115" t="s">
        <v>1460</v>
      </c>
      <c r="C1734" s="114">
        <v>15413</v>
      </c>
      <c r="D1734" s="147"/>
      <c r="E1734" s="148"/>
      <c r="F1734" s="148"/>
    </row>
    <row r="1735" spans="2:6" x14ac:dyDescent="0.2">
      <c r="B1735" s="115" t="s">
        <v>1459</v>
      </c>
      <c r="C1735" s="114">
        <v>902</v>
      </c>
      <c r="D1735" s="147"/>
      <c r="E1735" s="148"/>
      <c r="F1735" s="148"/>
    </row>
    <row r="1736" spans="2:6" x14ac:dyDescent="0.2">
      <c r="B1736" s="115" t="s">
        <v>1458</v>
      </c>
      <c r="C1736" s="114">
        <v>901</v>
      </c>
      <c r="D1736" s="147"/>
      <c r="E1736" s="148"/>
      <c r="F1736" s="148"/>
    </row>
    <row r="1737" spans="2:6" x14ac:dyDescent="0.2">
      <c r="B1737" s="198" t="s">
        <v>1457</v>
      </c>
      <c r="C1737" s="197">
        <v>913</v>
      </c>
      <c r="D1737" s="147"/>
      <c r="E1737" s="148"/>
      <c r="F1737" s="148"/>
    </row>
    <row r="1738" spans="2:6" x14ac:dyDescent="0.2">
      <c r="B1738" s="198" t="s">
        <v>1456</v>
      </c>
      <c r="C1738" s="197">
        <v>1503</v>
      </c>
      <c r="D1738" s="147"/>
      <c r="E1738" s="148"/>
      <c r="F1738" s="148"/>
    </row>
    <row r="1739" spans="2:6" x14ac:dyDescent="0.2">
      <c r="B1739" s="115" t="s">
        <v>1455</v>
      </c>
      <c r="C1739" s="114">
        <v>957</v>
      </c>
      <c r="D1739" s="147"/>
      <c r="E1739" s="148"/>
      <c r="F1739" s="148"/>
    </row>
    <row r="1740" spans="2:6" x14ac:dyDescent="0.2">
      <c r="B1740" s="115" t="s">
        <v>1454</v>
      </c>
      <c r="C1740" s="114">
        <v>540</v>
      </c>
      <c r="D1740" s="147"/>
      <c r="E1740" s="148"/>
      <c r="F1740" s="148"/>
    </row>
    <row r="1741" spans="2:6" x14ac:dyDescent="0.2">
      <c r="B1741" s="115" t="s">
        <v>1453</v>
      </c>
      <c r="C1741" s="114">
        <v>598</v>
      </c>
      <c r="D1741" s="147"/>
      <c r="E1741" s="148"/>
      <c r="F1741" s="148"/>
    </row>
    <row r="1742" spans="2:6" x14ac:dyDescent="0.2">
      <c r="B1742" s="198" t="s">
        <v>1452</v>
      </c>
      <c r="C1742" s="197">
        <v>1026</v>
      </c>
      <c r="D1742" s="147"/>
      <c r="E1742" s="148"/>
      <c r="F1742" s="148"/>
    </row>
    <row r="1743" spans="2:6" x14ac:dyDescent="0.2">
      <c r="B1743" s="115" t="s">
        <v>1451</v>
      </c>
      <c r="C1743" s="114">
        <v>1234</v>
      </c>
      <c r="D1743" s="147"/>
      <c r="E1743" s="148"/>
      <c r="F1743" s="148"/>
    </row>
    <row r="1744" spans="2:6" x14ac:dyDescent="0.2">
      <c r="B1744" s="198" t="s">
        <v>1450</v>
      </c>
      <c r="C1744" s="197">
        <v>2004</v>
      </c>
      <c r="D1744" s="147"/>
      <c r="E1744" s="148"/>
      <c r="F1744" s="148"/>
    </row>
    <row r="1745" spans="2:6" x14ac:dyDescent="0.2">
      <c r="B1745" s="198" t="s">
        <v>1449</v>
      </c>
      <c r="C1745" s="197">
        <v>1483</v>
      </c>
      <c r="D1745" s="147"/>
      <c r="E1745" s="148"/>
      <c r="F1745" s="148"/>
    </row>
    <row r="1746" spans="2:6" x14ac:dyDescent="0.2">
      <c r="B1746" s="115" t="s">
        <v>1448</v>
      </c>
      <c r="C1746" s="114">
        <v>15257</v>
      </c>
      <c r="D1746" s="147"/>
      <c r="E1746" s="148"/>
      <c r="F1746" s="148"/>
    </row>
    <row r="1747" spans="2:6" x14ac:dyDescent="0.2">
      <c r="B1747" s="115" t="s">
        <v>1447</v>
      </c>
      <c r="C1747" s="114">
        <v>2202</v>
      </c>
      <c r="D1747" s="147"/>
      <c r="E1747" s="148"/>
      <c r="F1747" s="148"/>
    </row>
    <row r="1748" spans="2:6" x14ac:dyDescent="0.2">
      <c r="B1748" s="115" t="s">
        <v>1446</v>
      </c>
      <c r="C1748" s="114">
        <v>668</v>
      </c>
      <c r="D1748" s="147"/>
      <c r="E1748" s="148"/>
      <c r="F1748" s="148"/>
    </row>
    <row r="1749" spans="2:6" x14ac:dyDescent="0.2">
      <c r="B1749" s="198" t="s">
        <v>1445</v>
      </c>
      <c r="C1749" s="197">
        <v>339</v>
      </c>
      <c r="D1749" s="147"/>
      <c r="E1749" s="148"/>
      <c r="F1749" s="148"/>
    </row>
    <row r="1750" spans="2:6" x14ac:dyDescent="0.2">
      <c r="B1750" s="198" t="s">
        <v>1444</v>
      </c>
      <c r="C1750" s="197">
        <v>490</v>
      </c>
      <c r="D1750" s="147"/>
      <c r="E1750" s="148"/>
      <c r="F1750" s="148"/>
    </row>
    <row r="1751" spans="2:6" x14ac:dyDescent="0.2">
      <c r="B1751" s="115" t="s">
        <v>1443</v>
      </c>
      <c r="C1751" s="114">
        <v>671</v>
      </c>
      <c r="D1751" s="147"/>
      <c r="E1751" s="148"/>
      <c r="F1751" s="148"/>
    </row>
    <row r="1752" spans="2:6" x14ac:dyDescent="0.2">
      <c r="B1752" s="115" t="s">
        <v>1442</v>
      </c>
      <c r="C1752" s="114">
        <v>1041</v>
      </c>
      <c r="D1752" s="147"/>
      <c r="E1752" s="148"/>
      <c r="F1752" s="148"/>
    </row>
    <row r="1753" spans="2:6" x14ac:dyDescent="0.2">
      <c r="B1753" s="198" t="s">
        <v>1441</v>
      </c>
      <c r="C1753" s="197">
        <v>561</v>
      </c>
      <c r="D1753" s="147"/>
      <c r="E1753" s="148"/>
      <c r="F1753" s="148"/>
    </row>
    <row r="1754" spans="2:6" x14ac:dyDescent="0.2">
      <c r="B1754" s="115" t="s">
        <v>1440</v>
      </c>
      <c r="C1754" s="114">
        <v>685</v>
      </c>
      <c r="D1754" s="147"/>
      <c r="E1754" s="148"/>
      <c r="F1754" s="148"/>
    </row>
    <row r="1755" spans="2:6" x14ac:dyDescent="0.2">
      <c r="B1755" s="115" t="s">
        <v>1439</v>
      </c>
      <c r="C1755" s="114">
        <v>318</v>
      </c>
      <c r="D1755" s="147"/>
      <c r="E1755" s="148"/>
      <c r="F1755" s="148"/>
    </row>
    <row r="1756" spans="2:6" x14ac:dyDescent="0.2">
      <c r="B1756" s="115" t="s">
        <v>1438</v>
      </c>
      <c r="C1756" s="114">
        <v>5362</v>
      </c>
      <c r="D1756" s="147"/>
      <c r="E1756" s="148"/>
      <c r="F1756" s="148"/>
    </row>
    <row r="1757" spans="2:6" x14ac:dyDescent="0.2">
      <c r="B1757" s="198" t="s">
        <v>1437</v>
      </c>
      <c r="C1757" s="197">
        <v>174</v>
      </c>
      <c r="D1757" s="147"/>
      <c r="E1757" s="148"/>
      <c r="F1757" s="148"/>
    </row>
    <row r="1758" spans="2:6" x14ac:dyDescent="0.2">
      <c r="B1758" s="115" t="s">
        <v>1436</v>
      </c>
      <c r="C1758" s="114">
        <v>625</v>
      </c>
      <c r="D1758" s="147"/>
      <c r="E1758" s="148"/>
      <c r="F1758" s="148"/>
    </row>
    <row r="1759" spans="2:6" x14ac:dyDescent="0.2">
      <c r="B1759" s="115" t="s">
        <v>1435</v>
      </c>
      <c r="C1759" s="114">
        <v>487</v>
      </c>
      <c r="D1759" s="147"/>
      <c r="E1759" s="148"/>
      <c r="F1759" s="148"/>
    </row>
    <row r="1760" spans="2:6" x14ac:dyDescent="0.2">
      <c r="B1760" s="115" t="s">
        <v>1434</v>
      </c>
      <c r="C1760" s="114">
        <v>298</v>
      </c>
      <c r="D1760" s="147"/>
      <c r="E1760" s="148"/>
      <c r="F1760" s="148"/>
    </row>
    <row r="1761" spans="2:6" x14ac:dyDescent="0.2">
      <c r="B1761" s="115" t="s">
        <v>1433</v>
      </c>
      <c r="C1761" s="114">
        <v>300</v>
      </c>
      <c r="D1761" s="147"/>
      <c r="E1761" s="148"/>
      <c r="F1761" s="148"/>
    </row>
    <row r="1762" spans="2:6" x14ac:dyDescent="0.2">
      <c r="B1762" s="115" t="s">
        <v>1432</v>
      </c>
      <c r="C1762" s="114">
        <v>865</v>
      </c>
      <c r="D1762" s="147"/>
      <c r="E1762" s="148"/>
      <c r="F1762" s="148"/>
    </row>
    <row r="1763" spans="2:6" x14ac:dyDescent="0.2">
      <c r="B1763" s="115" t="s">
        <v>1431</v>
      </c>
      <c r="C1763" s="114">
        <v>6209</v>
      </c>
      <c r="D1763" s="147"/>
      <c r="E1763" s="148"/>
      <c r="F1763" s="148"/>
    </row>
    <row r="1764" spans="2:6" x14ac:dyDescent="0.2">
      <c r="B1764" s="115" t="s">
        <v>1430</v>
      </c>
      <c r="C1764" s="114">
        <v>681</v>
      </c>
      <c r="D1764" s="147"/>
      <c r="E1764" s="148"/>
      <c r="F1764" s="148"/>
    </row>
    <row r="1765" spans="2:6" x14ac:dyDescent="0.2">
      <c r="B1765" s="115" t="s">
        <v>1429</v>
      </c>
      <c r="C1765" s="114">
        <v>250</v>
      </c>
      <c r="D1765" s="147"/>
      <c r="E1765" s="148"/>
      <c r="F1765" s="148"/>
    </row>
    <row r="1766" spans="2:6" x14ac:dyDescent="0.2">
      <c r="B1766" s="115" t="s">
        <v>1428</v>
      </c>
      <c r="C1766" s="114">
        <v>256</v>
      </c>
      <c r="D1766" s="147"/>
      <c r="E1766" s="148"/>
      <c r="F1766" s="148"/>
    </row>
    <row r="1767" spans="2:6" x14ac:dyDescent="0.2">
      <c r="B1767" s="198" t="s">
        <v>1427</v>
      </c>
      <c r="C1767" s="197">
        <v>1509</v>
      </c>
      <c r="D1767" s="147"/>
      <c r="E1767" s="148"/>
      <c r="F1767" s="148"/>
    </row>
    <row r="1768" spans="2:6" x14ac:dyDescent="0.2">
      <c r="B1768" s="115" t="s">
        <v>1426</v>
      </c>
      <c r="C1768" s="114">
        <v>141440</v>
      </c>
      <c r="D1768" s="147"/>
      <c r="E1768" s="148"/>
      <c r="F1768" s="148"/>
    </row>
    <row r="1769" spans="2:6" x14ac:dyDescent="0.2">
      <c r="B1769" s="115" t="s">
        <v>1425</v>
      </c>
      <c r="C1769" s="114">
        <v>252</v>
      </c>
      <c r="D1769" s="147"/>
      <c r="E1769" s="148"/>
      <c r="F1769" s="148"/>
    </row>
    <row r="1770" spans="2:6" x14ac:dyDescent="0.2">
      <c r="B1770" s="115" t="s">
        <v>1424</v>
      </c>
      <c r="C1770" s="114">
        <v>2106</v>
      </c>
      <c r="D1770" s="147"/>
      <c r="E1770" s="148"/>
      <c r="F1770" s="148"/>
    </row>
    <row r="1771" spans="2:6" x14ac:dyDescent="0.2">
      <c r="B1771" s="115" t="s">
        <v>1423</v>
      </c>
      <c r="C1771" s="114">
        <v>8436</v>
      </c>
      <c r="D1771" s="147"/>
      <c r="E1771" s="148"/>
      <c r="F1771" s="148"/>
    </row>
    <row r="1772" spans="2:6" x14ac:dyDescent="0.2">
      <c r="B1772" s="115" t="s">
        <v>1422</v>
      </c>
      <c r="C1772" s="114">
        <v>866</v>
      </c>
      <c r="D1772" s="147"/>
      <c r="E1772" s="148"/>
      <c r="F1772" s="148"/>
    </row>
    <row r="1773" spans="2:6" x14ac:dyDescent="0.2">
      <c r="B1773" s="198" t="s">
        <v>1421</v>
      </c>
      <c r="C1773" s="197">
        <v>77</v>
      </c>
      <c r="D1773" s="147"/>
      <c r="E1773" s="148"/>
      <c r="F1773" s="148"/>
    </row>
    <row r="1774" spans="2:6" x14ac:dyDescent="0.2">
      <c r="B1774" s="198" t="s">
        <v>1420</v>
      </c>
      <c r="C1774" s="197">
        <v>566</v>
      </c>
      <c r="D1774" s="147"/>
      <c r="E1774" s="148"/>
      <c r="F1774" s="148"/>
    </row>
    <row r="1775" spans="2:6" x14ac:dyDescent="0.2">
      <c r="B1775" s="198" t="s">
        <v>1419</v>
      </c>
      <c r="C1775" s="197">
        <v>17054</v>
      </c>
      <c r="D1775" s="147"/>
      <c r="E1775" s="148"/>
      <c r="F1775" s="148"/>
    </row>
    <row r="1776" spans="2:6" x14ac:dyDescent="0.2">
      <c r="B1776" s="115" t="s">
        <v>1418</v>
      </c>
      <c r="C1776" s="114">
        <v>889</v>
      </c>
      <c r="D1776" s="147"/>
      <c r="E1776" s="148"/>
      <c r="F1776" s="148"/>
    </row>
    <row r="1777" spans="2:6" x14ac:dyDescent="0.2">
      <c r="B1777" s="198" t="s">
        <v>1417</v>
      </c>
      <c r="C1777" s="197">
        <v>597</v>
      </c>
      <c r="D1777" s="147"/>
      <c r="E1777" s="148"/>
      <c r="F1777" s="148"/>
    </row>
    <row r="1778" spans="2:6" x14ac:dyDescent="0.2">
      <c r="B1778" s="198" t="s">
        <v>1416</v>
      </c>
      <c r="C1778" s="197">
        <v>416</v>
      </c>
      <c r="D1778" s="147"/>
      <c r="E1778" s="148"/>
      <c r="F1778" s="148"/>
    </row>
    <row r="1779" spans="2:6" x14ac:dyDescent="0.2">
      <c r="B1779" s="198" t="s">
        <v>1415</v>
      </c>
      <c r="C1779" s="197">
        <v>152</v>
      </c>
      <c r="D1779" s="147"/>
      <c r="E1779" s="148"/>
      <c r="F1779" s="148"/>
    </row>
    <row r="1780" spans="2:6" x14ac:dyDescent="0.2">
      <c r="B1780" s="198" t="s">
        <v>1414</v>
      </c>
      <c r="C1780" s="197">
        <v>256</v>
      </c>
      <c r="D1780" s="147"/>
      <c r="E1780" s="148"/>
      <c r="F1780" s="148"/>
    </row>
    <row r="1781" spans="2:6" x14ac:dyDescent="0.2">
      <c r="B1781" s="115" t="s">
        <v>1413</v>
      </c>
      <c r="C1781" s="114">
        <v>1430</v>
      </c>
      <c r="D1781" s="147"/>
      <c r="E1781" s="148"/>
      <c r="F1781" s="148"/>
    </row>
    <row r="1782" spans="2:6" x14ac:dyDescent="0.2">
      <c r="B1782" s="198" t="s">
        <v>1412</v>
      </c>
      <c r="C1782" s="197">
        <v>19355</v>
      </c>
      <c r="D1782" s="147"/>
      <c r="E1782" s="148"/>
      <c r="F1782" s="148"/>
    </row>
    <row r="1783" spans="2:6" x14ac:dyDescent="0.2">
      <c r="B1783" s="115" t="s">
        <v>1411</v>
      </c>
      <c r="C1783" s="114">
        <v>5107</v>
      </c>
      <c r="D1783" s="147"/>
      <c r="E1783" s="148"/>
      <c r="F1783" s="148"/>
    </row>
    <row r="1784" spans="2:6" x14ac:dyDescent="0.2">
      <c r="B1784" s="115" t="s">
        <v>1410</v>
      </c>
      <c r="C1784" s="114">
        <v>395</v>
      </c>
      <c r="D1784" s="147"/>
      <c r="E1784" s="148"/>
      <c r="F1784" s="148"/>
    </row>
    <row r="1785" spans="2:6" x14ac:dyDescent="0.2">
      <c r="B1785" s="115" t="s">
        <v>1409</v>
      </c>
      <c r="C1785" s="114">
        <v>1061</v>
      </c>
      <c r="D1785" s="147"/>
      <c r="E1785" s="148"/>
      <c r="F1785" s="148"/>
    </row>
    <row r="1786" spans="2:6" x14ac:dyDescent="0.2">
      <c r="B1786" s="198" t="s">
        <v>1408</v>
      </c>
      <c r="C1786" s="197">
        <v>2130</v>
      </c>
      <c r="D1786" s="147"/>
      <c r="E1786" s="148"/>
      <c r="F1786" s="148"/>
    </row>
    <row r="1787" spans="2:6" x14ac:dyDescent="0.2">
      <c r="B1787" s="198" t="s">
        <v>1407</v>
      </c>
      <c r="C1787" s="197">
        <v>96</v>
      </c>
      <c r="D1787" s="147"/>
      <c r="E1787" s="148"/>
      <c r="F1787" s="148"/>
    </row>
    <row r="1788" spans="2:6" x14ac:dyDescent="0.2">
      <c r="B1788" s="115" t="s">
        <v>1406</v>
      </c>
      <c r="C1788" s="114">
        <v>171</v>
      </c>
      <c r="D1788" s="147"/>
      <c r="E1788" s="148"/>
      <c r="F1788" s="148"/>
    </row>
    <row r="1789" spans="2:6" x14ac:dyDescent="0.2">
      <c r="B1789" s="198" t="s">
        <v>1405</v>
      </c>
      <c r="C1789" s="197">
        <v>13256</v>
      </c>
      <c r="D1789" s="147"/>
      <c r="E1789" s="148"/>
      <c r="F1789" s="148"/>
    </row>
    <row r="1790" spans="2:6" x14ac:dyDescent="0.2">
      <c r="B1790" s="115" t="s">
        <v>1404</v>
      </c>
      <c r="C1790" s="114">
        <v>622</v>
      </c>
      <c r="D1790" s="147"/>
      <c r="E1790" s="148"/>
      <c r="F1790" s="148"/>
    </row>
    <row r="1791" spans="2:6" x14ac:dyDescent="0.2">
      <c r="B1791" s="115" t="s">
        <v>1403</v>
      </c>
      <c r="C1791" s="114">
        <v>6432</v>
      </c>
      <c r="D1791" s="147"/>
      <c r="E1791" s="148"/>
      <c r="F1791" s="148"/>
    </row>
    <row r="1792" spans="2:6" x14ac:dyDescent="0.2">
      <c r="B1792" s="198" t="s">
        <v>1402</v>
      </c>
      <c r="C1792" s="197">
        <v>397</v>
      </c>
      <c r="D1792" s="147"/>
      <c r="E1792" s="148"/>
      <c r="F1792" s="148"/>
    </row>
    <row r="1793" spans="2:6" x14ac:dyDescent="0.2">
      <c r="B1793" s="198" t="s">
        <v>1401</v>
      </c>
      <c r="C1793" s="197">
        <v>803</v>
      </c>
      <c r="D1793" s="147"/>
      <c r="E1793" s="148"/>
      <c r="F1793" s="148"/>
    </row>
    <row r="1794" spans="2:6" x14ac:dyDescent="0.2">
      <c r="B1794" s="198" t="s">
        <v>1400</v>
      </c>
      <c r="C1794" s="197">
        <v>827</v>
      </c>
      <c r="D1794" s="147"/>
      <c r="E1794" s="148"/>
      <c r="F1794" s="148"/>
    </row>
    <row r="1795" spans="2:6" x14ac:dyDescent="0.2">
      <c r="B1795" s="115" t="s">
        <v>1399</v>
      </c>
      <c r="C1795" s="114">
        <v>33743</v>
      </c>
      <c r="D1795" s="147"/>
      <c r="E1795" s="148"/>
      <c r="F1795" s="148"/>
    </row>
    <row r="1796" spans="2:6" x14ac:dyDescent="0.2">
      <c r="B1796" s="198" t="s">
        <v>1398</v>
      </c>
      <c r="C1796" s="197">
        <v>2662</v>
      </c>
      <c r="D1796" s="147"/>
      <c r="E1796" s="148"/>
      <c r="F1796" s="148"/>
    </row>
    <row r="1797" spans="2:6" x14ac:dyDescent="0.2">
      <c r="B1797" s="198" t="s">
        <v>1397</v>
      </c>
      <c r="C1797" s="197">
        <v>1866</v>
      </c>
      <c r="D1797" s="147"/>
      <c r="E1797" s="148"/>
      <c r="F1797" s="148"/>
    </row>
    <row r="1798" spans="2:6" x14ac:dyDescent="0.2">
      <c r="B1798" s="198" t="s">
        <v>1396</v>
      </c>
      <c r="C1798" s="197">
        <v>381</v>
      </c>
      <c r="D1798" s="147"/>
      <c r="E1798" s="148"/>
      <c r="F1798" s="148"/>
    </row>
    <row r="1799" spans="2:6" x14ac:dyDescent="0.2">
      <c r="B1799" s="115" t="s">
        <v>1395</v>
      </c>
      <c r="C1799" s="114">
        <v>862</v>
      </c>
      <c r="D1799" s="147"/>
      <c r="E1799" s="148"/>
      <c r="F1799" s="148"/>
    </row>
    <row r="1800" spans="2:6" x14ac:dyDescent="0.2">
      <c r="B1800" s="198" t="s">
        <v>1394</v>
      </c>
      <c r="C1800" s="197">
        <v>340</v>
      </c>
      <c r="D1800" s="147"/>
      <c r="E1800" s="148"/>
      <c r="F1800" s="148"/>
    </row>
    <row r="1801" spans="2:6" x14ac:dyDescent="0.2">
      <c r="B1801" s="198" t="s">
        <v>1393</v>
      </c>
      <c r="C1801" s="197">
        <v>284</v>
      </c>
      <c r="D1801" s="147"/>
      <c r="E1801" s="148"/>
      <c r="F1801" s="148"/>
    </row>
    <row r="1802" spans="2:6" x14ac:dyDescent="0.2">
      <c r="B1802" s="115" t="s">
        <v>1392</v>
      </c>
      <c r="C1802" s="114">
        <v>417</v>
      </c>
      <c r="D1802" s="147"/>
      <c r="E1802" s="148"/>
      <c r="F1802" s="148"/>
    </row>
    <row r="1803" spans="2:6" x14ac:dyDescent="0.2">
      <c r="B1803" s="115" t="s">
        <v>1391</v>
      </c>
      <c r="C1803" s="114">
        <v>2631</v>
      </c>
      <c r="D1803" s="147"/>
      <c r="E1803" s="148"/>
      <c r="F1803" s="148"/>
    </row>
    <row r="1804" spans="2:6" x14ac:dyDescent="0.2">
      <c r="B1804" s="198" t="s">
        <v>1390</v>
      </c>
      <c r="C1804" s="197">
        <v>478</v>
      </c>
      <c r="D1804" s="147"/>
      <c r="E1804" s="148"/>
      <c r="F1804" s="148"/>
    </row>
    <row r="1805" spans="2:6" x14ac:dyDescent="0.2">
      <c r="B1805" s="115" t="s">
        <v>1389</v>
      </c>
      <c r="C1805" s="114">
        <v>1521</v>
      </c>
      <c r="D1805" s="147"/>
      <c r="E1805" s="148"/>
      <c r="F1805" s="148"/>
    </row>
    <row r="1806" spans="2:6" x14ac:dyDescent="0.2">
      <c r="B1806" s="115" t="s">
        <v>1388</v>
      </c>
      <c r="C1806" s="114">
        <v>227</v>
      </c>
      <c r="D1806" s="147"/>
      <c r="E1806" s="148"/>
      <c r="F1806" s="148"/>
    </row>
    <row r="1807" spans="2:6" x14ac:dyDescent="0.2">
      <c r="B1807" s="198" t="s">
        <v>1387</v>
      </c>
      <c r="C1807" s="197">
        <v>486</v>
      </c>
      <c r="D1807" s="147"/>
      <c r="E1807" s="148"/>
      <c r="F1807" s="148"/>
    </row>
    <row r="1808" spans="2:6" x14ac:dyDescent="0.2">
      <c r="B1808" s="198" t="s">
        <v>1386</v>
      </c>
      <c r="C1808" s="197">
        <v>44</v>
      </c>
      <c r="D1808" s="147"/>
      <c r="E1808" s="148"/>
      <c r="F1808" s="148"/>
    </row>
    <row r="1809" spans="2:6" x14ac:dyDescent="0.2">
      <c r="B1809" s="198" t="s">
        <v>1385</v>
      </c>
      <c r="C1809" s="197">
        <v>1079</v>
      </c>
      <c r="D1809" s="147"/>
      <c r="E1809" s="148"/>
      <c r="F1809" s="148"/>
    </row>
    <row r="1810" spans="2:6" x14ac:dyDescent="0.2">
      <c r="B1810" s="115" t="s">
        <v>1384</v>
      </c>
      <c r="C1810" s="114">
        <v>845</v>
      </c>
      <c r="D1810" s="147"/>
      <c r="E1810" s="148"/>
      <c r="F1810" s="148"/>
    </row>
    <row r="1811" spans="2:6" x14ac:dyDescent="0.2">
      <c r="B1811" s="198" t="s">
        <v>1383</v>
      </c>
      <c r="C1811" s="197">
        <v>810</v>
      </c>
      <c r="D1811" s="147"/>
      <c r="E1811" s="148"/>
      <c r="F1811" s="148"/>
    </row>
    <row r="1812" spans="2:6" x14ac:dyDescent="0.2">
      <c r="B1812" s="115" t="s">
        <v>1382</v>
      </c>
      <c r="C1812" s="114">
        <v>1316</v>
      </c>
      <c r="D1812" s="147"/>
      <c r="E1812" s="148"/>
      <c r="F1812" s="148"/>
    </row>
    <row r="1813" spans="2:6" x14ac:dyDescent="0.2">
      <c r="B1813" s="115" t="s">
        <v>1381</v>
      </c>
      <c r="C1813" s="114">
        <v>1646</v>
      </c>
      <c r="D1813" s="147"/>
      <c r="E1813" s="148"/>
      <c r="F1813" s="148"/>
    </row>
    <row r="1814" spans="2:6" x14ac:dyDescent="0.2">
      <c r="B1814" s="198" t="s">
        <v>1380</v>
      </c>
      <c r="C1814" s="197">
        <v>7935</v>
      </c>
      <c r="D1814" s="147"/>
      <c r="E1814" s="148"/>
      <c r="F1814" s="148"/>
    </row>
    <row r="1815" spans="2:6" x14ac:dyDescent="0.2">
      <c r="B1815" s="115" t="s">
        <v>1379</v>
      </c>
      <c r="C1815" s="114">
        <v>577</v>
      </c>
      <c r="D1815" s="147"/>
      <c r="E1815" s="148"/>
      <c r="F1815" s="148"/>
    </row>
    <row r="1816" spans="2:6" x14ac:dyDescent="0.2">
      <c r="B1816" s="198" t="s">
        <v>1378</v>
      </c>
      <c r="C1816" s="197">
        <v>597</v>
      </c>
      <c r="D1816" s="147"/>
      <c r="E1816" s="148"/>
      <c r="F1816" s="148"/>
    </row>
    <row r="1817" spans="2:6" x14ac:dyDescent="0.2">
      <c r="B1817" s="115" t="s">
        <v>1377</v>
      </c>
      <c r="C1817" s="114">
        <v>482</v>
      </c>
      <c r="D1817" s="147"/>
      <c r="E1817" s="148"/>
      <c r="F1817" s="148"/>
    </row>
    <row r="1818" spans="2:6" x14ac:dyDescent="0.2">
      <c r="B1818" s="198" t="s">
        <v>1376</v>
      </c>
      <c r="C1818" s="197">
        <v>594</v>
      </c>
      <c r="D1818" s="147"/>
      <c r="E1818" s="148"/>
      <c r="F1818" s="148"/>
    </row>
    <row r="1819" spans="2:6" x14ac:dyDescent="0.2">
      <c r="B1819" s="115" t="s">
        <v>1375</v>
      </c>
      <c r="C1819" s="114">
        <v>9218</v>
      </c>
      <c r="D1819" s="147"/>
      <c r="E1819" s="148"/>
      <c r="F1819" s="148"/>
    </row>
    <row r="1820" spans="2:6" x14ac:dyDescent="0.2">
      <c r="B1820" s="198" t="s">
        <v>1374</v>
      </c>
      <c r="C1820" s="197">
        <v>1232</v>
      </c>
      <c r="D1820" s="147"/>
      <c r="E1820" s="148"/>
      <c r="F1820" s="148"/>
    </row>
    <row r="1821" spans="2:6" x14ac:dyDescent="0.2">
      <c r="B1821" s="115" t="s">
        <v>1373</v>
      </c>
      <c r="C1821" s="114">
        <v>3140</v>
      </c>
      <c r="D1821" s="147"/>
      <c r="E1821" s="148"/>
      <c r="F1821" s="148"/>
    </row>
    <row r="1822" spans="2:6" x14ac:dyDescent="0.2">
      <c r="B1822" s="115" t="s">
        <v>1372</v>
      </c>
      <c r="C1822" s="114">
        <v>373</v>
      </c>
      <c r="D1822" s="147"/>
      <c r="E1822" s="148"/>
      <c r="F1822" s="148"/>
    </row>
    <row r="1823" spans="2:6" x14ac:dyDescent="0.2">
      <c r="B1823" s="115" t="s">
        <v>1371</v>
      </c>
      <c r="C1823" s="114">
        <v>1014</v>
      </c>
      <c r="D1823" s="147"/>
      <c r="E1823" s="148"/>
      <c r="F1823" s="148"/>
    </row>
    <row r="1824" spans="2:6" x14ac:dyDescent="0.2">
      <c r="B1824" s="115" t="s">
        <v>1370</v>
      </c>
      <c r="C1824" s="114">
        <v>1954</v>
      </c>
      <c r="D1824" s="147"/>
      <c r="E1824" s="148"/>
      <c r="F1824" s="148"/>
    </row>
    <row r="1825" spans="2:6" x14ac:dyDescent="0.2">
      <c r="B1825" s="198" t="s">
        <v>1369</v>
      </c>
      <c r="C1825" s="197">
        <v>881</v>
      </c>
      <c r="D1825" s="147"/>
      <c r="E1825" s="148"/>
      <c r="F1825" s="148"/>
    </row>
    <row r="1826" spans="2:6" x14ac:dyDescent="0.2">
      <c r="B1826" s="198" t="s">
        <v>1368</v>
      </c>
      <c r="C1826" s="197">
        <v>631</v>
      </c>
      <c r="D1826" s="147"/>
      <c r="E1826" s="148"/>
      <c r="F1826" s="148"/>
    </row>
    <row r="1827" spans="2:6" x14ac:dyDescent="0.2">
      <c r="B1827" s="198" t="s">
        <v>1367</v>
      </c>
      <c r="C1827" s="197">
        <v>1264</v>
      </c>
      <c r="D1827" s="147"/>
      <c r="E1827" s="148"/>
      <c r="F1827" s="148"/>
    </row>
    <row r="1828" spans="2:6" x14ac:dyDescent="0.2">
      <c r="B1828" s="198" t="s">
        <v>1366</v>
      </c>
      <c r="C1828" s="197">
        <v>1282</v>
      </c>
      <c r="D1828" s="147"/>
      <c r="E1828" s="148"/>
      <c r="F1828" s="148"/>
    </row>
    <row r="1829" spans="2:6" x14ac:dyDescent="0.2">
      <c r="B1829" s="115" t="s">
        <v>1365</v>
      </c>
      <c r="C1829" s="114">
        <v>570</v>
      </c>
      <c r="D1829" s="147"/>
      <c r="E1829" s="148"/>
      <c r="F1829" s="148"/>
    </row>
    <row r="1830" spans="2:6" x14ac:dyDescent="0.2">
      <c r="B1830" s="198" t="s">
        <v>1364</v>
      </c>
      <c r="C1830" s="197">
        <v>149</v>
      </c>
      <c r="D1830" s="147"/>
      <c r="E1830" s="148"/>
      <c r="F1830" s="148"/>
    </row>
    <row r="1831" spans="2:6" x14ac:dyDescent="0.2">
      <c r="B1831" s="115" t="s">
        <v>1363</v>
      </c>
      <c r="C1831" s="114">
        <v>2871</v>
      </c>
      <c r="D1831" s="147"/>
      <c r="E1831" s="148"/>
      <c r="F1831" s="148"/>
    </row>
    <row r="1832" spans="2:6" x14ac:dyDescent="0.2">
      <c r="B1832" s="198" t="s">
        <v>1362</v>
      </c>
      <c r="C1832" s="197">
        <v>124</v>
      </c>
      <c r="D1832" s="147"/>
      <c r="E1832" s="148"/>
      <c r="F1832" s="148"/>
    </row>
    <row r="1833" spans="2:6" x14ac:dyDescent="0.2">
      <c r="B1833" s="115" t="s">
        <v>1361</v>
      </c>
      <c r="C1833" s="114">
        <v>731</v>
      </c>
      <c r="D1833" s="147"/>
      <c r="E1833" s="148"/>
      <c r="F1833" s="148"/>
    </row>
    <row r="1834" spans="2:6" x14ac:dyDescent="0.2">
      <c r="B1834" s="115" t="s">
        <v>1360</v>
      </c>
      <c r="C1834" s="114">
        <v>365</v>
      </c>
      <c r="D1834" s="147"/>
      <c r="E1834" s="148"/>
      <c r="F1834" s="148"/>
    </row>
    <row r="1835" spans="2:6" x14ac:dyDescent="0.2">
      <c r="B1835" s="115" t="s">
        <v>1359</v>
      </c>
      <c r="C1835" s="114">
        <v>1516</v>
      </c>
      <c r="D1835" s="147"/>
      <c r="E1835" s="148"/>
      <c r="F1835" s="148"/>
    </row>
    <row r="1836" spans="2:6" x14ac:dyDescent="0.2">
      <c r="B1836" s="198" t="s">
        <v>1358</v>
      </c>
      <c r="C1836" s="197">
        <v>319</v>
      </c>
      <c r="D1836" s="147"/>
      <c r="E1836" s="148"/>
      <c r="F1836" s="148"/>
    </row>
    <row r="1837" spans="2:6" x14ac:dyDescent="0.2">
      <c r="B1837" s="198" t="s">
        <v>1357</v>
      </c>
      <c r="C1837" s="197">
        <v>2072</v>
      </c>
      <c r="D1837" s="147"/>
      <c r="E1837" s="148"/>
      <c r="F1837" s="148"/>
    </row>
    <row r="1838" spans="2:6" x14ac:dyDescent="0.2">
      <c r="B1838" s="198" t="s">
        <v>1356</v>
      </c>
      <c r="C1838" s="197">
        <v>556</v>
      </c>
      <c r="D1838" s="147"/>
      <c r="E1838" s="148"/>
      <c r="F1838" s="148"/>
    </row>
    <row r="1839" spans="2:6" x14ac:dyDescent="0.2">
      <c r="B1839" s="115" t="s">
        <v>1355</v>
      </c>
      <c r="C1839" s="114">
        <v>2414</v>
      </c>
      <c r="D1839" s="147"/>
      <c r="E1839" s="148"/>
      <c r="F1839" s="148"/>
    </row>
    <row r="1840" spans="2:6" x14ac:dyDescent="0.2">
      <c r="B1840" s="115" t="s">
        <v>1354</v>
      </c>
      <c r="C1840" s="114">
        <v>5987</v>
      </c>
      <c r="D1840" s="147"/>
      <c r="E1840" s="148"/>
      <c r="F1840" s="148"/>
    </row>
    <row r="1841" spans="2:6" x14ac:dyDescent="0.2">
      <c r="B1841" s="198" t="s">
        <v>1353</v>
      </c>
      <c r="C1841" s="197">
        <v>446</v>
      </c>
      <c r="D1841" s="147"/>
      <c r="E1841" s="148"/>
      <c r="F1841" s="148"/>
    </row>
    <row r="1842" spans="2:6" x14ac:dyDescent="0.2">
      <c r="B1842" s="198" t="s">
        <v>1352</v>
      </c>
      <c r="C1842" s="197">
        <v>1105</v>
      </c>
      <c r="D1842" s="147"/>
      <c r="E1842" s="148"/>
      <c r="F1842" s="148"/>
    </row>
    <row r="1843" spans="2:6" x14ac:dyDescent="0.2">
      <c r="B1843" s="198" t="s">
        <v>1351</v>
      </c>
      <c r="C1843" s="197">
        <v>1779</v>
      </c>
      <c r="D1843" s="147"/>
      <c r="E1843" s="148"/>
      <c r="F1843" s="148"/>
    </row>
    <row r="1844" spans="2:6" x14ac:dyDescent="0.2">
      <c r="B1844" s="115" t="s">
        <v>1350</v>
      </c>
      <c r="C1844" s="114">
        <v>260</v>
      </c>
      <c r="D1844" s="147"/>
      <c r="E1844" s="148"/>
      <c r="F1844" s="148"/>
    </row>
    <row r="1845" spans="2:6" x14ac:dyDescent="0.2">
      <c r="B1845" s="198" t="s">
        <v>1349</v>
      </c>
      <c r="C1845" s="197">
        <v>196</v>
      </c>
      <c r="D1845" s="147"/>
      <c r="E1845" s="148"/>
      <c r="F1845" s="148"/>
    </row>
    <row r="1846" spans="2:6" x14ac:dyDescent="0.2">
      <c r="B1846" s="115" t="s">
        <v>1348</v>
      </c>
      <c r="C1846" s="114">
        <v>497</v>
      </c>
      <c r="D1846" s="147"/>
      <c r="E1846" s="148"/>
      <c r="F1846" s="148"/>
    </row>
    <row r="1847" spans="2:6" x14ac:dyDescent="0.2">
      <c r="B1847" s="115" t="s">
        <v>1347</v>
      </c>
      <c r="C1847" s="114">
        <v>262</v>
      </c>
      <c r="D1847" s="147"/>
      <c r="E1847" s="148"/>
      <c r="F1847" s="148"/>
    </row>
    <row r="1848" spans="2:6" x14ac:dyDescent="0.2">
      <c r="B1848" s="115" t="s">
        <v>1346</v>
      </c>
      <c r="C1848" s="114">
        <v>5270</v>
      </c>
      <c r="D1848" s="147"/>
      <c r="E1848" s="148"/>
      <c r="F1848" s="148"/>
    </row>
    <row r="1849" spans="2:6" x14ac:dyDescent="0.2">
      <c r="B1849" s="198" t="s">
        <v>1345</v>
      </c>
      <c r="C1849" s="197">
        <v>1325</v>
      </c>
      <c r="D1849" s="147"/>
      <c r="E1849" s="148"/>
      <c r="F1849" s="148"/>
    </row>
    <row r="1850" spans="2:6" x14ac:dyDescent="0.2">
      <c r="B1850" s="198" t="s">
        <v>1344</v>
      </c>
      <c r="C1850" s="197">
        <v>2874</v>
      </c>
      <c r="D1850" s="147"/>
      <c r="E1850" s="148"/>
      <c r="F1850" s="148"/>
    </row>
    <row r="1851" spans="2:6" x14ac:dyDescent="0.2">
      <c r="B1851" s="115" t="s">
        <v>1343</v>
      </c>
      <c r="C1851" s="114">
        <v>108</v>
      </c>
      <c r="D1851" s="147"/>
      <c r="E1851" s="148"/>
      <c r="F1851" s="148"/>
    </row>
    <row r="1852" spans="2:6" x14ac:dyDescent="0.2">
      <c r="B1852" s="115" t="s">
        <v>1342</v>
      </c>
      <c r="C1852" s="114">
        <v>71</v>
      </c>
      <c r="D1852" s="147"/>
      <c r="E1852" s="148"/>
      <c r="F1852" s="148"/>
    </row>
    <row r="1853" spans="2:6" x14ac:dyDescent="0.2">
      <c r="B1853" s="115" t="s">
        <v>1341</v>
      </c>
      <c r="C1853" s="114">
        <v>2666</v>
      </c>
      <c r="D1853" s="147"/>
      <c r="E1853" s="148"/>
      <c r="F1853" s="148"/>
    </row>
    <row r="1854" spans="2:6" x14ac:dyDescent="0.2">
      <c r="B1854" s="115" t="s">
        <v>1340</v>
      </c>
      <c r="C1854" s="114">
        <v>994</v>
      </c>
      <c r="D1854" s="147"/>
      <c r="E1854" s="148"/>
      <c r="F1854" s="148"/>
    </row>
    <row r="1855" spans="2:6" x14ac:dyDescent="0.2">
      <c r="B1855" s="198" t="s">
        <v>1339</v>
      </c>
      <c r="C1855" s="197">
        <v>9016</v>
      </c>
      <c r="D1855" s="147"/>
      <c r="E1855" s="148"/>
      <c r="F1855" s="148"/>
    </row>
    <row r="1856" spans="2:6" x14ac:dyDescent="0.2">
      <c r="B1856" s="115" t="s">
        <v>1338</v>
      </c>
      <c r="C1856" s="114">
        <v>1051</v>
      </c>
      <c r="D1856" s="147"/>
      <c r="E1856" s="148"/>
      <c r="F1856" s="148"/>
    </row>
    <row r="1857" spans="2:6" x14ac:dyDescent="0.2">
      <c r="B1857" s="115" t="s">
        <v>1337</v>
      </c>
      <c r="C1857" s="114">
        <v>42042</v>
      </c>
      <c r="D1857" s="147"/>
      <c r="E1857" s="148"/>
      <c r="F1857" s="148"/>
    </row>
    <row r="1858" spans="2:6" x14ac:dyDescent="0.2">
      <c r="B1858" s="198" t="s">
        <v>1336</v>
      </c>
      <c r="C1858" s="197">
        <v>863</v>
      </c>
      <c r="D1858" s="147"/>
      <c r="E1858" s="148"/>
      <c r="F1858" s="148"/>
    </row>
    <row r="1859" spans="2:6" x14ac:dyDescent="0.2">
      <c r="B1859" s="198" t="s">
        <v>1335</v>
      </c>
      <c r="C1859" s="197">
        <v>1266</v>
      </c>
      <c r="D1859" s="147"/>
      <c r="E1859" s="148"/>
      <c r="F1859" s="148"/>
    </row>
    <row r="1860" spans="2:6" x14ac:dyDescent="0.2">
      <c r="B1860" s="198" t="s">
        <v>1334</v>
      </c>
      <c r="C1860" s="197">
        <v>11874</v>
      </c>
      <c r="D1860" s="147"/>
      <c r="E1860" s="148"/>
      <c r="F1860" s="148"/>
    </row>
    <row r="1861" spans="2:6" x14ac:dyDescent="0.2">
      <c r="B1861" s="198" t="s">
        <v>1333</v>
      </c>
      <c r="C1861" s="197">
        <v>1086</v>
      </c>
      <c r="D1861" s="147"/>
      <c r="E1861" s="148"/>
      <c r="F1861" s="148"/>
    </row>
    <row r="1862" spans="2:6" x14ac:dyDescent="0.2">
      <c r="B1862" s="115" t="s">
        <v>1332</v>
      </c>
      <c r="C1862" s="114">
        <v>227</v>
      </c>
      <c r="D1862" s="147"/>
      <c r="E1862" s="148"/>
      <c r="F1862" s="148"/>
    </row>
    <row r="1863" spans="2:6" x14ac:dyDescent="0.2">
      <c r="B1863" s="198" t="s">
        <v>1331</v>
      </c>
      <c r="C1863" s="197">
        <v>288</v>
      </c>
      <c r="D1863" s="147"/>
      <c r="E1863" s="148"/>
      <c r="F1863" s="148"/>
    </row>
    <row r="1864" spans="2:6" x14ac:dyDescent="0.2">
      <c r="B1864" s="115" t="s">
        <v>1330</v>
      </c>
      <c r="C1864" s="114">
        <v>952</v>
      </c>
      <c r="D1864" s="147"/>
      <c r="E1864" s="148"/>
      <c r="F1864" s="148"/>
    </row>
    <row r="1865" spans="2:6" x14ac:dyDescent="0.2">
      <c r="B1865" s="115" t="s">
        <v>1329</v>
      </c>
      <c r="C1865" s="114">
        <v>481</v>
      </c>
      <c r="D1865" s="147"/>
      <c r="E1865" s="148"/>
      <c r="F1865" s="148"/>
    </row>
    <row r="1866" spans="2:6" x14ac:dyDescent="0.2">
      <c r="B1866" s="115" t="s">
        <v>1328</v>
      </c>
      <c r="C1866" s="114">
        <v>8757</v>
      </c>
      <c r="D1866" s="147"/>
      <c r="E1866" s="148"/>
      <c r="F1866" s="148"/>
    </row>
    <row r="1867" spans="2:6" x14ac:dyDescent="0.2">
      <c r="B1867" s="115" t="s">
        <v>1327</v>
      </c>
      <c r="C1867" s="114">
        <v>2011</v>
      </c>
      <c r="D1867" s="147"/>
      <c r="E1867" s="148"/>
      <c r="F1867" s="148"/>
    </row>
    <row r="1868" spans="2:6" x14ac:dyDescent="0.2">
      <c r="B1868" s="198" t="s">
        <v>1326</v>
      </c>
      <c r="C1868" s="197">
        <v>545</v>
      </c>
      <c r="D1868" s="147"/>
      <c r="E1868" s="148"/>
      <c r="F1868" s="148"/>
    </row>
    <row r="1869" spans="2:6" x14ac:dyDescent="0.2">
      <c r="B1869" s="198" t="s">
        <v>1325</v>
      </c>
      <c r="C1869" s="197">
        <v>180</v>
      </c>
      <c r="D1869" s="147"/>
      <c r="E1869" s="148"/>
      <c r="F1869" s="148"/>
    </row>
    <row r="1870" spans="2:6" x14ac:dyDescent="0.2">
      <c r="B1870" s="115" t="s">
        <v>1324</v>
      </c>
      <c r="C1870" s="114">
        <v>22940</v>
      </c>
      <c r="D1870" s="147"/>
      <c r="E1870" s="148"/>
      <c r="F1870" s="148"/>
    </row>
    <row r="1871" spans="2:6" x14ac:dyDescent="0.2">
      <c r="B1871" s="115" t="s">
        <v>1323</v>
      </c>
      <c r="C1871" s="114">
        <v>1524</v>
      </c>
      <c r="D1871" s="147"/>
      <c r="E1871" s="148"/>
      <c r="F1871" s="148"/>
    </row>
    <row r="1872" spans="2:6" x14ac:dyDescent="0.2">
      <c r="B1872" s="115" t="s">
        <v>1322</v>
      </c>
      <c r="C1872" s="114">
        <v>442</v>
      </c>
      <c r="D1872" s="147"/>
      <c r="E1872" s="148"/>
      <c r="F1872" s="148"/>
    </row>
    <row r="1873" spans="2:6" x14ac:dyDescent="0.2">
      <c r="B1873" s="198" t="s">
        <v>1321</v>
      </c>
      <c r="C1873" s="197">
        <v>354</v>
      </c>
      <c r="D1873" s="147"/>
      <c r="E1873" s="148"/>
      <c r="F1873" s="148"/>
    </row>
    <row r="1874" spans="2:6" x14ac:dyDescent="0.2">
      <c r="B1874" s="115" t="s">
        <v>1320</v>
      </c>
      <c r="C1874" s="114">
        <v>500</v>
      </c>
      <c r="D1874" s="147"/>
      <c r="E1874" s="148"/>
      <c r="F1874" s="148"/>
    </row>
    <row r="1875" spans="2:6" x14ac:dyDescent="0.2">
      <c r="B1875" s="198" t="s">
        <v>1319</v>
      </c>
      <c r="C1875" s="197">
        <v>1398</v>
      </c>
      <c r="D1875" s="147"/>
      <c r="E1875" s="148"/>
      <c r="F1875" s="148"/>
    </row>
    <row r="1876" spans="2:6" x14ac:dyDescent="0.2">
      <c r="B1876" s="115" t="s">
        <v>1318</v>
      </c>
      <c r="C1876" s="114">
        <v>984</v>
      </c>
      <c r="D1876" s="147"/>
      <c r="E1876" s="148"/>
      <c r="F1876" s="148"/>
    </row>
    <row r="1877" spans="2:6" x14ac:dyDescent="0.2">
      <c r="B1877" s="198" t="s">
        <v>1317</v>
      </c>
      <c r="C1877" s="197">
        <v>918</v>
      </c>
      <c r="D1877" s="147"/>
      <c r="E1877" s="148"/>
      <c r="F1877" s="148"/>
    </row>
    <row r="1878" spans="2:6" x14ac:dyDescent="0.2">
      <c r="B1878" s="198" t="s">
        <v>1316</v>
      </c>
      <c r="C1878" s="197">
        <v>2661</v>
      </c>
      <c r="D1878" s="147"/>
      <c r="E1878" s="148"/>
      <c r="F1878" s="148"/>
    </row>
    <row r="1879" spans="2:6" x14ac:dyDescent="0.2">
      <c r="B1879" s="198" t="s">
        <v>1315</v>
      </c>
      <c r="C1879" s="197">
        <v>2117</v>
      </c>
      <c r="D1879" s="147"/>
      <c r="E1879" s="148"/>
      <c r="F1879" s="148"/>
    </row>
    <row r="1880" spans="2:6" x14ac:dyDescent="0.2">
      <c r="B1880" s="115" t="s">
        <v>1314</v>
      </c>
      <c r="C1880" s="114">
        <v>5011</v>
      </c>
      <c r="D1880" s="147"/>
      <c r="E1880" s="148"/>
      <c r="F1880" s="148"/>
    </row>
    <row r="1881" spans="2:6" x14ac:dyDescent="0.2">
      <c r="B1881" s="115" t="s">
        <v>1313</v>
      </c>
      <c r="C1881" s="114">
        <v>111</v>
      </c>
      <c r="D1881" s="147"/>
      <c r="E1881" s="148"/>
      <c r="F1881" s="148"/>
    </row>
    <row r="1882" spans="2:6" x14ac:dyDescent="0.2">
      <c r="B1882" s="115" t="s">
        <v>1312</v>
      </c>
      <c r="C1882" s="114">
        <v>607</v>
      </c>
      <c r="D1882" s="147"/>
      <c r="E1882" s="148"/>
      <c r="F1882" s="148"/>
    </row>
    <row r="1883" spans="2:6" x14ac:dyDescent="0.2">
      <c r="B1883" s="115" t="s">
        <v>1311</v>
      </c>
      <c r="C1883" s="114">
        <v>1856</v>
      </c>
      <c r="D1883" s="147"/>
      <c r="E1883" s="148"/>
      <c r="F1883" s="148"/>
    </row>
    <row r="1884" spans="2:6" x14ac:dyDescent="0.2">
      <c r="B1884" s="198" t="s">
        <v>1310</v>
      </c>
      <c r="C1884" s="197">
        <v>566</v>
      </c>
      <c r="D1884" s="147"/>
      <c r="E1884" s="148"/>
      <c r="F1884" s="148"/>
    </row>
    <row r="1885" spans="2:6" x14ac:dyDescent="0.2">
      <c r="B1885" s="115" t="s">
        <v>1309</v>
      </c>
      <c r="C1885" s="114">
        <v>339</v>
      </c>
      <c r="D1885" s="147"/>
      <c r="E1885" s="148"/>
      <c r="F1885" s="148"/>
    </row>
    <row r="1886" spans="2:6" x14ac:dyDescent="0.2">
      <c r="B1886" s="115" t="s">
        <v>1308</v>
      </c>
      <c r="C1886" s="114">
        <v>639</v>
      </c>
      <c r="D1886" s="147"/>
      <c r="E1886" s="148"/>
      <c r="F1886" s="148"/>
    </row>
    <row r="1887" spans="2:6" x14ac:dyDescent="0.2">
      <c r="B1887" s="115" t="s">
        <v>1307</v>
      </c>
      <c r="C1887" s="114">
        <v>214</v>
      </c>
      <c r="D1887" s="147"/>
      <c r="E1887" s="148"/>
      <c r="F1887" s="148"/>
    </row>
    <row r="1888" spans="2:6" x14ac:dyDescent="0.2">
      <c r="B1888" s="115" t="s">
        <v>1306</v>
      </c>
      <c r="C1888" s="114">
        <v>1857</v>
      </c>
      <c r="D1888" s="147"/>
      <c r="E1888" s="148"/>
      <c r="F1888" s="148"/>
    </row>
    <row r="1889" spans="2:6" x14ac:dyDescent="0.2">
      <c r="B1889" s="115" t="s">
        <v>1305</v>
      </c>
      <c r="C1889" s="114">
        <v>435</v>
      </c>
      <c r="D1889" s="147"/>
      <c r="E1889" s="148"/>
      <c r="F1889" s="148"/>
    </row>
    <row r="1890" spans="2:6" x14ac:dyDescent="0.2">
      <c r="B1890" s="198" t="s">
        <v>1304</v>
      </c>
      <c r="C1890" s="197">
        <v>254</v>
      </c>
      <c r="D1890" s="147"/>
      <c r="E1890" s="148"/>
      <c r="F1890" s="148"/>
    </row>
    <row r="1891" spans="2:6" x14ac:dyDescent="0.2">
      <c r="B1891" s="115" t="s">
        <v>1303</v>
      </c>
      <c r="C1891" s="114">
        <v>1105</v>
      </c>
      <c r="D1891" s="147"/>
      <c r="E1891" s="148"/>
      <c r="F1891" s="148"/>
    </row>
    <row r="1892" spans="2:6" x14ac:dyDescent="0.2">
      <c r="B1892" s="115" t="s">
        <v>1302</v>
      </c>
      <c r="C1892" s="114">
        <v>3069</v>
      </c>
      <c r="D1892" s="147"/>
      <c r="E1892" s="148"/>
      <c r="F1892" s="148"/>
    </row>
    <row r="1893" spans="2:6" x14ac:dyDescent="0.2">
      <c r="B1893" s="198" t="s">
        <v>1301</v>
      </c>
      <c r="C1893" s="197">
        <v>590</v>
      </c>
      <c r="D1893" s="147"/>
      <c r="E1893" s="148"/>
      <c r="F1893" s="148"/>
    </row>
    <row r="1894" spans="2:6" x14ac:dyDescent="0.2">
      <c r="B1894" s="115" t="s">
        <v>1300</v>
      </c>
      <c r="C1894" s="114">
        <v>578</v>
      </c>
      <c r="D1894" s="147"/>
      <c r="E1894" s="148"/>
      <c r="F1894" s="148"/>
    </row>
    <row r="1895" spans="2:6" x14ac:dyDescent="0.2">
      <c r="B1895" s="115" t="s">
        <v>1299</v>
      </c>
      <c r="C1895" s="114">
        <v>1425</v>
      </c>
      <c r="D1895" s="147"/>
      <c r="E1895" s="148"/>
      <c r="F1895" s="148"/>
    </row>
    <row r="1896" spans="2:6" x14ac:dyDescent="0.2">
      <c r="B1896" s="115" t="s">
        <v>1298</v>
      </c>
      <c r="C1896" s="114">
        <v>916</v>
      </c>
      <c r="D1896" s="147"/>
      <c r="E1896" s="148"/>
      <c r="F1896" s="148"/>
    </row>
    <row r="1897" spans="2:6" x14ac:dyDescent="0.2">
      <c r="B1897" s="198" t="s">
        <v>1297</v>
      </c>
      <c r="C1897" s="197">
        <v>450</v>
      </c>
      <c r="D1897" s="147"/>
      <c r="E1897" s="148"/>
      <c r="F1897" s="148"/>
    </row>
    <row r="1898" spans="2:6" x14ac:dyDescent="0.2">
      <c r="B1898" s="115" t="s">
        <v>1296</v>
      </c>
      <c r="C1898" s="114">
        <v>382</v>
      </c>
      <c r="D1898" s="147"/>
      <c r="E1898" s="148"/>
      <c r="F1898" s="148"/>
    </row>
    <row r="1899" spans="2:6" x14ac:dyDescent="0.2">
      <c r="B1899" s="115" t="s">
        <v>1295</v>
      </c>
      <c r="C1899" s="114">
        <v>443</v>
      </c>
      <c r="D1899" s="147"/>
      <c r="E1899" s="148"/>
      <c r="F1899" s="148"/>
    </row>
    <row r="1900" spans="2:6" x14ac:dyDescent="0.2">
      <c r="B1900" s="198" t="s">
        <v>1294</v>
      </c>
      <c r="C1900" s="197">
        <v>4242</v>
      </c>
      <c r="D1900" s="147"/>
      <c r="E1900" s="148"/>
      <c r="F1900" s="148"/>
    </row>
    <row r="1901" spans="2:6" x14ac:dyDescent="0.2">
      <c r="B1901" s="115" t="s">
        <v>1293</v>
      </c>
      <c r="C1901" s="114">
        <v>2042</v>
      </c>
      <c r="D1901" s="147"/>
      <c r="E1901" s="148"/>
      <c r="F1901" s="148"/>
    </row>
    <row r="1902" spans="2:6" x14ac:dyDescent="0.2">
      <c r="B1902" s="115" t="s">
        <v>1292</v>
      </c>
      <c r="C1902" s="114">
        <v>871</v>
      </c>
      <c r="D1902" s="147"/>
      <c r="E1902" s="148"/>
      <c r="F1902" s="148"/>
    </row>
    <row r="1903" spans="2:6" x14ac:dyDescent="0.2">
      <c r="B1903" s="115" t="s">
        <v>1291</v>
      </c>
      <c r="C1903" s="114">
        <v>898</v>
      </c>
      <c r="D1903" s="147"/>
      <c r="E1903" s="148"/>
      <c r="F1903" s="148"/>
    </row>
    <row r="1904" spans="2:6" x14ac:dyDescent="0.2">
      <c r="B1904" s="115" t="s">
        <v>1290</v>
      </c>
      <c r="C1904" s="114">
        <v>6704</v>
      </c>
      <c r="D1904" s="147"/>
      <c r="E1904" s="148"/>
      <c r="F1904" s="148"/>
    </row>
    <row r="1905" spans="2:6" x14ac:dyDescent="0.2">
      <c r="B1905" s="115" t="s">
        <v>1289</v>
      </c>
      <c r="C1905" s="114">
        <v>533</v>
      </c>
      <c r="D1905" s="147"/>
      <c r="E1905" s="148"/>
      <c r="F1905" s="148"/>
    </row>
    <row r="1906" spans="2:6" x14ac:dyDescent="0.2">
      <c r="B1906" s="115" t="s">
        <v>1288</v>
      </c>
      <c r="C1906" s="114">
        <v>159</v>
      </c>
      <c r="D1906" s="147"/>
      <c r="E1906" s="148"/>
      <c r="F1906" s="148"/>
    </row>
    <row r="1907" spans="2:6" x14ac:dyDescent="0.2">
      <c r="B1907" s="115" t="s">
        <v>1287</v>
      </c>
      <c r="C1907" s="114">
        <v>315</v>
      </c>
      <c r="D1907" s="147"/>
      <c r="E1907" s="148"/>
      <c r="F1907" s="148"/>
    </row>
    <row r="1908" spans="2:6" x14ac:dyDescent="0.2">
      <c r="B1908" s="115" t="s">
        <v>1286</v>
      </c>
      <c r="C1908" s="114">
        <v>345</v>
      </c>
      <c r="D1908" s="147"/>
      <c r="E1908" s="148"/>
      <c r="F1908" s="148"/>
    </row>
    <row r="1909" spans="2:6" x14ac:dyDescent="0.2">
      <c r="B1909" s="198" t="s">
        <v>1285</v>
      </c>
      <c r="C1909" s="197">
        <v>666</v>
      </c>
      <c r="D1909" s="147"/>
      <c r="E1909" s="148"/>
      <c r="F1909" s="148"/>
    </row>
    <row r="1910" spans="2:6" x14ac:dyDescent="0.2">
      <c r="B1910" s="198" t="s">
        <v>1284</v>
      </c>
      <c r="C1910" s="197">
        <v>1259</v>
      </c>
      <c r="D1910" s="147"/>
      <c r="E1910" s="148"/>
      <c r="F1910" s="148"/>
    </row>
    <row r="1911" spans="2:6" x14ac:dyDescent="0.2">
      <c r="B1911" s="198" t="s">
        <v>1283</v>
      </c>
      <c r="C1911" s="197">
        <v>290</v>
      </c>
      <c r="D1911" s="147"/>
      <c r="E1911" s="148"/>
      <c r="F1911" s="148"/>
    </row>
    <row r="1912" spans="2:6" x14ac:dyDescent="0.2">
      <c r="B1912" s="198" t="s">
        <v>1282</v>
      </c>
      <c r="C1912" s="197">
        <v>1691</v>
      </c>
      <c r="D1912" s="147"/>
      <c r="E1912" s="148"/>
      <c r="F1912" s="148"/>
    </row>
    <row r="1913" spans="2:6" x14ac:dyDescent="0.2">
      <c r="B1913" s="198" t="s">
        <v>1281</v>
      </c>
      <c r="C1913" s="197">
        <v>149</v>
      </c>
      <c r="D1913" s="147"/>
      <c r="E1913" s="148"/>
      <c r="F1913" s="148"/>
    </row>
    <row r="1914" spans="2:6" x14ac:dyDescent="0.2">
      <c r="B1914" s="198" t="s">
        <v>1280</v>
      </c>
      <c r="C1914" s="197">
        <v>664</v>
      </c>
      <c r="D1914" s="147"/>
      <c r="E1914" s="148"/>
      <c r="F1914" s="148"/>
    </row>
    <row r="1915" spans="2:6" x14ac:dyDescent="0.2">
      <c r="B1915" s="115" t="s">
        <v>1279</v>
      </c>
      <c r="C1915" s="114">
        <v>4294</v>
      </c>
      <c r="D1915" s="147"/>
      <c r="E1915" s="148"/>
      <c r="F1915" s="148"/>
    </row>
    <row r="1916" spans="2:6" x14ac:dyDescent="0.2">
      <c r="B1916" s="198" t="s">
        <v>1278</v>
      </c>
      <c r="C1916" s="197">
        <v>800</v>
      </c>
      <c r="D1916" s="147"/>
      <c r="E1916" s="148"/>
      <c r="F1916" s="148"/>
    </row>
    <row r="1917" spans="2:6" x14ac:dyDescent="0.2">
      <c r="B1917" s="115" t="s">
        <v>1277</v>
      </c>
      <c r="C1917" s="114">
        <v>469</v>
      </c>
      <c r="D1917" s="147"/>
      <c r="E1917" s="148"/>
      <c r="F1917" s="148"/>
    </row>
    <row r="1918" spans="2:6" x14ac:dyDescent="0.2">
      <c r="B1918" s="115" t="s">
        <v>1276</v>
      </c>
      <c r="C1918" s="114">
        <v>3548</v>
      </c>
      <c r="D1918" s="147"/>
      <c r="E1918" s="148"/>
      <c r="F1918" s="148"/>
    </row>
    <row r="1919" spans="2:6" x14ac:dyDescent="0.2">
      <c r="B1919" s="198" t="s">
        <v>1275</v>
      </c>
      <c r="C1919" s="197">
        <v>1513</v>
      </c>
      <c r="D1919" s="147"/>
      <c r="E1919" s="148"/>
      <c r="F1919" s="148"/>
    </row>
    <row r="1920" spans="2:6" x14ac:dyDescent="0.2">
      <c r="B1920" s="198" t="s">
        <v>1274</v>
      </c>
      <c r="C1920" s="197">
        <v>500</v>
      </c>
      <c r="D1920" s="147"/>
      <c r="E1920" s="148"/>
      <c r="F1920" s="148"/>
    </row>
    <row r="1921" spans="2:6" x14ac:dyDescent="0.2">
      <c r="B1921" s="115" t="s">
        <v>1273</v>
      </c>
      <c r="C1921" s="114">
        <v>2344</v>
      </c>
      <c r="D1921" s="147"/>
      <c r="E1921" s="148"/>
      <c r="F1921" s="148"/>
    </row>
    <row r="1922" spans="2:6" x14ac:dyDescent="0.2">
      <c r="B1922" s="115" t="s">
        <v>1272</v>
      </c>
      <c r="C1922" s="114">
        <v>249</v>
      </c>
      <c r="D1922" s="147"/>
      <c r="E1922" s="148"/>
      <c r="F1922" s="148"/>
    </row>
    <row r="1923" spans="2:6" x14ac:dyDescent="0.2">
      <c r="B1923" s="115" t="s">
        <v>1271</v>
      </c>
      <c r="C1923" s="114">
        <v>582</v>
      </c>
      <c r="D1923" s="147"/>
      <c r="E1923" s="148"/>
      <c r="F1923" s="148"/>
    </row>
    <row r="1924" spans="2:6" x14ac:dyDescent="0.2">
      <c r="B1924" s="198" t="s">
        <v>1270</v>
      </c>
      <c r="C1924" s="197">
        <v>477</v>
      </c>
      <c r="D1924" s="147"/>
      <c r="E1924" s="148"/>
      <c r="F1924" s="148"/>
    </row>
    <row r="1925" spans="2:6" x14ac:dyDescent="0.2">
      <c r="B1925" s="115" t="s">
        <v>1269</v>
      </c>
      <c r="C1925" s="114">
        <v>918</v>
      </c>
      <c r="D1925" s="147"/>
      <c r="E1925" s="148"/>
      <c r="F1925" s="148"/>
    </row>
    <row r="1926" spans="2:6" x14ac:dyDescent="0.2">
      <c r="B1926" s="198" t="s">
        <v>1268</v>
      </c>
      <c r="C1926" s="197">
        <v>102</v>
      </c>
      <c r="D1926" s="147"/>
      <c r="E1926" s="148"/>
      <c r="F1926" s="148"/>
    </row>
    <row r="1927" spans="2:6" x14ac:dyDescent="0.2">
      <c r="B1927" s="115" t="s">
        <v>1267</v>
      </c>
      <c r="C1927" s="114">
        <v>654</v>
      </c>
      <c r="D1927" s="147"/>
      <c r="E1927" s="148"/>
      <c r="F1927" s="148"/>
    </row>
    <row r="1928" spans="2:6" x14ac:dyDescent="0.2">
      <c r="B1928" s="115" t="s">
        <v>1266</v>
      </c>
      <c r="C1928" s="114">
        <v>720</v>
      </c>
      <c r="D1928" s="147"/>
      <c r="E1928" s="148"/>
      <c r="F1928" s="148"/>
    </row>
    <row r="1929" spans="2:6" x14ac:dyDescent="0.2">
      <c r="B1929" s="115" t="s">
        <v>1265</v>
      </c>
      <c r="C1929" s="114">
        <v>311</v>
      </c>
      <c r="D1929" s="147"/>
      <c r="E1929" s="148"/>
      <c r="F1929" s="148"/>
    </row>
    <row r="1930" spans="2:6" x14ac:dyDescent="0.2">
      <c r="B1930" s="115" t="s">
        <v>1264</v>
      </c>
      <c r="C1930" s="114">
        <v>836</v>
      </c>
      <c r="D1930" s="147"/>
      <c r="E1930" s="148"/>
      <c r="F1930" s="148"/>
    </row>
    <row r="1931" spans="2:6" x14ac:dyDescent="0.2">
      <c r="B1931" s="198" t="s">
        <v>1263</v>
      </c>
      <c r="C1931" s="197">
        <v>618</v>
      </c>
      <c r="D1931" s="147"/>
      <c r="E1931" s="148"/>
      <c r="F1931" s="148"/>
    </row>
    <row r="1932" spans="2:6" x14ac:dyDescent="0.2">
      <c r="B1932" s="198" t="s">
        <v>1262</v>
      </c>
      <c r="C1932" s="197">
        <v>941</v>
      </c>
      <c r="D1932" s="147"/>
      <c r="E1932" s="148"/>
      <c r="F1932" s="148"/>
    </row>
    <row r="1933" spans="2:6" x14ac:dyDescent="0.2">
      <c r="B1933" s="198" t="s">
        <v>1261</v>
      </c>
      <c r="C1933" s="197">
        <v>322</v>
      </c>
      <c r="D1933" s="147"/>
      <c r="E1933" s="148"/>
      <c r="F1933" s="148"/>
    </row>
    <row r="1934" spans="2:6" x14ac:dyDescent="0.2">
      <c r="B1934" s="198" t="s">
        <v>1260</v>
      </c>
      <c r="C1934" s="197">
        <v>273</v>
      </c>
      <c r="D1934" s="147"/>
      <c r="E1934" s="148"/>
      <c r="F1934" s="148"/>
    </row>
    <row r="1935" spans="2:6" x14ac:dyDescent="0.2">
      <c r="B1935" s="115" t="s">
        <v>1259</v>
      </c>
      <c r="C1935" s="114">
        <v>204</v>
      </c>
      <c r="D1935" s="147"/>
      <c r="E1935" s="148"/>
      <c r="F1935" s="148"/>
    </row>
    <row r="1936" spans="2:6" x14ac:dyDescent="0.2">
      <c r="B1936" s="115" t="s">
        <v>1258</v>
      </c>
      <c r="C1936" s="114">
        <v>198</v>
      </c>
      <c r="D1936" s="147"/>
      <c r="E1936" s="148"/>
      <c r="F1936" s="148"/>
    </row>
    <row r="1937" spans="2:6" x14ac:dyDescent="0.2">
      <c r="B1937" s="115" t="s">
        <v>1257</v>
      </c>
      <c r="C1937" s="114">
        <v>271</v>
      </c>
      <c r="D1937" s="147"/>
      <c r="E1937" s="148"/>
      <c r="F1937" s="148"/>
    </row>
    <row r="1938" spans="2:6" x14ac:dyDescent="0.2">
      <c r="B1938" s="115" t="s">
        <v>1256</v>
      </c>
      <c r="C1938" s="114">
        <v>147</v>
      </c>
      <c r="D1938" s="147"/>
      <c r="E1938" s="148"/>
      <c r="F1938" s="148"/>
    </row>
    <row r="1939" spans="2:6" x14ac:dyDescent="0.2">
      <c r="B1939" s="198" t="s">
        <v>1255</v>
      </c>
      <c r="C1939" s="197">
        <v>310</v>
      </c>
      <c r="D1939" s="147"/>
      <c r="E1939" s="148"/>
      <c r="F1939" s="148"/>
    </row>
    <row r="1940" spans="2:6" x14ac:dyDescent="0.2">
      <c r="B1940" s="198" t="s">
        <v>1254</v>
      </c>
      <c r="C1940" s="197">
        <v>363</v>
      </c>
      <c r="D1940" s="147"/>
      <c r="E1940" s="148"/>
      <c r="F1940" s="148"/>
    </row>
    <row r="1941" spans="2:6" x14ac:dyDescent="0.2">
      <c r="B1941" s="198" t="s">
        <v>1253</v>
      </c>
      <c r="C1941" s="197">
        <v>166</v>
      </c>
      <c r="D1941" s="147"/>
      <c r="E1941" s="148"/>
      <c r="F1941" s="148"/>
    </row>
    <row r="1942" spans="2:6" x14ac:dyDescent="0.2">
      <c r="B1942" s="115" t="s">
        <v>1252</v>
      </c>
      <c r="C1942" s="114">
        <v>18</v>
      </c>
      <c r="D1942" s="147"/>
      <c r="E1942" s="148"/>
      <c r="F1942" s="148"/>
    </row>
    <row r="1943" spans="2:6" x14ac:dyDescent="0.2">
      <c r="B1943" s="115" t="s">
        <v>1251</v>
      </c>
      <c r="C1943" s="114">
        <v>1646</v>
      </c>
      <c r="D1943" s="147"/>
      <c r="E1943" s="148"/>
      <c r="F1943" s="148"/>
    </row>
    <row r="1944" spans="2:6" x14ac:dyDescent="0.2">
      <c r="B1944" s="115" t="s">
        <v>1250</v>
      </c>
      <c r="C1944" s="114">
        <v>111</v>
      </c>
      <c r="D1944" s="147"/>
      <c r="E1944" s="148"/>
      <c r="F1944" s="148"/>
    </row>
    <row r="1945" spans="2:6" x14ac:dyDescent="0.2">
      <c r="B1945" s="198" t="s">
        <v>1249</v>
      </c>
      <c r="C1945" s="197">
        <v>233</v>
      </c>
      <c r="D1945" s="147"/>
      <c r="E1945" s="148"/>
      <c r="F1945" s="148"/>
    </row>
    <row r="1946" spans="2:6" x14ac:dyDescent="0.2">
      <c r="B1946" s="198" t="s">
        <v>1248</v>
      </c>
      <c r="C1946" s="197">
        <v>305</v>
      </c>
      <c r="D1946" s="147"/>
      <c r="E1946" s="148"/>
      <c r="F1946" s="148"/>
    </row>
    <row r="1947" spans="2:6" x14ac:dyDescent="0.2">
      <c r="B1947" s="198" t="s">
        <v>1247</v>
      </c>
      <c r="C1947" s="197">
        <v>258</v>
      </c>
      <c r="D1947" s="147"/>
      <c r="E1947" s="148"/>
      <c r="F1947" s="148"/>
    </row>
    <row r="1948" spans="2:6" x14ac:dyDescent="0.2">
      <c r="B1948" s="198" t="s">
        <v>1246</v>
      </c>
      <c r="C1948" s="197">
        <v>305</v>
      </c>
      <c r="D1948" s="147"/>
      <c r="E1948" s="148"/>
      <c r="F1948" s="148"/>
    </row>
    <row r="1949" spans="2:6" x14ac:dyDescent="0.2">
      <c r="B1949" s="115" t="s">
        <v>1245</v>
      </c>
      <c r="C1949" s="114">
        <v>3003</v>
      </c>
      <c r="D1949" s="147"/>
      <c r="E1949" s="148"/>
      <c r="F1949" s="148"/>
    </row>
    <row r="1950" spans="2:6" x14ac:dyDescent="0.2">
      <c r="B1950" s="198" t="s">
        <v>1244</v>
      </c>
      <c r="C1950" s="197">
        <v>607</v>
      </c>
      <c r="D1950" s="147"/>
      <c r="E1950" s="148"/>
      <c r="F1950" s="148"/>
    </row>
    <row r="1951" spans="2:6" x14ac:dyDescent="0.2">
      <c r="B1951" s="115" t="s">
        <v>1243</v>
      </c>
      <c r="C1951" s="114">
        <v>341</v>
      </c>
      <c r="D1951" s="147"/>
      <c r="E1951" s="148"/>
      <c r="F1951" s="148"/>
    </row>
    <row r="1952" spans="2:6" x14ac:dyDescent="0.2">
      <c r="B1952" s="115" t="s">
        <v>1242</v>
      </c>
      <c r="C1952" s="114">
        <v>740</v>
      </c>
      <c r="D1952" s="147"/>
      <c r="E1952" s="148"/>
      <c r="F1952" s="148"/>
    </row>
    <row r="1953" spans="2:6" x14ac:dyDescent="0.2">
      <c r="B1953" s="198" t="s">
        <v>1241</v>
      </c>
      <c r="C1953" s="197">
        <v>232</v>
      </c>
      <c r="D1953" s="147"/>
      <c r="E1953" s="148"/>
      <c r="F1953" s="148"/>
    </row>
    <row r="1954" spans="2:6" x14ac:dyDescent="0.2">
      <c r="B1954" s="115" t="s">
        <v>1240</v>
      </c>
      <c r="C1954" s="114">
        <v>115</v>
      </c>
      <c r="D1954" s="147"/>
      <c r="E1954" s="148"/>
      <c r="F1954" s="148"/>
    </row>
    <row r="1955" spans="2:6" x14ac:dyDescent="0.2">
      <c r="B1955" s="198" t="s">
        <v>1239</v>
      </c>
      <c r="C1955" s="197">
        <v>202</v>
      </c>
      <c r="D1955" s="147"/>
      <c r="E1955" s="148"/>
      <c r="F1955" s="148"/>
    </row>
    <row r="1956" spans="2:6" x14ac:dyDescent="0.2">
      <c r="B1956" s="198" t="s">
        <v>1238</v>
      </c>
      <c r="C1956" s="197">
        <v>1499</v>
      </c>
      <c r="D1956" s="147"/>
      <c r="E1956" s="148"/>
      <c r="F1956" s="148"/>
    </row>
    <row r="1957" spans="2:6" x14ac:dyDescent="0.2">
      <c r="B1957" s="198" t="s">
        <v>1237</v>
      </c>
      <c r="C1957" s="197">
        <v>649</v>
      </c>
      <c r="D1957" s="147"/>
      <c r="E1957" s="148"/>
      <c r="F1957" s="148"/>
    </row>
    <row r="1958" spans="2:6" x14ac:dyDescent="0.2">
      <c r="B1958" s="115" t="s">
        <v>1236</v>
      </c>
      <c r="C1958" s="114">
        <v>1386</v>
      </c>
      <c r="D1958" s="147"/>
      <c r="E1958" s="148"/>
      <c r="F1958" s="148"/>
    </row>
    <row r="1959" spans="2:6" x14ac:dyDescent="0.2">
      <c r="B1959" s="115" t="s">
        <v>1235</v>
      </c>
      <c r="C1959" s="114">
        <v>1177</v>
      </c>
      <c r="D1959" s="147"/>
      <c r="E1959" s="148"/>
      <c r="F1959" s="148"/>
    </row>
    <row r="1960" spans="2:6" x14ac:dyDescent="0.2">
      <c r="B1960" s="115" t="s">
        <v>1234</v>
      </c>
      <c r="C1960" s="114">
        <v>559</v>
      </c>
      <c r="D1960" s="147"/>
      <c r="E1960" s="148"/>
      <c r="F1960" s="148"/>
    </row>
    <row r="1961" spans="2:6" x14ac:dyDescent="0.2">
      <c r="B1961" s="198" t="s">
        <v>1233</v>
      </c>
      <c r="C1961" s="197">
        <v>702</v>
      </c>
      <c r="D1961" s="147"/>
      <c r="E1961" s="148"/>
      <c r="F1961" s="148"/>
    </row>
    <row r="1962" spans="2:6" x14ac:dyDescent="0.2">
      <c r="B1962" s="115" t="s">
        <v>1232</v>
      </c>
      <c r="C1962" s="114">
        <v>1661</v>
      </c>
      <c r="D1962" s="147"/>
      <c r="E1962" s="148"/>
      <c r="F1962" s="148"/>
    </row>
    <row r="1963" spans="2:6" x14ac:dyDescent="0.2">
      <c r="B1963" s="115" t="s">
        <v>1231</v>
      </c>
      <c r="C1963" s="114">
        <v>637</v>
      </c>
      <c r="D1963" s="147"/>
      <c r="E1963" s="148"/>
      <c r="F1963" s="148"/>
    </row>
    <row r="1964" spans="2:6" x14ac:dyDescent="0.2">
      <c r="B1964" s="198" t="s">
        <v>1230</v>
      </c>
      <c r="C1964" s="197">
        <v>417</v>
      </c>
      <c r="D1964" s="147"/>
      <c r="E1964" s="148"/>
      <c r="F1964" s="148"/>
    </row>
    <row r="1965" spans="2:6" x14ac:dyDescent="0.2">
      <c r="B1965" s="198" t="s">
        <v>1229</v>
      </c>
      <c r="C1965" s="197">
        <v>1549</v>
      </c>
      <c r="D1965" s="147"/>
      <c r="E1965" s="148"/>
      <c r="F1965" s="148"/>
    </row>
    <row r="1966" spans="2:6" x14ac:dyDescent="0.2">
      <c r="B1966" s="115" t="s">
        <v>1228</v>
      </c>
      <c r="C1966" s="114">
        <v>905</v>
      </c>
      <c r="D1966" s="147"/>
      <c r="E1966" s="148"/>
      <c r="F1966" s="148"/>
    </row>
    <row r="1967" spans="2:6" x14ac:dyDescent="0.2">
      <c r="B1967" s="115" t="s">
        <v>1227</v>
      </c>
      <c r="C1967" s="114">
        <v>592</v>
      </c>
      <c r="D1967" s="147"/>
      <c r="E1967" s="148"/>
      <c r="F1967" s="148"/>
    </row>
    <row r="1968" spans="2:6" x14ac:dyDescent="0.2">
      <c r="B1968" s="198" t="s">
        <v>1226</v>
      </c>
      <c r="C1968" s="197">
        <v>550</v>
      </c>
      <c r="D1968" s="147"/>
      <c r="E1968" s="148"/>
      <c r="F1968" s="148"/>
    </row>
    <row r="1969" spans="2:6" x14ac:dyDescent="0.2">
      <c r="B1969" s="198" t="s">
        <v>1225</v>
      </c>
      <c r="C1969" s="197">
        <v>181</v>
      </c>
      <c r="D1969" s="147"/>
      <c r="E1969" s="148"/>
      <c r="F1969" s="148"/>
    </row>
    <row r="1970" spans="2:6" x14ac:dyDescent="0.2">
      <c r="B1970" s="115" t="s">
        <v>1224</v>
      </c>
      <c r="C1970" s="114">
        <v>947</v>
      </c>
      <c r="D1970" s="147"/>
      <c r="E1970" s="148"/>
      <c r="F1970" s="148"/>
    </row>
    <row r="1971" spans="2:6" x14ac:dyDescent="0.2">
      <c r="B1971" s="115" t="s">
        <v>1223</v>
      </c>
      <c r="C1971" s="114">
        <v>1845</v>
      </c>
      <c r="D1971" s="147"/>
      <c r="E1971" s="148"/>
      <c r="F1971" s="148"/>
    </row>
    <row r="1972" spans="2:6" x14ac:dyDescent="0.2">
      <c r="B1972" s="198" t="s">
        <v>1222</v>
      </c>
      <c r="C1972" s="197">
        <v>727</v>
      </c>
      <c r="D1972" s="147"/>
      <c r="E1972" s="148"/>
      <c r="F1972" s="148"/>
    </row>
    <row r="1973" spans="2:6" x14ac:dyDescent="0.2">
      <c r="B1973" s="198" t="s">
        <v>1221</v>
      </c>
      <c r="C1973" s="197">
        <v>1282</v>
      </c>
      <c r="D1973" s="147"/>
      <c r="E1973" s="148"/>
      <c r="F1973" s="148"/>
    </row>
    <row r="1974" spans="2:6" x14ac:dyDescent="0.2">
      <c r="B1974" s="115" t="s">
        <v>1220</v>
      </c>
      <c r="C1974" s="114">
        <v>1297</v>
      </c>
      <c r="D1974" s="147"/>
      <c r="E1974" s="148"/>
      <c r="F1974" s="148"/>
    </row>
    <row r="1975" spans="2:6" x14ac:dyDescent="0.2">
      <c r="B1975" s="115" t="s">
        <v>1219</v>
      </c>
      <c r="C1975" s="114">
        <v>1174</v>
      </c>
      <c r="D1975" s="147"/>
      <c r="E1975" s="148"/>
      <c r="F1975" s="148"/>
    </row>
    <row r="1976" spans="2:6" x14ac:dyDescent="0.2">
      <c r="B1976" s="198" t="s">
        <v>1218</v>
      </c>
      <c r="C1976" s="197">
        <v>508</v>
      </c>
      <c r="D1976" s="147"/>
      <c r="E1976" s="148"/>
      <c r="F1976" s="148"/>
    </row>
    <row r="1977" spans="2:6" x14ac:dyDescent="0.2">
      <c r="B1977" s="198" t="s">
        <v>1217</v>
      </c>
      <c r="C1977" s="197">
        <v>889</v>
      </c>
      <c r="D1977" s="147"/>
      <c r="E1977" s="148"/>
      <c r="F1977" s="148"/>
    </row>
    <row r="1978" spans="2:6" x14ac:dyDescent="0.2">
      <c r="B1978" s="115" t="s">
        <v>1216</v>
      </c>
      <c r="C1978" s="114">
        <v>3840</v>
      </c>
      <c r="D1978" s="147"/>
      <c r="E1978" s="148"/>
      <c r="F1978" s="148"/>
    </row>
    <row r="1979" spans="2:6" x14ac:dyDescent="0.2">
      <c r="B1979" s="115" t="s">
        <v>1215</v>
      </c>
      <c r="C1979" s="114">
        <v>2257</v>
      </c>
      <c r="D1979" s="147"/>
      <c r="E1979" s="148"/>
      <c r="F1979" s="148"/>
    </row>
    <row r="1980" spans="2:6" x14ac:dyDescent="0.2">
      <c r="B1980" s="198" t="s">
        <v>1214</v>
      </c>
      <c r="C1980" s="197">
        <v>2051</v>
      </c>
      <c r="D1980" s="147"/>
      <c r="E1980" s="148"/>
      <c r="F1980" s="148"/>
    </row>
    <row r="1981" spans="2:6" x14ac:dyDescent="0.2">
      <c r="B1981" s="115" t="s">
        <v>1213</v>
      </c>
      <c r="C1981" s="114">
        <v>5009</v>
      </c>
      <c r="D1981" s="147"/>
      <c r="E1981" s="148"/>
      <c r="F1981" s="148"/>
    </row>
    <row r="1982" spans="2:6" x14ac:dyDescent="0.2">
      <c r="B1982" s="198" t="s">
        <v>1212</v>
      </c>
      <c r="C1982" s="197">
        <v>7206</v>
      </c>
      <c r="D1982" s="147"/>
      <c r="E1982" s="148"/>
      <c r="F1982" s="148"/>
    </row>
    <row r="1983" spans="2:6" x14ac:dyDescent="0.2">
      <c r="B1983" s="198" t="s">
        <v>1211</v>
      </c>
      <c r="C1983" s="197">
        <v>57</v>
      </c>
      <c r="D1983" s="147"/>
      <c r="E1983" s="148"/>
      <c r="F1983" s="148"/>
    </row>
    <row r="1984" spans="2:6" x14ac:dyDescent="0.2">
      <c r="B1984" s="198" t="s">
        <v>1210</v>
      </c>
      <c r="C1984" s="197">
        <v>316</v>
      </c>
      <c r="D1984" s="147"/>
      <c r="E1984" s="148"/>
      <c r="F1984" s="148"/>
    </row>
    <row r="1985" spans="2:6" x14ac:dyDescent="0.2">
      <c r="B1985" s="115" t="s">
        <v>1209</v>
      </c>
      <c r="C1985" s="114">
        <v>3559</v>
      </c>
      <c r="D1985" s="147"/>
      <c r="E1985" s="148"/>
      <c r="F1985" s="148"/>
    </row>
    <row r="1986" spans="2:6" x14ac:dyDescent="0.2">
      <c r="B1986" s="198" t="s">
        <v>1208</v>
      </c>
      <c r="C1986" s="197">
        <v>3624</v>
      </c>
      <c r="D1986" s="147"/>
      <c r="E1986" s="148"/>
      <c r="F1986" s="148"/>
    </row>
    <row r="1987" spans="2:6" x14ac:dyDescent="0.2">
      <c r="B1987" s="115" t="s">
        <v>1207</v>
      </c>
      <c r="C1987" s="114">
        <v>1732</v>
      </c>
      <c r="D1987" s="147"/>
      <c r="E1987" s="148"/>
      <c r="F1987" s="148"/>
    </row>
    <row r="1988" spans="2:6" x14ac:dyDescent="0.2">
      <c r="B1988" s="198" t="s">
        <v>1206</v>
      </c>
      <c r="C1988" s="197">
        <v>7175</v>
      </c>
      <c r="D1988" s="147"/>
      <c r="E1988" s="148"/>
      <c r="F1988" s="148"/>
    </row>
    <row r="1989" spans="2:6" x14ac:dyDescent="0.2">
      <c r="B1989" s="115" t="s">
        <v>1205</v>
      </c>
      <c r="C1989" s="114">
        <v>11137</v>
      </c>
      <c r="D1989" s="147"/>
      <c r="E1989" s="148"/>
      <c r="F1989" s="148"/>
    </row>
    <row r="1990" spans="2:6" x14ac:dyDescent="0.2">
      <c r="B1990" s="115" t="s">
        <v>1204</v>
      </c>
      <c r="C1990" s="114">
        <v>2673</v>
      </c>
      <c r="D1990" s="147"/>
      <c r="E1990" s="148"/>
      <c r="F1990" s="148"/>
    </row>
    <row r="1991" spans="2:6" x14ac:dyDescent="0.2">
      <c r="B1991" s="115" t="s">
        <v>1203</v>
      </c>
      <c r="C1991" s="114">
        <v>2968</v>
      </c>
      <c r="D1991" s="147"/>
      <c r="E1991" s="148"/>
      <c r="F1991" s="148"/>
    </row>
    <row r="1992" spans="2:6" x14ac:dyDescent="0.2">
      <c r="B1992" s="115" t="s">
        <v>1202</v>
      </c>
      <c r="C1992" s="114">
        <v>2714</v>
      </c>
      <c r="D1992" s="147"/>
      <c r="E1992" s="148"/>
      <c r="F1992" s="148"/>
    </row>
    <row r="1993" spans="2:6" x14ac:dyDescent="0.2">
      <c r="B1993" s="115" t="s">
        <v>1201</v>
      </c>
      <c r="C1993" s="114">
        <v>2078</v>
      </c>
      <c r="D1993" s="147"/>
      <c r="E1993" s="148"/>
      <c r="F1993" s="148"/>
    </row>
    <row r="1994" spans="2:6" x14ac:dyDescent="0.2">
      <c r="B1994" s="115" t="s">
        <v>1200</v>
      </c>
      <c r="C1994" s="114">
        <v>1024</v>
      </c>
      <c r="D1994" s="147"/>
      <c r="E1994" s="148"/>
      <c r="F1994" s="148"/>
    </row>
    <row r="1995" spans="2:6" x14ac:dyDescent="0.2">
      <c r="B1995" s="198" t="s">
        <v>1199</v>
      </c>
      <c r="C1995" s="197">
        <v>499</v>
      </c>
      <c r="D1995" s="147"/>
      <c r="E1995" s="148"/>
      <c r="F1995" s="148"/>
    </row>
    <row r="1996" spans="2:6" x14ac:dyDescent="0.2">
      <c r="B1996" s="115" t="s">
        <v>1198</v>
      </c>
      <c r="C1996" s="114">
        <v>114873</v>
      </c>
      <c r="D1996" s="147"/>
      <c r="E1996" s="148"/>
      <c r="F1996" s="148"/>
    </row>
    <row r="1997" spans="2:6" x14ac:dyDescent="0.2">
      <c r="B1997" s="198" t="s">
        <v>1197</v>
      </c>
      <c r="C1997" s="197">
        <v>979</v>
      </c>
      <c r="D1997" s="147"/>
      <c r="E1997" s="148"/>
      <c r="F1997" s="148"/>
    </row>
    <row r="1998" spans="2:6" x14ac:dyDescent="0.2">
      <c r="B1998" s="115" t="s">
        <v>1196</v>
      </c>
      <c r="C1998" s="114">
        <v>1820</v>
      </c>
      <c r="D1998" s="147"/>
      <c r="E1998" s="148"/>
      <c r="F1998" s="148"/>
    </row>
    <row r="1999" spans="2:6" x14ac:dyDescent="0.2">
      <c r="B1999" s="198" t="s">
        <v>1195</v>
      </c>
      <c r="C1999" s="197">
        <v>411</v>
      </c>
      <c r="D1999" s="147"/>
      <c r="E1999" s="148"/>
      <c r="F1999" s="148"/>
    </row>
    <row r="2000" spans="2:6" x14ac:dyDescent="0.2">
      <c r="B2000" s="198" t="s">
        <v>1194</v>
      </c>
      <c r="C2000" s="197">
        <v>1066</v>
      </c>
      <c r="D2000" s="147"/>
      <c r="E2000" s="148"/>
      <c r="F2000" s="148"/>
    </row>
    <row r="2001" spans="2:6" x14ac:dyDescent="0.2">
      <c r="B2001" s="115" t="s">
        <v>1193</v>
      </c>
      <c r="C2001" s="114">
        <v>809</v>
      </c>
      <c r="D2001" s="147"/>
      <c r="E2001" s="148"/>
      <c r="F2001" s="148"/>
    </row>
    <row r="2002" spans="2:6" x14ac:dyDescent="0.2">
      <c r="B2002" s="115" t="s">
        <v>1192</v>
      </c>
      <c r="C2002" s="114">
        <v>2124</v>
      </c>
      <c r="D2002" s="147"/>
      <c r="E2002" s="148"/>
      <c r="F2002" s="148"/>
    </row>
    <row r="2003" spans="2:6" x14ac:dyDescent="0.2">
      <c r="B2003" s="115" t="s">
        <v>1191</v>
      </c>
      <c r="C2003" s="114">
        <v>1868</v>
      </c>
      <c r="D2003" s="147"/>
      <c r="E2003" s="148"/>
      <c r="F2003" s="148"/>
    </row>
    <row r="2004" spans="2:6" x14ac:dyDescent="0.2">
      <c r="B2004" s="115" t="s">
        <v>1190</v>
      </c>
      <c r="C2004" s="114">
        <v>684</v>
      </c>
      <c r="D2004" s="147"/>
      <c r="E2004" s="148"/>
      <c r="F2004" s="148"/>
    </row>
    <row r="2005" spans="2:6" x14ac:dyDescent="0.2">
      <c r="B2005" s="198" t="s">
        <v>1189</v>
      </c>
      <c r="C2005" s="197">
        <v>637</v>
      </c>
      <c r="D2005" s="147"/>
      <c r="E2005" s="148"/>
      <c r="F2005" s="148"/>
    </row>
    <row r="2006" spans="2:6" x14ac:dyDescent="0.2">
      <c r="B2006" s="198" t="s">
        <v>1188</v>
      </c>
      <c r="C2006" s="197">
        <v>2425</v>
      </c>
      <c r="D2006" s="147"/>
      <c r="E2006" s="148"/>
      <c r="F2006" s="148"/>
    </row>
    <row r="2007" spans="2:6" x14ac:dyDescent="0.2">
      <c r="B2007" s="115" t="s">
        <v>1187</v>
      </c>
      <c r="C2007" s="114">
        <v>4631</v>
      </c>
      <c r="D2007" s="147"/>
      <c r="E2007" s="148"/>
      <c r="F2007" s="148"/>
    </row>
    <row r="2008" spans="2:6" x14ac:dyDescent="0.2">
      <c r="B2008" s="115" t="s">
        <v>1186</v>
      </c>
      <c r="C2008" s="114">
        <v>1842</v>
      </c>
      <c r="D2008" s="147"/>
      <c r="E2008" s="148"/>
      <c r="F2008" s="148"/>
    </row>
    <row r="2009" spans="2:6" x14ac:dyDescent="0.2">
      <c r="B2009" s="115" t="s">
        <v>1185</v>
      </c>
      <c r="C2009" s="114">
        <v>2453</v>
      </c>
      <c r="D2009" s="147"/>
      <c r="E2009" s="148"/>
      <c r="F2009" s="148"/>
    </row>
    <row r="2010" spans="2:6" x14ac:dyDescent="0.2">
      <c r="B2010" s="115" t="s">
        <v>1184</v>
      </c>
      <c r="C2010" s="114">
        <v>2188</v>
      </c>
      <c r="D2010" s="147"/>
      <c r="E2010" s="148"/>
      <c r="F2010" s="148"/>
    </row>
    <row r="2011" spans="2:6" x14ac:dyDescent="0.2">
      <c r="B2011" s="198" t="s">
        <v>1183</v>
      </c>
      <c r="C2011" s="197">
        <v>807</v>
      </c>
      <c r="D2011" s="147"/>
      <c r="E2011" s="148"/>
      <c r="F2011" s="148"/>
    </row>
    <row r="2012" spans="2:6" x14ac:dyDescent="0.2">
      <c r="B2012" s="115" t="s">
        <v>1182</v>
      </c>
      <c r="C2012" s="114">
        <v>3752</v>
      </c>
      <c r="D2012" s="147"/>
      <c r="E2012" s="148"/>
      <c r="F2012" s="148"/>
    </row>
    <row r="2013" spans="2:6" x14ac:dyDescent="0.2">
      <c r="B2013" s="198" t="s">
        <v>1181</v>
      </c>
      <c r="C2013" s="197">
        <v>939</v>
      </c>
      <c r="D2013" s="147"/>
      <c r="E2013" s="148"/>
      <c r="F2013" s="148"/>
    </row>
    <row r="2014" spans="2:6" x14ac:dyDescent="0.2">
      <c r="B2014" s="115" t="s">
        <v>1180</v>
      </c>
      <c r="C2014" s="114">
        <v>1777</v>
      </c>
      <c r="D2014" s="147"/>
      <c r="E2014" s="148"/>
      <c r="F2014" s="148"/>
    </row>
    <row r="2015" spans="2:6" x14ac:dyDescent="0.2">
      <c r="B2015" s="115" t="s">
        <v>1179</v>
      </c>
      <c r="C2015" s="114">
        <v>6468</v>
      </c>
      <c r="D2015" s="147"/>
      <c r="E2015" s="148"/>
      <c r="F2015" s="148"/>
    </row>
    <row r="2016" spans="2:6" x14ac:dyDescent="0.2">
      <c r="B2016" s="115" t="s">
        <v>1178</v>
      </c>
      <c r="C2016" s="114">
        <v>932</v>
      </c>
      <c r="D2016" s="147"/>
      <c r="E2016" s="148"/>
      <c r="F2016" s="148"/>
    </row>
    <row r="2017" spans="2:6" x14ac:dyDescent="0.2">
      <c r="B2017" s="198" t="s">
        <v>1177</v>
      </c>
      <c r="C2017" s="197">
        <v>1803</v>
      </c>
      <c r="D2017" s="147"/>
      <c r="E2017" s="148"/>
      <c r="F2017" s="148"/>
    </row>
    <row r="2018" spans="2:6" x14ac:dyDescent="0.2">
      <c r="B2018" s="115" t="s">
        <v>1176</v>
      </c>
      <c r="C2018" s="114">
        <v>1877</v>
      </c>
      <c r="D2018" s="147"/>
      <c r="E2018" s="148"/>
      <c r="F2018" s="148"/>
    </row>
    <row r="2019" spans="2:6" x14ac:dyDescent="0.2">
      <c r="B2019" s="198" t="s">
        <v>1175</v>
      </c>
      <c r="C2019" s="197">
        <v>256</v>
      </c>
      <c r="D2019" s="147"/>
      <c r="E2019" s="148"/>
      <c r="F2019" s="148"/>
    </row>
    <row r="2020" spans="2:6" x14ac:dyDescent="0.2">
      <c r="B2020" s="198" t="s">
        <v>1174</v>
      </c>
      <c r="C2020" s="197">
        <v>335</v>
      </c>
      <c r="D2020" s="147"/>
      <c r="E2020" s="148"/>
      <c r="F2020" s="148"/>
    </row>
    <row r="2021" spans="2:6" x14ac:dyDescent="0.2">
      <c r="B2021" s="198" t="s">
        <v>1173</v>
      </c>
      <c r="C2021" s="197">
        <v>213</v>
      </c>
      <c r="D2021" s="147"/>
      <c r="E2021" s="148"/>
      <c r="F2021" s="148"/>
    </row>
    <row r="2022" spans="2:6" x14ac:dyDescent="0.2">
      <c r="B2022" s="115" t="s">
        <v>1172</v>
      </c>
      <c r="C2022" s="114">
        <v>4693</v>
      </c>
      <c r="D2022" s="147"/>
      <c r="E2022" s="148"/>
      <c r="F2022" s="148"/>
    </row>
    <row r="2023" spans="2:6" x14ac:dyDescent="0.2">
      <c r="B2023" s="115" t="s">
        <v>1171</v>
      </c>
      <c r="C2023" s="114">
        <v>83</v>
      </c>
      <c r="D2023" s="147"/>
      <c r="E2023" s="148"/>
      <c r="F2023" s="148"/>
    </row>
    <row r="2024" spans="2:6" x14ac:dyDescent="0.2">
      <c r="B2024" s="115" t="s">
        <v>1170</v>
      </c>
      <c r="C2024" s="114">
        <v>901</v>
      </c>
      <c r="D2024" s="147"/>
      <c r="E2024" s="148"/>
      <c r="F2024" s="148"/>
    </row>
    <row r="2025" spans="2:6" x14ac:dyDescent="0.2">
      <c r="B2025" s="198" t="s">
        <v>1169</v>
      </c>
      <c r="C2025" s="197">
        <v>49</v>
      </c>
      <c r="D2025" s="147"/>
      <c r="E2025" s="148"/>
      <c r="F2025" s="148"/>
    </row>
    <row r="2026" spans="2:6" x14ac:dyDescent="0.2">
      <c r="B2026" s="198" t="s">
        <v>1168</v>
      </c>
      <c r="C2026" s="197">
        <v>9950</v>
      </c>
      <c r="D2026" s="147"/>
      <c r="E2026" s="148"/>
      <c r="F2026" s="148"/>
    </row>
    <row r="2027" spans="2:6" x14ac:dyDescent="0.2">
      <c r="B2027" s="115" t="s">
        <v>1167</v>
      </c>
      <c r="C2027" s="114">
        <v>352</v>
      </c>
      <c r="D2027" s="147"/>
      <c r="E2027" s="148"/>
      <c r="F2027" s="148"/>
    </row>
    <row r="2028" spans="2:6" x14ac:dyDescent="0.2">
      <c r="B2028" s="198" t="s">
        <v>1166</v>
      </c>
      <c r="C2028" s="197">
        <v>328</v>
      </c>
      <c r="D2028" s="147"/>
      <c r="E2028" s="148"/>
      <c r="F2028" s="148"/>
    </row>
    <row r="2029" spans="2:6" x14ac:dyDescent="0.2">
      <c r="B2029" s="198" t="s">
        <v>1165</v>
      </c>
      <c r="C2029" s="197">
        <v>2384</v>
      </c>
      <c r="D2029" s="147"/>
      <c r="E2029" s="148"/>
      <c r="F2029" s="148"/>
    </row>
    <row r="2030" spans="2:6" x14ac:dyDescent="0.2">
      <c r="B2030" s="198" t="s">
        <v>1164</v>
      </c>
      <c r="C2030" s="197">
        <v>479</v>
      </c>
      <c r="D2030" s="147"/>
      <c r="E2030" s="148"/>
      <c r="F2030" s="148"/>
    </row>
    <row r="2031" spans="2:6" x14ac:dyDescent="0.2">
      <c r="B2031" s="115" t="s">
        <v>1163</v>
      </c>
      <c r="C2031" s="114">
        <v>481</v>
      </c>
      <c r="D2031" s="147"/>
      <c r="E2031" s="148"/>
      <c r="F2031" s="148"/>
    </row>
    <row r="2032" spans="2:6" x14ac:dyDescent="0.2">
      <c r="B2032" s="198" t="s">
        <v>1162</v>
      </c>
      <c r="C2032" s="197">
        <v>2106</v>
      </c>
      <c r="D2032" s="147"/>
      <c r="E2032" s="148"/>
      <c r="F2032" s="148"/>
    </row>
    <row r="2033" spans="2:6" x14ac:dyDescent="0.2">
      <c r="B2033" s="198" t="s">
        <v>1161</v>
      </c>
      <c r="C2033" s="197">
        <v>139</v>
      </c>
      <c r="D2033" s="147"/>
      <c r="E2033" s="148"/>
      <c r="F2033" s="148"/>
    </row>
    <row r="2034" spans="2:6" x14ac:dyDescent="0.2">
      <c r="B2034" s="115" t="s">
        <v>1160</v>
      </c>
      <c r="C2034" s="114">
        <v>85</v>
      </c>
      <c r="D2034" s="147"/>
      <c r="E2034" s="148"/>
      <c r="F2034" s="148"/>
    </row>
    <row r="2035" spans="2:6" x14ac:dyDescent="0.2">
      <c r="B2035" s="115" t="s">
        <v>1159</v>
      </c>
      <c r="C2035" s="114">
        <v>559</v>
      </c>
      <c r="D2035" s="147"/>
      <c r="E2035" s="148"/>
      <c r="F2035" s="148"/>
    </row>
    <row r="2036" spans="2:6" x14ac:dyDescent="0.2">
      <c r="B2036" s="115" t="s">
        <v>1158</v>
      </c>
      <c r="C2036" s="114">
        <v>408</v>
      </c>
      <c r="D2036" s="147"/>
      <c r="E2036" s="148"/>
      <c r="F2036" s="148"/>
    </row>
    <row r="2037" spans="2:6" x14ac:dyDescent="0.2">
      <c r="B2037" s="115" t="s">
        <v>1157</v>
      </c>
      <c r="C2037" s="114">
        <v>1016</v>
      </c>
      <c r="D2037" s="147"/>
      <c r="E2037" s="148"/>
      <c r="F2037" s="148"/>
    </row>
    <row r="2038" spans="2:6" x14ac:dyDescent="0.2">
      <c r="B2038" s="198" t="s">
        <v>1156</v>
      </c>
      <c r="C2038" s="197">
        <v>1496</v>
      </c>
      <c r="D2038" s="147"/>
      <c r="E2038" s="148"/>
      <c r="F2038" s="148"/>
    </row>
    <row r="2039" spans="2:6" x14ac:dyDescent="0.2">
      <c r="B2039" s="115" t="s">
        <v>1155</v>
      </c>
      <c r="C2039" s="114">
        <v>681</v>
      </c>
      <c r="D2039" s="147"/>
      <c r="E2039" s="148"/>
      <c r="F2039" s="148"/>
    </row>
    <row r="2040" spans="2:6" x14ac:dyDescent="0.2">
      <c r="B2040" s="115" t="s">
        <v>1154</v>
      </c>
      <c r="C2040" s="114">
        <v>249</v>
      </c>
      <c r="D2040" s="147"/>
      <c r="E2040" s="148"/>
      <c r="F2040" s="148"/>
    </row>
    <row r="2041" spans="2:6" x14ac:dyDescent="0.2">
      <c r="B2041" s="198" t="s">
        <v>1153</v>
      </c>
      <c r="C2041" s="197">
        <v>316</v>
      </c>
      <c r="D2041" s="147"/>
      <c r="E2041" s="148"/>
      <c r="F2041" s="148"/>
    </row>
    <row r="2042" spans="2:6" x14ac:dyDescent="0.2">
      <c r="B2042" s="115" t="s">
        <v>1152</v>
      </c>
      <c r="C2042" s="114">
        <v>105</v>
      </c>
      <c r="D2042" s="147"/>
      <c r="E2042" s="148"/>
      <c r="F2042" s="148"/>
    </row>
    <row r="2043" spans="2:6" x14ac:dyDescent="0.2">
      <c r="B2043" s="198" t="s">
        <v>1151</v>
      </c>
      <c r="C2043" s="197">
        <v>226</v>
      </c>
      <c r="D2043" s="147"/>
      <c r="E2043" s="148"/>
      <c r="F2043" s="148"/>
    </row>
    <row r="2044" spans="2:6" x14ac:dyDescent="0.2">
      <c r="B2044" s="115" t="s">
        <v>1150</v>
      </c>
      <c r="C2044" s="114">
        <v>4689</v>
      </c>
      <c r="D2044" s="147"/>
      <c r="E2044" s="148"/>
      <c r="F2044" s="148"/>
    </row>
    <row r="2045" spans="2:6" x14ac:dyDescent="0.2">
      <c r="B2045" s="115" t="s">
        <v>1149</v>
      </c>
      <c r="C2045" s="114">
        <v>2222</v>
      </c>
      <c r="D2045" s="147"/>
      <c r="E2045" s="148"/>
      <c r="F2045" s="148"/>
    </row>
    <row r="2046" spans="2:6" x14ac:dyDescent="0.2">
      <c r="B2046" s="115" t="s">
        <v>1148</v>
      </c>
      <c r="C2046" s="114">
        <v>2955</v>
      </c>
      <c r="D2046" s="147"/>
      <c r="E2046" s="148"/>
      <c r="F2046" s="148"/>
    </row>
    <row r="2047" spans="2:6" x14ac:dyDescent="0.2">
      <c r="B2047" s="198" t="s">
        <v>1147</v>
      </c>
      <c r="C2047" s="197">
        <v>1946</v>
      </c>
      <c r="D2047" s="147"/>
      <c r="E2047" s="148"/>
      <c r="F2047" s="148"/>
    </row>
    <row r="2048" spans="2:6" x14ac:dyDescent="0.2">
      <c r="B2048" s="198" t="s">
        <v>1146</v>
      </c>
      <c r="C2048" s="197">
        <v>99</v>
      </c>
      <c r="D2048" s="147"/>
      <c r="E2048" s="148"/>
      <c r="F2048" s="148"/>
    </row>
    <row r="2049" spans="2:6" x14ac:dyDescent="0.2">
      <c r="B2049" s="115" t="s">
        <v>1145</v>
      </c>
      <c r="C2049" s="114">
        <v>514</v>
      </c>
      <c r="D2049" s="147"/>
      <c r="E2049" s="148"/>
      <c r="F2049" s="148"/>
    </row>
    <row r="2050" spans="2:6" x14ac:dyDescent="0.2">
      <c r="B2050" s="198" t="s">
        <v>1144</v>
      </c>
      <c r="C2050" s="197">
        <v>773</v>
      </c>
      <c r="D2050" s="147"/>
      <c r="E2050" s="148"/>
      <c r="F2050" s="148"/>
    </row>
    <row r="2051" spans="2:6" x14ac:dyDescent="0.2">
      <c r="B2051" s="198" t="s">
        <v>1143</v>
      </c>
      <c r="C2051" s="197">
        <v>437</v>
      </c>
      <c r="D2051" s="147"/>
      <c r="E2051" s="148"/>
      <c r="F2051" s="148"/>
    </row>
    <row r="2052" spans="2:6" x14ac:dyDescent="0.2">
      <c r="B2052" s="115" t="s">
        <v>1142</v>
      </c>
      <c r="C2052" s="114">
        <v>70</v>
      </c>
      <c r="D2052" s="147"/>
      <c r="E2052" s="148"/>
      <c r="F2052" s="148"/>
    </row>
    <row r="2053" spans="2:6" x14ac:dyDescent="0.2">
      <c r="B2053" s="198" t="s">
        <v>1141</v>
      </c>
      <c r="C2053" s="197">
        <v>1109</v>
      </c>
      <c r="D2053" s="147"/>
      <c r="E2053" s="148"/>
      <c r="F2053" s="148"/>
    </row>
    <row r="2054" spans="2:6" x14ac:dyDescent="0.2">
      <c r="B2054" s="115" t="s">
        <v>1140</v>
      </c>
      <c r="C2054" s="114">
        <v>3261</v>
      </c>
      <c r="D2054" s="147"/>
      <c r="E2054" s="148"/>
      <c r="F2054" s="148"/>
    </row>
    <row r="2055" spans="2:6" x14ac:dyDescent="0.2">
      <c r="B2055" s="115" t="s">
        <v>1139</v>
      </c>
      <c r="C2055" s="114">
        <v>105</v>
      </c>
      <c r="D2055" s="147"/>
      <c r="E2055" s="148"/>
      <c r="F2055" s="148"/>
    </row>
    <row r="2056" spans="2:6" x14ac:dyDescent="0.2">
      <c r="B2056" s="115" t="s">
        <v>1138</v>
      </c>
      <c r="C2056" s="114">
        <v>1463</v>
      </c>
      <c r="D2056" s="147"/>
      <c r="E2056" s="148"/>
      <c r="F2056" s="148"/>
    </row>
    <row r="2057" spans="2:6" x14ac:dyDescent="0.2">
      <c r="B2057" s="115" t="s">
        <v>1137</v>
      </c>
      <c r="C2057" s="114">
        <v>24859</v>
      </c>
      <c r="D2057" s="147"/>
      <c r="E2057" s="148"/>
      <c r="F2057" s="148"/>
    </row>
    <row r="2058" spans="2:6" x14ac:dyDescent="0.2">
      <c r="B2058" s="198" t="s">
        <v>1136</v>
      </c>
      <c r="C2058" s="197">
        <v>138</v>
      </c>
      <c r="D2058" s="147"/>
      <c r="E2058" s="148"/>
      <c r="F2058" s="148"/>
    </row>
    <row r="2059" spans="2:6" x14ac:dyDescent="0.2">
      <c r="B2059" s="115" t="s">
        <v>1135</v>
      </c>
      <c r="C2059" s="114">
        <v>17510</v>
      </c>
      <c r="D2059" s="147"/>
      <c r="E2059" s="148"/>
      <c r="F2059" s="148"/>
    </row>
    <row r="2060" spans="2:6" x14ac:dyDescent="0.2">
      <c r="B2060" s="198" t="s">
        <v>1134</v>
      </c>
      <c r="C2060" s="197">
        <v>274</v>
      </c>
      <c r="D2060" s="147"/>
      <c r="E2060" s="148"/>
      <c r="F2060" s="148"/>
    </row>
    <row r="2061" spans="2:6" x14ac:dyDescent="0.2">
      <c r="B2061" s="198" t="s">
        <v>1133</v>
      </c>
      <c r="C2061" s="197">
        <v>349</v>
      </c>
      <c r="D2061" s="147"/>
      <c r="E2061" s="148"/>
      <c r="F2061" s="148"/>
    </row>
    <row r="2062" spans="2:6" x14ac:dyDescent="0.2">
      <c r="B2062" s="115" t="s">
        <v>1132</v>
      </c>
      <c r="C2062" s="114">
        <v>74</v>
      </c>
      <c r="D2062" s="147"/>
      <c r="E2062" s="148"/>
      <c r="F2062" s="148"/>
    </row>
    <row r="2063" spans="2:6" x14ac:dyDescent="0.2">
      <c r="B2063" s="198" t="s">
        <v>1131</v>
      </c>
      <c r="C2063" s="197">
        <v>863</v>
      </c>
      <c r="D2063" s="147"/>
      <c r="E2063" s="148"/>
      <c r="F2063" s="148"/>
    </row>
    <row r="2064" spans="2:6" x14ac:dyDescent="0.2">
      <c r="B2064" s="115" t="s">
        <v>1130</v>
      </c>
      <c r="C2064" s="114">
        <v>732</v>
      </c>
      <c r="D2064" s="147"/>
      <c r="E2064" s="148"/>
      <c r="F2064" s="148"/>
    </row>
    <row r="2065" spans="2:6" x14ac:dyDescent="0.2">
      <c r="B2065" s="198" t="s">
        <v>1129</v>
      </c>
      <c r="C2065" s="197">
        <v>2909</v>
      </c>
      <c r="D2065" s="147"/>
      <c r="E2065" s="148"/>
      <c r="F2065" s="148"/>
    </row>
    <row r="2066" spans="2:6" x14ac:dyDescent="0.2">
      <c r="B2066" s="198" t="s">
        <v>1128</v>
      </c>
      <c r="C2066" s="197">
        <v>605</v>
      </c>
      <c r="D2066" s="147"/>
      <c r="E2066" s="148"/>
      <c r="F2066" s="148"/>
    </row>
    <row r="2067" spans="2:6" x14ac:dyDescent="0.2">
      <c r="B2067" s="198" t="s">
        <v>1127</v>
      </c>
      <c r="C2067" s="197">
        <v>296</v>
      </c>
      <c r="D2067" s="147"/>
      <c r="E2067" s="148"/>
      <c r="F2067" s="148"/>
    </row>
    <row r="2068" spans="2:6" x14ac:dyDescent="0.2">
      <c r="B2068" s="115" t="s">
        <v>1126</v>
      </c>
      <c r="C2068" s="114">
        <v>751</v>
      </c>
      <c r="D2068" s="147"/>
      <c r="E2068" s="148"/>
      <c r="F2068" s="148"/>
    </row>
    <row r="2069" spans="2:6" x14ac:dyDescent="0.2">
      <c r="B2069" s="115" t="s">
        <v>1125</v>
      </c>
      <c r="C2069" s="114">
        <v>30056</v>
      </c>
      <c r="D2069" s="147"/>
      <c r="E2069" s="148"/>
      <c r="F2069" s="148"/>
    </row>
    <row r="2070" spans="2:6" x14ac:dyDescent="0.2">
      <c r="B2070" s="115" t="s">
        <v>1124</v>
      </c>
      <c r="C2070" s="114">
        <v>140</v>
      </c>
      <c r="D2070" s="147"/>
      <c r="E2070" s="148"/>
      <c r="F2070" s="148"/>
    </row>
    <row r="2071" spans="2:6" x14ac:dyDescent="0.2">
      <c r="B2071" s="115" t="s">
        <v>1123</v>
      </c>
      <c r="C2071" s="114">
        <v>184</v>
      </c>
      <c r="D2071" s="147"/>
      <c r="E2071" s="148"/>
      <c r="F2071" s="148"/>
    </row>
    <row r="2072" spans="2:6" x14ac:dyDescent="0.2">
      <c r="B2072" s="115" t="s">
        <v>1122</v>
      </c>
      <c r="C2072" s="114">
        <v>1496</v>
      </c>
      <c r="D2072" s="147"/>
      <c r="E2072" s="148"/>
      <c r="F2072" s="148"/>
    </row>
    <row r="2073" spans="2:6" x14ac:dyDescent="0.2">
      <c r="B2073" s="115" t="s">
        <v>1121</v>
      </c>
      <c r="C2073" s="114">
        <v>210</v>
      </c>
      <c r="D2073" s="147"/>
      <c r="E2073" s="148"/>
      <c r="F2073" s="148"/>
    </row>
    <row r="2074" spans="2:6" x14ac:dyDescent="0.2">
      <c r="B2074" s="198" t="s">
        <v>1120</v>
      </c>
      <c r="C2074" s="197">
        <v>2149</v>
      </c>
      <c r="D2074" s="147"/>
      <c r="E2074" s="148"/>
      <c r="F2074" s="148"/>
    </row>
    <row r="2075" spans="2:6" x14ac:dyDescent="0.2">
      <c r="B2075" s="198" t="s">
        <v>1119</v>
      </c>
      <c r="C2075" s="197">
        <v>3019</v>
      </c>
      <c r="D2075" s="147"/>
      <c r="E2075" s="148"/>
      <c r="F2075" s="148"/>
    </row>
    <row r="2076" spans="2:6" x14ac:dyDescent="0.2">
      <c r="B2076" s="115" t="s">
        <v>1118</v>
      </c>
      <c r="C2076" s="114">
        <v>1698</v>
      </c>
      <c r="D2076" s="147"/>
      <c r="E2076" s="148"/>
      <c r="F2076" s="148"/>
    </row>
    <row r="2077" spans="2:6" x14ac:dyDescent="0.2">
      <c r="B2077" s="115" t="s">
        <v>1117</v>
      </c>
      <c r="C2077" s="114">
        <v>676</v>
      </c>
      <c r="D2077" s="147"/>
      <c r="E2077" s="148"/>
      <c r="F2077" s="148"/>
    </row>
    <row r="2078" spans="2:6" x14ac:dyDescent="0.2">
      <c r="B2078" s="198" t="s">
        <v>1116</v>
      </c>
      <c r="C2078" s="197">
        <v>335</v>
      </c>
      <c r="D2078" s="147"/>
      <c r="E2078" s="148"/>
      <c r="F2078" s="148"/>
    </row>
    <row r="2079" spans="2:6" x14ac:dyDescent="0.2">
      <c r="B2079" s="115" t="s">
        <v>1115</v>
      </c>
      <c r="C2079" s="114">
        <v>1408</v>
      </c>
      <c r="D2079" s="147"/>
      <c r="E2079" s="148"/>
      <c r="F2079" s="148"/>
    </row>
    <row r="2080" spans="2:6" x14ac:dyDescent="0.2">
      <c r="B2080" s="115" t="s">
        <v>1114</v>
      </c>
      <c r="C2080" s="114">
        <v>8341</v>
      </c>
      <c r="D2080" s="147"/>
      <c r="E2080" s="148"/>
      <c r="F2080" s="148"/>
    </row>
    <row r="2081" spans="2:6" x14ac:dyDescent="0.2">
      <c r="B2081" s="115" t="s">
        <v>1113</v>
      </c>
      <c r="C2081" s="114">
        <v>690</v>
      </c>
      <c r="D2081" s="147"/>
      <c r="E2081" s="148"/>
      <c r="F2081" s="148"/>
    </row>
    <row r="2082" spans="2:6" x14ac:dyDescent="0.2">
      <c r="B2082" s="198" t="s">
        <v>1112</v>
      </c>
      <c r="C2082" s="197">
        <v>1479</v>
      </c>
      <c r="D2082" s="147"/>
      <c r="E2082" s="148"/>
      <c r="F2082" s="148"/>
    </row>
    <row r="2083" spans="2:6" x14ac:dyDescent="0.2">
      <c r="B2083" s="198" t="s">
        <v>1111</v>
      </c>
      <c r="C2083" s="197">
        <v>1028</v>
      </c>
      <c r="D2083" s="147"/>
      <c r="E2083" s="148"/>
      <c r="F2083" s="148"/>
    </row>
    <row r="2084" spans="2:6" x14ac:dyDescent="0.2">
      <c r="B2084" s="198" t="s">
        <v>1110</v>
      </c>
      <c r="C2084" s="197">
        <v>214</v>
      </c>
      <c r="D2084" s="147"/>
      <c r="E2084" s="148"/>
      <c r="F2084" s="148"/>
    </row>
    <row r="2085" spans="2:6" x14ac:dyDescent="0.2">
      <c r="B2085" s="115" t="s">
        <v>1109</v>
      </c>
      <c r="C2085" s="114">
        <v>1007</v>
      </c>
      <c r="D2085" s="147"/>
      <c r="E2085" s="148"/>
      <c r="F2085" s="148"/>
    </row>
    <row r="2086" spans="2:6" x14ac:dyDescent="0.2">
      <c r="B2086" s="115" t="s">
        <v>1108</v>
      </c>
      <c r="C2086" s="114">
        <v>4896</v>
      </c>
      <c r="D2086" s="147"/>
      <c r="E2086" s="148"/>
      <c r="F2086" s="148"/>
    </row>
    <row r="2087" spans="2:6" x14ac:dyDescent="0.2">
      <c r="B2087" s="198" t="s">
        <v>1107</v>
      </c>
      <c r="C2087" s="197">
        <v>924</v>
      </c>
      <c r="D2087" s="147"/>
      <c r="E2087" s="148"/>
      <c r="F2087" s="148"/>
    </row>
    <row r="2088" spans="2:6" x14ac:dyDescent="0.2">
      <c r="B2088" s="115" t="s">
        <v>1106</v>
      </c>
      <c r="C2088" s="114">
        <v>256</v>
      </c>
      <c r="D2088" s="147"/>
      <c r="E2088" s="148"/>
      <c r="F2088" s="148"/>
    </row>
    <row r="2089" spans="2:6" x14ac:dyDescent="0.2">
      <c r="B2089" s="115" t="s">
        <v>1105</v>
      </c>
      <c r="C2089" s="114">
        <v>417</v>
      </c>
      <c r="D2089" s="147"/>
      <c r="E2089" s="148"/>
      <c r="F2089" s="148"/>
    </row>
    <row r="2090" spans="2:6" x14ac:dyDescent="0.2">
      <c r="B2090" s="198" t="s">
        <v>1104</v>
      </c>
      <c r="C2090" s="197">
        <v>169</v>
      </c>
      <c r="D2090" s="147"/>
      <c r="E2090" s="148"/>
      <c r="F2090" s="148"/>
    </row>
    <row r="2091" spans="2:6" x14ac:dyDescent="0.2">
      <c r="B2091" s="115" t="s">
        <v>1103</v>
      </c>
      <c r="C2091" s="114">
        <v>309</v>
      </c>
      <c r="D2091" s="147"/>
      <c r="E2091" s="148"/>
      <c r="F2091" s="148"/>
    </row>
    <row r="2092" spans="2:6" x14ac:dyDescent="0.2">
      <c r="B2092" s="115" t="s">
        <v>1102</v>
      </c>
      <c r="C2092" s="114">
        <v>1994</v>
      </c>
      <c r="D2092" s="147"/>
      <c r="E2092" s="148"/>
      <c r="F2092" s="148"/>
    </row>
    <row r="2093" spans="2:6" x14ac:dyDescent="0.2">
      <c r="B2093" s="198" t="s">
        <v>1101</v>
      </c>
      <c r="C2093" s="197">
        <v>2143</v>
      </c>
      <c r="D2093" s="147"/>
      <c r="E2093" s="148"/>
      <c r="F2093" s="148"/>
    </row>
    <row r="2094" spans="2:6" x14ac:dyDescent="0.2">
      <c r="B2094" s="115" t="s">
        <v>1100</v>
      </c>
      <c r="C2094" s="114">
        <v>2908</v>
      </c>
      <c r="D2094" s="147"/>
      <c r="E2094" s="148"/>
      <c r="F2094" s="148"/>
    </row>
    <row r="2095" spans="2:6" x14ac:dyDescent="0.2">
      <c r="B2095" s="198" t="s">
        <v>1099</v>
      </c>
      <c r="C2095" s="197">
        <v>593</v>
      </c>
      <c r="D2095" s="147"/>
      <c r="E2095" s="148"/>
      <c r="F2095" s="148"/>
    </row>
    <row r="2096" spans="2:6" x14ac:dyDescent="0.2">
      <c r="B2096" s="198" t="s">
        <v>1098</v>
      </c>
      <c r="C2096" s="197">
        <v>796</v>
      </c>
      <c r="D2096" s="147"/>
      <c r="E2096" s="148"/>
      <c r="F2096" s="148"/>
    </row>
    <row r="2097" spans="2:6" x14ac:dyDescent="0.2">
      <c r="B2097" s="115" t="s">
        <v>1097</v>
      </c>
      <c r="C2097" s="114">
        <v>1393</v>
      </c>
      <c r="D2097" s="147"/>
      <c r="E2097" s="148"/>
      <c r="F2097" s="148"/>
    </row>
    <row r="2098" spans="2:6" x14ac:dyDescent="0.2">
      <c r="B2098" s="115" t="s">
        <v>1096</v>
      </c>
      <c r="C2098" s="114">
        <v>1453</v>
      </c>
      <c r="D2098" s="147"/>
      <c r="E2098" s="148"/>
      <c r="F2098" s="148"/>
    </row>
    <row r="2099" spans="2:6" x14ac:dyDescent="0.2">
      <c r="B2099" s="115" t="s">
        <v>1095</v>
      </c>
      <c r="C2099" s="114">
        <v>283</v>
      </c>
      <c r="D2099" s="147"/>
      <c r="E2099" s="148"/>
      <c r="F2099" s="148"/>
    </row>
    <row r="2100" spans="2:6" x14ac:dyDescent="0.2">
      <c r="B2100" s="115" t="s">
        <v>1094</v>
      </c>
      <c r="C2100" s="114">
        <v>113</v>
      </c>
      <c r="D2100" s="147"/>
      <c r="E2100" s="148"/>
      <c r="F2100" s="148"/>
    </row>
    <row r="2101" spans="2:6" x14ac:dyDescent="0.2">
      <c r="B2101" s="198" t="s">
        <v>1093</v>
      </c>
      <c r="C2101" s="197">
        <v>1141</v>
      </c>
      <c r="D2101" s="147"/>
      <c r="E2101" s="148"/>
      <c r="F2101" s="148"/>
    </row>
    <row r="2102" spans="2:6" x14ac:dyDescent="0.2">
      <c r="B2102" s="115" t="s">
        <v>1092</v>
      </c>
      <c r="C2102" s="114">
        <v>941</v>
      </c>
      <c r="D2102" s="147"/>
      <c r="E2102" s="148"/>
      <c r="F2102" s="148"/>
    </row>
    <row r="2103" spans="2:6" x14ac:dyDescent="0.2">
      <c r="B2103" s="115" t="s">
        <v>1091</v>
      </c>
      <c r="C2103" s="114">
        <v>832</v>
      </c>
      <c r="D2103" s="147"/>
      <c r="E2103" s="148"/>
      <c r="F2103" s="148"/>
    </row>
    <row r="2104" spans="2:6" x14ac:dyDescent="0.2">
      <c r="B2104" s="115" t="s">
        <v>1090</v>
      </c>
      <c r="C2104" s="114">
        <v>3793</v>
      </c>
      <c r="D2104" s="147"/>
      <c r="E2104" s="148"/>
      <c r="F2104" s="148"/>
    </row>
    <row r="2105" spans="2:6" x14ac:dyDescent="0.2">
      <c r="B2105" s="198" t="s">
        <v>1089</v>
      </c>
      <c r="C2105" s="197">
        <v>17873</v>
      </c>
      <c r="D2105" s="147"/>
      <c r="E2105" s="148"/>
      <c r="F2105" s="148"/>
    </row>
    <row r="2106" spans="2:6" x14ac:dyDescent="0.2">
      <c r="B2106" s="198" t="s">
        <v>1088</v>
      </c>
      <c r="C2106" s="197">
        <v>80</v>
      </c>
      <c r="D2106" s="147"/>
      <c r="E2106" s="148"/>
      <c r="F2106" s="148"/>
    </row>
    <row r="2107" spans="2:6" x14ac:dyDescent="0.2">
      <c r="B2107" s="198" t="s">
        <v>1087</v>
      </c>
      <c r="C2107" s="197">
        <v>1398</v>
      </c>
      <c r="D2107" s="147"/>
      <c r="E2107" s="148"/>
      <c r="F2107" s="148"/>
    </row>
    <row r="2108" spans="2:6" x14ac:dyDescent="0.2">
      <c r="B2108" s="115" t="s">
        <v>1086</v>
      </c>
      <c r="C2108" s="114">
        <v>145</v>
      </c>
      <c r="D2108" s="147"/>
      <c r="E2108" s="148"/>
      <c r="F2108" s="148"/>
    </row>
    <row r="2109" spans="2:6" x14ac:dyDescent="0.2">
      <c r="B2109" s="115" t="s">
        <v>1085</v>
      </c>
      <c r="C2109" s="114">
        <v>940</v>
      </c>
      <c r="D2109" s="147"/>
      <c r="E2109" s="148"/>
      <c r="F2109" s="148"/>
    </row>
    <row r="2110" spans="2:6" x14ac:dyDescent="0.2">
      <c r="B2110" s="115" t="s">
        <v>1084</v>
      </c>
      <c r="C2110" s="114">
        <v>407</v>
      </c>
      <c r="D2110" s="147"/>
      <c r="E2110" s="148"/>
      <c r="F2110" s="148"/>
    </row>
    <row r="2111" spans="2:6" x14ac:dyDescent="0.2">
      <c r="B2111" s="115" t="s">
        <v>1083</v>
      </c>
      <c r="C2111" s="114">
        <v>230</v>
      </c>
      <c r="D2111" s="147"/>
      <c r="E2111" s="148"/>
      <c r="F2111" s="148"/>
    </row>
    <row r="2112" spans="2:6" x14ac:dyDescent="0.2">
      <c r="B2112" s="115" t="s">
        <v>1082</v>
      </c>
      <c r="C2112" s="114">
        <v>360</v>
      </c>
      <c r="D2112" s="147"/>
      <c r="E2112" s="148"/>
      <c r="F2112" s="148"/>
    </row>
    <row r="2113" spans="2:6" x14ac:dyDescent="0.2">
      <c r="B2113" s="115" t="s">
        <v>1081</v>
      </c>
      <c r="C2113" s="114">
        <v>1611</v>
      </c>
      <c r="D2113" s="147"/>
      <c r="E2113" s="148"/>
      <c r="F2113" s="148"/>
    </row>
    <row r="2114" spans="2:6" x14ac:dyDescent="0.2">
      <c r="B2114" s="198" t="s">
        <v>1080</v>
      </c>
      <c r="C2114" s="197">
        <v>590</v>
      </c>
      <c r="D2114" s="147"/>
      <c r="E2114" s="148"/>
      <c r="F2114" s="148"/>
    </row>
    <row r="2115" spans="2:6" x14ac:dyDescent="0.2">
      <c r="B2115" s="115" t="s">
        <v>1079</v>
      </c>
      <c r="C2115" s="114">
        <v>752</v>
      </c>
      <c r="D2115" s="147"/>
      <c r="E2115" s="148"/>
      <c r="F2115" s="148"/>
    </row>
    <row r="2116" spans="2:6" x14ac:dyDescent="0.2">
      <c r="B2116" s="115" t="s">
        <v>1078</v>
      </c>
      <c r="C2116" s="114">
        <v>1524</v>
      </c>
      <c r="D2116" s="147"/>
      <c r="E2116" s="148"/>
      <c r="F2116" s="148"/>
    </row>
    <row r="2117" spans="2:6" x14ac:dyDescent="0.2">
      <c r="B2117" s="115" t="s">
        <v>1077</v>
      </c>
      <c r="C2117" s="114">
        <v>558</v>
      </c>
      <c r="D2117" s="147"/>
      <c r="E2117" s="148"/>
      <c r="F2117" s="148"/>
    </row>
    <row r="2118" spans="2:6" x14ac:dyDescent="0.2">
      <c r="B2118" s="115" t="s">
        <v>1076</v>
      </c>
      <c r="C2118" s="114">
        <v>58</v>
      </c>
      <c r="D2118" s="147"/>
      <c r="E2118" s="148"/>
      <c r="F2118" s="148"/>
    </row>
    <row r="2119" spans="2:6" x14ac:dyDescent="0.2">
      <c r="B2119" s="198" t="s">
        <v>1075</v>
      </c>
      <c r="C2119" s="197">
        <v>249</v>
      </c>
      <c r="D2119" s="147"/>
      <c r="E2119" s="148"/>
      <c r="F2119" s="148"/>
    </row>
    <row r="2120" spans="2:6" x14ac:dyDescent="0.2">
      <c r="B2120" s="115" t="s">
        <v>1074</v>
      </c>
      <c r="C2120" s="114">
        <v>1853</v>
      </c>
      <c r="D2120" s="147"/>
      <c r="E2120" s="148"/>
      <c r="F2120" s="148"/>
    </row>
    <row r="2121" spans="2:6" x14ac:dyDescent="0.2">
      <c r="B2121" s="198" t="s">
        <v>1073</v>
      </c>
      <c r="C2121" s="197">
        <v>370</v>
      </c>
      <c r="D2121" s="147"/>
      <c r="E2121" s="148"/>
      <c r="F2121" s="148"/>
    </row>
    <row r="2122" spans="2:6" x14ac:dyDescent="0.2">
      <c r="B2122" s="115" t="s">
        <v>1072</v>
      </c>
      <c r="C2122" s="114">
        <v>3892</v>
      </c>
      <c r="D2122" s="147"/>
      <c r="E2122" s="148"/>
      <c r="F2122" s="148"/>
    </row>
    <row r="2123" spans="2:6" x14ac:dyDescent="0.2">
      <c r="B2123" s="115" t="s">
        <v>1071</v>
      </c>
      <c r="C2123" s="114">
        <v>90</v>
      </c>
      <c r="D2123" s="147"/>
      <c r="E2123" s="148"/>
      <c r="F2123" s="148"/>
    </row>
    <row r="2124" spans="2:6" x14ac:dyDescent="0.2">
      <c r="B2124" s="198" t="s">
        <v>1070</v>
      </c>
      <c r="C2124" s="197">
        <v>466</v>
      </c>
      <c r="D2124" s="147"/>
      <c r="E2124" s="148"/>
      <c r="F2124" s="148"/>
    </row>
    <row r="2125" spans="2:6" x14ac:dyDescent="0.2">
      <c r="B2125" s="115" t="s">
        <v>1069</v>
      </c>
      <c r="C2125" s="114">
        <v>1659</v>
      </c>
      <c r="D2125" s="147"/>
      <c r="E2125" s="148"/>
      <c r="F2125" s="148"/>
    </row>
    <row r="2126" spans="2:6" x14ac:dyDescent="0.2">
      <c r="B2126" s="115" t="s">
        <v>1068</v>
      </c>
      <c r="C2126" s="114">
        <v>28240</v>
      </c>
      <c r="D2126" s="147"/>
      <c r="E2126" s="148"/>
      <c r="F2126" s="148"/>
    </row>
    <row r="2127" spans="2:6" x14ac:dyDescent="0.2">
      <c r="B2127" s="115" t="s">
        <v>1067</v>
      </c>
      <c r="C2127" s="114">
        <v>293</v>
      </c>
      <c r="D2127" s="147"/>
      <c r="E2127" s="148"/>
      <c r="F2127" s="148"/>
    </row>
    <row r="2128" spans="2:6" x14ac:dyDescent="0.2">
      <c r="B2128" s="198" t="s">
        <v>1066</v>
      </c>
      <c r="C2128" s="197">
        <v>534</v>
      </c>
      <c r="D2128" s="147"/>
      <c r="E2128" s="148"/>
      <c r="F2128" s="148"/>
    </row>
    <row r="2129" spans="2:6" x14ac:dyDescent="0.2">
      <c r="B2129" s="115" t="s">
        <v>1065</v>
      </c>
      <c r="C2129" s="114">
        <v>345</v>
      </c>
      <c r="D2129" s="147"/>
      <c r="E2129" s="148"/>
      <c r="F2129" s="148"/>
    </row>
    <row r="2130" spans="2:6" x14ac:dyDescent="0.2">
      <c r="B2130" s="115" t="s">
        <v>1064</v>
      </c>
      <c r="C2130" s="114">
        <v>1202</v>
      </c>
      <c r="D2130" s="147"/>
      <c r="E2130" s="148"/>
      <c r="F2130" s="148"/>
    </row>
    <row r="2131" spans="2:6" x14ac:dyDescent="0.2">
      <c r="B2131" s="115" t="s">
        <v>1063</v>
      </c>
      <c r="C2131" s="114">
        <v>1384</v>
      </c>
      <c r="D2131" s="147"/>
      <c r="E2131" s="148"/>
      <c r="F2131" s="148"/>
    </row>
    <row r="2132" spans="2:6" x14ac:dyDescent="0.2">
      <c r="B2132" s="115" t="s">
        <v>1062</v>
      </c>
      <c r="C2132" s="114">
        <v>296</v>
      </c>
      <c r="D2132" s="147"/>
      <c r="E2132" s="148"/>
      <c r="F2132" s="148"/>
    </row>
    <row r="2133" spans="2:6" x14ac:dyDescent="0.2">
      <c r="B2133" s="198" t="s">
        <v>1061</v>
      </c>
      <c r="C2133" s="197">
        <v>791</v>
      </c>
      <c r="D2133" s="147"/>
      <c r="E2133" s="148"/>
      <c r="F2133" s="148"/>
    </row>
    <row r="2134" spans="2:6" x14ac:dyDescent="0.2">
      <c r="B2134" s="198" t="s">
        <v>1060</v>
      </c>
      <c r="C2134" s="197">
        <v>139</v>
      </c>
      <c r="D2134" s="147"/>
      <c r="E2134" s="148"/>
      <c r="F2134" s="148"/>
    </row>
    <row r="2135" spans="2:6" x14ac:dyDescent="0.2">
      <c r="B2135" s="115" t="s">
        <v>1059</v>
      </c>
      <c r="C2135" s="114">
        <v>1758</v>
      </c>
      <c r="D2135" s="147"/>
      <c r="E2135" s="148"/>
      <c r="F2135" s="148"/>
    </row>
    <row r="2136" spans="2:6" x14ac:dyDescent="0.2">
      <c r="B2136" s="198" t="s">
        <v>1058</v>
      </c>
      <c r="C2136" s="197">
        <v>322</v>
      </c>
      <c r="D2136" s="147"/>
      <c r="E2136" s="148"/>
      <c r="F2136" s="148"/>
    </row>
    <row r="2137" spans="2:6" x14ac:dyDescent="0.2">
      <c r="B2137" s="115" t="s">
        <v>1057</v>
      </c>
      <c r="C2137" s="114">
        <v>1095</v>
      </c>
      <c r="D2137" s="147"/>
      <c r="E2137" s="148"/>
      <c r="F2137" s="148"/>
    </row>
    <row r="2138" spans="2:6" x14ac:dyDescent="0.2">
      <c r="B2138" s="115" t="s">
        <v>1056</v>
      </c>
      <c r="C2138" s="114">
        <v>573</v>
      </c>
      <c r="D2138" s="147"/>
      <c r="E2138" s="148"/>
      <c r="F2138" s="148"/>
    </row>
    <row r="2139" spans="2:6" x14ac:dyDescent="0.2">
      <c r="B2139" s="198" t="s">
        <v>1055</v>
      </c>
      <c r="C2139" s="197">
        <v>1171</v>
      </c>
      <c r="D2139" s="147"/>
      <c r="E2139" s="148"/>
      <c r="F2139" s="148"/>
    </row>
    <row r="2140" spans="2:6" x14ac:dyDescent="0.2">
      <c r="B2140" s="115" t="s">
        <v>1054</v>
      </c>
      <c r="C2140" s="114">
        <v>8379</v>
      </c>
      <c r="D2140" s="147"/>
      <c r="E2140" s="148"/>
      <c r="F2140" s="148"/>
    </row>
    <row r="2141" spans="2:6" x14ac:dyDescent="0.2">
      <c r="B2141" s="198" t="s">
        <v>1053</v>
      </c>
      <c r="C2141" s="197">
        <v>379</v>
      </c>
      <c r="D2141" s="147"/>
      <c r="E2141" s="148"/>
      <c r="F2141" s="148"/>
    </row>
    <row r="2142" spans="2:6" x14ac:dyDescent="0.2">
      <c r="B2142" s="198" t="s">
        <v>1052</v>
      </c>
      <c r="C2142" s="197">
        <v>201</v>
      </c>
      <c r="D2142" s="147"/>
      <c r="E2142" s="148"/>
      <c r="F2142" s="148"/>
    </row>
    <row r="2143" spans="2:6" x14ac:dyDescent="0.2">
      <c r="B2143" s="115" t="s">
        <v>1051</v>
      </c>
      <c r="C2143" s="114">
        <v>860</v>
      </c>
      <c r="D2143" s="147"/>
      <c r="E2143" s="148"/>
      <c r="F2143" s="148"/>
    </row>
    <row r="2144" spans="2:6" x14ac:dyDescent="0.2">
      <c r="B2144" s="198" t="s">
        <v>1050</v>
      </c>
      <c r="C2144" s="197">
        <v>294</v>
      </c>
      <c r="D2144" s="147"/>
      <c r="E2144" s="148"/>
      <c r="F2144" s="148"/>
    </row>
    <row r="2145" spans="2:6" x14ac:dyDescent="0.2">
      <c r="B2145" s="115" t="s">
        <v>1049</v>
      </c>
      <c r="C2145" s="114">
        <v>262</v>
      </c>
      <c r="D2145" s="147"/>
      <c r="E2145" s="148"/>
      <c r="F2145" s="148"/>
    </row>
    <row r="2146" spans="2:6" x14ac:dyDescent="0.2">
      <c r="B2146" s="198" t="s">
        <v>1048</v>
      </c>
      <c r="C2146" s="197">
        <v>54</v>
      </c>
      <c r="D2146" s="147"/>
      <c r="E2146" s="148"/>
      <c r="F2146" s="148"/>
    </row>
    <row r="2147" spans="2:6" x14ac:dyDescent="0.2">
      <c r="B2147" s="115" t="s">
        <v>1047</v>
      </c>
      <c r="C2147" s="114">
        <v>1855</v>
      </c>
      <c r="D2147" s="147"/>
      <c r="E2147" s="148"/>
      <c r="F2147" s="148"/>
    </row>
    <row r="2148" spans="2:6" x14ac:dyDescent="0.2">
      <c r="B2148" s="198" t="s">
        <v>1046</v>
      </c>
      <c r="C2148" s="197">
        <v>248</v>
      </c>
      <c r="D2148" s="147"/>
      <c r="E2148" s="148"/>
      <c r="F2148" s="148"/>
    </row>
    <row r="2149" spans="2:6" x14ac:dyDescent="0.2">
      <c r="B2149" s="115" t="s">
        <v>1045</v>
      </c>
      <c r="C2149" s="114">
        <v>2742</v>
      </c>
      <c r="D2149" s="147"/>
      <c r="E2149" s="148"/>
      <c r="F2149" s="148"/>
    </row>
    <row r="2150" spans="2:6" x14ac:dyDescent="0.2">
      <c r="B2150" s="198" t="s">
        <v>1044</v>
      </c>
      <c r="C2150" s="197">
        <v>734</v>
      </c>
      <c r="D2150" s="147"/>
      <c r="E2150" s="148"/>
      <c r="F2150" s="148"/>
    </row>
    <row r="2151" spans="2:6" x14ac:dyDescent="0.2">
      <c r="B2151" s="115" t="s">
        <v>1043</v>
      </c>
      <c r="C2151" s="114">
        <v>8765</v>
      </c>
      <c r="D2151" s="147"/>
      <c r="E2151" s="148"/>
      <c r="F2151" s="148"/>
    </row>
    <row r="2152" spans="2:6" x14ac:dyDescent="0.2">
      <c r="B2152" s="115" t="s">
        <v>1042</v>
      </c>
      <c r="C2152" s="114">
        <v>564</v>
      </c>
      <c r="D2152" s="147"/>
      <c r="E2152" s="148"/>
      <c r="F2152" s="148"/>
    </row>
    <row r="2153" spans="2:6" x14ac:dyDescent="0.2">
      <c r="B2153" s="115" t="s">
        <v>1041</v>
      </c>
      <c r="C2153" s="114">
        <v>2278</v>
      </c>
      <c r="D2153" s="147"/>
      <c r="E2153" s="148"/>
      <c r="F2153" s="148"/>
    </row>
    <row r="2154" spans="2:6" x14ac:dyDescent="0.2">
      <c r="B2154" s="115" t="s">
        <v>1040</v>
      </c>
      <c r="C2154" s="114">
        <v>1156</v>
      </c>
      <c r="D2154" s="147"/>
      <c r="E2154" s="148"/>
      <c r="F2154" s="148"/>
    </row>
    <row r="2155" spans="2:6" x14ac:dyDescent="0.2">
      <c r="B2155" s="115" t="s">
        <v>1039</v>
      </c>
      <c r="C2155" s="114">
        <v>17368</v>
      </c>
      <c r="D2155" s="147"/>
      <c r="E2155" s="148"/>
      <c r="F2155" s="148"/>
    </row>
    <row r="2156" spans="2:6" x14ac:dyDescent="0.2">
      <c r="B2156" s="115" t="s">
        <v>1038</v>
      </c>
      <c r="C2156" s="114">
        <v>743</v>
      </c>
      <c r="D2156" s="147"/>
      <c r="E2156" s="148"/>
      <c r="F2156" s="148"/>
    </row>
    <row r="2157" spans="2:6" x14ac:dyDescent="0.2">
      <c r="B2157" s="115" t="s">
        <v>1037</v>
      </c>
      <c r="C2157" s="114">
        <v>139412</v>
      </c>
      <c r="D2157" s="147"/>
      <c r="E2157" s="148"/>
      <c r="F2157" s="148"/>
    </row>
    <row r="2158" spans="2:6" x14ac:dyDescent="0.2">
      <c r="B2158" s="115" t="s">
        <v>1036</v>
      </c>
      <c r="C2158" s="114">
        <v>107</v>
      </c>
      <c r="D2158" s="147"/>
      <c r="E2158" s="148"/>
      <c r="F2158" s="148"/>
    </row>
    <row r="2159" spans="2:6" x14ac:dyDescent="0.2">
      <c r="B2159" s="115" t="s">
        <v>1035</v>
      </c>
      <c r="C2159" s="114">
        <v>87</v>
      </c>
      <c r="D2159" s="147"/>
      <c r="E2159" s="148"/>
      <c r="F2159" s="148"/>
    </row>
    <row r="2160" spans="2:6" x14ac:dyDescent="0.2">
      <c r="B2160" s="198" t="s">
        <v>1034</v>
      </c>
      <c r="C2160" s="197">
        <v>567</v>
      </c>
      <c r="D2160" s="147"/>
      <c r="E2160" s="148"/>
      <c r="F2160" s="148"/>
    </row>
    <row r="2161" spans="2:6" x14ac:dyDescent="0.2">
      <c r="B2161" s="115" t="s">
        <v>1033</v>
      </c>
      <c r="C2161" s="114">
        <v>747</v>
      </c>
      <c r="D2161" s="147"/>
      <c r="E2161" s="148"/>
      <c r="F2161" s="148"/>
    </row>
    <row r="2162" spans="2:6" x14ac:dyDescent="0.2">
      <c r="B2162" s="115" t="s">
        <v>1032</v>
      </c>
      <c r="C2162" s="114">
        <v>3795</v>
      </c>
      <c r="D2162" s="147"/>
      <c r="E2162" s="148"/>
      <c r="F2162" s="148"/>
    </row>
    <row r="2163" spans="2:6" x14ac:dyDescent="0.2">
      <c r="B2163" s="115" t="s">
        <v>1031</v>
      </c>
      <c r="C2163" s="114">
        <v>2336</v>
      </c>
      <c r="D2163" s="147"/>
      <c r="E2163" s="148"/>
      <c r="F2163" s="148"/>
    </row>
    <row r="2164" spans="2:6" x14ac:dyDescent="0.2">
      <c r="B2164" s="115" t="s">
        <v>1030</v>
      </c>
      <c r="C2164" s="114">
        <v>1280</v>
      </c>
      <c r="D2164" s="147"/>
      <c r="E2164" s="148"/>
      <c r="F2164" s="148"/>
    </row>
    <row r="2165" spans="2:6" x14ac:dyDescent="0.2">
      <c r="B2165" s="115" t="s">
        <v>1029</v>
      </c>
      <c r="C2165" s="114">
        <v>1568</v>
      </c>
      <c r="D2165" s="147"/>
      <c r="E2165" s="148"/>
      <c r="F2165" s="148"/>
    </row>
    <row r="2166" spans="2:6" x14ac:dyDescent="0.2">
      <c r="B2166" s="198" t="s">
        <v>1028</v>
      </c>
      <c r="C2166" s="197">
        <v>942</v>
      </c>
      <c r="D2166" s="147"/>
      <c r="E2166" s="148"/>
      <c r="F2166" s="148"/>
    </row>
    <row r="2167" spans="2:6" x14ac:dyDescent="0.2">
      <c r="B2167" s="115" t="s">
        <v>1027</v>
      </c>
      <c r="C2167" s="114">
        <v>320</v>
      </c>
      <c r="D2167" s="147"/>
      <c r="E2167" s="148"/>
      <c r="F2167" s="148"/>
    </row>
    <row r="2168" spans="2:6" x14ac:dyDescent="0.2">
      <c r="B2168" s="198" t="s">
        <v>1026</v>
      </c>
      <c r="C2168" s="197">
        <v>687</v>
      </c>
      <c r="D2168" s="147"/>
      <c r="E2168" s="148"/>
      <c r="F2168" s="148"/>
    </row>
    <row r="2169" spans="2:6" x14ac:dyDescent="0.2">
      <c r="B2169" s="115" t="s">
        <v>1025</v>
      </c>
      <c r="C2169" s="114">
        <v>2834</v>
      </c>
      <c r="D2169" s="147"/>
      <c r="E2169" s="148"/>
      <c r="F2169" s="148"/>
    </row>
    <row r="2170" spans="2:6" x14ac:dyDescent="0.2">
      <c r="B2170" s="115" t="s">
        <v>1024</v>
      </c>
      <c r="C2170" s="114">
        <v>2146</v>
      </c>
      <c r="D2170" s="147"/>
      <c r="E2170" s="148"/>
      <c r="F2170" s="148"/>
    </row>
    <row r="2171" spans="2:6" x14ac:dyDescent="0.2">
      <c r="B2171" s="198" t="s">
        <v>1023</v>
      </c>
      <c r="C2171" s="197">
        <v>331</v>
      </c>
      <c r="D2171" s="147"/>
      <c r="E2171" s="148"/>
      <c r="F2171" s="148"/>
    </row>
    <row r="2172" spans="2:6" x14ac:dyDescent="0.2">
      <c r="B2172" s="198" t="s">
        <v>1022</v>
      </c>
      <c r="C2172" s="197">
        <v>16</v>
      </c>
      <c r="D2172" s="147"/>
      <c r="E2172" s="148"/>
      <c r="F2172" s="148"/>
    </row>
    <row r="2173" spans="2:6" x14ac:dyDescent="0.2">
      <c r="B2173" s="115" t="s">
        <v>1021</v>
      </c>
      <c r="C2173" s="114">
        <v>154</v>
      </c>
      <c r="D2173" s="147"/>
      <c r="E2173" s="148"/>
      <c r="F2173" s="148"/>
    </row>
    <row r="2174" spans="2:6" x14ac:dyDescent="0.2">
      <c r="B2174" s="115" t="s">
        <v>1020</v>
      </c>
      <c r="C2174" s="114">
        <v>621</v>
      </c>
      <c r="D2174" s="147"/>
      <c r="E2174" s="148"/>
      <c r="F2174" s="148"/>
    </row>
    <row r="2175" spans="2:6" x14ac:dyDescent="0.2">
      <c r="B2175" s="198" t="s">
        <v>1019</v>
      </c>
      <c r="C2175" s="197">
        <v>475</v>
      </c>
      <c r="D2175" s="147"/>
      <c r="E2175" s="148"/>
      <c r="F2175" s="148"/>
    </row>
    <row r="2176" spans="2:6" x14ac:dyDescent="0.2">
      <c r="B2176" s="198" t="s">
        <v>1018</v>
      </c>
      <c r="C2176" s="197">
        <v>1465</v>
      </c>
      <c r="D2176" s="147"/>
      <c r="E2176" s="148"/>
      <c r="F2176" s="148"/>
    </row>
    <row r="2177" spans="2:6" x14ac:dyDescent="0.2">
      <c r="B2177" s="115" t="s">
        <v>1017</v>
      </c>
      <c r="C2177" s="114">
        <v>3865</v>
      </c>
      <c r="D2177" s="147"/>
      <c r="E2177" s="148"/>
      <c r="F2177" s="148"/>
    </row>
    <row r="2178" spans="2:6" x14ac:dyDescent="0.2">
      <c r="B2178" s="115" t="s">
        <v>1016</v>
      </c>
      <c r="C2178" s="114">
        <v>786</v>
      </c>
      <c r="D2178" s="147"/>
      <c r="E2178" s="148"/>
      <c r="F2178" s="148"/>
    </row>
    <row r="2179" spans="2:6" x14ac:dyDescent="0.2">
      <c r="B2179" s="198" t="s">
        <v>1015</v>
      </c>
      <c r="C2179" s="197">
        <v>362</v>
      </c>
      <c r="D2179" s="147"/>
      <c r="E2179" s="148"/>
      <c r="F2179" s="148"/>
    </row>
    <row r="2180" spans="2:6" x14ac:dyDescent="0.2">
      <c r="B2180" s="198" t="s">
        <v>1014</v>
      </c>
      <c r="C2180" s="197">
        <v>207</v>
      </c>
      <c r="D2180" s="147"/>
      <c r="E2180" s="148"/>
      <c r="F2180" s="148"/>
    </row>
    <row r="2181" spans="2:6" x14ac:dyDescent="0.2">
      <c r="B2181" s="115" t="s">
        <v>1013</v>
      </c>
      <c r="C2181" s="114">
        <v>131</v>
      </c>
      <c r="D2181" s="147"/>
      <c r="E2181" s="148"/>
      <c r="F2181" s="148"/>
    </row>
    <row r="2182" spans="2:6" x14ac:dyDescent="0.2">
      <c r="B2182" s="115" t="s">
        <v>1012</v>
      </c>
      <c r="C2182" s="114">
        <v>2666</v>
      </c>
      <c r="D2182" s="147"/>
      <c r="E2182" s="148"/>
      <c r="F2182" s="148"/>
    </row>
    <row r="2183" spans="2:6" x14ac:dyDescent="0.2">
      <c r="B2183" s="115" t="s">
        <v>1011</v>
      </c>
      <c r="C2183" s="114">
        <v>2064</v>
      </c>
      <c r="D2183" s="147"/>
      <c r="E2183" s="148"/>
      <c r="F2183" s="148"/>
    </row>
    <row r="2184" spans="2:6" x14ac:dyDescent="0.2">
      <c r="B2184" s="115" t="s">
        <v>1010</v>
      </c>
      <c r="C2184" s="114">
        <v>4206</v>
      </c>
      <c r="D2184" s="147"/>
      <c r="E2184" s="148"/>
      <c r="F2184" s="148"/>
    </row>
    <row r="2185" spans="2:6" x14ac:dyDescent="0.2">
      <c r="B2185" s="115" t="s">
        <v>1009</v>
      </c>
      <c r="C2185" s="114">
        <v>445</v>
      </c>
      <c r="D2185" s="147"/>
      <c r="E2185" s="148"/>
      <c r="F2185" s="148"/>
    </row>
    <row r="2186" spans="2:6" x14ac:dyDescent="0.2">
      <c r="B2186" s="115" t="s">
        <v>1008</v>
      </c>
      <c r="C2186" s="114">
        <v>1463</v>
      </c>
      <c r="D2186" s="147"/>
      <c r="E2186" s="148"/>
      <c r="F2186" s="148"/>
    </row>
    <row r="2187" spans="2:6" x14ac:dyDescent="0.2">
      <c r="B2187" s="115" t="s">
        <v>1007</v>
      </c>
      <c r="C2187" s="114">
        <v>2374</v>
      </c>
      <c r="D2187" s="147"/>
      <c r="E2187" s="148"/>
      <c r="F2187" s="148"/>
    </row>
    <row r="2188" spans="2:6" x14ac:dyDescent="0.2">
      <c r="B2188" s="115" t="s">
        <v>1006</v>
      </c>
      <c r="C2188" s="114">
        <v>1462</v>
      </c>
      <c r="D2188" s="147"/>
      <c r="E2188" s="148"/>
      <c r="F2188" s="148"/>
    </row>
    <row r="2189" spans="2:6" x14ac:dyDescent="0.2">
      <c r="B2189" s="198" t="s">
        <v>1005</v>
      </c>
      <c r="C2189" s="197">
        <v>1083</v>
      </c>
      <c r="D2189" s="147"/>
      <c r="E2189" s="148"/>
      <c r="F2189" s="148"/>
    </row>
    <row r="2190" spans="2:6" x14ac:dyDescent="0.2">
      <c r="B2190" s="115" t="s">
        <v>1004</v>
      </c>
      <c r="C2190" s="114">
        <v>201</v>
      </c>
      <c r="D2190" s="147"/>
      <c r="E2190" s="148"/>
      <c r="F2190" s="148"/>
    </row>
    <row r="2191" spans="2:6" x14ac:dyDescent="0.2">
      <c r="B2191" s="198" t="s">
        <v>1003</v>
      </c>
      <c r="C2191" s="197">
        <v>334</v>
      </c>
      <c r="D2191" s="147"/>
      <c r="E2191" s="148"/>
      <c r="F2191" s="148"/>
    </row>
    <row r="2192" spans="2:6" x14ac:dyDescent="0.2">
      <c r="B2192" s="115" t="s">
        <v>1002</v>
      </c>
      <c r="C2192" s="114">
        <v>302</v>
      </c>
      <c r="D2192" s="147"/>
      <c r="E2192" s="148"/>
      <c r="F2192" s="148"/>
    </row>
    <row r="2193" spans="2:6" x14ac:dyDescent="0.2">
      <c r="B2193" s="115" t="s">
        <v>1001</v>
      </c>
      <c r="C2193" s="114">
        <v>160</v>
      </c>
      <c r="D2193" s="147"/>
      <c r="E2193" s="148"/>
      <c r="F2193" s="148"/>
    </row>
    <row r="2194" spans="2:6" x14ac:dyDescent="0.2">
      <c r="B2194" s="115" t="s">
        <v>1000</v>
      </c>
      <c r="C2194" s="114">
        <v>589</v>
      </c>
      <c r="D2194" s="147"/>
      <c r="E2194" s="148"/>
      <c r="F2194" s="148"/>
    </row>
    <row r="2195" spans="2:6" x14ac:dyDescent="0.2">
      <c r="B2195" s="115" t="s">
        <v>999</v>
      </c>
      <c r="C2195" s="114">
        <v>11904</v>
      </c>
      <c r="D2195" s="147"/>
      <c r="E2195" s="148"/>
      <c r="F2195" s="148"/>
    </row>
    <row r="2196" spans="2:6" x14ac:dyDescent="0.2">
      <c r="B2196" s="115" t="s">
        <v>998</v>
      </c>
      <c r="C2196" s="114">
        <v>4431</v>
      </c>
      <c r="D2196" s="147"/>
      <c r="E2196" s="148"/>
      <c r="F2196" s="148"/>
    </row>
    <row r="2197" spans="2:6" x14ac:dyDescent="0.2">
      <c r="B2197" s="115" t="s">
        <v>997</v>
      </c>
      <c r="C2197" s="114">
        <v>8533</v>
      </c>
      <c r="D2197" s="147"/>
      <c r="E2197" s="148"/>
      <c r="F2197" s="148"/>
    </row>
    <row r="2198" spans="2:6" x14ac:dyDescent="0.2">
      <c r="B2198" s="198" t="s">
        <v>996</v>
      </c>
      <c r="C2198" s="197">
        <v>2519</v>
      </c>
      <c r="D2198" s="147"/>
      <c r="E2198" s="148"/>
      <c r="F2198" s="148"/>
    </row>
    <row r="2199" spans="2:6" x14ac:dyDescent="0.2">
      <c r="B2199" s="115" t="s">
        <v>995</v>
      </c>
      <c r="C2199" s="114">
        <v>2183</v>
      </c>
      <c r="D2199" s="147"/>
      <c r="E2199" s="148"/>
      <c r="F2199" s="148"/>
    </row>
    <row r="2200" spans="2:6" x14ac:dyDescent="0.2">
      <c r="B2200" s="198" t="s">
        <v>994</v>
      </c>
      <c r="C2200" s="197">
        <v>2166</v>
      </c>
      <c r="D2200" s="147"/>
      <c r="E2200" s="148"/>
      <c r="F2200" s="148"/>
    </row>
    <row r="2201" spans="2:6" x14ac:dyDescent="0.2">
      <c r="B2201" s="115" t="s">
        <v>993</v>
      </c>
      <c r="C2201" s="114">
        <v>14547</v>
      </c>
      <c r="D2201" s="147"/>
      <c r="E2201" s="148"/>
      <c r="F2201" s="148"/>
    </row>
    <row r="2202" spans="2:6" x14ac:dyDescent="0.2">
      <c r="B2202" s="115" t="s">
        <v>992</v>
      </c>
      <c r="C2202" s="114">
        <v>2686</v>
      </c>
      <c r="D2202" s="147"/>
      <c r="E2202" s="148"/>
      <c r="F2202" s="148"/>
    </row>
    <row r="2203" spans="2:6" x14ac:dyDescent="0.2">
      <c r="B2203" s="115" t="s">
        <v>991</v>
      </c>
      <c r="C2203" s="114">
        <v>4283</v>
      </c>
      <c r="D2203" s="147"/>
      <c r="E2203" s="148"/>
      <c r="F2203" s="148"/>
    </row>
    <row r="2204" spans="2:6" x14ac:dyDescent="0.2">
      <c r="B2204" s="115" t="s">
        <v>990</v>
      </c>
      <c r="C2204" s="114">
        <v>2167</v>
      </c>
      <c r="D2204" s="147"/>
      <c r="E2204" s="148"/>
      <c r="F2204" s="148"/>
    </row>
    <row r="2205" spans="2:6" x14ac:dyDescent="0.2">
      <c r="B2205" s="198" t="s">
        <v>989</v>
      </c>
      <c r="C2205" s="197">
        <v>1269</v>
      </c>
      <c r="D2205" s="147"/>
      <c r="E2205" s="148"/>
      <c r="F2205" s="148"/>
    </row>
    <row r="2206" spans="2:6" x14ac:dyDescent="0.2">
      <c r="B2206" s="198" t="s">
        <v>988</v>
      </c>
      <c r="C2206" s="197">
        <v>1973</v>
      </c>
      <c r="D2206" s="147"/>
      <c r="E2206" s="148"/>
      <c r="F2206" s="148"/>
    </row>
    <row r="2207" spans="2:6" x14ac:dyDescent="0.2">
      <c r="B2207" s="198" t="s">
        <v>987</v>
      </c>
      <c r="C2207" s="197">
        <v>175</v>
      </c>
      <c r="D2207" s="147"/>
      <c r="E2207" s="148"/>
      <c r="F2207" s="148"/>
    </row>
    <row r="2208" spans="2:6" x14ac:dyDescent="0.2">
      <c r="B2208" s="115" t="s">
        <v>986</v>
      </c>
      <c r="C2208" s="114">
        <v>321</v>
      </c>
      <c r="D2208" s="147"/>
      <c r="E2208" s="148"/>
      <c r="F2208" s="148"/>
    </row>
    <row r="2209" spans="2:6" x14ac:dyDescent="0.2">
      <c r="B2209" s="115" t="s">
        <v>985</v>
      </c>
      <c r="C2209" s="114">
        <v>1931</v>
      </c>
      <c r="D2209" s="147"/>
      <c r="E2209" s="148"/>
      <c r="F2209" s="148"/>
    </row>
    <row r="2210" spans="2:6" x14ac:dyDescent="0.2">
      <c r="B2210" s="198" t="s">
        <v>984</v>
      </c>
      <c r="C2210" s="197">
        <v>786</v>
      </c>
      <c r="D2210" s="147"/>
      <c r="E2210" s="148"/>
      <c r="F2210" s="148"/>
    </row>
    <row r="2211" spans="2:6" x14ac:dyDescent="0.2">
      <c r="B2211" s="115" t="s">
        <v>983</v>
      </c>
      <c r="C2211" s="114">
        <v>214</v>
      </c>
      <c r="D2211" s="147"/>
      <c r="E2211" s="148"/>
      <c r="F2211" s="148"/>
    </row>
    <row r="2212" spans="2:6" x14ac:dyDescent="0.2">
      <c r="B2212" s="115" t="s">
        <v>982</v>
      </c>
      <c r="C2212" s="114">
        <v>1173</v>
      </c>
      <c r="D2212" s="147"/>
      <c r="E2212" s="148"/>
      <c r="F2212" s="148"/>
    </row>
    <row r="2213" spans="2:6" x14ac:dyDescent="0.2">
      <c r="B2213" s="198" t="s">
        <v>981</v>
      </c>
      <c r="C2213" s="197">
        <v>151</v>
      </c>
      <c r="D2213" s="147"/>
      <c r="E2213" s="148"/>
      <c r="F2213" s="148"/>
    </row>
    <row r="2214" spans="2:6" x14ac:dyDescent="0.2">
      <c r="B2214" s="115" t="s">
        <v>980</v>
      </c>
      <c r="C2214" s="114">
        <v>2507</v>
      </c>
      <c r="D2214" s="147"/>
      <c r="E2214" s="148"/>
      <c r="F2214" s="148"/>
    </row>
    <row r="2215" spans="2:6" x14ac:dyDescent="0.2">
      <c r="B2215" s="198" t="s">
        <v>979</v>
      </c>
      <c r="C2215" s="197">
        <v>2849</v>
      </c>
      <c r="D2215" s="147"/>
      <c r="E2215" s="148"/>
      <c r="F2215" s="148"/>
    </row>
    <row r="2216" spans="2:6" x14ac:dyDescent="0.2">
      <c r="B2216" s="115" t="s">
        <v>978</v>
      </c>
      <c r="C2216" s="114">
        <v>1448</v>
      </c>
      <c r="D2216" s="147"/>
      <c r="E2216" s="148"/>
      <c r="F2216" s="148"/>
    </row>
    <row r="2217" spans="2:6" x14ac:dyDescent="0.2">
      <c r="B2217" s="115" t="s">
        <v>977</v>
      </c>
      <c r="C2217" s="114">
        <v>1362</v>
      </c>
      <c r="D2217" s="147"/>
      <c r="E2217" s="148"/>
      <c r="F2217" s="148"/>
    </row>
    <row r="2218" spans="2:6" x14ac:dyDescent="0.2">
      <c r="B2218" s="115" t="s">
        <v>976</v>
      </c>
      <c r="C2218" s="114">
        <v>470</v>
      </c>
      <c r="D2218" s="147"/>
      <c r="E2218" s="148"/>
      <c r="F2218" s="148"/>
    </row>
    <row r="2219" spans="2:6" x14ac:dyDescent="0.2">
      <c r="B2219" s="115" t="s">
        <v>975</v>
      </c>
      <c r="C2219" s="114">
        <v>883</v>
      </c>
      <c r="D2219" s="147"/>
      <c r="E2219" s="148"/>
      <c r="F2219" s="148"/>
    </row>
    <row r="2220" spans="2:6" x14ac:dyDescent="0.2">
      <c r="B2220" s="115" t="s">
        <v>974</v>
      </c>
      <c r="C2220" s="114">
        <v>229</v>
      </c>
      <c r="D2220" s="147"/>
      <c r="E2220" s="148"/>
      <c r="F2220" s="148"/>
    </row>
    <row r="2221" spans="2:6" x14ac:dyDescent="0.2">
      <c r="B2221" s="115" t="s">
        <v>973</v>
      </c>
      <c r="C2221" s="114">
        <v>7806</v>
      </c>
      <c r="D2221" s="147"/>
      <c r="E2221" s="148"/>
      <c r="F2221" s="148"/>
    </row>
    <row r="2222" spans="2:6" x14ac:dyDescent="0.2">
      <c r="B2222" s="115" t="s">
        <v>972</v>
      </c>
      <c r="C2222" s="114">
        <v>6621</v>
      </c>
      <c r="D2222" s="147"/>
      <c r="E2222" s="148"/>
      <c r="F2222" s="148"/>
    </row>
    <row r="2223" spans="2:6" x14ac:dyDescent="0.2">
      <c r="B2223" s="115" t="s">
        <v>971</v>
      </c>
      <c r="C2223" s="114">
        <v>18243</v>
      </c>
      <c r="D2223" s="147"/>
      <c r="E2223" s="148"/>
      <c r="F2223" s="148"/>
    </row>
    <row r="2224" spans="2:6" x14ac:dyDescent="0.2">
      <c r="B2224" s="115" t="s">
        <v>970</v>
      </c>
      <c r="C2224" s="114">
        <v>2636</v>
      </c>
      <c r="D2224" s="147"/>
      <c r="E2224" s="148"/>
      <c r="F2224" s="148"/>
    </row>
    <row r="2225" spans="2:6" x14ac:dyDescent="0.2">
      <c r="B2225" s="115" t="s">
        <v>969</v>
      </c>
      <c r="C2225" s="114">
        <v>377</v>
      </c>
      <c r="D2225" s="147"/>
      <c r="E2225" s="148"/>
      <c r="F2225" s="148"/>
    </row>
    <row r="2226" spans="2:6" x14ac:dyDescent="0.2">
      <c r="B2226" s="115" t="s">
        <v>968</v>
      </c>
      <c r="C2226" s="114">
        <v>2596</v>
      </c>
      <c r="D2226" s="147"/>
      <c r="E2226" s="148"/>
      <c r="F2226" s="148"/>
    </row>
    <row r="2227" spans="2:6" x14ac:dyDescent="0.2">
      <c r="B2227" s="198" t="s">
        <v>967</v>
      </c>
      <c r="C2227" s="197">
        <v>164</v>
      </c>
      <c r="D2227" s="147"/>
      <c r="E2227" s="148"/>
      <c r="F2227" s="148"/>
    </row>
    <row r="2228" spans="2:6" x14ac:dyDescent="0.2">
      <c r="B2228" s="115" t="s">
        <v>966</v>
      </c>
      <c r="C2228" s="114">
        <v>185</v>
      </c>
      <c r="D2228" s="147"/>
      <c r="E2228" s="148"/>
      <c r="F2228" s="148"/>
    </row>
    <row r="2229" spans="2:6" x14ac:dyDescent="0.2">
      <c r="B2229" s="115" t="s">
        <v>965</v>
      </c>
      <c r="C2229" s="114">
        <v>256</v>
      </c>
      <c r="D2229" s="147"/>
      <c r="E2229" s="148"/>
      <c r="F2229" s="148"/>
    </row>
    <row r="2230" spans="2:6" x14ac:dyDescent="0.2">
      <c r="B2230" s="198" t="s">
        <v>964</v>
      </c>
      <c r="C2230" s="197">
        <v>69</v>
      </c>
      <c r="D2230" s="147"/>
      <c r="E2230" s="148"/>
      <c r="F2230" s="148"/>
    </row>
    <row r="2231" spans="2:6" x14ac:dyDescent="0.2">
      <c r="B2231" s="198" t="s">
        <v>963</v>
      </c>
      <c r="C2231" s="197">
        <v>238</v>
      </c>
      <c r="D2231" s="147"/>
      <c r="E2231" s="148"/>
      <c r="F2231" s="148"/>
    </row>
    <row r="2232" spans="2:6" x14ac:dyDescent="0.2">
      <c r="B2232" s="198" t="s">
        <v>962</v>
      </c>
      <c r="C2232" s="197">
        <v>479</v>
      </c>
      <c r="D2232" s="147"/>
      <c r="E2232" s="148"/>
      <c r="F2232" s="148"/>
    </row>
    <row r="2233" spans="2:6" x14ac:dyDescent="0.2">
      <c r="B2233" s="198" t="s">
        <v>961</v>
      </c>
      <c r="C2233" s="197">
        <v>254</v>
      </c>
      <c r="D2233" s="147"/>
      <c r="E2233" s="148"/>
      <c r="F2233" s="148"/>
    </row>
    <row r="2234" spans="2:6" x14ac:dyDescent="0.2">
      <c r="B2234" s="115" t="s">
        <v>960</v>
      </c>
      <c r="C2234" s="114">
        <v>197</v>
      </c>
      <c r="D2234" s="147"/>
      <c r="E2234" s="148"/>
      <c r="F2234" s="148"/>
    </row>
    <row r="2235" spans="2:6" x14ac:dyDescent="0.2">
      <c r="B2235" s="115" t="s">
        <v>959</v>
      </c>
      <c r="C2235" s="114">
        <v>90</v>
      </c>
      <c r="D2235" s="147"/>
      <c r="E2235" s="148"/>
      <c r="F2235" s="148"/>
    </row>
    <row r="2236" spans="2:6" x14ac:dyDescent="0.2">
      <c r="B2236" s="115" t="s">
        <v>958</v>
      </c>
      <c r="C2236" s="114">
        <v>748</v>
      </c>
      <c r="D2236" s="147"/>
      <c r="E2236" s="148"/>
      <c r="F2236" s="148"/>
    </row>
    <row r="2237" spans="2:6" x14ac:dyDescent="0.2">
      <c r="B2237" s="198" t="s">
        <v>957</v>
      </c>
      <c r="C2237" s="197">
        <v>365</v>
      </c>
      <c r="D2237" s="147"/>
      <c r="E2237" s="148"/>
      <c r="F2237" s="148"/>
    </row>
    <row r="2238" spans="2:6" x14ac:dyDescent="0.2">
      <c r="B2238" s="115" t="s">
        <v>956</v>
      </c>
      <c r="C2238" s="114">
        <v>497</v>
      </c>
      <c r="D2238" s="147"/>
      <c r="E2238" s="148"/>
      <c r="F2238" s="148"/>
    </row>
    <row r="2239" spans="2:6" x14ac:dyDescent="0.2">
      <c r="B2239" s="198" t="s">
        <v>955</v>
      </c>
      <c r="C2239" s="197">
        <v>60</v>
      </c>
      <c r="D2239" s="147"/>
      <c r="E2239" s="148"/>
      <c r="F2239" s="148"/>
    </row>
    <row r="2240" spans="2:6" x14ac:dyDescent="0.2">
      <c r="B2240" s="115" t="s">
        <v>954</v>
      </c>
      <c r="C2240" s="114">
        <v>280</v>
      </c>
      <c r="D2240" s="147"/>
      <c r="E2240" s="148"/>
      <c r="F2240" s="148"/>
    </row>
    <row r="2241" spans="2:6" x14ac:dyDescent="0.2">
      <c r="B2241" s="115" t="s">
        <v>953</v>
      </c>
      <c r="C2241" s="114">
        <v>2384</v>
      </c>
      <c r="D2241" s="147"/>
      <c r="E2241" s="148"/>
      <c r="F2241" s="148"/>
    </row>
    <row r="2242" spans="2:6" x14ac:dyDescent="0.2">
      <c r="B2242" s="115" t="s">
        <v>952</v>
      </c>
      <c r="C2242" s="114">
        <v>161</v>
      </c>
      <c r="D2242" s="147"/>
      <c r="E2242" s="148"/>
      <c r="F2242" s="148"/>
    </row>
    <row r="2243" spans="2:6" x14ac:dyDescent="0.2">
      <c r="B2243" s="198" t="s">
        <v>951</v>
      </c>
      <c r="C2243" s="197">
        <v>21</v>
      </c>
      <c r="D2243" s="147"/>
      <c r="E2243" s="148"/>
      <c r="F2243" s="148"/>
    </row>
    <row r="2244" spans="2:6" x14ac:dyDescent="0.2">
      <c r="B2244" s="115" t="s">
        <v>950</v>
      </c>
      <c r="C2244" s="114">
        <v>188</v>
      </c>
      <c r="D2244" s="147"/>
      <c r="E2244" s="148"/>
      <c r="F2244" s="148"/>
    </row>
    <row r="2245" spans="2:6" x14ac:dyDescent="0.2">
      <c r="B2245" s="115" t="s">
        <v>949</v>
      </c>
      <c r="C2245" s="114">
        <v>274</v>
      </c>
      <c r="D2245" s="147"/>
      <c r="E2245" s="148"/>
      <c r="F2245" s="148"/>
    </row>
    <row r="2246" spans="2:6" x14ac:dyDescent="0.2">
      <c r="B2246" s="198" t="s">
        <v>948</v>
      </c>
      <c r="C2246" s="197">
        <v>164</v>
      </c>
      <c r="D2246" s="147"/>
      <c r="E2246" s="148"/>
      <c r="F2246" s="148"/>
    </row>
    <row r="2247" spans="2:6" x14ac:dyDescent="0.2">
      <c r="B2247" s="115" t="s">
        <v>947</v>
      </c>
      <c r="C2247" s="114">
        <v>1321</v>
      </c>
      <c r="D2247" s="147"/>
      <c r="E2247" s="148"/>
      <c r="F2247" s="148"/>
    </row>
    <row r="2248" spans="2:6" x14ac:dyDescent="0.2">
      <c r="B2248" s="198" t="s">
        <v>946</v>
      </c>
      <c r="C2248" s="197">
        <v>160</v>
      </c>
      <c r="D2248" s="147"/>
      <c r="E2248" s="148"/>
      <c r="F2248" s="148"/>
    </row>
    <row r="2249" spans="2:6" x14ac:dyDescent="0.2">
      <c r="B2249" s="115" t="s">
        <v>945</v>
      </c>
      <c r="C2249" s="114">
        <v>176</v>
      </c>
      <c r="D2249" s="147"/>
      <c r="E2249" s="148"/>
      <c r="F2249" s="148"/>
    </row>
    <row r="2250" spans="2:6" x14ac:dyDescent="0.2">
      <c r="B2250" s="198" t="s">
        <v>944</v>
      </c>
      <c r="C2250" s="197">
        <v>1412</v>
      </c>
      <c r="D2250" s="147"/>
      <c r="E2250" s="148"/>
      <c r="F2250" s="148"/>
    </row>
    <row r="2251" spans="2:6" x14ac:dyDescent="0.2">
      <c r="B2251" s="115" t="s">
        <v>943</v>
      </c>
      <c r="C2251" s="114">
        <v>881</v>
      </c>
      <c r="D2251" s="147"/>
      <c r="E2251" s="148"/>
      <c r="F2251" s="148"/>
    </row>
    <row r="2252" spans="2:6" x14ac:dyDescent="0.2">
      <c r="B2252" s="115" t="s">
        <v>942</v>
      </c>
      <c r="C2252" s="114">
        <v>797</v>
      </c>
      <c r="D2252" s="147"/>
      <c r="E2252" s="148"/>
      <c r="F2252" s="148"/>
    </row>
    <row r="2253" spans="2:6" x14ac:dyDescent="0.2">
      <c r="B2253" s="198" t="s">
        <v>941</v>
      </c>
      <c r="C2253" s="197">
        <v>521</v>
      </c>
      <c r="D2253" s="147"/>
      <c r="E2253" s="148"/>
      <c r="F2253" s="148"/>
    </row>
    <row r="2254" spans="2:6" x14ac:dyDescent="0.2">
      <c r="B2254" s="198" t="s">
        <v>940</v>
      </c>
      <c r="C2254" s="197">
        <v>985</v>
      </c>
      <c r="D2254" s="147"/>
      <c r="E2254" s="148"/>
      <c r="F2254" s="148"/>
    </row>
    <row r="2255" spans="2:6" x14ac:dyDescent="0.2">
      <c r="B2255" s="198" t="s">
        <v>939</v>
      </c>
      <c r="C2255" s="197">
        <v>379</v>
      </c>
      <c r="D2255" s="147"/>
      <c r="E2255" s="148"/>
      <c r="F2255" s="148"/>
    </row>
    <row r="2256" spans="2:6" x14ac:dyDescent="0.2">
      <c r="B2256" s="198" t="s">
        <v>938</v>
      </c>
      <c r="C2256" s="197">
        <v>1576</v>
      </c>
      <c r="D2256" s="147"/>
      <c r="E2256" s="148"/>
      <c r="F2256" s="148"/>
    </row>
    <row r="2257" spans="2:6" x14ac:dyDescent="0.2">
      <c r="B2257" s="198" t="s">
        <v>937</v>
      </c>
      <c r="C2257" s="197">
        <v>322</v>
      </c>
      <c r="D2257" s="147"/>
      <c r="E2257" s="148"/>
      <c r="F2257" s="148"/>
    </row>
    <row r="2258" spans="2:6" x14ac:dyDescent="0.2">
      <c r="B2258" s="198" t="s">
        <v>936</v>
      </c>
      <c r="C2258" s="197">
        <v>216</v>
      </c>
      <c r="D2258" s="147"/>
      <c r="E2258" s="148"/>
      <c r="F2258" s="148"/>
    </row>
    <row r="2259" spans="2:6" x14ac:dyDescent="0.2">
      <c r="B2259" s="198" t="s">
        <v>935</v>
      </c>
      <c r="C2259" s="197">
        <v>5802</v>
      </c>
      <c r="D2259" s="147"/>
      <c r="E2259" s="148"/>
      <c r="F2259" s="148"/>
    </row>
    <row r="2260" spans="2:6" x14ac:dyDescent="0.2">
      <c r="B2260" s="115" t="s">
        <v>934</v>
      </c>
      <c r="C2260" s="114">
        <v>372</v>
      </c>
      <c r="D2260" s="147"/>
      <c r="E2260" s="148"/>
      <c r="F2260" s="148"/>
    </row>
    <row r="2261" spans="2:6" x14ac:dyDescent="0.2">
      <c r="B2261" s="115" t="s">
        <v>933</v>
      </c>
      <c r="C2261" s="114">
        <v>517</v>
      </c>
      <c r="D2261" s="147"/>
      <c r="E2261" s="148"/>
      <c r="F2261" s="148"/>
    </row>
    <row r="2262" spans="2:6" x14ac:dyDescent="0.2">
      <c r="B2262" s="115" t="s">
        <v>932</v>
      </c>
      <c r="C2262" s="114">
        <v>1268</v>
      </c>
      <c r="D2262" s="147"/>
      <c r="E2262" s="148"/>
      <c r="F2262" s="148"/>
    </row>
    <row r="2263" spans="2:6" x14ac:dyDescent="0.2">
      <c r="B2263" s="198" t="s">
        <v>931</v>
      </c>
      <c r="C2263" s="197">
        <v>1277</v>
      </c>
      <c r="D2263" s="147"/>
      <c r="E2263" s="148"/>
      <c r="F2263" s="148"/>
    </row>
    <row r="2264" spans="2:6" x14ac:dyDescent="0.2">
      <c r="B2264" s="198" t="s">
        <v>930</v>
      </c>
      <c r="C2264" s="197">
        <v>2430</v>
      </c>
      <c r="D2264" s="147"/>
      <c r="E2264" s="148"/>
      <c r="F2264" s="148"/>
    </row>
    <row r="2265" spans="2:6" x14ac:dyDescent="0.2">
      <c r="B2265" s="115" t="s">
        <v>929</v>
      </c>
      <c r="C2265" s="114">
        <v>1231</v>
      </c>
      <c r="D2265" s="147"/>
      <c r="E2265" s="148"/>
      <c r="F2265" s="148"/>
    </row>
    <row r="2266" spans="2:6" x14ac:dyDescent="0.2">
      <c r="B2266" s="115" t="s">
        <v>928</v>
      </c>
      <c r="C2266" s="114">
        <v>6213</v>
      </c>
      <c r="D2266" s="147"/>
      <c r="E2266" s="148"/>
      <c r="F2266" s="148"/>
    </row>
    <row r="2267" spans="2:6" x14ac:dyDescent="0.2">
      <c r="B2267" s="198" t="s">
        <v>927</v>
      </c>
      <c r="C2267" s="197">
        <v>648</v>
      </c>
      <c r="D2267" s="147"/>
      <c r="E2267" s="148"/>
      <c r="F2267" s="148"/>
    </row>
    <row r="2268" spans="2:6" x14ac:dyDescent="0.2">
      <c r="B2268" s="115" t="s">
        <v>926</v>
      </c>
      <c r="C2268" s="114">
        <v>1349</v>
      </c>
      <c r="D2268" s="147"/>
      <c r="E2268" s="148"/>
      <c r="F2268" s="148"/>
    </row>
    <row r="2269" spans="2:6" x14ac:dyDescent="0.2">
      <c r="B2269" s="115" t="s">
        <v>925</v>
      </c>
      <c r="C2269" s="114">
        <v>12999</v>
      </c>
      <c r="D2269" s="147"/>
      <c r="E2269" s="148"/>
      <c r="F2269" s="148"/>
    </row>
    <row r="2270" spans="2:6" x14ac:dyDescent="0.2">
      <c r="B2270" s="198" t="s">
        <v>924</v>
      </c>
      <c r="C2270" s="197">
        <v>859</v>
      </c>
      <c r="D2270" s="147"/>
      <c r="E2270" s="148"/>
      <c r="F2270" s="148"/>
    </row>
    <row r="2271" spans="2:6" x14ac:dyDescent="0.2">
      <c r="B2271" s="115" t="s">
        <v>923</v>
      </c>
      <c r="C2271" s="114">
        <v>738</v>
      </c>
      <c r="D2271" s="147"/>
      <c r="E2271" s="148"/>
      <c r="F2271" s="148"/>
    </row>
    <row r="2272" spans="2:6" x14ac:dyDescent="0.2">
      <c r="B2272" s="198" t="s">
        <v>922</v>
      </c>
      <c r="C2272" s="197">
        <v>502</v>
      </c>
      <c r="D2272" s="147"/>
      <c r="E2272" s="148"/>
      <c r="F2272" s="148"/>
    </row>
    <row r="2273" spans="2:6" x14ac:dyDescent="0.2">
      <c r="B2273" s="115" t="s">
        <v>921</v>
      </c>
      <c r="C2273" s="114">
        <v>626</v>
      </c>
      <c r="D2273" s="147"/>
      <c r="E2273" s="148"/>
      <c r="F2273" s="148"/>
    </row>
    <row r="2274" spans="2:6" x14ac:dyDescent="0.2">
      <c r="B2274" s="115" t="s">
        <v>920</v>
      </c>
      <c r="C2274" s="114">
        <v>711</v>
      </c>
      <c r="D2274" s="147"/>
      <c r="E2274" s="148"/>
      <c r="F2274" s="148"/>
    </row>
    <row r="2275" spans="2:6" x14ac:dyDescent="0.2">
      <c r="B2275" s="115" t="s">
        <v>919</v>
      </c>
      <c r="C2275" s="114">
        <v>945</v>
      </c>
      <c r="D2275" s="147"/>
      <c r="E2275" s="148"/>
      <c r="F2275" s="148"/>
    </row>
    <row r="2276" spans="2:6" x14ac:dyDescent="0.2">
      <c r="B2276" s="115" t="s">
        <v>918</v>
      </c>
      <c r="C2276" s="114">
        <v>677</v>
      </c>
      <c r="D2276" s="147"/>
      <c r="E2276" s="148"/>
      <c r="F2276" s="148"/>
    </row>
    <row r="2277" spans="2:6" x14ac:dyDescent="0.2">
      <c r="B2277" s="115" t="s">
        <v>917</v>
      </c>
      <c r="C2277" s="114">
        <v>2985</v>
      </c>
      <c r="D2277" s="147"/>
      <c r="E2277" s="148"/>
      <c r="F2277" s="148"/>
    </row>
    <row r="2278" spans="2:6" x14ac:dyDescent="0.2">
      <c r="B2278" s="198" t="s">
        <v>916</v>
      </c>
      <c r="C2278" s="197">
        <v>1730</v>
      </c>
      <c r="D2278" s="147"/>
      <c r="E2278" s="148"/>
      <c r="F2278" s="148"/>
    </row>
    <row r="2279" spans="2:6" x14ac:dyDescent="0.2">
      <c r="B2279" s="115" t="s">
        <v>915</v>
      </c>
      <c r="C2279" s="114">
        <v>922</v>
      </c>
      <c r="D2279" s="147"/>
      <c r="E2279" s="148"/>
      <c r="F2279" s="148"/>
    </row>
    <row r="2280" spans="2:6" x14ac:dyDescent="0.2">
      <c r="B2280" s="115" t="s">
        <v>914</v>
      </c>
      <c r="C2280" s="114">
        <v>82</v>
      </c>
      <c r="D2280" s="147"/>
      <c r="E2280" s="148"/>
      <c r="F2280" s="148"/>
    </row>
    <row r="2281" spans="2:6" x14ac:dyDescent="0.2">
      <c r="B2281" s="198" t="s">
        <v>913</v>
      </c>
      <c r="C2281" s="197">
        <v>455</v>
      </c>
      <c r="D2281" s="147"/>
      <c r="E2281" s="148"/>
      <c r="F2281" s="148"/>
    </row>
    <row r="2282" spans="2:6" x14ac:dyDescent="0.2">
      <c r="B2282" s="115" t="s">
        <v>912</v>
      </c>
      <c r="C2282" s="114">
        <v>478</v>
      </c>
      <c r="D2282" s="147"/>
      <c r="E2282" s="148"/>
      <c r="F2282" s="148"/>
    </row>
    <row r="2283" spans="2:6" x14ac:dyDescent="0.2">
      <c r="B2283" s="198" t="s">
        <v>911</v>
      </c>
      <c r="C2283" s="197">
        <v>143</v>
      </c>
      <c r="D2283" s="147"/>
      <c r="E2283" s="148"/>
      <c r="F2283" s="148"/>
    </row>
    <row r="2284" spans="2:6" x14ac:dyDescent="0.2">
      <c r="B2284" s="115" t="s">
        <v>910</v>
      </c>
      <c r="C2284" s="114">
        <v>976</v>
      </c>
      <c r="D2284" s="147"/>
      <c r="E2284" s="148"/>
      <c r="F2284" s="148"/>
    </row>
    <row r="2285" spans="2:6" x14ac:dyDescent="0.2">
      <c r="B2285" s="115" t="s">
        <v>909</v>
      </c>
      <c r="C2285" s="114">
        <v>207</v>
      </c>
      <c r="D2285" s="147"/>
      <c r="E2285" s="148"/>
      <c r="F2285" s="148"/>
    </row>
    <row r="2286" spans="2:6" x14ac:dyDescent="0.2">
      <c r="B2286" s="115" t="s">
        <v>908</v>
      </c>
      <c r="C2286" s="114">
        <v>174</v>
      </c>
      <c r="D2286" s="147"/>
      <c r="E2286" s="148"/>
      <c r="F2286" s="148"/>
    </row>
    <row r="2287" spans="2:6" x14ac:dyDescent="0.2">
      <c r="B2287" s="198" t="s">
        <v>907</v>
      </c>
      <c r="C2287" s="197">
        <v>4928</v>
      </c>
      <c r="D2287" s="147"/>
      <c r="E2287" s="148"/>
      <c r="F2287" s="148"/>
    </row>
    <row r="2288" spans="2:6" x14ac:dyDescent="0.2">
      <c r="B2288" s="198" t="s">
        <v>906</v>
      </c>
      <c r="C2288" s="197">
        <v>3552</v>
      </c>
      <c r="D2288" s="147"/>
      <c r="E2288" s="148"/>
      <c r="F2288" s="148"/>
    </row>
    <row r="2289" spans="2:6" x14ac:dyDescent="0.2">
      <c r="B2289" s="198" t="s">
        <v>905</v>
      </c>
      <c r="C2289" s="197">
        <v>11086</v>
      </c>
      <c r="D2289" s="147"/>
      <c r="E2289" s="148"/>
      <c r="F2289" s="148"/>
    </row>
    <row r="2290" spans="2:6" x14ac:dyDescent="0.2">
      <c r="B2290" s="198" t="s">
        <v>904</v>
      </c>
      <c r="C2290" s="197">
        <v>2008</v>
      </c>
      <c r="D2290" s="147"/>
      <c r="E2290" s="148"/>
      <c r="F2290" s="148"/>
    </row>
    <row r="2291" spans="2:6" x14ac:dyDescent="0.2">
      <c r="B2291" s="115" t="s">
        <v>903</v>
      </c>
      <c r="C2291" s="114">
        <v>191</v>
      </c>
      <c r="D2291" s="147"/>
      <c r="E2291" s="148"/>
      <c r="F2291" s="148"/>
    </row>
    <row r="2292" spans="2:6" x14ac:dyDescent="0.2">
      <c r="B2292" s="115" t="s">
        <v>902</v>
      </c>
      <c r="C2292" s="114">
        <v>305</v>
      </c>
      <c r="D2292" s="147"/>
      <c r="E2292" s="148"/>
      <c r="F2292" s="148"/>
    </row>
    <row r="2293" spans="2:6" x14ac:dyDescent="0.2">
      <c r="B2293" s="115" t="s">
        <v>901</v>
      </c>
      <c r="C2293" s="114">
        <v>521</v>
      </c>
      <c r="D2293" s="147"/>
      <c r="E2293" s="148"/>
      <c r="F2293" s="148"/>
    </row>
    <row r="2294" spans="2:6" x14ac:dyDescent="0.2">
      <c r="B2294" s="115" t="s">
        <v>900</v>
      </c>
      <c r="C2294" s="114">
        <v>535</v>
      </c>
      <c r="D2294" s="147"/>
      <c r="E2294" s="148"/>
      <c r="F2294" s="148"/>
    </row>
    <row r="2295" spans="2:6" x14ac:dyDescent="0.2">
      <c r="B2295" s="115" t="s">
        <v>899</v>
      </c>
      <c r="C2295" s="114">
        <v>5459</v>
      </c>
      <c r="D2295" s="147"/>
      <c r="E2295" s="148"/>
      <c r="F2295" s="148"/>
    </row>
    <row r="2296" spans="2:6" x14ac:dyDescent="0.2">
      <c r="B2296" s="115" t="s">
        <v>898</v>
      </c>
      <c r="C2296" s="114">
        <v>844</v>
      </c>
      <c r="D2296" s="147"/>
      <c r="E2296" s="148"/>
      <c r="F2296" s="148"/>
    </row>
    <row r="2297" spans="2:6" x14ac:dyDescent="0.2">
      <c r="B2297" s="115" t="s">
        <v>897</v>
      </c>
      <c r="C2297" s="114">
        <v>224</v>
      </c>
      <c r="D2297" s="147"/>
      <c r="E2297" s="148"/>
      <c r="F2297" s="148"/>
    </row>
    <row r="2298" spans="2:6" x14ac:dyDescent="0.2">
      <c r="B2298" s="115" t="s">
        <v>896</v>
      </c>
      <c r="C2298" s="114">
        <v>4222</v>
      </c>
      <c r="D2298" s="147"/>
      <c r="E2298" s="148"/>
      <c r="F2298" s="148"/>
    </row>
    <row r="2299" spans="2:6" x14ac:dyDescent="0.2">
      <c r="B2299" s="115" t="s">
        <v>895</v>
      </c>
      <c r="C2299" s="114">
        <v>472</v>
      </c>
      <c r="D2299" s="147"/>
      <c r="E2299" s="148"/>
      <c r="F2299" s="148"/>
    </row>
    <row r="2300" spans="2:6" x14ac:dyDescent="0.2">
      <c r="B2300" s="115" t="s">
        <v>894</v>
      </c>
      <c r="C2300" s="114">
        <v>4952</v>
      </c>
      <c r="D2300" s="147"/>
      <c r="E2300" s="148"/>
      <c r="F2300" s="148"/>
    </row>
    <row r="2301" spans="2:6" x14ac:dyDescent="0.2">
      <c r="B2301" s="115" t="s">
        <v>893</v>
      </c>
      <c r="C2301" s="114">
        <v>1779</v>
      </c>
      <c r="D2301" s="147"/>
      <c r="E2301" s="148"/>
      <c r="F2301" s="148"/>
    </row>
    <row r="2302" spans="2:6" x14ac:dyDescent="0.2">
      <c r="B2302" s="115" t="s">
        <v>892</v>
      </c>
      <c r="C2302" s="114">
        <v>426</v>
      </c>
      <c r="D2302" s="147"/>
      <c r="E2302" s="148"/>
      <c r="F2302" s="148"/>
    </row>
    <row r="2303" spans="2:6" x14ac:dyDescent="0.2">
      <c r="B2303" s="198" t="s">
        <v>891</v>
      </c>
      <c r="C2303" s="197">
        <v>29</v>
      </c>
      <c r="D2303" s="147"/>
      <c r="E2303" s="148"/>
      <c r="F2303" s="148"/>
    </row>
    <row r="2304" spans="2:6" x14ac:dyDescent="0.2">
      <c r="B2304" s="198" t="s">
        <v>890</v>
      </c>
      <c r="C2304" s="197">
        <v>1300</v>
      </c>
      <c r="D2304" s="147"/>
      <c r="E2304" s="148"/>
      <c r="F2304" s="148"/>
    </row>
    <row r="2305" spans="2:6" x14ac:dyDescent="0.2">
      <c r="B2305" s="115" t="s">
        <v>889</v>
      </c>
      <c r="C2305" s="114">
        <v>143</v>
      </c>
      <c r="D2305" s="147"/>
      <c r="E2305" s="148"/>
      <c r="F2305" s="148"/>
    </row>
    <row r="2306" spans="2:6" x14ac:dyDescent="0.2">
      <c r="B2306" s="198" t="s">
        <v>888</v>
      </c>
      <c r="C2306" s="197">
        <v>242</v>
      </c>
      <c r="D2306" s="147"/>
      <c r="E2306" s="148"/>
      <c r="F2306" s="148"/>
    </row>
    <row r="2307" spans="2:6" x14ac:dyDescent="0.2">
      <c r="B2307" s="198" t="s">
        <v>887</v>
      </c>
      <c r="C2307" s="197">
        <v>518</v>
      </c>
      <c r="D2307" s="147"/>
      <c r="E2307" s="148"/>
      <c r="F2307" s="148"/>
    </row>
    <row r="2308" spans="2:6" x14ac:dyDescent="0.2">
      <c r="B2308" s="115" t="s">
        <v>886</v>
      </c>
      <c r="C2308" s="114">
        <v>892</v>
      </c>
      <c r="D2308" s="147"/>
      <c r="E2308" s="148"/>
      <c r="F2308" s="148"/>
    </row>
    <row r="2309" spans="2:6" x14ac:dyDescent="0.2">
      <c r="B2309" s="115" t="s">
        <v>885</v>
      </c>
      <c r="C2309" s="114">
        <v>236</v>
      </c>
      <c r="D2309" s="147"/>
      <c r="E2309" s="148"/>
      <c r="F2309" s="148"/>
    </row>
    <row r="2310" spans="2:6" x14ac:dyDescent="0.2">
      <c r="B2310" s="115" t="s">
        <v>884</v>
      </c>
      <c r="C2310" s="114">
        <v>1240</v>
      </c>
      <c r="D2310" s="147"/>
      <c r="E2310" s="148"/>
      <c r="F2310" s="148"/>
    </row>
    <row r="2311" spans="2:6" x14ac:dyDescent="0.2">
      <c r="B2311" s="115" t="s">
        <v>883</v>
      </c>
      <c r="C2311" s="114">
        <v>2449</v>
      </c>
      <c r="D2311" s="147"/>
      <c r="E2311" s="148"/>
      <c r="F2311" s="148"/>
    </row>
    <row r="2312" spans="2:6" x14ac:dyDescent="0.2">
      <c r="B2312" s="198" t="s">
        <v>882</v>
      </c>
      <c r="C2312" s="197">
        <v>1177</v>
      </c>
      <c r="D2312" s="147"/>
      <c r="E2312" s="148"/>
      <c r="F2312" s="148"/>
    </row>
    <row r="2313" spans="2:6" x14ac:dyDescent="0.2">
      <c r="B2313" s="198" t="s">
        <v>881</v>
      </c>
      <c r="C2313" s="197">
        <v>869</v>
      </c>
      <c r="D2313" s="147"/>
      <c r="E2313" s="148"/>
      <c r="F2313" s="148"/>
    </row>
    <row r="2314" spans="2:6" x14ac:dyDescent="0.2">
      <c r="B2314" s="198" t="s">
        <v>880</v>
      </c>
      <c r="C2314" s="197">
        <v>61</v>
      </c>
      <c r="D2314" s="147"/>
      <c r="E2314" s="148"/>
      <c r="F2314" s="148"/>
    </row>
    <row r="2315" spans="2:6" x14ac:dyDescent="0.2">
      <c r="B2315" s="198" t="s">
        <v>879</v>
      </c>
      <c r="C2315" s="197">
        <v>174</v>
      </c>
      <c r="D2315" s="147"/>
      <c r="E2315" s="148"/>
      <c r="F2315" s="148"/>
    </row>
    <row r="2316" spans="2:6" x14ac:dyDescent="0.2">
      <c r="B2316" s="198" t="s">
        <v>878</v>
      </c>
      <c r="C2316" s="197">
        <v>975</v>
      </c>
      <c r="D2316" s="147"/>
      <c r="E2316" s="148"/>
      <c r="F2316" s="148"/>
    </row>
    <row r="2317" spans="2:6" x14ac:dyDescent="0.2">
      <c r="B2317" s="115" t="s">
        <v>877</v>
      </c>
      <c r="C2317" s="114">
        <v>1156</v>
      </c>
      <c r="D2317" s="147"/>
      <c r="E2317" s="148"/>
      <c r="F2317" s="148"/>
    </row>
    <row r="2318" spans="2:6" x14ac:dyDescent="0.2">
      <c r="B2318" s="115" t="s">
        <v>876</v>
      </c>
      <c r="C2318" s="114">
        <v>1067</v>
      </c>
      <c r="D2318" s="147"/>
      <c r="E2318" s="148"/>
      <c r="F2318" s="148"/>
    </row>
    <row r="2319" spans="2:6" x14ac:dyDescent="0.2">
      <c r="B2319" s="198" t="s">
        <v>875</v>
      </c>
      <c r="C2319" s="197">
        <v>438</v>
      </c>
      <c r="D2319" s="147"/>
      <c r="E2319" s="148"/>
      <c r="F2319" s="148"/>
    </row>
    <row r="2320" spans="2:6" x14ac:dyDescent="0.2">
      <c r="B2320" s="115" t="s">
        <v>874</v>
      </c>
      <c r="C2320" s="114">
        <v>2371</v>
      </c>
      <c r="D2320" s="147"/>
      <c r="E2320" s="148"/>
      <c r="F2320" s="148"/>
    </row>
    <row r="2321" spans="2:6" x14ac:dyDescent="0.2">
      <c r="B2321" s="115" t="s">
        <v>873</v>
      </c>
      <c r="C2321" s="114">
        <v>241</v>
      </c>
      <c r="D2321" s="147"/>
      <c r="E2321" s="148"/>
      <c r="F2321" s="148"/>
    </row>
    <row r="2322" spans="2:6" x14ac:dyDescent="0.2">
      <c r="B2322" s="198" t="s">
        <v>872</v>
      </c>
      <c r="C2322" s="197">
        <v>128</v>
      </c>
      <c r="D2322" s="147"/>
      <c r="E2322" s="148"/>
      <c r="F2322" s="148"/>
    </row>
    <row r="2323" spans="2:6" x14ac:dyDescent="0.2">
      <c r="B2323" s="115" t="s">
        <v>871</v>
      </c>
      <c r="C2323" s="114">
        <v>330</v>
      </c>
      <c r="D2323" s="147"/>
      <c r="E2323" s="148"/>
      <c r="F2323" s="148"/>
    </row>
    <row r="2324" spans="2:6" x14ac:dyDescent="0.2">
      <c r="B2324" s="115" t="s">
        <v>870</v>
      </c>
      <c r="C2324" s="114">
        <v>233</v>
      </c>
      <c r="D2324" s="147"/>
      <c r="E2324" s="148"/>
      <c r="F2324" s="148"/>
    </row>
    <row r="2325" spans="2:6" x14ac:dyDescent="0.2">
      <c r="B2325" s="115" t="s">
        <v>869</v>
      </c>
      <c r="C2325" s="114">
        <v>505</v>
      </c>
      <c r="D2325" s="147"/>
      <c r="E2325" s="148"/>
      <c r="F2325" s="148"/>
    </row>
    <row r="2326" spans="2:6" x14ac:dyDescent="0.2">
      <c r="B2326" s="115" t="s">
        <v>868</v>
      </c>
      <c r="C2326" s="114">
        <v>1062</v>
      </c>
      <c r="D2326" s="147"/>
      <c r="E2326" s="148"/>
      <c r="F2326" s="148"/>
    </row>
    <row r="2327" spans="2:6" x14ac:dyDescent="0.2">
      <c r="B2327" s="115" t="s">
        <v>867</v>
      </c>
      <c r="C2327" s="114">
        <v>2645</v>
      </c>
      <c r="D2327" s="147"/>
      <c r="E2327" s="148"/>
      <c r="F2327" s="148"/>
    </row>
    <row r="2328" spans="2:6" x14ac:dyDescent="0.2">
      <c r="B2328" s="198" t="s">
        <v>866</v>
      </c>
      <c r="C2328" s="197">
        <v>1225</v>
      </c>
      <c r="D2328" s="147"/>
      <c r="E2328" s="148"/>
      <c r="F2328" s="148"/>
    </row>
    <row r="2329" spans="2:6" x14ac:dyDescent="0.2">
      <c r="B2329" s="115" t="s">
        <v>865</v>
      </c>
      <c r="C2329" s="114">
        <v>363</v>
      </c>
      <c r="D2329" s="147"/>
      <c r="E2329" s="148"/>
      <c r="F2329" s="148"/>
    </row>
    <row r="2330" spans="2:6" x14ac:dyDescent="0.2">
      <c r="B2330" s="115" t="s">
        <v>864</v>
      </c>
      <c r="C2330" s="114">
        <v>1345</v>
      </c>
      <c r="D2330" s="147"/>
      <c r="E2330" s="148"/>
      <c r="F2330" s="148"/>
    </row>
    <row r="2331" spans="2:6" x14ac:dyDescent="0.2">
      <c r="B2331" s="198" t="s">
        <v>863</v>
      </c>
      <c r="C2331" s="197">
        <v>1604</v>
      </c>
      <c r="D2331" s="147"/>
      <c r="E2331" s="148"/>
      <c r="F2331" s="148"/>
    </row>
    <row r="2332" spans="2:6" x14ac:dyDescent="0.2">
      <c r="B2332" s="198" t="s">
        <v>862</v>
      </c>
      <c r="C2332" s="197">
        <v>199</v>
      </c>
      <c r="D2332" s="147"/>
      <c r="E2332" s="148"/>
      <c r="F2332" s="148"/>
    </row>
    <row r="2333" spans="2:6" x14ac:dyDescent="0.2">
      <c r="B2333" s="198" t="s">
        <v>861</v>
      </c>
      <c r="C2333" s="197">
        <v>372</v>
      </c>
      <c r="D2333" s="147"/>
      <c r="E2333" s="148"/>
      <c r="F2333" s="148"/>
    </row>
    <row r="2334" spans="2:6" x14ac:dyDescent="0.2">
      <c r="B2334" s="115" t="s">
        <v>860</v>
      </c>
      <c r="C2334" s="114">
        <v>1523</v>
      </c>
      <c r="D2334" s="147"/>
      <c r="E2334" s="148"/>
      <c r="F2334" s="148"/>
    </row>
    <row r="2335" spans="2:6" x14ac:dyDescent="0.2">
      <c r="B2335" s="198" t="s">
        <v>859</v>
      </c>
      <c r="C2335" s="197">
        <v>178</v>
      </c>
      <c r="D2335" s="147"/>
      <c r="E2335" s="148"/>
      <c r="F2335" s="148"/>
    </row>
    <row r="2336" spans="2:6" x14ac:dyDescent="0.2">
      <c r="B2336" s="115" t="s">
        <v>858</v>
      </c>
      <c r="C2336" s="114">
        <v>182</v>
      </c>
      <c r="D2336" s="147"/>
      <c r="E2336" s="148"/>
      <c r="F2336" s="148"/>
    </row>
    <row r="2337" spans="2:6" x14ac:dyDescent="0.2">
      <c r="B2337" s="198" t="s">
        <v>857</v>
      </c>
      <c r="C2337" s="197">
        <v>360</v>
      </c>
      <c r="D2337" s="147"/>
      <c r="E2337" s="148"/>
      <c r="F2337" s="148"/>
    </row>
    <row r="2338" spans="2:6" x14ac:dyDescent="0.2">
      <c r="B2338" s="198" t="s">
        <v>856</v>
      </c>
      <c r="C2338" s="197">
        <v>289</v>
      </c>
      <c r="D2338" s="147"/>
      <c r="E2338" s="148"/>
      <c r="F2338" s="148"/>
    </row>
    <row r="2339" spans="2:6" x14ac:dyDescent="0.2">
      <c r="B2339" s="198" t="s">
        <v>855</v>
      </c>
      <c r="C2339" s="197">
        <v>49</v>
      </c>
      <c r="D2339" s="147"/>
      <c r="E2339" s="148"/>
      <c r="F2339" s="148"/>
    </row>
    <row r="2340" spans="2:6" x14ac:dyDescent="0.2">
      <c r="B2340" s="115" t="s">
        <v>854</v>
      </c>
      <c r="C2340" s="114">
        <v>1140</v>
      </c>
      <c r="D2340" s="147"/>
      <c r="E2340" s="148"/>
      <c r="F2340" s="148"/>
    </row>
    <row r="2341" spans="2:6" x14ac:dyDescent="0.2">
      <c r="B2341" s="115" t="s">
        <v>853</v>
      </c>
      <c r="C2341" s="114">
        <v>296</v>
      </c>
      <c r="D2341" s="147"/>
      <c r="E2341" s="148"/>
      <c r="F2341" s="148"/>
    </row>
    <row r="2342" spans="2:6" x14ac:dyDescent="0.2">
      <c r="B2342" s="115" t="s">
        <v>852</v>
      </c>
      <c r="C2342" s="114">
        <v>2119</v>
      </c>
      <c r="D2342" s="147"/>
      <c r="E2342" s="148"/>
      <c r="F2342" s="148"/>
    </row>
    <row r="2343" spans="2:6" x14ac:dyDescent="0.2">
      <c r="B2343" s="198" t="s">
        <v>851</v>
      </c>
      <c r="C2343" s="197">
        <v>547</v>
      </c>
      <c r="D2343" s="147"/>
      <c r="E2343" s="148"/>
      <c r="F2343" s="148"/>
    </row>
    <row r="2344" spans="2:6" x14ac:dyDescent="0.2">
      <c r="B2344" s="198" t="s">
        <v>850</v>
      </c>
      <c r="C2344" s="197">
        <v>307</v>
      </c>
      <c r="D2344" s="147"/>
      <c r="E2344" s="148"/>
      <c r="F2344" s="148"/>
    </row>
    <row r="2345" spans="2:6" x14ac:dyDescent="0.2">
      <c r="B2345" s="198" t="s">
        <v>849</v>
      </c>
      <c r="C2345" s="197">
        <v>582</v>
      </c>
      <c r="D2345" s="147"/>
      <c r="E2345" s="148"/>
      <c r="F2345" s="148"/>
    </row>
    <row r="2346" spans="2:6" x14ac:dyDescent="0.2">
      <c r="B2346" s="115" t="s">
        <v>848</v>
      </c>
      <c r="C2346" s="114">
        <v>1826</v>
      </c>
      <c r="D2346" s="147"/>
      <c r="E2346" s="148"/>
      <c r="F2346" s="148"/>
    </row>
    <row r="2347" spans="2:6" x14ac:dyDescent="0.2">
      <c r="B2347" s="115" t="s">
        <v>847</v>
      </c>
      <c r="C2347" s="114">
        <v>464</v>
      </c>
      <c r="D2347" s="147"/>
      <c r="E2347" s="148"/>
      <c r="F2347" s="148"/>
    </row>
    <row r="2348" spans="2:6" x14ac:dyDescent="0.2">
      <c r="B2348" s="198" t="s">
        <v>846</v>
      </c>
      <c r="C2348" s="197">
        <v>326</v>
      </c>
      <c r="D2348" s="147"/>
      <c r="E2348" s="148"/>
      <c r="F2348" s="148"/>
    </row>
    <row r="2349" spans="2:6" x14ac:dyDescent="0.2">
      <c r="B2349" s="115" t="s">
        <v>845</v>
      </c>
      <c r="C2349" s="114">
        <v>3386</v>
      </c>
      <c r="D2349" s="147"/>
      <c r="E2349" s="148"/>
      <c r="F2349" s="148"/>
    </row>
    <row r="2350" spans="2:6" x14ac:dyDescent="0.2">
      <c r="B2350" s="115" t="s">
        <v>844</v>
      </c>
      <c r="C2350" s="114">
        <v>2256</v>
      </c>
      <c r="D2350" s="147"/>
      <c r="E2350" s="148"/>
      <c r="F2350" s="148"/>
    </row>
    <row r="2351" spans="2:6" x14ac:dyDescent="0.2">
      <c r="B2351" s="198" t="s">
        <v>843</v>
      </c>
      <c r="C2351" s="197">
        <v>672</v>
      </c>
      <c r="D2351" s="147"/>
      <c r="E2351" s="148"/>
      <c r="F2351" s="148"/>
    </row>
    <row r="2352" spans="2:6" x14ac:dyDescent="0.2">
      <c r="B2352" s="115" t="s">
        <v>842</v>
      </c>
      <c r="C2352" s="114">
        <v>1204</v>
      </c>
      <c r="D2352" s="147"/>
      <c r="E2352" s="148"/>
      <c r="F2352" s="148"/>
    </row>
    <row r="2353" spans="2:6" x14ac:dyDescent="0.2">
      <c r="B2353" s="115" t="s">
        <v>841</v>
      </c>
      <c r="C2353" s="114">
        <v>2349</v>
      </c>
      <c r="D2353" s="147"/>
      <c r="E2353" s="148"/>
      <c r="F2353" s="148"/>
    </row>
    <row r="2354" spans="2:6" x14ac:dyDescent="0.2">
      <c r="B2354" s="115" t="s">
        <v>840</v>
      </c>
      <c r="C2354" s="114">
        <v>908</v>
      </c>
      <c r="D2354" s="147"/>
      <c r="E2354" s="148"/>
      <c r="F2354" s="148"/>
    </row>
    <row r="2355" spans="2:6" x14ac:dyDescent="0.2">
      <c r="B2355" s="115" t="s">
        <v>839</v>
      </c>
      <c r="C2355" s="114">
        <v>1966</v>
      </c>
      <c r="D2355" s="147"/>
      <c r="E2355" s="148"/>
      <c r="F2355" s="148"/>
    </row>
    <row r="2356" spans="2:6" x14ac:dyDescent="0.2">
      <c r="B2356" s="115" t="s">
        <v>838</v>
      </c>
      <c r="C2356" s="114">
        <v>2509</v>
      </c>
      <c r="D2356" s="147"/>
      <c r="E2356" s="148"/>
      <c r="F2356" s="148"/>
    </row>
    <row r="2357" spans="2:6" x14ac:dyDescent="0.2">
      <c r="B2357" s="115" t="s">
        <v>837</v>
      </c>
      <c r="C2357" s="114">
        <v>984</v>
      </c>
      <c r="D2357" s="147"/>
      <c r="E2357" s="148"/>
      <c r="F2357" s="148"/>
    </row>
    <row r="2358" spans="2:6" x14ac:dyDescent="0.2">
      <c r="B2358" s="198" t="s">
        <v>836</v>
      </c>
      <c r="C2358" s="197">
        <v>294</v>
      </c>
      <c r="D2358" s="147"/>
      <c r="E2358" s="148"/>
      <c r="F2358" s="148"/>
    </row>
    <row r="2359" spans="2:6" x14ac:dyDescent="0.2">
      <c r="B2359" s="198" t="s">
        <v>835</v>
      </c>
      <c r="C2359" s="197">
        <v>1026</v>
      </c>
      <c r="D2359" s="147"/>
      <c r="E2359" s="148"/>
      <c r="F2359" s="148"/>
    </row>
    <row r="2360" spans="2:6" x14ac:dyDescent="0.2">
      <c r="B2360" s="198" t="s">
        <v>834</v>
      </c>
      <c r="C2360" s="197">
        <v>613</v>
      </c>
      <c r="D2360" s="147"/>
      <c r="E2360" s="148"/>
      <c r="F2360" s="148"/>
    </row>
    <row r="2361" spans="2:6" x14ac:dyDescent="0.2">
      <c r="B2361" s="198" t="s">
        <v>833</v>
      </c>
      <c r="C2361" s="197">
        <v>365</v>
      </c>
      <c r="D2361" s="147"/>
      <c r="E2361" s="148"/>
      <c r="F2361" s="148"/>
    </row>
    <row r="2362" spans="2:6" x14ac:dyDescent="0.2">
      <c r="B2362" s="115" t="s">
        <v>832</v>
      </c>
      <c r="C2362" s="114">
        <v>2955</v>
      </c>
      <c r="D2362" s="147"/>
      <c r="E2362" s="148"/>
      <c r="F2362" s="148"/>
    </row>
    <row r="2363" spans="2:6" x14ac:dyDescent="0.2">
      <c r="B2363" s="115" t="s">
        <v>831</v>
      </c>
      <c r="C2363" s="114">
        <v>1511</v>
      </c>
      <c r="D2363" s="147"/>
      <c r="E2363" s="148"/>
      <c r="F2363" s="148"/>
    </row>
    <row r="2364" spans="2:6" x14ac:dyDescent="0.2">
      <c r="B2364" s="115" t="s">
        <v>830</v>
      </c>
      <c r="C2364" s="114">
        <v>2850</v>
      </c>
      <c r="D2364" s="147"/>
      <c r="E2364" s="148"/>
      <c r="F2364" s="148"/>
    </row>
    <row r="2365" spans="2:6" x14ac:dyDescent="0.2">
      <c r="B2365" s="115" t="s">
        <v>829</v>
      </c>
      <c r="C2365" s="114">
        <v>437</v>
      </c>
      <c r="D2365" s="147"/>
      <c r="E2365" s="148"/>
      <c r="F2365" s="148"/>
    </row>
    <row r="2366" spans="2:6" x14ac:dyDescent="0.2">
      <c r="B2366" s="115" t="s">
        <v>828</v>
      </c>
      <c r="C2366" s="114">
        <v>181</v>
      </c>
      <c r="D2366" s="147"/>
      <c r="E2366" s="148"/>
      <c r="F2366" s="148"/>
    </row>
    <row r="2367" spans="2:6" x14ac:dyDescent="0.2">
      <c r="B2367" s="198" t="s">
        <v>827</v>
      </c>
      <c r="C2367" s="197">
        <v>416</v>
      </c>
      <c r="D2367" s="147"/>
      <c r="E2367" s="148"/>
      <c r="F2367" s="148"/>
    </row>
    <row r="2368" spans="2:6" x14ac:dyDescent="0.2">
      <c r="B2368" s="115" t="s">
        <v>826</v>
      </c>
      <c r="C2368" s="114">
        <v>1506</v>
      </c>
      <c r="D2368" s="147"/>
      <c r="E2368" s="148"/>
      <c r="F2368" s="148"/>
    </row>
    <row r="2369" spans="2:6" x14ac:dyDescent="0.2">
      <c r="B2369" s="198" t="s">
        <v>825</v>
      </c>
      <c r="C2369" s="197">
        <v>714</v>
      </c>
      <c r="D2369" s="147"/>
      <c r="E2369" s="148"/>
      <c r="F2369" s="148"/>
    </row>
    <row r="2370" spans="2:6" x14ac:dyDescent="0.2">
      <c r="B2370" s="115" t="s">
        <v>824</v>
      </c>
      <c r="C2370" s="114">
        <v>1439</v>
      </c>
      <c r="D2370" s="147"/>
      <c r="E2370" s="148"/>
      <c r="F2370" s="148"/>
    </row>
    <row r="2371" spans="2:6" x14ac:dyDescent="0.2">
      <c r="B2371" s="198" t="s">
        <v>823</v>
      </c>
      <c r="C2371" s="197">
        <v>448</v>
      </c>
      <c r="D2371" s="147"/>
      <c r="E2371" s="148"/>
      <c r="F2371" s="148"/>
    </row>
    <row r="2372" spans="2:6" x14ac:dyDescent="0.2">
      <c r="B2372" s="115" t="s">
        <v>822</v>
      </c>
      <c r="C2372" s="114">
        <v>403</v>
      </c>
      <c r="D2372" s="147"/>
      <c r="E2372" s="148"/>
      <c r="F2372" s="148"/>
    </row>
    <row r="2373" spans="2:6" x14ac:dyDescent="0.2">
      <c r="B2373" s="115" t="s">
        <v>821</v>
      </c>
      <c r="C2373" s="114">
        <v>11185</v>
      </c>
      <c r="D2373" s="147"/>
      <c r="E2373" s="148"/>
      <c r="F2373" s="148"/>
    </row>
    <row r="2374" spans="2:6" x14ac:dyDescent="0.2">
      <c r="B2374" s="115" t="s">
        <v>820</v>
      </c>
      <c r="C2374" s="114">
        <v>2349</v>
      </c>
      <c r="D2374" s="147"/>
      <c r="E2374" s="148"/>
      <c r="F2374" s="148"/>
    </row>
    <row r="2375" spans="2:6" x14ac:dyDescent="0.2">
      <c r="B2375" s="115" t="s">
        <v>819</v>
      </c>
      <c r="C2375" s="114">
        <v>1996</v>
      </c>
      <c r="D2375" s="147"/>
      <c r="E2375" s="148"/>
      <c r="F2375" s="148"/>
    </row>
    <row r="2376" spans="2:6" x14ac:dyDescent="0.2">
      <c r="B2376" s="198" t="s">
        <v>818</v>
      </c>
      <c r="C2376" s="197">
        <v>671</v>
      </c>
      <c r="D2376" s="147"/>
      <c r="E2376" s="148"/>
      <c r="F2376" s="148"/>
    </row>
    <row r="2377" spans="2:6" x14ac:dyDescent="0.2">
      <c r="B2377" s="115" t="s">
        <v>817</v>
      </c>
      <c r="C2377" s="114">
        <v>366</v>
      </c>
      <c r="D2377" s="147"/>
      <c r="E2377" s="148"/>
      <c r="F2377" s="148"/>
    </row>
    <row r="2378" spans="2:6" x14ac:dyDescent="0.2">
      <c r="B2378" s="115" t="s">
        <v>816</v>
      </c>
      <c r="C2378" s="114">
        <v>74</v>
      </c>
      <c r="D2378" s="147"/>
      <c r="E2378" s="148"/>
      <c r="F2378" s="148"/>
    </row>
    <row r="2379" spans="2:6" x14ac:dyDescent="0.2">
      <c r="B2379" s="115" t="s">
        <v>815</v>
      </c>
      <c r="C2379" s="114">
        <v>30416</v>
      </c>
      <c r="D2379" s="147"/>
      <c r="E2379" s="148"/>
      <c r="F2379" s="148"/>
    </row>
    <row r="2380" spans="2:6" x14ac:dyDescent="0.2">
      <c r="B2380" s="115" t="s">
        <v>814</v>
      </c>
      <c r="C2380" s="114">
        <v>445</v>
      </c>
      <c r="D2380" s="147"/>
      <c r="E2380" s="148"/>
      <c r="F2380" s="148"/>
    </row>
    <row r="2381" spans="2:6" x14ac:dyDescent="0.2">
      <c r="B2381" s="198" t="s">
        <v>813</v>
      </c>
      <c r="C2381" s="197">
        <v>560</v>
      </c>
      <c r="D2381" s="147"/>
      <c r="E2381" s="148"/>
      <c r="F2381" s="148"/>
    </row>
    <row r="2382" spans="2:6" x14ac:dyDescent="0.2">
      <c r="B2382" s="198" t="s">
        <v>812</v>
      </c>
      <c r="C2382" s="197">
        <v>1496</v>
      </c>
      <c r="D2382" s="147"/>
      <c r="E2382" s="148"/>
      <c r="F2382" s="148"/>
    </row>
    <row r="2383" spans="2:6" x14ac:dyDescent="0.2">
      <c r="B2383" s="198" t="s">
        <v>811</v>
      </c>
      <c r="C2383" s="197">
        <v>192</v>
      </c>
      <c r="D2383" s="147"/>
      <c r="E2383" s="148"/>
      <c r="F2383" s="148"/>
    </row>
    <row r="2384" spans="2:6" x14ac:dyDescent="0.2">
      <c r="B2384" s="198" t="s">
        <v>810</v>
      </c>
      <c r="C2384" s="197">
        <v>222</v>
      </c>
      <c r="D2384" s="147"/>
      <c r="E2384" s="148"/>
      <c r="F2384" s="148"/>
    </row>
    <row r="2385" spans="2:6" x14ac:dyDescent="0.2">
      <c r="B2385" s="198" t="s">
        <v>809</v>
      </c>
      <c r="C2385" s="197">
        <v>345</v>
      </c>
      <c r="D2385" s="147"/>
      <c r="E2385" s="148"/>
      <c r="F2385" s="148"/>
    </row>
    <row r="2386" spans="2:6" x14ac:dyDescent="0.2">
      <c r="B2386" s="198" t="s">
        <v>808</v>
      </c>
      <c r="C2386" s="197">
        <v>8196</v>
      </c>
      <c r="D2386" s="147"/>
      <c r="E2386" s="148"/>
      <c r="F2386" s="148"/>
    </row>
    <row r="2387" spans="2:6" x14ac:dyDescent="0.2">
      <c r="B2387" s="115" t="s">
        <v>807</v>
      </c>
      <c r="C2387" s="114">
        <v>452</v>
      </c>
      <c r="D2387" s="147"/>
      <c r="E2387" s="148"/>
      <c r="F2387" s="148"/>
    </row>
    <row r="2388" spans="2:6" x14ac:dyDescent="0.2">
      <c r="B2388" s="115" t="s">
        <v>806</v>
      </c>
      <c r="C2388" s="114">
        <v>796</v>
      </c>
      <c r="D2388" s="147"/>
      <c r="E2388" s="148"/>
      <c r="F2388" s="148"/>
    </row>
    <row r="2389" spans="2:6" x14ac:dyDescent="0.2">
      <c r="B2389" s="115" t="s">
        <v>805</v>
      </c>
      <c r="C2389" s="114">
        <v>2125</v>
      </c>
      <c r="D2389" s="147"/>
      <c r="E2389" s="148"/>
      <c r="F2389" s="148"/>
    </row>
    <row r="2390" spans="2:6" x14ac:dyDescent="0.2">
      <c r="B2390" s="198" t="s">
        <v>804</v>
      </c>
      <c r="C2390" s="197">
        <v>239</v>
      </c>
      <c r="D2390" s="147"/>
      <c r="E2390" s="148"/>
      <c r="F2390" s="148"/>
    </row>
    <row r="2391" spans="2:6" x14ac:dyDescent="0.2">
      <c r="B2391" s="115" t="s">
        <v>803</v>
      </c>
      <c r="C2391" s="114">
        <v>11396</v>
      </c>
      <c r="D2391" s="147"/>
      <c r="E2391" s="148"/>
      <c r="F2391" s="148"/>
    </row>
    <row r="2392" spans="2:6" x14ac:dyDescent="0.2">
      <c r="B2392" s="115" t="s">
        <v>802</v>
      </c>
      <c r="C2392" s="114">
        <v>665</v>
      </c>
      <c r="D2392" s="147"/>
      <c r="E2392" s="148"/>
      <c r="F2392" s="148"/>
    </row>
    <row r="2393" spans="2:6" x14ac:dyDescent="0.2">
      <c r="B2393" s="115" t="s">
        <v>801</v>
      </c>
      <c r="C2393" s="114">
        <v>86</v>
      </c>
      <c r="D2393" s="147"/>
      <c r="E2393" s="148"/>
      <c r="F2393" s="148"/>
    </row>
    <row r="2394" spans="2:6" x14ac:dyDescent="0.2">
      <c r="B2394" s="198" t="s">
        <v>800</v>
      </c>
      <c r="C2394" s="197">
        <v>692</v>
      </c>
      <c r="D2394" s="147"/>
      <c r="E2394" s="148"/>
      <c r="F2394" s="148"/>
    </row>
    <row r="2395" spans="2:6" x14ac:dyDescent="0.2">
      <c r="B2395" s="115" t="s">
        <v>799</v>
      </c>
      <c r="C2395" s="114">
        <v>2773</v>
      </c>
      <c r="D2395" s="147"/>
      <c r="E2395" s="148"/>
      <c r="F2395" s="148"/>
    </row>
    <row r="2396" spans="2:6" x14ac:dyDescent="0.2">
      <c r="B2396" s="115" t="s">
        <v>798</v>
      </c>
      <c r="C2396" s="114">
        <v>8988</v>
      </c>
      <c r="D2396" s="147"/>
      <c r="E2396" s="148"/>
      <c r="F2396" s="148"/>
    </row>
    <row r="2397" spans="2:6" x14ac:dyDescent="0.2">
      <c r="B2397" s="115" t="s">
        <v>797</v>
      </c>
      <c r="C2397" s="114">
        <v>1310</v>
      </c>
      <c r="D2397" s="147"/>
      <c r="E2397" s="148"/>
      <c r="F2397" s="148"/>
    </row>
    <row r="2398" spans="2:6" x14ac:dyDescent="0.2">
      <c r="B2398" s="115" t="s">
        <v>796</v>
      </c>
      <c r="C2398" s="114">
        <v>1497</v>
      </c>
      <c r="D2398" s="147"/>
      <c r="E2398" s="148"/>
      <c r="F2398" s="148"/>
    </row>
    <row r="2399" spans="2:6" x14ac:dyDescent="0.2">
      <c r="B2399" s="198" t="s">
        <v>795</v>
      </c>
      <c r="C2399" s="197">
        <v>2488</v>
      </c>
      <c r="D2399" s="147"/>
      <c r="E2399" s="148"/>
      <c r="F2399" s="148"/>
    </row>
    <row r="2400" spans="2:6" x14ac:dyDescent="0.2">
      <c r="B2400" s="115" t="s">
        <v>794</v>
      </c>
      <c r="C2400" s="114">
        <v>518</v>
      </c>
      <c r="D2400" s="147"/>
      <c r="E2400" s="148"/>
      <c r="F2400" s="148"/>
    </row>
    <row r="2401" spans="2:6" x14ac:dyDescent="0.2">
      <c r="B2401" s="115" t="s">
        <v>793</v>
      </c>
      <c r="C2401" s="114">
        <v>1757</v>
      </c>
      <c r="D2401" s="147"/>
      <c r="E2401" s="148"/>
      <c r="F2401" s="148"/>
    </row>
    <row r="2402" spans="2:6" x14ac:dyDescent="0.2">
      <c r="B2402" s="115" t="s">
        <v>792</v>
      </c>
      <c r="C2402" s="114">
        <v>91</v>
      </c>
      <c r="D2402" s="147"/>
      <c r="E2402" s="148"/>
      <c r="F2402" s="148"/>
    </row>
    <row r="2403" spans="2:6" x14ac:dyDescent="0.2">
      <c r="B2403" s="115" t="s">
        <v>791</v>
      </c>
      <c r="C2403" s="114">
        <v>3084</v>
      </c>
      <c r="D2403" s="147"/>
      <c r="E2403" s="148"/>
      <c r="F2403" s="148"/>
    </row>
    <row r="2404" spans="2:6" x14ac:dyDescent="0.2">
      <c r="B2404" s="115" t="s">
        <v>790</v>
      </c>
      <c r="C2404" s="114">
        <v>10423</v>
      </c>
      <c r="D2404" s="147"/>
      <c r="E2404" s="148"/>
      <c r="F2404" s="148"/>
    </row>
    <row r="2405" spans="2:6" x14ac:dyDescent="0.2">
      <c r="B2405" s="115" t="s">
        <v>789</v>
      </c>
      <c r="C2405" s="114">
        <v>560</v>
      </c>
      <c r="D2405" s="147"/>
      <c r="E2405" s="148"/>
      <c r="F2405" s="148"/>
    </row>
    <row r="2406" spans="2:6" x14ac:dyDescent="0.2">
      <c r="B2406" s="115" t="s">
        <v>788</v>
      </c>
      <c r="C2406" s="114">
        <v>2621</v>
      </c>
      <c r="D2406" s="147"/>
      <c r="E2406" s="148"/>
      <c r="F2406" s="148"/>
    </row>
    <row r="2407" spans="2:6" x14ac:dyDescent="0.2">
      <c r="B2407" s="115" t="s">
        <v>787</v>
      </c>
      <c r="C2407" s="114">
        <v>1062</v>
      </c>
      <c r="D2407" s="147"/>
      <c r="E2407" s="148"/>
      <c r="F2407" s="148"/>
    </row>
    <row r="2408" spans="2:6" x14ac:dyDescent="0.2">
      <c r="B2408" s="115" t="s">
        <v>786</v>
      </c>
      <c r="C2408" s="114">
        <v>1291</v>
      </c>
      <c r="D2408" s="147"/>
      <c r="E2408" s="148"/>
      <c r="F2408" s="148"/>
    </row>
    <row r="2409" spans="2:6" x14ac:dyDescent="0.2">
      <c r="B2409" s="115" t="s">
        <v>785</v>
      </c>
      <c r="C2409" s="114">
        <v>938</v>
      </c>
      <c r="D2409" s="147"/>
      <c r="E2409" s="148"/>
      <c r="F2409" s="148"/>
    </row>
    <row r="2410" spans="2:6" x14ac:dyDescent="0.2">
      <c r="B2410" s="115" t="s">
        <v>784</v>
      </c>
      <c r="C2410" s="114">
        <v>3004</v>
      </c>
      <c r="D2410" s="147"/>
      <c r="E2410" s="148"/>
      <c r="F2410" s="148"/>
    </row>
    <row r="2411" spans="2:6" x14ac:dyDescent="0.2">
      <c r="B2411" s="198" t="s">
        <v>783</v>
      </c>
      <c r="C2411" s="197">
        <v>949</v>
      </c>
      <c r="D2411" s="147"/>
      <c r="E2411" s="148"/>
      <c r="F2411" s="148"/>
    </row>
    <row r="2412" spans="2:6" x14ac:dyDescent="0.2">
      <c r="B2412" s="115" t="s">
        <v>782</v>
      </c>
      <c r="C2412" s="114">
        <v>13919</v>
      </c>
      <c r="D2412" s="147"/>
      <c r="E2412" s="148"/>
      <c r="F2412" s="148"/>
    </row>
    <row r="2413" spans="2:6" x14ac:dyDescent="0.2">
      <c r="B2413" s="115" t="s">
        <v>781</v>
      </c>
      <c r="C2413" s="114">
        <v>2784</v>
      </c>
      <c r="D2413" s="147"/>
      <c r="E2413" s="148"/>
      <c r="F2413" s="148"/>
    </row>
    <row r="2414" spans="2:6" x14ac:dyDescent="0.2">
      <c r="B2414" s="115" t="s">
        <v>780</v>
      </c>
      <c r="C2414" s="114">
        <v>240</v>
      </c>
      <c r="D2414" s="147"/>
      <c r="E2414" s="148"/>
      <c r="F2414" s="148"/>
    </row>
    <row r="2415" spans="2:6" x14ac:dyDescent="0.2">
      <c r="B2415" s="115" t="s">
        <v>779</v>
      </c>
      <c r="C2415" s="114">
        <v>1013</v>
      </c>
      <c r="D2415" s="147"/>
      <c r="E2415" s="148"/>
      <c r="F2415" s="148"/>
    </row>
    <row r="2416" spans="2:6" x14ac:dyDescent="0.2">
      <c r="B2416" s="115" t="s">
        <v>778</v>
      </c>
      <c r="C2416" s="114">
        <v>12653</v>
      </c>
      <c r="D2416" s="147"/>
      <c r="E2416" s="148"/>
      <c r="F2416" s="148"/>
    </row>
    <row r="2417" spans="2:6" x14ac:dyDescent="0.2">
      <c r="B2417" s="115" t="s">
        <v>777</v>
      </c>
      <c r="C2417" s="114">
        <v>582</v>
      </c>
      <c r="D2417" s="147"/>
      <c r="E2417" s="148"/>
      <c r="F2417" s="148"/>
    </row>
    <row r="2418" spans="2:6" x14ac:dyDescent="0.2">
      <c r="B2418" s="198" t="s">
        <v>776</v>
      </c>
      <c r="C2418" s="197">
        <v>423</v>
      </c>
      <c r="D2418" s="147"/>
      <c r="E2418" s="148"/>
      <c r="F2418" s="148"/>
    </row>
    <row r="2419" spans="2:6" x14ac:dyDescent="0.2">
      <c r="B2419" s="115" t="s">
        <v>775</v>
      </c>
      <c r="C2419" s="114">
        <v>1314</v>
      </c>
      <c r="D2419" s="147"/>
      <c r="E2419" s="148"/>
      <c r="F2419" s="148"/>
    </row>
    <row r="2420" spans="2:6" x14ac:dyDescent="0.2">
      <c r="B2420" s="115" t="s">
        <v>774</v>
      </c>
      <c r="C2420" s="114">
        <v>2181</v>
      </c>
      <c r="D2420" s="147"/>
      <c r="E2420" s="148"/>
      <c r="F2420" s="148"/>
    </row>
    <row r="2421" spans="2:6" x14ac:dyDescent="0.2">
      <c r="B2421" s="198" t="s">
        <v>773</v>
      </c>
      <c r="C2421" s="197">
        <v>570</v>
      </c>
      <c r="D2421" s="147"/>
      <c r="E2421" s="148"/>
      <c r="F2421" s="148"/>
    </row>
    <row r="2422" spans="2:6" x14ac:dyDescent="0.2">
      <c r="B2422" s="198" t="s">
        <v>772</v>
      </c>
      <c r="C2422" s="197">
        <v>2288</v>
      </c>
      <c r="D2422" s="147"/>
      <c r="E2422" s="148"/>
      <c r="F2422" s="148"/>
    </row>
    <row r="2423" spans="2:6" x14ac:dyDescent="0.2">
      <c r="B2423" s="198" t="s">
        <v>771</v>
      </c>
      <c r="C2423" s="197">
        <v>503</v>
      </c>
      <c r="D2423" s="147"/>
      <c r="E2423" s="148"/>
      <c r="F2423" s="148"/>
    </row>
    <row r="2424" spans="2:6" x14ac:dyDescent="0.2">
      <c r="B2424" s="115" t="s">
        <v>770</v>
      </c>
      <c r="C2424" s="114">
        <v>519</v>
      </c>
      <c r="D2424" s="147"/>
      <c r="E2424" s="148"/>
      <c r="F2424" s="148"/>
    </row>
    <row r="2425" spans="2:6" x14ac:dyDescent="0.2">
      <c r="B2425" s="198" t="s">
        <v>769</v>
      </c>
      <c r="C2425" s="197">
        <v>67</v>
      </c>
      <c r="D2425" s="147"/>
      <c r="E2425" s="148"/>
      <c r="F2425" s="148"/>
    </row>
    <row r="2426" spans="2:6" x14ac:dyDescent="0.2">
      <c r="B2426" s="115" t="s">
        <v>768</v>
      </c>
      <c r="C2426" s="114">
        <v>1430</v>
      </c>
      <c r="D2426" s="147"/>
      <c r="E2426" s="148"/>
      <c r="F2426" s="148"/>
    </row>
    <row r="2427" spans="2:6" x14ac:dyDescent="0.2">
      <c r="B2427" s="115" t="s">
        <v>767</v>
      </c>
      <c r="C2427" s="114">
        <v>4299</v>
      </c>
      <c r="D2427" s="147"/>
      <c r="E2427" s="148"/>
      <c r="F2427" s="148"/>
    </row>
    <row r="2428" spans="2:6" x14ac:dyDescent="0.2">
      <c r="B2428" s="115" t="s">
        <v>766</v>
      </c>
      <c r="C2428" s="114">
        <v>906</v>
      </c>
      <c r="D2428" s="147"/>
      <c r="E2428" s="148"/>
      <c r="F2428" s="148"/>
    </row>
    <row r="2429" spans="2:6" x14ac:dyDescent="0.2">
      <c r="B2429" s="115" t="s">
        <v>765</v>
      </c>
      <c r="C2429" s="114">
        <v>132</v>
      </c>
      <c r="D2429" s="147"/>
      <c r="E2429" s="148"/>
      <c r="F2429" s="148"/>
    </row>
    <row r="2430" spans="2:6" x14ac:dyDescent="0.2">
      <c r="B2430" s="198" t="s">
        <v>764</v>
      </c>
      <c r="C2430" s="197">
        <v>330</v>
      </c>
      <c r="D2430" s="147"/>
      <c r="E2430" s="148"/>
      <c r="F2430" s="148"/>
    </row>
    <row r="2431" spans="2:6" x14ac:dyDescent="0.2">
      <c r="B2431" s="115" t="s">
        <v>763</v>
      </c>
      <c r="C2431" s="114">
        <v>8603</v>
      </c>
      <c r="D2431" s="147"/>
      <c r="E2431" s="148"/>
      <c r="F2431" s="148"/>
    </row>
    <row r="2432" spans="2:6" x14ac:dyDescent="0.2">
      <c r="B2432" s="198" t="s">
        <v>762</v>
      </c>
      <c r="C2432" s="197">
        <v>146</v>
      </c>
      <c r="D2432" s="147"/>
      <c r="E2432" s="148"/>
      <c r="F2432" s="148"/>
    </row>
    <row r="2433" spans="2:6" x14ac:dyDescent="0.2">
      <c r="B2433" s="115" t="s">
        <v>761</v>
      </c>
      <c r="C2433" s="114">
        <v>378</v>
      </c>
      <c r="D2433" s="147"/>
      <c r="E2433" s="148"/>
      <c r="F2433" s="148"/>
    </row>
    <row r="2434" spans="2:6" x14ac:dyDescent="0.2">
      <c r="B2434" s="115" t="s">
        <v>760</v>
      </c>
      <c r="C2434" s="114">
        <v>27</v>
      </c>
      <c r="D2434" s="147"/>
      <c r="E2434" s="148"/>
      <c r="F2434" s="148"/>
    </row>
    <row r="2435" spans="2:6" x14ac:dyDescent="0.2">
      <c r="B2435" s="198" t="s">
        <v>759</v>
      </c>
      <c r="C2435" s="197">
        <v>508</v>
      </c>
      <c r="D2435" s="147"/>
      <c r="E2435" s="148"/>
      <c r="F2435" s="148"/>
    </row>
    <row r="2436" spans="2:6" x14ac:dyDescent="0.2">
      <c r="B2436" s="198" t="s">
        <v>758</v>
      </c>
      <c r="C2436" s="197">
        <v>367</v>
      </c>
      <c r="D2436" s="147"/>
      <c r="E2436" s="148"/>
      <c r="F2436" s="148"/>
    </row>
    <row r="2437" spans="2:6" x14ac:dyDescent="0.2">
      <c r="B2437" s="115" t="s">
        <v>757</v>
      </c>
      <c r="C2437" s="114">
        <v>3557</v>
      </c>
      <c r="D2437" s="147"/>
      <c r="E2437" s="148"/>
      <c r="F2437" s="148"/>
    </row>
    <row r="2438" spans="2:6" x14ac:dyDescent="0.2">
      <c r="B2438" s="198" t="s">
        <v>756</v>
      </c>
      <c r="C2438" s="197">
        <v>1202</v>
      </c>
      <c r="D2438" s="147"/>
      <c r="E2438" s="148"/>
      <c r="F2438" s="148"/>
    </row>
    <row r="2439" spans="2:6" x14ac:dyDescent="0.2">
      <c r="B2439" s="115" t="s">
        <v>755</v>
      </c>
      <c r="C2439" s="114">
        <v>23806</v>
      </c>
      <c r="D2439" s="147"/>
      <c r="E2439" s="148"/>
      <c r="F2439" s="148"/>
    </row>
    <row r="2440" spans="2:6" x14ac:dyDescent="0.2">
      <c r="B2440" s="198" t="s">
        <v>754</v>
      </c>
      <c r="C2440" s="197">
        <v>617</v>
      </c>
      <c r="D2440" s="147"/>
      <c r="E2440" s="148"/>
      <c r="F2440" s="148"/>
    </row>
    <row r="2441" spans="2:6" x14ac:dyDescent="0.2">
      <c r="B2441" s="115" t="s">
        <v>753</v>
      </c>
      <c r="C2441" s="114">
        <v>1632</v>
      </c>
      <c r="D2441" s="147"/>
      <c r="E2441" s="148"/>
      <c r="F2441" s="148"/>
    </row>
    <row r="2442" spans="2:6" x14ac:dyDescent="0.2">
      <c r="B2442" s="198" t="s">
        <v>752</v>
      </c>
      <c r="C2442" s="197">
        <v>685</v>
      </c>
      <c r="D2442" s="147"/>
      <c r="E2442" s="148"/>
      <c r="F2442" s="148"/>
    </row>
    <row r="2443" spans="2:6" x14ac:dyDescent="0.2">
      <c r="B2443" s="198" t="s">
        <v>751</v>
      </c>
      <c r="C2443" s="197">
        <v>280</v>
      </c>
      <c r="D2443" s="147"/>
      <c r="E2443" s="148"/>
      <c r="F2443" s="148"/>
    </row>
    <row r="2444" spans="2:6" x14ac:dyDescent="0.2">
      <c r="B2444" s="115" t="s">
        <v>750</v>
      </c>
      <c r="C2444" s="114">
        <v>1113</v>
      </c>
      <c r="D2444" s="147"/>
      <c r="E2444" s="148"/>
      <c r="F2444" s="148"/>
    </row>
    <row r="2445" spans="2:6" x14ac:dyDescent="0.2">
      <c r="B2445" s="198" t="s">
        <v>749</v>
      </c>
      <c r="C2445" s="197">
        <v>5817</v>
      </c>
      <c r="D2445" s="147"/>
      <c r="E2445" s="148"/>
      <c r="F2445" s="148"/>
    </row>
    <row r="2446" spans="2:6" x14ac:dyDescent="0.2">
      <c r="B2446" s="198" t="s">
        <v>748</v>
      </c>
      <c r="C2446" s="197">
        <v>1298</v>
      </c>
      <c r="D2446" s="147"/>
      <c r="E2446" s="148"/>
      <c r="F2446" s="148"/>
    </row>
    <row r="2447" spans="2:6" x14ac:dyDescent="0.2">
      <c r="B2447" s="115" t="s">
        <v>747</v>
      </c>
      <c r="C2447" s="114">
        <v>6865</v>
      </c>
      <c r="D2447" s="147"/>
      <c r="E2447" s="148"/>
      <c r="F2447" s="148"/>
    </row>
    <row r="2448" spans="2:6" x14ac:dyDescent="0.2">
      <c r="B2448" s="115" t="s">
        <v>746</v>
      </c>
      <c r="C2448" s="114">
        <v>556</v>
      </c>
      <c r="D2448" s="147"/>
      <c r="E2448" s="148"/>
      <c r="F2448" s="148"/>
    </row>
    <row r="2449" spans="2:6" x14ac:dyDescent="0.2">
      <c r="B2449" s="115" t="s">
        <v>745</v>
      </c>
      <c r="C2449" s="114">
        <v>10927</v>
      </c>
      <c r="D2449" s="147"/>
      <c r="E2449" s="148"/>
      <c r="F2449" s="148"/>
    </row>
    <row r="2450" spans="2:6" x14ac:dyDescent="0.2">
      <c r="B2450" s="198" t="s">
        <v>744</v>
      </c>
      <c r="C2450" s="197">
        <v>662</v>
      </c>
      <c r="D2450" s="147"/>
      <c r="E2450" s="148"/>
      <c r="F2450" s="148"/>
    </row>
    <row r="2451" spans="2:6" x14ac:dyDescent="0.2">
      <c r="B2451" s="115" t="s">
        <v>743</v>
      </c>
      <c r="C2451" s="114">
        <v>1289</v>
      </c>
      <c r="D2451" s="147"/>
      <c r="E2451" s="148"/>
      <c r="F2451" s="148"/>
    </row>
    <row r="2452" spans="2:6" x14ac:dyDescent="0.2">
      <c r="B2452" s="198" t="s">
        <v>742</v>
      </c>
      <c r="C2452" s="197">
        <v>283</v>
      </c>
      <c r="D2452" s="147"/>
      <c r="E2452" s="148"/>
      <c r="F2452" s="148"/>
    </row>
    <row r="2453" spans="2:6" x14ac:dyDescent="0.2">
      <c r="B2453" s="198" t="s">
        <v>741</v>
      </c>
      <c r="C2453" s="197">
        <v>613</v>
      </c>
      <c r="D2453" s="147"/>
      <c r="E2453" s="148"/>
      <c r="F2453" s="148"/>
    </row>
    <row r="2454" spans="2:6" x14ac:dyDescent="0.2">
      <c r="B2454" s="115" t="s">
        <v>740</v>
      </c>
      <c r="C2454" s="114">
        <v>984</v>
      </c>
      <c r="D2454" s="147"/>
      <c r="E2454" s="148"/>
      <c r="F2454" s="148"/>
    </row>
    <row r="2455" spans="2:6" x14ac:dyDescent="0.2">
      <c r="B2455" s="115" t="s">
        <v>739</v>
      </c>
      <c r="C2455" s="114">
        <v>77</v>
      </c>
      <c r="D2455" s="147"/>
      <c r="E2455" s="148"/>
      <c r="F2455" s="148"/>
    </row>
    <row r="2456" spans="2:6" x14ac:dyDescent="0.2">
      <c r="B2456" s="198" t="s">
        <v>738</v>
      </c>
      <c r="C2456" s="197">
        <v>349</v>
      </c>
      <c r="D2456" s="147"/>
      <c r="E2456" s="148"/>
      <c r="F2456" s="148"/>
    </row>
    <row r="2457" spans="2:6" x14ac:dyDescent="0.2">
      <c r="B2457" s="115" t="s">
        <v>737</v>
      </c>
      <c r="C2457" s="114">
        <v>148</v>
      </c>
      <c r="D2457" s="147"/>
      <c r="E2457" s="148"/>
      <c r="F2457" s="148"/>
    </row>
    <row r="2458" spans="2:6" x14ac:dyDescent="0.2">
      <c r="B2458" s="115" t="s">
        <v>736</v>
      </c>
      <c r="C2458" s="114">
        <v>470</v>
      </c>
      <c r="D2458" s="147"/>
      <c r="E2458" s="148"/>
      <c r="F2458" s="148"/>
    </row>
    <row r="2459" spans="2:6" x14ac:dyDescent="0.2">
      <c r="B2459" s="198" t="s">
        <v>735</v>
      </c>
      <c r="C2459" s="197">
        <v>178</v>
      </c>
      <c r="D2459" s="147"/>
      <c r="E2459" s="148"/>
      <c r="F2459" s="148"/>
    </row>
    <row r="2460" spans="2:6" x14ac:dyDescent="0.2">
      <c r="B2460" s="198" t="s">
        <v>734</v>
      </c>
      <c r="C2460" s="197">
        <v>725</v>
      </c>
      <c r="D2460" s="147"/>
      <c r="E2460" s="148"/>
      <c r="F2460" s="148"/>
    </row>
    <row r="2461" spans="2:6" x14ac:dyDescent="0.2">
      <c r="B2461" s="198" t="s">
        <v>733</v>
      </c>
      <c r="C2461" s="197">
        <v>467</v>
      </c>
      <c r="D2461" s="147"/>
      <c r="E2461" s="148"/>
      <c r="F2461" s="148"/>
    </row>
    <row r="2462" spans="2:6" x14ac:dyDescent="0.2">
      <c r="B2462" s="115" t="s">
        <v>732</v>
      </c>
      <c r="C2462" s="114">
        <v>81</v>
      </c>
      <c r="D2462" s="147"/>
      <c r="E2462" s="148"/>
      <c r="F2462" s="148"/>
    </row>
    <row r="2463" spans="2:6" x14ac:dyDescent="0.2">
      <c r="B2463" s="115" t="s">
        <v>731</v>
      </c>
      <c r="C2463" s="114">
        <v>116</v>
      </c>
      <c r="D2463" s="147"/>
      <c r="E2463" s="148"/>
      <c r="F2463" s="148"/>
    </row>
    <row r="2464" spans="2:6" x14ac:dyDescent="0.2">
      <c r="B2464" s="115" t="s">
        <v>730</v>
      </c>
      <c r="C2464" s="114">
        <v>134</v>
      </c>
      <c r="D2464" s="147"/>
      <c r="E2464" s="148"/>
      <c r="F2464" s="148"/>
    </row>
    <row r="2465" spans="2:6" x14ac:dyDescent="0.2">
      <c r="B2465" s="198" t="s">
        <v>729</v>
      </c>
      <c r="C2465" s="197">
        <v>160</v>
      </c>
      <c r="D2465" s="147"/>
      <c r="E2465" s="148"/>
      <c r="F2465" s="148"/>
    </row>
    <row r="2466" spans="2:6" x14ac:dyDescent="0.2">
      <c r="B2466" s="198" t="s">
        <v>728</v>
      </c>
      <c r="C2466" s="197">
        <v>492</v>
      </c>
      <c r="D2466" s="147"/>
      <c r="E2466" s="148"/>
      <c r="F2466" s="148"/>
    </row>
    <row r="2467" spans="2:6" x14ac:dyDescent="0.2">
      <c r="B2467" s="115" t="s">
        <v>727</v>
      </c>
      <c r="C2467" s="114">
        <v>399</v>
      </c>
      <c r="D2467" s="147"/>
      <c r="E2467" s="148"/>
      <c r="F2467" s="148"/>
    </row>
    <row r="2468" spans="2:6" x14ac:dyDescent="0.2">
      <c r="B2468" s="115" t="s">
        <v>726</v>
      </c>
      <c r="C2468" s="114">
        <v>340</v>
      </c>
      <c r="D2468" s="147"/>
      <c r="E2468" s="148"/>
      <c r="F2468" s="148"/>
    </row>
    <row r="2469" spans="2:6" x14ac:dyDescent="0.2">
      <c r="B2469" s="115" t="s">
        <v>725</v>
      </c>
      <c r="C2469" s="114">
        <v>304</v>
      </c>
      <c r="D2469" s="147"/>
      <c r="E2469" s="148"/>
      <c r="F2469" s="148"/>
    </row>
    <row r="2470" spans="2:6" x14ac:dyDescent="0.2">
      <c r="B2470" s="115" t="s">
        <v>724</v>
      </c>
      <c r="C2470" s="114">
        <v>1430</v>
      </c>
      <c r="D2470" s="147"/>
      <c r="E2470" s="148"/>
      <c r="F2470" s="148"/>
    </row>
    <row r="2471" spans="2:6" x14ac:dyDescent="0.2">
      <c r="B2471" s="115" t="s">
        <v>723</v>
      </c>
      <c r="C2471" s="114">
        <v>433</v>
      </c>
      <c r="D2471" s="147"/>
      <c r="E2471" s="148"/>
      <c r="F2471" s="148"/>
    </row>
    <row r="2472" spans="2:6" x14ac:dyDescent="0.2">
      <c r="B2472" s="198" t="s">
        <v>722</v>
      </c>
      <c r="C2472" s="197">
        <v>688</v>
      </c>
      <c r="D2472" s="147"/>
      <c r="E2472" s="148"/>
      <c r="F2472" s="148"/>
    </row>
    <row r="2473" spans="2:6" x14ac:dyDescent="0.2">
      <c r="B2473" s="198" t="s">
        <v>721</v>
      </c>
      <c r="C2473" s="197">
        <v>1175</v>
      </c>
      <c r="D2473" s="147"/>
      <c r="E2473" s="148"/>
      <c r="F2473" s="148"/>
    </row>
    <row r="2474" spans="2:6" x14ac:dyDescent="0.2">
      <c r="B2474" s="198" t="s">
        <v>720</v>
      </c>
      <c r="C2474" s="197">
        <v>83</v>
      </c>
      <c r="D2474" s="147"/>
      <c r="E2474" s="148"/>
      <c r="F2474" s="148"/>
    </row>
    <row r="2475" spans="2:6" x14ac:dyDescent="0.2">
      <c r="B2475" s="115" t="s">
        <v>719</v>
      </c>
      <c r="C2475" s="114">
        <v>774</v>
      </c>
      <c r="D2475" s="147"/>
      <c r="E2475" s="148"/>
      <c r="F2475" s="148"/>
    </row>
    <row r="2476" spans="2:6" x14ac:dyDescent="0.2">
      <c r="B2476" s="115" t="s">
        <v>718</v>
      </c>
      <c r="C2476" s="114">
        <v>656</v>
      </c>
      <c r="D2476" s="147"/>
      <c r="E2476" s="148"/>
      <c r="F2476" s="148"/>
    </row>
    <row r="2477" spans="2:6" x14ac:dyDescent="0.2">
      <c r="B2477" s="115" t="s">
        <v>717</v>
      </c>
      <c r="C2477" s="114">
        <v>1372</v>
      </c>
      <c r="D2477" s="147"/>
      <c r="E2477" s="148"/>
      <c r="F2477" s="148"/>
    </row>
    <row r="2478" spans="2:6" x14ac:dyDescent="0.2">
      <c r="B2478" s="115" t="s">
        <v>716</v>
      </c>
      <c r="C2478" s="114">
        <v>441</v>
      </c>
      <c r="D2478" s="147"/>
      <c r="E2478" s="148"/>
      <c r="F2478" s="148"/>
    </row>
    <row r="2479" spans="2:6" x14ac:dyDescent="0.2">
      <c r="B2479" s="198" t="s">
        <v>715</v>
      </c>
      <c r="C2479" s="197">
        <v>914</v>
      </c>
      <c r="D2479" s="147"/>
      <c r="E2479" s="148"/>
      <c r="F2479" s="148"/>
    </row>
    <row r="2480" spans="2:6" x14ac:dyDescent="0.2">
      <c r="B2480" s="198" t="s">
        <v>714</v>
      </c>
      <c r="C2480" s="197">
        <v>706</v>
      </c>
      <c r="D2480" s="147"/>
      <c r="E2480" s="148"/>
      <c r="F2480" s="148"/>
    </row>
    <row r="2481" spans="2:6" x14ac:dyDescent="0.2">
      <c r="B2481" s="115" t="s">
        <v>713</v>
      </c>
      <c r="C2481" s="114">
        <v>1653</v>
      </c>
      <c r="D2481" s="147"/>
      <c r="E2481" s="148"/>
      <c r="F2481" s="148"/>
    </row>
    <row r="2482" spans="2:6" x14ac:dyDescent="0.2">
      <c r="B2482" s="198" t="s">
        <v>712</v>
      </c>
      <c r="C2482" s="197">
        <v>213</v>
      </c>
      <c r="D2482" s="147"/>
      <c r="E2482" s="148"/>
      <c r="F2482" s="148"/>
    </row>
    <row r="2483" spans="2:6" x14ac:dyDescent="0.2">
      <c r="B2483" s="198" t="s">
        <v>711</v>
      </c>
      <c r="C2483" s="197">
        <v>534</v>
      </c>
      <c r="D2483" s="147"/>
      <c r="E2483" s="148"/>
      <c r="F2483" s="148"/>
    </row>
    <row r="2484" spans="2:6" x14ac:dyDescent="0.2">
      <c r="B2484" s="115" t="s">
        <v>710</v>
      </c>
      <c r="C2484" s="114">
        <v>2040</v>
      </c>
      <c r="D2484" s="147"/>
      <c r="E2484" s="148"/>
      <c r="F2484" s="148"/>
    </row>
    <row r="2485" spans="2:6" x14ac:dyDescent="0.2">
      <c r="B2485" s="198" t="s">
        <v>709</v>
      </c>
      <c r="C2485" s="197">
        <v>608</v>
      </c>
      <c r="D2485" s="147"/>
      <c r="E2485" s="148"/>
      <c r="F2485" s="148"/>
    </row>
    <row r="2486" spans="2:6" x14ac:dyDescent="0.2">
      <c r="B2486" s="115" t="s">
        <v>708</v>
      </c>
      <c r="C2486" s="114">
        <v>1780</v>
      </c>
      <c r="D2486" s="147"/>
      <c r="E2486" s="148"/>
      <c r="F2486" s="148"/>
    </row>
    <row r="2487" spans="2:6" x14ac:dyDescent="0.2">
      <c r="B2487" s="115" t="s">
        <v>707</v>
      </c>
      <c r="C2487" s="114">
        <v>60820</v>
      </c>
      <c r="D2487" s="147"/>
      <c r="E2487" s="148"/>
      <c r="F2487" s="148"/>
    </row>
    <row r="2488" spans="2:6" x14ac:dyDescent="0.2">
      <c r="B2488" s="115" t="s">
        <v>706</v>
      </c>
      <c r="C2488" s="114">
        <v>877</v>
      </c>
      <c r="D2488" s="147"/>
      <c r="E2488" s="148"/>
      <c r="F2488" s="148"/>
    </row>
    <row r="2489" spans="2:6" x14ac:dyDescent="0.2">
      <c r="B2489" s="198" t="s">
        <v>705</v>
      </c>
      <c r="C2489" s="197">
        <v>1468</v>
      </c>
      <c r="D2489" s="147"/>
      <c r="E2489" s="148"/>
      <c r="F2489" s="148"/>
    </row>
    <row r="2490" spans="2:6" x14ac:dyDescent="0.2">
      <c r="B2490" s="115" t="s">
        <v>704</v>
      </c>
      <c r="C2490" s="114">
        <v>286</v>
      </c>
      <c r="D2490" s="147"/>
      <c r="E2490" s="148"/>
      <c r="F2490" s="148"/>
    </row>
    <row r="2491" spans="2:6" x14ac:dyDescent="0.2">
      <c r="B2491" s="115" t="s">
        <v>703</v>
      </c>
      <c r="C2491" s="114">
        <v>628</v>
      </c>
      <c r="D2491" s="147"/>
      <c r="E2491" s="148"/>
      <c r="F2491" s="148"/>
    </row>
    <row r="2492" spans="2:6" x14ac:dyDescent="0.2">
      <c r="B2492" s="115" t="s">
        <v>702</v>
      </c>
      <c r="C2492" s="114">
        <v>227</v>
      </c>
      <c r="D2492" s="147"/>
      <c r="E2492" s="148"/>
      <c r="F2492" s="148"/>
    </row>
    <row r="2493" spans="2:6" x14ac:dyDescent="0.2">
      <c r="B2493" s="115" t="s">
        <v>701</v>
      </c>
      <c r="C2493" s="114">
        <v>736</v>
      </c>
      <c r="D2493" s="147"/>
      <c r="E2493" s="148"/>
      <c r="F2493" s="148"/>
    </row>
    <row r="2494" spans="2:6" x14ac:dyDescent="0.2">
      <c r="B2494" s="198" t="s">
        <v>700</v>
      </c>
      <c r="C2494" s="197">
        <v>751</v>
      </c>
      <c r="D2494" s="147"/>
      <c r="E2494" s="148"/>
      <c r="F2494" s="148"/>
    </row>
    <row r="2495" spans="2:6" x14ac:dyDescent="0.2">
      <c r="B2495" s="198" t="s">
        <v>699</v>
      </c>
      <c r="C2495" s="197">
        <v>896</v>
      </c>
      <c r="D2495" s="147"/>
      <c r="E2495" s="148"/>
      <c r="F2495" s="148"/>
    </row>
    <row r="2496" spans="2:6" x14ac:dyDescent="0.2">
      <c r="B2496" s="115" t="s">
        <v>698</v>
      </c>
      <c r="C2496" s="114">
        <v>3760</v>
      </c>
      <c r="D2496" s="147"/>
      <c r="E2496" s="148"/>
      <c r="F2496" s="148"/>
    </row>
    <row r="2497" spans="2:6" x14ac:dyDescent="0.2">
      <c r="B2497" s="115" t="s">
        <v>697</v>
      </c>
      <c r="C2497" s="114">
        <v>233</v>
      </c>
      <c r="D2497" s="147"/>
      <c r="E2497" s="148"/>
      <c r="F2497" s="148"/>
    </row>
    <row r="2498" spans="2:6" x14ac:dyDescent="0.2">
      <c r="B2498" s="198" t="s">
        <v>696</v>
      </c>
      <c r="C2498" s="197">
        <v>145</v>
      </c>
      <c r="D2498" s="147"/>
      <c r="E2498" s="148"/>
      <c r="F2498" s="148"/>
    </row>
    <row r="2499" spans="2:6" x14ac:dyDescent="0.2">
      <c r="B2499" s="198" t="s">
        <v>695</v>
      </c>
      <c r="C2499" s="197">
        <v>588</v>
      </c>
      <c r="D2499" s="147"/>
      <c r="E2499" s="148"/>
      <c r="F2499" s="148"/>
    </row>
    <row r="2500" spans="2:6" x14ac:dyDescent="0.2">
      <c r="B2500" s="115" t="s">
        <v>694</v>
      </c>
      <c r="C2500" s="114">
        <v>1429</v>
      </c>
      <c r="D2500" s="147"/>
      <c r="E2500" s="148"/>
      <c r="F2500" s="148"/>
    </row>
    <row r="2501" spans="2:6" x14ac:dyDescent="0.2">
      <c r="B2501" s="115" t="s">
        <v>693</v>
      </c>
      <c r="C2501" s="114">
        <v>784</v>
      </c>
      <c r="D2501" s="147"/>
      <c r="E2501" s="148"/>
      <c r="F2501" s="148"/>
    </row>
    <row r="2502" spans="2:6" x14ac:dyDescent="0.2">
      <c r="B2502" s="198" t="s">
        <v>692</v>
      </c>
      <c r="C2502" s="197">
        <v>558</v>
      </c>
      <c r="D2502" s="147"/>
      <c r="E2502" s="148"/>
      <c r="F2502" s="148"/>
    </row>
    <row r="2503" spans="2:6" x14ac:dyDescent="0.2">
      <c r="B2503" s="115" t="s">
        <v>691</v>
      </c>
      <c r="C2503" s="114">
        <v>2170</v>
      </c>
      <c r="D2503" s="147"/>
      <c r="E2503" s="148"/>
      <c r="F2503" s="148"/>
    </row>
    <row r="2504" spans="2:6" x14ac:dyDescent="0.2">
      <c r="B2504" s="115" t="s">
        <v>690</v>
      </c>
      <c r="C2504" s="114">
        <v>396</v>
      </c>
      <c r="D2504" s="147"/>
      <c r="E2504" s="148"/>
      <c r="F2504" s="148"/>
    </row>
    <row r="2505" spans="2:6" x14ac:dyDescent="0.2">
      <c r="B2505" s="115" t="s">
        <v>689</v>
      </c>
      <c r="C2505" s="114">
        <v>1224</v>
      </c>
      <c r="D2505" s="147"/>
      <c r="E2505" s="148"/>
      <c r="F2505" s="148"/>
    </row>
    <row r="2506" spans="2:6" x14ac:dyDescent="0.2">
      <c r="B2506" s="115" t="s">
        <v>688</v>
      </c>
      <c r="C2506" s="114">
        <v>529</v>
      </c>
      <c r="D2506" s="147"/>
      <c r="E2506" s="148"/>
      <c r="F2506" s="148"/>
    </row>
    <row r="2507" spans="2:6" x14ac:dyDescent="0.2">
      <c r="B2507" s="198" t="s">
        <v>687</v>
      </c>
      <c r="C2507" s="197">
        <v>3334</v>
      </c>
      <c r="D2507" s="147"/>
      <c r="E2507" s="148"/>
      <c r="F2507" s="148"/>
    </row>
    <row r="2508" spans="2:6" x14ac:dyDescent="0.2">
      <c r="B2508" s="115" t="s">
        <v>686</v>
      </c>
      <c r="C2508" s="114">
        <v>8525</v>
      </c>
      <c r="D2508" s="147"/>
      <c r="E2508" s="148"/>
      <c r="F2508" s="148"/>
    </row>
    <row r="2509" spans="2:6" x14ac:dyDescent="0.2">
      <c r="B2509" s="198" t="s">
        <v>685</v>
      </c>
      <c r="C2509" s="197">
        <v>5669</v>
      </c>
      <c r="D2509" s="147"/>
      <c r="E2509" s="148"/>
      <c r="F2509" s="148"/>
    </row>
    <row r="2510" spans="2:6" x14ac:dyDescent="0.2">
      <c r="B2510" s="198" t="s">
        <v>684</v>
      </c>
      <c r="C2510" s="197">
        <v>519</v>
      </c>
      <c r="D2510" s="147"/>
      <c r="E2510" s="148"/>
      <c r="F2510" s="148"/>
    </row>
    <row r="2511" spans="2:6" x14ac:dyDescent="0.2">
      <c r="B2511" s="198" t="s">
        <v>683</v>
      </c>
      <c r="C2511" s="197">
        <v>567</v>
      </c>
      <c r="D2511" s="147"/>
      <c r="E2511" s="148"/>
      <c r="F2511" s="148"/>
    </row>
    <row r="2512" spans="2:6" x14ac:dyDescent="0.2">
      <c r="B2512" s="115" t="s">
        <v>682</v>
      </c>
      <c r="C2512" s="114">
        <v>2005</v>
      </c>
      <c r="D2512" s="147"/>
      <c r="E2512" s="148"/>
      <c r="F2512" s="148"/>
    </row>
    <row r="2513" spans="2:6" x14ac:dyDescent="0.2">
      <c r="B2513" s="198" t="s">
        <v>681</v>
      </c>
      <c r="C2513" s="197">
        <v>4779</v>
      </c>
      <c r="D2513" s="147"/>
      <c r="E2513" s="148"/>
      <c r="F2513" s="148"/>
    </row>
    <row r="2514" spans="2:6" x14ac:dyDescent="0.2">
      <c r="B2514" s="115" t="s">
        <v>680</v>
      </c>
      <c r="C2514" s="114">
        <v>1975</v>
      </c>
      <c r="D2514" s="147"/>
      <c r="E2514" s="148"/>
      <c r="F2514" s="148"/>
    </row>
    <row r="2515" spans="2:6" x14ac:dyDescent="0.2">
      <c r="B2515" s="115" t="s">
        <v>679</v>
      </c>
      <c r="C2515" s="114">
        <v>803</v>
      </c>
      <c r="D2515" s="147"/>
      <c r="E2515" s="148"/>
      <c r="F2515" s="148"/>
    </row>
    <row r="2516" spans="2:6" x14ac:dyDescent="0.2">
      <c r="B2516" s="198" t="s">
        <v>678</v>
      </c>
      <c r="C2516" s="197">
        <v>246</v>
      </c>
      <c r="D2516" s="147"/>
      <c r="E2516" s="148"/>
      <c r="F2516" s="148"/>
    </row>
    <row r="2517" spans="2:6" x14ac:dyDescent="0.2">
      <c r="B2517" s="198" t="s">
        <v>677</v>
      </c>
      <c r="C2517" s="197">
        <v>2283</v>
      </c>
      <c r="D2517" s="147"/>
      <c r="E2517" s="148"/>
      <c r="F2517" s="148"/>
    </row>
    <row r="2518" spans="2:6" x14ac:dyDescent="0.2">
      <c r="B2518" s="115" t="s">
        <v>676</v>
      </c>
      <c r="C2518" s="114">
        <v>5853</v>
      </c>
      <c r="D2518" s="147"/>
      <c r="E2518" s="148"/>
      <c r="F2518" s="148"/>
    </row>
    <row r="2519" spans="2:6" x14ac:dyDescent="0.2">
      <c r="B2519" s="115" t="s">
        <v>675</v>
      </c>
      <c r="C2519" s="114">
        <v>716</v>
      </c>
      <c r="D2519" s="147"/>
      <c r="E2519" s="148"/>
      <c r="F2519" s="148"/>
    </row>
    <row r="2520" spans="2:6" x14ac:dyDescent="0.2">
      <c r="B2520" s="115" t="s">
        <v>674</v>
      </c>
      <c r="C2520" s="114">
        <v>556</v>
      </c>
      <c r="D2520" s="147"/>
      <c r="E2520" s="148"/>
      <c r="F2520" s="148"/>
    </row>
    <row r="2521" spans="2:6" x14ac:dyDescent="0.2">
      <c r="B2521" s="115" t="s">
        <v>673</v>
      </c>
      <c r="C2521" s="114">
        <v>318</v>
      </c>
      <c r="D2521" s="147"/>
      <c r="E2521" s="148"/>
      <c r="F2521" s="148"/>
    </row>
    <row r="2522" spans="2:6" x14ac:dyDescent="0.2">
      <c r="B2522" s="198" t="s">
        <v>672</v>
      </c>
      <c r="C2522" s="197">
        <v>1096</v>
      </c>
      <c r="D2522" s="147"/>
      <c r="E2522" s="148"/>
      <c r="F2522" s="148"/>
    </row>
    <row r="2523" spans="2:6" x14ac:dyDescent="0.2">
      <c r="B2523" s="115" t="s">
        <v>671</v>
      </c>
      <c r="C2523" s="114">
        <v>1382</v>
      </c>
      <c r="D2523" s="147"/>
      <c r="E2523" s="148"/>
      <c r="F2523" s="148"/>
    </row>
    <row r="2524" spans="2:6" x14ac:dyDescent="0.2">
      <c r="B2524" s="115" t="s">
        <v>670</v>
      </c>
      <c r="C2524" s="114">
        <v>6631</v>
      </c>
      <c r="D2524" s="147"/>
      <c r="E2524" s="148"/>
      <c r="F2524" s="148"/>
    </row>
    <row r="2525" spans="2:6" x14ac:dyDescent="0.2">
      <c r="B2525" s="115" t="s">
        <v>669</v>
      </c>
      <c r="C2525" s="114">
        <v>114</v>
      </c>
      <c r="D2525" s="147"/>
      <c r="E2525" s="148"/>
      <c r="F2525" s="148"/>
    </row>
    <row r="2526" spans="2:6" x14ac:dyDescent="0.2">
      <c r="B2526" s="198" t="s">
        <v>668</v>
      </c>
      <c r="C2526" s="197">
        <v>747</v>
      </c>
      <c r="D2526" s="147"/>
      <c r="E2526" s="148"/>
      <c r="F2526" s="148"/>
    </row>
    <row r="2527" spans="2:6" x14ac:dyDescent="0.2">
      <c r="B2527" s="198" t="s">
        <v>667</v>
      </c>
      <c r="C2527" s="197">
        <v>580</v>
      </c>
      <c r="D2527" s="147"/>
      <c r="E2527" s="148"/>
      <c r="F2527" s="148"/>
    </row>
    <row r="2528" spans="2:6" x14ac:dyDescent="0.2">
      <c r="B2528" s="198" t="s">
        <v>666</v>
      </c>
      <c r="C2528" s="197">
        <v>3679</v>
      </c>
      <c r="D2528" s="147"/>
      <c r="E2528" s="148"/>
      <c r="F2528" s="148"/>
    </row>
    <row r="2529" spans="2:6" x14ac:dyDescent="0.2">
      <c r="B2529" s="198" t="s">
        <v>665</v>
      </c>
      <c r="C2529" s="197">
        <v>215</v>
      </c>
      <c r="D2529" s="147"/>
      <c r="E2529" s="148"/>
      <c r="F2529" s="148"/>
    </row>
    <row r="2530" spans="2:6" x14ac:dyDescent="0.2">
      <c r="B2530" s="115" t="s">
        <v>664</v>
      </c>
      <c r="C2530" s="114">
        <v>197</v>
      </c>
      <c r="D2530" s="147"/>
      <c r="E2530" s="148"/>
      <c r="F2530" s="148"/>
    </row>
    <row r="2531" spans="2:6" x14ac:dyDescent="0.2">
      <c r="B2531" s="198" t="s">
        <v>663</v>
      </c>
      <c r="C2531" s="197">
        <v>434</v>
      </c>
      <c r="D2531" s="147"/>
      <c r="E2531" s="148"/>
      <c r="F2531" s="148"/>
    </row>
    <row r="2532" spans="2:6" x14ac:dyDescent="0.2">
      <c r="B2532" s="198" t="s">
        <v>662</v>
      </c>
      <c r="C2532" s="197">
        <v>1164</v>
      </c>
      <c r="D2532" s="147"/>
      <c r="E2532" s="148"/>
      <c r="F2532" s="148"/>
    </row>
    <row r="2533" spans="2:6" x14ac:dyDescent="0.2">
      <c r="B2533" s="198" t="s">
        <v>661</v>
      </c>
      <c r="C2533" s="197">
        <v>696</v>
      </c>
      <c r="D2533" s="147"/>
      <c r="E2533" s="148"/>
      <c r="F2533" s="148"/>
    </row>
    <row r="2534" spans="2:6" x14ac:dyDescent="0.2">
      <c r="B2534" s="115" t="s">
        <v>660</v>
      </c>
      <c r="C2534" s="114">
        <v>1069</v>
      </c>
      <c r="D2534" s="147"/>
      <c r="E2534" s="148"/>
      <c r="F2534" s="148"/>
    </row>
    <row r="2535" spans="2:6" x14ac:dyDescent="0.2">
      <c r="B2535" s="198" t="s">
        <v>659</v>
      </c>
      <c r="C2535" s="197">
        <v>43</v>
      </c>
      <c r="D2535" s="147"/>
      <c r="E2535" s="148"/>
      <c r="F2535" s="148"/>
    </row>
    <row r="2536" spans="2:6" x14ac:dyDescent="0.2">
      <c r="B2536" s="198" t="s">
        <v>658</v>
      </c>
      <c r="C2536" s="197">
        <v>2549</v>
      </c>
      <c r="D2536" s="147"/>
      <c r="E2536" s="148"/>
      <c r="F2536" s="148"/>
    </row>
    <row r="2537" spans="2:6" x14ac:dyDescent="0.2">
      <c r="B2537" s="198" t="s">
        <v>657</v>
      </c>
      <c r="C2537" s="197">
        <v>438</v>
      </c>
      <c r="D2537" s="147"/>
      <c r="E2537" s="148"/>
      <c r="F2537" s="148"/>
    </row>
    <row r="2538" spans="2:6" x14ac:dyDescent="0.2">
      <c r="B2538" s="198" t="s">
        <v>656</v>
      </c>
      <c r="C2538" s="197">
        <v>310</v>
      </c>
      <c r="D2538" s="147"/>
      <c r="E2538" s="148"/>
      <c r="F2538" s="148"/>
    </row>
    <row r="2539" spans="2:6" x14ac:dyDescent="0.2">
      <c r="B2539" s="115" t="s">
        <v>655</v>
      </c>
      <c r="C2539" s="114">
        <v>1461</v>
      </c>
      <c r="D2539" s="147"/>
      <c r="E2539" s="148"/>
      <c r="F2539" s="148"/>
    </row>
    <row r="2540" spans="2:6" x14ac:dyDescent="0.2">
      <c r="B2540" s="115" t="s">
        <v>654</v>
      </c>
      <c r="C2540" s="114">
        <v>211</v>
      </c>
      <c r="D2540" s="147"/>
      <c r="E2540" s="148"/>
      <c r="F2540" s="148"/>
    </row>
    <row r="2541" spans="2:6" x14ac:dyDescent="0.2">
      <c r="B2541" s="115" t="s">
        <v>653</v>
      </c>
      <c r="C2541" s="114">
        <v>1190</v>
      </c>
      <c r="D2541" s="147"/>
      <c r="E2541" s="148"/>
      <c r="F2541" s="148"/>
    </row>
    <row r="2542" spans="2:6" x14ac:dyDescent="0.2">
      <c r="B2542" s="198" t="s">
        <v>652</v>
      </c>
      <c r="C2542" s="197">
        <v>155</v>
      </c>
      <c r="D2542" s="147"/>
      <c r="E2542" s="148"/>
      <c r="F2542" s="148"/>
    </row>
    <row r="2543" spans="2:6" x14ac:dyDescent="0.2">
      <c r="B2543" s="115" t="s">
        <v>651</v>
      </c>
      <c r="C2543" s="114">
        <v>1027</v>
      </c>
      <c r="D2543" s="147"/>
      <c r="E2543" s="148"/>
      <c r="F2543" s="148"/>
    </row>
    <row r="2544" spans="2:6" x14ac:dyDescent="0.2">
      <c r="B2544" s="198" t="s">
        <v>650</v>
      </c>
      <c r="C2544" s="197">
        <v>293</v>
      </c>
      <c r="D2544" s="147"/>
      <c r="E2544" s="148"/>
      <c r="F2544" s="148"/>
    </row>
    <row r="2545" spans="2:6" x14ac:dyDescent="0.2">
      <c r="B2545" s="198" t="s">
        <v>649</v>
      </c>
      <c r="C2545" s="197">
        <v>581</v>
      </c>
      <c r="D2545" s="147"/>
      <c r="E2545" s="148"/>
      <c r="F2545" s="148"/>
    </row>
    <row r="2546" spans="2:6" x14ac:dyDescent="0.2">
      <c r="B2546" s="198" t="s">
        <v>648</v>
      </c>
      <c r="C2546" s="197">
        <v>2825</v>
      </c>
      <c r="D2546" s="147"/>
      <c r="E2546" s="148"/>
      <c r="F2546" s="148"/>
    </row>
    <row r="2547" spans="2:6" x14ac:dyDescent="0.2">
      <c r="B2547" s="115" t="s">
        <v>647</v>
      </c>
      <c r="C2547" s="114">
        <v>457</v>
      </c>
      <c r="D2547" s="147"/>
      <c r="E2547" s="148"/>
      <c r="F2547" s="148"/>
    </row>
    <row r="2548" spans="2:6" x14ac:dyDescent="0.2">
      <c r="B2548" s="198" t="s">
        <v>646</v>
      </c>
      <c r="C2548" s="197">
        <v>965</v>
      </c>
      <c r="D2548" s="147"/>
      <c r="E2548" s="148"/>
      <c r="F2548" s="148"/>
    </row>
    <row r="2549" spans="2:6" x14ac:dyDescent="0.2">
      <c r="B2549" s="115" t="s">
        <v>645</v>
      </c>
      <c r="C2549" s="114">
        <v>489</v>
      </c>
      <c r="D2549" s="147"/>
      <c r="E2549" s="148"/>
      <c r="F2549" s="148"/>
    </row>
    <row r="2550" spans="2:6" x14ac:dyDescent="0.2">
      <c r="B2550" s="115" t="s">
        <v>644</v>
      </c>
      <c r="C2550" s="114">
        <v>316</v>
      </c>
      <c r="D2550" s="147"/>
      <c r="E2550" s="148"/>
      <c r="F2550" s="148"/>
    </row>
    <row r="2551" spans="2:6" x14ac:dyDescent="0.2">
      <c r="B2551" s="115" t="s">
        <v>643</v>
      </c>
      <c r="C2551" s="114">
        <v>385</v>
      </c>
      <c r="D2551" s="147"/>
      <c r="E2551" s="148"/>
      <c r="F2551" s="148"/>
    </row>
    <row r="2552" spans="2:6" x14ac:dyDescent="0.2">
      <c r="B2552" s="115" t="s">
        <v>642</v>
      </c>
      <c r="C2552" s="114">
        <v>596</v>
      </c>
      <c r="D2552" s="147"/>
      <c r="E2552" s="148"/>
      <c r="F2552" s="148"/>
    </row>
    <row r="2553" spans="2:6" x14ac:dyDescent="0.2">
      <c r="B2553" s="115" t="s">
        <v>641</v>
      </c>
      <c r="C2553" s="114">
        <v>293</v>
      </c>
      <c r="D2553" s="147"/>
      <c r="E2553" s="148"/>
      <c r="F2553" s="148"/>
    </row>
    <row r="2554" spans="2:6" x14ac:dyDescent="0.2">
      <c r="B2554" s="198" t="s">
        <v>640</v>
      </c>
      <c r="C2554" s="197">
        <v>344</v>
      </c>
      <c r="D2554" s="147"/>
      <c r="E2554" s="148"/>
      <c r="F2554" s="148"/>
    </row>
    <row r="2555" spans="2:6" x14ac:dyDescent="0.2">
      <c r="B2555" s="198" t="s">
        <v>639</v>
      </c>
      <c r="C2555" s="197">
        <v>1653</v>
      </c>
      <c r="D2555" s="147"/>
      <c r="E2555" s="148"/>
      <c r="F2555" s="148"/>
    </row>
    <row r="2556" spans="2:6" x14ac:dyDescent="0.2">
      <c r="B2556" s="198" t="s">
        <v>638</v>
      </c>
      <c r="C2556" s="197">
        <v>506</v>
      </c>
      <c r="D2556" s="147"/>
      <c r="E2556" s="148"/>
      <c r="F2556" s="148"/>
    </row>
    <row r="2557" spans="2:6" x14ac:dyDescent="0.2">
      <c r="B2557" s="198" t="s">
        <v>637</v>
      </c>
      <c r="C2557" s="197">
        <v>2160</v>
      </c>
      <c r="D2557" s="147"/>
      <c r="E2557" s="148"/>
      <c r="F2557" s="148"/>
    </row>
    <row r="2558" spans="2:6" x14ac:dyDescent="0.2">
      <c r="B2558" s="115" t="s">
        <v>636</v>
      </c>
      <c r="C2558" s="114">
        <v>594</v>
      </c>
      <c r="D2558" s="147"/>
      <c r="E2558" s="148"/>
      <c r="F2558" s="148"/>
    </row>
    <row r="2559" spans="2:6" x14ac:dyDescent="0.2">
      <c r="B2559" s="115" t="s">
        <v>635</v>
      </c>
      <c r="C2559" s="114">
        <v>2010</v>
      </c>
      <c r="D2559" s="147"/>
      <c r="E2559" s="148"/>
      <c r="F2559" s="148"/>
    </row>
    <row r="2560" spans="2:6" x14ac:dyDescent="0.2">
      <c r="B2560" s="198" t="s">
        <v>634</v>
      </c>
      <c r="C2560" s="197">
        <v>479</v>
      </c>
      <c r="D2560" s="147"/>
      <c r="E2560" s="148"/>
      <c r="F2560" s="148"/>
    </row>
    <row r="2561" spans="2:6" x14ac:dyDescent="0.2">
      <c r="B2561" s="198" t="s">
        <v>633</v>
      </c>
      <c r="C2561" s="197">
        <v>192</v>
      </c>
      <c r="D2561" s="147"/>
      <c r="E2561" s="148"/>
      <c r="F2561" s="148"/>
    </row>
    <row r="2562" spans="2:6" x14ac:dyDescent="0.2">
      <c r="B2562" s="115" t="s">
        <v>632</v>
      </c>
      <c r="C2562" s="114">
        <v>1718</v>
      </c>
      <c r="D2562" s="147"/>
      <c r="E2562" s="148"/>
      <c r="F2562" s="148"/>
    </row>
    <row r="2563" spans="2:6" x14ac:dyDescent="0.2">
      <c r="B2563" s="115" t="s">
        <v>631</v>
      </c>
      <c r="C2563" s="114">
        <v>34</v>
      </c>
      <c r="D2563" s="147"/>
      <c r="E2563" s="148"/>
      <c r="F2563" s="148"/>
    </row>
    <row r="2564" spans="2:6" x14ac:dyDescent="0.2">
      <c r="B2564" s="115" t="s">
        <v>630</v>
      </c>
      <c r="C2564" s="114">
        <v>201</v>
      </c>
      <c r="D2564" s="147"/>
      <c r="E2564" s="148"/>
      <c r="F2564" s="148"/>
    </row>
    <row r="2565" spans="2:6" x14ac:dyDescent="0.2">
      <c r="B2565" s="115" t="s">
        <v>629</v>
      </c>
      <c r="C2565" s="114">
        <v>1035</v>
      </c>
      <c r="D2565" s="147"/>
      <c r="E2565" s="148"/>
      <c r="F2565" s="148"/>
    </row>
    <row r="2566" spans="2:6" x14ac:dyDescent="0.2">
      <c r="B2566" s="198" t="s">
        <v>628</v>
      </c>
      <c r="C2566" s="197">
        <v>2378</v>
      </c>
      <c r="D2566" s="147"/>
      <c r="E2566" s="148"/>
      <c r="F2566" s="148"/>
    </row>
    <row r="2567" spans="2:6" x14ac:dyDescent="0.2">
      <c r="B2567" s="115" t="s">
        <v>627</v>
      </c>
      <c r="C2567" s="114">
        <v>14310</v>
      </c>
      <c r="D2567" s="147"/>
      <c r="E2567" s="148"/>
      <c r="F2567" s="148"/>
    </row>
    <row r="2568" spans="2:6" x14ac:dyDescent="0.2">
      <c r="B2568" s="198" t="s">
        <v>626</v>
      </c>
      <c r="C2568" s="197">
        <v>396</v>
      </c>
      <c r="D2568" s="147"/>
      <c r="E2568" s="148"/>
      <c r="F2568" s="148"/>
    </row>
    <row r="2569" spans="2:6" x14ac:dyDescent="0.2">
      <c r="B2569" s="198" t="s">
        <v>625</v>
      </c>
      <c r="C2569" s="197">
        <v>213</v>
      </c>
      <c r="D2569" s="147"/>
      <c r="E2569" s="148"/>
      <c r="F2569" s="148"/>
    </row>
    <row r="2570" spans="2:6" x14ac:dyDescent="0.2">
      <c r="B2570" s="198" t="s">
        <v>624</v>
      </c>
      <c r="C2570" s="197">
        <v>311</v>
      </c>
      <c r="D2570" s="147"/>
      <c r="E2570" s="148"/>
      <c r="F2570" s="148"/>
    </row>
    <row r="2571" spans="2:6" x14ac:dyDescent="0.2">
      <c r="B2571" s="198" t="s">
        <v>623</v>
      </c>
      <c r="C2571" s="197">
        <v>888</v>
      </c>
      <c r="D2571" s="147"/>
      <c r="E2571" s="148"/>
      <c r="F2571" s="148"/>
    </row>
    <row r="2572" spans="2:6" x14ac:dyDescent="0.2">
      <c r="B2572" s="198" t="s">
        <v>622</v>
      </c>
      <c r="C2572" s="197">
        <v>95</v>
      </c>
      <c r="D2572" s="147"/>
      <c r="E2572" s="148"/>
      <c r="F2572" s="148"/>
    </row>
    <row r="2573" spans="2:6" x14ac:dyDescent="0.2">
      <c r="B2573" s="115" t="s">
        <v>621</v>
      </c>
      <c r="C2573" s="114">
        <v>2145</v>
      </c>
      <c r="D2573" s="147"/>
      <c r="E2573" s="148"/>
      <c r="F2573" s="148"/>
    </row>
    <row r="2574" spans="2:6" x14ac:dyDescent="0.2">
      <c r="B2574" s="115" t="s">
        <v>620</v>
      </c>
      <c r="C2574" s="114">
        <v>1472</v>
      </c>
      <c r="D2574" s="147"/>
      <c r="E2574" s="148"/>
      <c r="F2574" s="148"/>
    </row>
    <row r="2575" spans="2:6" x14ac:dyDescent="0.2">
      <c r="B2575" s="115" t="s">
        <v>619</v>
      </c>
      <c r="C2575" s="114">
        <v>568</v>
      </c>
      <c r="D2575" s="147"/>
      <c r="E2575" s="148"/>
      <c r="F2575" s="148"/>
    </row>
    <row r="2576" spans="2:6" x14ac:dyDescent="0.2">
      <c r="B2576" s="198" t="s">
        <v>618</v>
      </c>
      <c r="C2576" s="197">
        <v>62</v>
      </c>
      <c r="D2576" s="147"/>
      <c r="E2576" s="148"/>
      <c r="F2576" s="148"/>
    </row>
    <row r="2577" spans="2:6" x14ac:dyDescent="0.2">
      <c r="B2577" s="198" t="s">
        <v>617</v>
      </c>
      <c r="C2577" s="197">
        <v>4957</v>
      </c>
      <c r="D2577" s="147"/>
      <c r="E2577" s="148"/>
      <c r="F2577" s="148"/>
    </row>
    <row r="2578" spans="2:6" x14ac:dyDescent="0.2">
      <c r="B2578" s="115" t="s">
        <v>616</v>
      </c>
      <c r="C2578" s="114">
        <v>331</v>
      </c>
      <c r="D2578" s="147"/>
      <c r="E2578" s="148"/>
      <c r="F2578" s="148"/>
    </row>
    <row r="2579" spans="2:6" x14ac:dyDescent="0.2">
      <c r="B2579" s="115" t="s">
        <v>615</v>
      </c>
      <c r="C2579" s="114">
        <v>18115</v>
      </c>
      <c r="D2579" s="147"/>
      <c r="E2579" s="148"/>
      <c r="F2579" s="148"/>
    </row>
    <row r="2580" spans="2:6" x14ac:dyDescent="0.2">
      <c r="B2580" s="198" t="s">
        <v>614</v>
      </c>
      <c r="C2580" s="197">
        <v>288</v>
      </c>
      <c r="D2580" s="147"/>
      <c r="E2580" s="148"/>
      <c r="F2580" s="148"/>
    </row>
    <row r="2581" spans="2:6" x14ac:dyDescent="0.2">
      <c r="B2581" s="115" t="s">
        <v>613</v>
      </c>
      <c r="C2581" s="114">
        <v>191</v>
      </c>
      <c r="D2581" s="147"/>
      <c r="E2581" s="148"/>
      <c r="F2581" s="148"/>
    </row>
    <row r="2582" spans="2:6" x14ac:dyDescent="0.2">
      <c r="B2582" s="115" t="s">
        <v>612</v>
      </c>
      <c r="C2582" s="114">
        <v>5138</v>
      </c>
      <c r="D2582" s="147"/>
      <c r="E2582" s="148"/>
      <c r="F2582" s="148"/>
    </row>
    <row r="2583" spans="2:6" x14ac:dyDescent="0.2">
      <c r="B2583" s="115" t="s">
        <v>611</v>
      </c>
      <c r="C2583" s="114">
        <v>393</v>
      </c>
      <c r="D2583" s="147"/>
      <c r="E2583" s="148"/>
      <c r="F2583" s="148"/>
    </row>
    <row r="2584" spans="2:6" x14ac:dyDescent="0.2">
      <c r="B2584" s="115" t="s">
        <v>610</v>
      </c>
      <c r="C2584" s="114">
        <v>188</v>
      </c>
      <c r="D2584" s="147"/>
      <c r="E2584" s="148"/>
      <c r="F2584" s="148"/>
    </row>
    <row r="2585" spans="2:6" x14ac:dyDescent="0.2">
      <c r="B2585" s="115" t="s">
        <v>609</v>
      </c>
      <c r="C2585" s="114">
        <v>1650</v>
      </c>
      <c r="D2585" s="147"/>
      <c r="E2585" s="148"/>
      <c r="F2585" s="148"/>
    </row>
    <row r="2586" spans="2:6" x14ac:dyDescent="0.2">
      <c r="B2586" s="198" t="s">
        <v>608</v>
      </c>
      <c r="C2586" s="197">
        <v>1934</v>
      </c>
      <c r="D2586" s="147"/>
      <c r="E2586" s="148"/>
      <c r="F2586" s="148"/>
    </row>
    <row r="2587" spans="2:6" x14ac:dyDescent="0.2">
      <c r="B2587" s="115" t="s">
        <v>607</v>
      </c>
      <c r="C2587" s="114">
        <v>157282</v>
      </c>
      <c r="D2587" s="147"/>
      <c r="E2587" s="148"/>
      <c r="F2587" s="148"/>
    </row>
    <row r="2588" spans="2:6" x14ac:dyDescent="0.2">
      <c r="B2588" s="198" t="s">
        <v>606</v>
      </c>
      <c r="C2588" s="197">
        <v>207</v>
      </c>
      <c r="D2588" s="147"/>
      <c r="E2588" s="148"/>
      <c r="F2588" s="148"/>
    </row>
    <row r="2589" spans="2:6" x14ac:dyDescent="0.2">
      <c r="B2589" s="115" t="s">
        <v>605</v>
      </c>
      <c r="C2589" s="114">
        <v>7788</v>
      </c>
      <c r="D2589" s="147"/>
      <c r="E2589" s="148"/>
      <c r="F2589" s="148"/>
    </row>
    <row r="2590" spans="2:6" x14ac:dyDescent="0.2">
      <c r="B2590" s="198" t="s">
        <v>604</v>
      </c>
      <c r="C2590" s="197">
        <v>310</v>
      </c>
      <c r="D2590" s="147"/>
      <c r="E2590" s="148"/>
      <c r="F2590" s="148"/>
    </row>
    <row r="2591" spans="2:6" x14ac:dyDescent="0.2">
      <c r="B2591" s="198" t="s">
        <v>603</v>
      </c>
      <c r="C2591" s="197">
        <v>198</v>
      </c>
      <c r="D2591" s="147"/>
      <c r="E2591" s="148"/>
      <c r="F2591" s="148"/>
    </row>
    <row r="2592" spans="2:6" x14ac:dyDescent="0.2">
      <c r="B2592" s="198" t="s">
        <v>602</v>
      </c>
      <c r="C2592" s="197">
        <v>3939</v>
      </c>
      <c r="D2592" s="147"/>
      <c r="E2592" s="148"/>
      <c r="F2592" s="148"/>
    </row>
    <row r="2593" spans="2:6" x14ac:dyDescent="0.2">
      <c r="B2593" s="115" t="s">
        <v>601</v>
      </c>
      <c r="C2593" s="114">
        <v>1005</v>
      </c>
      <c r="D2593" s="147"/>
      <c r="E2593" s="148"/>
      <c r="F2593" s="148"/>
    </row>
    <row r="2594" spans="2:6" x14ac:dyDescent="0.2">
      <c r="B2594" s="198" t="s">
        <v>600</v>
      </c>
      <c r="C2594" s="197">
        <v>515</v>
      </c>
      <c r="D2594" s="147"/>
      <c r="E2594" s="148"/>
      <c r="F2594" s="148"/>
    </row>
    <row r="2595" spans="2:6" x14ac:dyDescent="0.2">
      <c r="B2595" s="115" t="s">
        <v>599</v>
      </c>
      <c r="C2595" s="114">
        <v>95241</v>
      </c>
      <c r="D2595" s="147"/>
      <c r="E2595" s="148"/>
      <c r="F2595" s="148"/>
    </row>
    <row r="2596" spans="2:6" x14ac:dyDescent="0.2">
      <c r="B2596" s="115" t="s">
        <v>598</v>
      </c>
      <c r="C2596" s="114">
        <v>1868</v>
      </c>
      <c r="D2596" s="147"/>
      <c r="E2596" s="148"/>
      <c r="F2596" s="148"/>
    </row>
    <row r="2597" spans="2:6" x14ac:dyDescent="0.2">
      <c r="B2597" s="198" t="s">
        <v>597</v>
      </c>
      <c r="C2597" s="197">
        <v>29337</v>
      </c>
      <c r="D2597" s="147"/>
      <c r="E2597" s="148"/>
      <c r="F2597" s="148"/>
    </row>
    <row r="2598" spans="2:6" x14ac:dyDescent="0.2">
      <c r="B2598" s="198" t="s">
        <v>596</v>
      </c>
      <c r="C2598" s="197">
        <v>634</v>
      </c>
      <c r="D2598" s="147"/>
      <c r="E2598" s="148"/>
      <c r="F2598" s="148"/>
    </row>
    <row r="2599" spans="2:6" x14ac:dyDescent="0.2">
      <c r="B2599" s="198" t="s">
        <v>595</v>
      </c>
      <c r="C2599" s="197">
        <v>909</v>
      </c>
      <c r="D2599" s="147"/>
      <c r="E2599" s="148"/>
      <c r="F2599" s="148"/>
    </row>
    <row r="2600" spans="2:6" x14ac:dyDescent="0.2">
      <c r="B2600" s="198" t="s">
        <v>594</v>
      </c>
      <c r="C2600" s="197">
        <v>118</v>
      </c>
      <c r="D2600" s="147"/>
      <c r="E2600" s="148"/>
      <c r="F2600" s="148"/>
    </row>
    <row r="2601" spans="2:6" x14ac:dyDescent="0.2">
      <c r="B2601" s="115" t="s">
        <v>593</v>
      </c>
      <c r="C2601" s="114">
        <v>453</v>
      </c>
      <c r="D2601" s="147"/>
      <c r="E2601" s="148"/>
      <c r="F2601" s="148"/>
    </row>
    <row r="2602" spans="2:6" x14ac:dyDescent="0.2">
      <c r="B2602" s="198" t="s">
        <v>592</v>
      </c>
      <c r="C2602" s="197">
        <v>318</v>
      </c>
      <c r="D2602" s="147"/>
      <c r="E2602" s="148"/>
      <c r="F2602" s="148"/>
    </row>
    <row r="2603" spans="2:6" x14ac:dyDescent="0.2">
      <c r="B2603" s="115" t="s">
        <v>591</v>
      </c>
      <c r="C2603" s="114">
        <v>402</v>
      </c>
      <c r="D2603" s="147"/>
      <c r="E2603" s="148"/>
      <c r="F2603" s="148"/>
    </row>
    <row r="2604" spans="2:6" x14ac:dyDescent="0.2">
      <c r="B2604" s="115" t="s">
        <v>590</v>
      </c>
      <c r="C2604" s="114">
        <v>1621</v>
      </c>
      <c r="D2604" s="147"/>
      <c r="E2604" s="148"/>
      <c r="F2604" s="148"/>
    </row>
    <row r="2605" spans="2:6" x14ac:dyDescent="0.2">
      <c r="B2605" s="115" t="s">
        <v>589</v>
      </c>
      <c r="C2605" s="114">
        <v>3921</v>
      </c>
      <c r="D2605" s="147"/>
      <c r="E2605" s="148"/>
      <c r="F2605" s="148"/>
    </row>
    <row r="2606" spans="2:6" x14ac:dyDescent="0.2">
      <c r="B2606" s="115" t="s">
        <v>588</v>
      </c>
      <c r="C2606" s="114">
        <v>2275</v>
      </c>
      <c r="D2606" s="147"/>
      <c r="E2606" s="148"/>
      <c r="F2606" s="148"/>
    </row>
    <row r="2607" spans="2:6" x14ac:dyDescent="0.2">
      <c r="B2607" s="115" t="s">
        <v>587</v>
      </c>
      <c r="C2607" s="114">
        <v>752</v>
      </c>
      <c r="D2607" s="147"/>
      <c r="E2607" s="148"/>
      <c r="F2607" s="148"/>
    </row>
    <row r="2608" spans="2:6" x14ac:dyDescent="0.2">
      <c r="B2608" s="115" t="s">
        <v>586</v>
      </c>
      <c r="C2608" s="114">
        <v>320</v>
      </c>
      <c r="D2608" s="147"/>
      <c r="E2608" s="148"/>
      <c r="F2608" s="148"/>
    </row>
    <row r="2609" spans="2:6" x14ac:dyDescent="0.2">
      <c r="B2609" s="198" t="s">
        <v>585</v>
      </c>
      <c r="C2609" s="197">
        <v>520</v>
      </c>
      <c r="D2609" s="147"/>
      <c r="E2609" s="148"/>
      <c r="F2609" s="148"/>
    </row>
    <row r="2610" spans="2:6" x14ac:dyDescent="0.2">
      <c r="B2610" s="198" t="s">
        <v>584</v>
      </c>
      <c r="C2610" s="197">
        <v>329</v>
      </c>
      <c r="D2610" s="147"/>
      <c r="E2610" s="148"/>
      <c r="F2610" s="148"/>
    </row>
    <row r="2611" spans="2:6" x14ac:dyDescent="0.2">
      <c r="B2611" s="115" t="s">
        <v>583</v>
      </c>
      <c r="C2611" s="114">
        <v>183</v>
      </c>
      <c r="D2611" s="147"/>
      <c r="E2611" s="148"/>
      <c r="F2611" s="148"/>
    </row>
    <row r="2612" spans="2:6" x14ac:dyDescent="0.2">
      <c r="B2612" s="115" t="s">
        <v>582</v>
      </c>
      <c r="C2612" s="114">
        <v>103</v>
      </c>
      <c r="D2612" s="147"/>
      <c r="E2612" s="148"/>
      <c r="F2612" s="148"/>
    </row>
    <row r="2613" spans="2:6" x14ac:dyDescent="0.2">
      <c r="B2613" s="115" t="s">
        <v>581</v>
      </c>
      <c r="C2613" s="114">
        <v>303</v>
      </c>
      <c r="D2613" s="147"/>
      <c r="E2613" s="148"/>
      <c r="F2613" s="148"/>
    </row>
    <row r="2614" spans="2:6" x14ac:dyDescent="0.2">
      <c r="B2614" s="115" t="s">
        <v>580</v>
      </c>
      <c r="C2614" s="114">
        <v>464</v>
      </c>
      <c r="D2614" s="147"/>
      <c r="E2614" s="148"/>
      <c r="F2614" s="148"/>
    </row>
    <row r="2615" spans="2:6" x14ac:dyDescent="0.2">
      <c r="B2615" s="198" t="s">
        <v>579</v>
      </c>
      <c r="C2615" s="197">
        <v>285</v>
      </c>
      <c r="D2615" s="147"/>
      <c r="E2615" s="148"/>
      <c r="F2615" s="148"/>
    </row>
    <row r="2616" spans="2:6" x14ac:dyDescent="0.2">
      <c r="B2616" s="198" t="s">
        <v>578</v>
      </c>
      <c r="C2616" s="197">
        <v>320</v>
      </c>
      <c r="D2616" s="147"/>
      <c r="E2616" s="148"/>
      <c r="F2616" s="148"/>
    </row>
    <row r="2617" spans="2:6" x14ac:dyDescent="0.2">
      <c r="B2617" s="115" t="s">
        <v>577</v>
      </c>
      <c r="C2617" s="114">
        <v>28483</v>
      </c>
      <c r="D2617" s="147"/>
      <c r="E2617" s="148"/>
      <c r="F2617" s="148"/>
    </row>
    <row r="2618" spans="2:6" x14ac:dyDescent="0.2">
      <c r="B2618" s="198" t="s">
        <v>576</v>
      </c>
      <c r="C2618" s="197">
        <v>24482</v>
      </c>
      <c r="D2618" s="147"/>
      <c r="E2618" s="148"/>
      <c r="F2618" s="148"/>
    </row>
    <row r="2619" spans="2:6" x14ac:dyDescent="0.2">
      <c r="B2619" s="115" t="s">
        <v>575</v>
      </c>
      <c r="C2619" s="114">
        <v>2616</v>
      </c>
      <c r="D2619" s="147"/>
      <c r="E2619" s="148"/>
      <c r="F2619" s="148"/>
    </row>
    <row r="2620" spans="2:6" x14ac:dyDescent="0.2">
      <c r="B2620" s="198" t="s">
        <v>574</v>
      </c>
      <c r="C2620" s="197">
        <v>466</v>
      </c>
      <c r="D2620" s="147"/>
      <c r="E2620" s="148"/>
      <c r="F2620" s="148"/>
    </row>
    <row r="2621" spans="2:6" x14ac:dyDescent="0.2">
      <c r="B2621" s="115" t="s">
        <v>573</v>
      </c>
      <c r="C2621" s="114">
        <v>8064</v>
      </c>
      <c r="D2621" s="147"/>
      <c r="E2621" s="148"/>
      <c r="F2621" s="148"/>
    </row>
    <row r="2622" spans="2:6" x14ac:dyDescent="0.2">
      <c r="B2622" s="115" t="s">
        <v>572</v>
      </c>
      <c r="C2622" s="114">
        <v>371</v>
      </c>
      <c r="D2622" s="147"/>
      <c r="E2622" s="148"/>
      <c r="F2622" s="148"/>
    </row>
    <row r="2623" spans="2:6" x14ac:dyDescent="0.2">
      <c r="B2623" s="198" t="s">
        <v>571</v>
      </c>
      <c r="C2623" s="197">
        <v>360</v>
      </c>
      <c r="D2623" s="147"/>
      <c r="E2623" s="148"/>
      <c r="F2623" s="148"/>
    </row>
    <row r="2624" spans="2:6" x14ac:dyDescent="0.2">
      <c r="B2624" s="115" t="s">
        <v>570</v>
      </c>
      <c r="C2624" s="114">
        <v>169</v>
      </c>
      <c r="D2624" s="147"/>
      <c r="E2624" s="148"/>
      <c r="F2624" s="148"/>
    </row>
    <row r="2625" spans="2:6" x14ac:dyDescent="0.2">
      <c r="B2625" s="198" t="s">
        <v>569</v>
      </c>
      <c r="C2625" s="197">
        <v>2355</v>
      </c>
      <c r="D2625" s="147"/>
      <c r="E2625" s="148"/>
      <c r="F2625" s="148"/>
    </row>
    <row r="2626" spans="2:6" x14ac:dyDescent="0.2">
      <c r="B2626" s="115" t="s">
        <v>568</v>
      </c>
      <c r="C2626" s="114">
        <v>233</v>
      </c>
      <c r="D2626" s="147"/>
      <c r="E2626" s="148"/>
      <c r="F2626" s="148"/>
    </row>
    <row r="2627" spans="2:6" x14ac:dyDescent="0.2">
      <c r="B2627" s="198" t="s">
        <v>567</v>
      </c>
      <c r="C2627" s="197">
        <v>110</v>
      </c>
      <c r="D2627" s="147"/>
      <c r="E2627" s="148"/>
      <c r="F2627" s="148"/>
    </row>
    <row r="2628" spans="2:6" x14ac:dyDescent="0.2">
      <c r="B2628" s="115" t="s">
        <v>566</v>
      </c>
      <c r="C2628" s="114">
        <v>97</v>
      </c>
      <c r="D2628" s="147"/>
      <c r="E2628" s="148"/>
      <c r="F2628" s="148"/>
    </row>
    <row r="2629" spans="2:6" x14ac:dyDescent="0.2">
      <c r="B2629" s="198" t="s">
        <v>565</v>
      </c>
      <c r="C2629" s="197">
        <v>1877</v>
      </c>
      <c r="D2629" s="147"/>
      <c r="E2629" s="148"/>
      <c r="F2629" s="148"/>
    </row>
    <row r="2630" spans="2:6" x14ac:dyDescent="0.2">
      <c r="B2630" s="198" t="s">
        <v>564</v>
      </c>
      <c r="C2630" s="197">
        <v>2022</v>
      </c>
      <c r="D2630" s="147"/>
      <c r="E2630" s="148"/>
      <c r="F2630" s="148"/>
    </row>
    <row r="2631" spans="2:6" x14ac:dyDescent="0.2">
      <c r="B2631" s="115" t="s">
        <v>563</v>
      </c>
      <c r="C2631" s="114">
        <v>82</v>
      </c>
      <c r="D2631" s="147"/>
      <c r="E2631" s="148"/>
      <c r="F2631" s="148"/>
    </row>
    <row r="2632" spans="2:6" x14ac:dyDescent="0.2">
      <c r="B2632" s="198" t="s">
        <v>562</v>
      </c>
      <c r="C2632" s="197">
        <v>730</v>
      </c>
      <c r="D2632" s="147"/>
      <c r="E2632" s="148"/>
      <c r="F2632" s="148"/>
    </row>
    <row r="2633" spans="2:6" x14ac:dyDescent="0.2">
      <c r="B2633" s="115" t="s">
        <v>561</v>
      </c>
      <c r="C2633" s="114">
        <v>259</v>
      </c>
      <c r="D2633" s="147"/>
      <c r="E2633" s="148"/>
      <c r="F2633" s="148"/>
    </row>
    <row r="2634" spans="2:6" x14ac:dyDescent="0.2">
      <c r="B2634" s="198" t="s">
        <v>560</v>
      </c>
      <c r="C2634" s="197">
        <v>5899</v>
      </c>
      <c r="D2634" s="147"/>
      <c r="E2634" s="148"/>
      <c r="F2634" s="148"/>
    </row>
    <row r="2635" spans="2:6" x14ac:dyDescent="0.2">
      <c r="B2635" s="198" t="s">
        <v>559</v>
      </c>
      <c r="C2635" s="197">
        <v>1875</v>
      </c>
      <c r="D2635" s="147"/>
      <c r="E2635" s="148"/>
      <c r="F2635" s="148"/>
    </row>
    <row r="2636" spans="2:6" x14ac:dyDescent="0.2">
      <c r="B2636" s="115" t="s">
        <v>558</v>
      </c>
      <c r="C2636" s="114">
        <v>78</v>
      </c>
      <c r="D2636" s="147"/>
      <c r="E2636" s="148"/>
      <c r="F2636" s="148"/>
    </row>
    <row r="2637" spans="2:6" x14ac:dyDescent="0.2">
      <c r="B2637" s="115" t="s">
        <v>557</v>
      </c>
      <c r="C2637" s="114">
        <v>4947</v>
      </c>
      <c r="D2637" s="147"/>
      <c r="E2637" s="148"/>
      <c r="F2637" s="148"/>
    </row>
    <row r="2638" spans="2:6" x14ac:dyDescent="0.2">
      <c r="B2638" s="198" t="s">
        <v>556</v>
      </c>
      <c r="C2638" s="197">
        <v>950</v>
      </c>
      <c r="D2638" s="147"/>
      <c r="E2638" s="148"/>
      <c r="F2638" s="148"/>
    </row>
    <row r="2639" spans="2:6" x14ac:dyDescent="0.2">
      <c r="B2639" s="198" t="s">
        <v>555</v>
      </c>
      <c r="C2639" s="197">
        <v>107</v>
      </c>
      <c r="D2639" s="147"/>
      <c r="E2639" s="148"/>
      <c r="F2639" s="148"/>
    </row>
    <row r="2640" spans="2:6" x14ac:dyDescent="0.2">
      <c r="B2640" s="198" t="s">
        <v>554</v>
      </c>
      <c r="C2640" s="197">
        <v>967</v>
      </c>
      <c r="D2640" s="147"/>
      <c r="E2640" s="148"/>
      <c r="F2640" s="148"/>
    </row>
    <row r="2641" spans="2:6" x14ac:dyDescent="0.2">
      <c r="B2641" s="115" t="s">
        <v>553</v>
      </c>
      <c r="C2641" s="114">
        <v>926</v>
      </c>
      <c r="D2641" s="147"/>
      <c r="E2641" s="148"/>
      <c r="F2641" s="148"/>
    </row>
    <row r="2642" spans="2:6" x14ac:dyDescent="0.2">
      <c r="B2642" s="115" t="s">
        <v>552</v>
      </c>
      <c r="C2642" s="114">
        <v>284</v>
      </c>
      <c r="D2642" s="147"/>
      <c r="E2642" s="148"/>
      <c r="F2642" s="148"/>
    </row>
    <row r="2643" spans="2:6" x14ac:dyDescent="0.2">
      <c r="B2643" s="198" t="s">
        <v>551</v>
      </c>
      <c r="C2643" s="197">
        <v>1435</v>
      </c>
      <c r="D2643" s="147"/>
      <c r="E2643" s="148"/>
      <c r="F2643" s="148"/>
    </row>
    <row r="2644" spans="2:6" x14ac:dyDescent="0.2">
      <c r="B2644" s="198" t="s">
        <v>550</v>
      </c>
      <c r="C2644" s="197">
        <v>834</v>
      </c>
      <c r="D2644" s="147"/>
      <c r="E2644" s="148"/>
      <c r="F2644" s="148"/>
    </row>
    <row r="2645" spans="2:6" x14ac:dyDescent="0.2">
      <c r="B2645" s="115" t="s">
        <v>549</v>
      </c>
      <c r="C2645" s="114">
        <v>1225</v>
      </c>
      <c r="D2645" s="147"/>
      <c r="E2645" s="148"/>
      <c r="F2645" s="148"/>
    </row>
    <row r="2646" spans="2:6" x14ac:dyDescent="0.2">
      <c r="B2646" s="115" t="s">
        <v>548</v>
      </c>
      <c r="C2646" s="114">
        <v>8300</v>
      </c>
      <c r="D2646" s="147"/>
      <c r="E2646" s="148"/>
      <c r="F2646" s="148"/>
    </row>
    <row r="2647" spans="2:6" x14ac:dyDescent="0.2">
      <c r="B2647" s="198" t="s">
        <v>547</v>
      </c>
      <c r="C2647" s="197">
        <v>1437</v>
      </c>
      <c r="D2647" s="147"/>
      <c r="E2647" s="148"/>
      <c r="F2647" s="148"/>
    </row>
    <row r="2648" spans="2:6" x14ac:dyDescent="0.2">
      <c r="B2648" s="198" t="s">
        <v>546</v>
      </c>
      <c r="C2648" s="197">
        <v>252</v>
      </c>
      <c r="D2648" s="147"/>
      <c r="E2648" s="148"/>
      <c r="F2648" s="148"/>
    </row>
    <row r="2649" spans="2:6" x14ac:dyDescent="0.2">
      <c r="B2649" s="115" t="s">
        <v>545</v>
      </c>
      <c r="C2649" s="114">
        <v>1429</v>
      </c>
      <c r="D2649" s="147"/>
      <c r="E2649" s="148"/>
      <c r="F2649" s="148"/>
    </row>
    <row r="2650" spans="2:6" x14ac:dyDescent="0.2">
      <c r="B2650" s="115" t="s">
        <v>544</v>
      </c>
      <c r="C2650" s="114">
        <v>2821</v>
      </c>
      <c r="D2650" s="147"/>
      <c r="E2650" s="148"/>
      <c r="F2650" s="148"/>
    </row>
    <row r="2651" spans="2:6" x14ac:dyDescent="0.2">
      <c r="B2651" s="115" t="s">
        <v>543</v>
      </c>
      <c r="C2651" s="114">
        <v>18382</v>
      </c>
      <c r="D2651" s="147"/>
      <c r="E2651" s="148"/>
      <c r="F2651" s="148"/>
    </row>
    <row r="2652" spans="2:6" x14ac:dyDescent="0.2">
      <c r="B2652" s="115" t="s">
        <v>542</v>
      </c>
      <c r="C2652" s="114">
        <v>2991</v>
      </c>
      <c r="D2652" s="147"/>
      <c r="E2652" s="148"/>
      <c r="F2652" s="148"/>
    </row>
    <row r="2653" spans="2:6" x14ac:dyDescent="0.2">
      <c r="B2653" s="198" t="s">
        <v>541</v>
      </c>
      <c r="C2653" s="197">
        <v>2659</v>
      </c>
      <c r="D2653" s="147"/>
      <c r="E2653" s="148"/>
      <c r="F2653" s="148"/>
    </row>
    <row r="2654" spans="2:6" x14ac:dyDescent="0.2">
      <c r="B2654" s="115" t="s">
        <v>540</v>
      </c>
      <c r="C2654" s="114">
        <v>40132</v>
      </c>
      <c r="D2654" s="147"/>
      <c r="E2654" s="148"/>
      <c r="F2654" s="148"/>
    </row>
    <row r="2655" spans="2:6" x14ac:dyDescent="0.2">
      <c r="B2655" s="198" t="s">
        <v>539</v>
      </c>
      <c r="C2655" s="197">
        <v>2139</v>
      </c>
      <c r="D2655" s="147"/>
      <c r="E2655" s="148"/>
      <c r="F2655" s="148"/>
    </row>
    <row r="2656" spans="2:6" x14ac:dyDescent="0.2">
      <c r="B2656" s="115" t="s">
        <v>538</v>
      </c>
      <c r="C2656" s="114">
        <v>9383</v>
      </c>
      <c r="D2656" s="147"/>
      <c r="E2656" s="148"/>
      <c r="F2656" s="148"/>
    </row>
    <row r="2657" spans="2:6" x14ac:dyDescent="0.2">
      <c r="B2657" s="198" t="s">
        <v>537</v>
      </c>
      <c r="C2657" s="197">
        <v>849</v>
      </c>
      <c r="D2657" s="147"/>
      <c r="E2657" s="148"/>
      <c r="F2657" s="148"/>
    </row>
    <row r="2658" spans="2:6" x14ac:dyDescent="0.2">
      <c r="B2658" s="115" t="s">
        <v>536</v>
      </c>
      <c r="C2658" s="114">
        <v>2016</v>
      </c>
      <c r="D2658" s="147"/>
      <c r="E2658" s="148"/>
      <c r="F2658" s="148"/>
    </row>
    <row r="2659" spans="2:6" x14ac:dyDescent="0.2">
      <c r="B2659" s="115" t="s">
        <v>535</v>
      </c>
      <c r="C2659" s="114">
        <v>50</v>
      </c>
      <c r="D2659" s="147"/>
      <c r="E2659" s="148"/>
      <c r="F2659" s="148"/>
    </row>
    <row r="2660" spans="2:6" x14ac:dyDescent="0.2">
      <c r="B2660" s="115" t="s">
        <v>534</v>
      </c>
      <c r="C2660" s="114">
        <v>5415</v>
      </c>
      <c r="D2660" s="147"/>
      <c r="E2660" s="148"/>
      <c r="F2660" s="148"/>
    </row>
    <row r="2661" spans="2:6" x14ac:dyDescent="0.2">
      <c r="B2661" s="198" t="s">
        <v>533</v>
      </c>
      <c r="C2661" s="197">
        <v>1295</v>
      </c>
      <c r="D2661" s="147"/>
      <c r="E2661" s="148"/>
      <c r="F2661" s="148"/>
    </row>
    <row r="2662" spans="2:6" x14ac:dyDescent="0.2">
      <c r="B2662" s="198" t="s">
        <v>532</v>
      </c>
      <c r="C2662" s="197">
        <v>277</v>
      </c>
      <c r="D2662" s="147"/>
      <c r="E2662" s="148"/>
      <c r="F2662" s="148"/>
    </row>
    <row r="2663" spans="2:6" x14ac:dyDescent="0.2">
      <c r="B2663" s="198" t="s">
        <v>531</v>
      </c>
      <c r="C2663" s="197">
        <v>320</v>
      </c>
      <c r="D2663" s="147"/>
      <c r="E2663" s="148"/>
      <c r="F2663" s="148"/>
    </row>
    <row r="2664" spans="2:6" x14ac:dyDescent="0.2">
      <c r="B2664" s="115" t="s">
        <v>530</v>
      </c>
      <c r="C2664" s="114">
        <v>675</v>
      </c>
      <c r="D2664" s="147"/>
      <c r="E2664" s="148"/>
      <c r="F2664" s="148"/>
    </row>
    <row r="2665" spans="2:6" x14ac:dyDescent="0.2">
      <c r="B2665" s="115" t="s">
        <v>529</v>
      </c>
      <c r="C2665" s="114">
        <v>187</v>
      </c>
      <c r="D2665" s="147"/>
      <c r="E2665" s="148"/>
      <c r="F2665" s="148"/>
    </row>
    <row r="2666" spans="2:6" x14ac:dyDescent="0.2">
      <c r="B2666" s="198" t="s">
        <v>528</v>
      </c>
      <c r="C2666" s="197">
        <v>130</v>
      </c>
      <c r="D2666" s="147"/>
      <c r="E2666" s="148"/>
      <c r="F2666" s="148"/>
    </row>
    <row r="2667" spans="2:6" x14ac:dyDescent="0.2">
      <c r="B2667" s="115" t="s">
        <v>527</v>
      </c>
      <c r="C2667" s="114">
        <v>1379</v>
      </c>
      <c r="D2667" s="147"/>
      <c r="E2667" s="148"/>
      <c r="F2667" s="148"/>
    </row>
    <row r="2668" spans="2:6" x14ac:dyDescent="0.2">
      <c r="B2668" s="198" t="s">
        <v>526</v>
      </c>
      <c r="C2668" s="197">
        <v>172</v>
      </c>
      <c r="D2668" s="147"/>
      <c r="E2668" s="148"/>
      <c r="F2668" s="148"/>
    </row>
    <row r="2669" spans="2:6" x14ac:dyDescent="0.2">
      <c r="B2669" s="198" t="s">
        <v>525</v>
      </c>
      <c r="C2669" s="197">
        <v>753</v>
      </c>
      <c r="D2669" s="147"/>
      <c r="E2669" s="148"/>
      <c r="F2669" s="148"/>
    </row>
    <row r="2670" spans="2:6" x14ac:dyDescent="0.2">
      <c r="B2670" s="198" t="s">
        <v>524</v>
      </c>
      <c r="C2670" s="197">
        <v>189</v>
      </c>
      <c r="D2670" s="147"/>
      <c r="E2670" s="148"/>
      <c r="F2670" s="148"/>
    </row>
    <row r="2671" spans="2:6" x14ac:dyDescent="0.2">
      <c r="B2671" s="198" t="s">
        <v>523</v>
      </c>
      <c r="C2671" s="197">
        <v>1093</v>
      </c>
      <c r="D2671" s="147"/>
      <c r="E2671" s="148"/>
      <c r="F2671" s="148"/>
    </row>
    <row r="2672" spans="2:6" x14ac:dyDescent="0.2">
      <c r="B2672" s="198" t="s">
        <v>522</v>
      </c>
      <c r="C2672" s="197">
        <v>4331</v>
      </c>
      <c r="D2672" s="147"/>
      <c r="E2672" s="148"/>
      <c r="F2672" s="148"/>
    </row>
    <row r="2673" spans="2:6" x14ac:dyDescent="0.2">
      <c r="B2673" s="115" t="s">
        <v>521</v>
      </c>
      <c r="C2673" s="114">
        <v>2488</v>
      </c>
      <c r="D2673" s="147"/>
      <c r="E2673" s="148"/>
      <c r="F2673" s="148"/>
    </row>
    <row r="2674" spans="2:6" x14ac:dyDescent="0.2">
      <c r="B2674" s="115" t="s">
        <v>520</v>
      </c>
      <c r="C2674" s="114">
        <v>1919</v>
      </c>
      <c r="D2674" s="147"/>
      <c r="E2674" s="148"/>
      <c r="F2674" s="148"/>
    </row>
    <row r="2675" spans="2:6" x14ac:dyDescent="0.2">
      <c r="B2675" s="115" t="s">
        <v>519</v>
      </c>
      <c r="C2675" s="114">
        <v>516</v>
      </c>
      <c r="D2675" s="147"/>
      <c r="E2675" s="148"/>
      <c r="F2675" s="148"/>
    </row>
    <row r="2676" spans="2:6" x14ac:dyDescent="0.2">
      <c r="B2676" s="115" t="s">
        <v>518</v>
      </c>
      <c r="C2676" s="114">
        <v>65564</v>
      </c>
      <c r="D2676" s="147"/>
      <c r="E2676" s="148"/>
      <c r="F2676" s="148"/>
    </row>
    <row r="2677" spans="2:6" x14ac:dyDescent="0.2">
      <c r="B2677" s="198" t="s">
        <v>517</v>
      </c>
      <c r="C2677" s="197">
        <v>76918</v>
      </c>
      <c r="D2677" s="147"/>
      <c r="E2677" s="148"/>
      <c r="F2677" s="148"/>
    </row>
    <row r="2678" spans="2:6" x14ac:dyDescent="0.2">
      <c r="B2678" s="115" t="s">
        <v>516</v>
      </c>
      <c r="C2678" s="114">
        <v>2347</v>
      </c>
      <c r="D2678" s="147"/>
      <c r="E2678" s="148"/>
      <c r="F2678" s="148"/>
    </row>
    <row r="2679" spans="2:6" x14ac:dyDescent="0.2">
      <c r="B2679" s="115" t="s">
        <v>515</v>
      </c>
      <c r="C2679" s="114">
        <v>1469</v>
      </c>
      <c r="D2679" s="147"/>
      <c r="E2679" s="148"/>
      <c r="F2679" s="148"/>
    </row>
    <row r="2680" spans="2:6" x14ac:dyDescent="0.2">
      <c r="B2680" s="198" t="s">
        <v>514</v>
      </c>
      <c r="C2680" s="197">
        <v>1092</v>
      </c>
      <c r="D2680" s="147"/>
      <c r="E2680" s="148"/>
      <c r="F2680" s="148"/>
    </row>
    <row r="2681" spans="2:6" x14ac:dyDescent="0.2">
      <c r="B2681" s="115" t="s">
        <v>513</v>
      </c>
      <c r="C2681" s="114">
        <v>719</v>
      </c>
      <c r="D2681" s="147"/>
      <c r="E2681" s="148"/>
      <c r="F2681" s="148"/>
    </row>
    <row r="2682" spans="2:6" x14ac:dyDescent="0.2">
      <c r="B2682" s="115" t="s">
        <v>512</v>
      </c>
      <c r="C2682" s="114">
        <v>92</v>
      </c>
      <c r="D2682" s="147"/>
      <c r="E2682" s="148"/>
      <c r="F2682" s="148"/>
    </row>
    <row r="2683" spans="2:6" x14ac:dyDescent="0.2">
      <c r="B2683" s="198" t="s">
        <v>511</v>
      </c>
      <c r="C2683" s="197">
        <v>457</v>
      </c>
      <c r="D2683" s="147"/>
      <c r="E2683" s="148"/>
      <c r="F2683" s="148"/>
    </row>
    <row r="2684" spans="2:6" x14ac:dyDescent="0.2">
      <c r="B2684" s="115" t="s">
        <v>510</v>
      </c>
      <c r="C2684" s="114">
        <v>333</v>
      </c>
      <c r="D2684" s="147"/>
      <c r="E2684" s="148"/>
      <c r="F2684" s="148"/>
    </row>
    <row r="2685" spans="2:6" x14ac:dyDescent="0.2">
      <c r="B2685" s="115" t="s">
        <v>509</v>
      </c>
      <c r="C2685" s="114">
        <v>3473</v>
      </c>
      <c r="D2685" s="147"/>
      <c r="E2685" s="148"/>
      <c r="F2685" s="148"/>
    </row>
    <row r="2686" spans="2:6" x14ac:dyDescent="0.2">
      <c r="B2686" s="115" t="s">
        <v>508</v>
      </c>
      <c r="C2686" s="114">
        <v>4915</v>
      </c>
      <c r="D2686" s="147"/>
      <c r="E2686" s="148"/>
      <c r="F2686" s="148"/>
    </row>
    <row r="2687" spans="2:6" x14ac:dyDescent="0.2">
      <c r="B2687" s="115" t="s">
        <v>507</v>
      </c>
      <c r="C2687" s="114">
        <v>516</v>
      </c>
      <c r="D2687" s="147"/>
      <c r="E2687" s="148"/>
      <c r="F2687" s="148"/>
    </row>
    <row r="2688" spans="2:6" x14ac:dyDescent="0.2">
      <c r="B2688" s="198" t="s">
        <v>506</v>
      </c>
      <c r="C2688" s="197">
        <v>120</v>
      </c>
      <c r="D2688" s="147"/>
      <c r="E2688" s="148"/>
      <c r="F2688" s="148"/>
    </row>
    <row r="2689" spans="2:6" x14ac:dyDescent="0.2">
      <c r="B2689" s="198" t="s">
        <v>505</v>
      </c>
      <c r="C2689" s="197">
        <v>351</v>
      </c>
      <c r="D2689" s="147"/>
      <c r="E2689" s="148"/>
      <c r="F2689" s="148"/>
    </row>
    <row r="2690" spans="2:6" x14ac:dyDescent="0.2">
      <c r="B2690" s="198" t="s">
        <v>504</v>
      </c>
      <c r="C2690" s="197">
        <v>280</v>
      </c>
      <c r="D2690" s="147"/>
      <c r="E2690" s="148"/>
      <c r="F2690" s="148"/>
    </row>
    <row r="2691" spans="2:6" x14ac:dyDescent="0.2">
      <c r="B2691" s="115" t="s">
        <v>503</v>
      </c>
      <c r="C2691" s="114">
        <v>101</v>
      </c>
      <c r="D2691" s="147"/>
      <c r="E2691" s="148"/>
      <c r="F2691" s="148"/>
    </row>
    <row r="2692" spans="2:6" x14ac:dyDescent="0.2">
      <c r="B2692" s="115" t="s">
        <v>502</v>
      </c>
      <c r="C2692" s="114">
        <v>1205</v>
      </c>
      <c r="D2692" s="147"/>
      <c r="E2692" s="148"/>
      <c r="F2692" s="148"/>
    </row>
    <row r="2693" spans="2:6" x14ac:dyDescent="0.2">
      <c r="B2693" s="198" t="s">
        <v>501</v>
      </c>
      <c r="C2693" s="197">
        <v>80</v>
      </c>
      <c r="D2693" s="147"/>
      <c r="E2693" s="148"/>
      <c r="F2693" s="148"/>
    </row>
    <row r="2694" spans="2:6" x14ac:dyDescent="0.2">
      <c r="B2694" s="115" t="s">
        <v>500</v>
      </c>
      <c r="C2694" s="114">
        <v>346</v>
      </c>
      <c r="D2694" s="147"/>
      <c r="E2694" s="148"/>
      <c r="F2694" s="148"/>
    </row>
    <row r="2695" spans="2:6" x14ac:dyDescent="0.2">
      <c r="B2695" s="115" t="s">
        <v>499</v>
      </c>
      <c r="C2695" s="114">
        <v>550</v>
      </c>
      <c r="D2695" s="147"/>
      <c r="E2695" s="148"/>
      <c r="F2695" s="148"/>
    </row>
    <row r="2696" spans="2:6" x14ac:dyDescent="0.2">
      <c r="B2696" s="198" t="s">
        <v>498</v>
      </c>
      <c r="C2696" s="197">
        <v>98</v>
      </c>
      <c r="D2696" s="147"/>
      <c r="E2696" s="148"/>
      <c r="F2696" s="148"/>
    </row>
    <row r="2697" spans="2:6" x14ac:dyDescent="0.2">
      <c r="B2697" s="115" t="s">
        <v>497</v>
      </c>
      <c r="C2697" s="114">
        <v>927</v>
      </c>
      <c r="D2697" s="147"/>
      <c r="E2697" s="148"/>
      <c r="F2697" s="148"/>
    </row>
    <row r="2698" spans="2:6" x14ac:dyDescent="0.2">
      <c r="B2698" s="115" t="s">
        <v>496</v>
      </c>
      <c r="C2698" s="114">
        <v>986</v>
      </c>
      <c r="D2698" s="147"/>
      <c r="E2698" s="148"/>
      <c r="F2698" s="148"/>
    </row>
    <row r="2699" spans="2:6" x14ac:dyDescent="0.2">
      <c r="B2699" s="198" t="s">
        <v>495</v>
      </c>
      <c r="C2699" s="197">
        <v>222</v>
      </c>
      <c r="D2699" s="147"/>
      <c r="E2699" s="148"/>
      <c r="F2699" s="148"/>
    </row>
    <row r="2700" spans="2:6" x14ac:dyDescent="0.2">
      <c r="B2700" s="198" t="s">
        <v>494</v>
      </c>
      <c r="C2700" s="197">
        <v>558</v>
      </c>
      <c r="D2700" s="147"/>
      <c r="E2700" s="148"/>
      <c r="F2700" s="148"/>
    </row>
    <row r="2701" spans="2:6" x14ac:dyDescent="0.2">
      <c r="B2701" s="115" t="s">
        <v>493</v>
      </c>
      <c r="C2701" s="114">
        <v>1792</v>
      </c>
      <c r="D2701" s="147"/>
      <c r="E2701" s="148"/>
      <c r="F2701" s="148"/>
    </row>
    <row r="2702" spans="2:6" x14ac:dyDescent="0.2">
      <c r="B2702" s="115" t="s">
        <v>492</v>
      </c>
      <c r="C2702" s="114">
        <v>1409</v>
      </c>
      <c r="D2702" s="147"/>
      <c r="E2702" s="148"/>
      <c r="F2702" s="148"/>
    </row>
    <row r="2703" spans="2:6" x14ac:dyDescent="0.2">
      <c r="B2703" s="115" t="s">
        <v>491</v>
      </c>
      <c r="C2703" s="114">
        <v>1391</v>
      </c>
      <c r="D2703" s="147"/>
      <c r="E2703" s="148"/>
      <c r="F2703" s="148"/>
    </row>
    <row r="2704" spans="2:6" x14ac:dyDescent="0.2">
      <c r="B2704" s="115" t="s">
        <v>490</v>
      </c>
      <c r="C2704" s="114">
        <v>237</v>
      </c>
      <c r="D2704" s="147"/>
      <c r="E2704" s="148"/>
      <c r="F2704" s="148"/>
    </row>
    <row r="2705" spans="2:6" x14ac:dyDescent="0.2">
      <c r="B2705" s="115" t="s">
        <v>489</v>
      </c>
      <c r="C2705" s="114">
        <v>3971</v>
      </c>
      <c r="D2705" s="147"/>
      <c r="E2705" s="148"/>
      <c r="F2705" s="148"/>
    </row>
    <row r="2706" spans="2:6" x14ac:dyDescent="0.2">
      <c r="B2706" s="115" t="s">
        <v>488</v>
      </c>
      <c r="C2706" s="114">
        <v>973</v>
      </c>
      <c r="D2706" s="147"/>
      <c r="E2706" s="148"/>
      <c r="F2706" s="148"/>
    </row>
    <row r="2707" spans="2:6" x14ac:dyDescent="0.2">
      <c r="B2707" s="115" t="s">
        <v>487</v>
      </c>
      <c r="C2707" s="114">
        <v>997</v>
      </c>
      <c r="D2707" s="147"/>
      <c r="E2707" s="148"/>
      <c r="F2707" s="148"/>
    </row>
    <row r="2708" spans="2:6" x14ac:dyDescent="0.2">
      <c r="B2708" s="115" t="s">
        <v>486</v>
      </c>
      <c r="C2708" s="114">
        <v>3324</v>
      </c>
      <c r="D2708" s="147"/>
      <c r="E2708" s="148"/>
      <c r="F2708" s="148"/>
    </row>
    <row r="2709" spans="2:6" x14ac:dyDescent="0.2">
      <c r="B2709" s="198" t="s">
        <v>485</v>
      </c>
      <c r="C2709" s="197">
        <v>1690</v>
      </c>
      <c r="D2709" s="147"/>
      <c r="E2709" s="148"/>
      <c r="F2709" s="148"/>
    </row>
    <row r="2710" spans="2:6" x14ac:dyDescent="0.2">
      <c r="B2710" s="198" t="s">
        <v>484</v>
      </c>
      <c r="C2710" s="197">
        <v>123</v>
      </c>
      <c r="D2710" s="147"/>
      <c r="E2710" s="148"/>
      <c r="F2710" s="148"/>
    </row>
    <row r="2711" spans="2:6" x14ac:dyDescent="0.2">
      <c r="B2711" s="115" t="s">
        <v>483</v>
      </c>
      <c r="C2711" s="114">
        <v>6358</v>
      </c>
      <c r="D2711" s="147"/>
      <c r="E2711" s="148"/>
      <c r="F2711" s="148"/>
    </row>
    <row r="2712" spans="2:6" x14ac:dyDescent="0.2">
      <c r="B2712" s="198" t="s">
        <v>482</v>
      </c>
      <c r="C2712" s="197">
        <v>808</v>
      </c>
      <c r="D2712" s="147"/>
      <c r="E2712" s="148"/>
      <c r="F2712" s="148"/>
    </row>
    <row r="2713" spans="2:6" x14ac:dyDescent="0.2">
      <c r="B2713" s="198" t="s">
        <v>481</v>
      </c>
      <c r="C2713" s="197">
        <v>330</v>
      </c>
      <c r="D2713" s="147"/>
      <c r="E2713" s="148"/>
      <c r="F2713" s="148"/>
    </row>
    <row r="2714" spans="2:6" x14ac:dyDescent="0.2">
      <c r="B2714" s="115" t="s">
        <v>480</v>
      </c>
      <c r="C2714" s="114">
        <v>6815</v>
      </c>
      <c r="D2714" s="147"/>
      <c r="E2714" s="148"/>
      <c r="F2714" s="148"/>
    </row>
    <row r="2715" spans="2:6" x14ac:dyDescent="0.2">
      <c r="B2715" s="115" t="s">
        <v>479</v>
      </c>
      <c r="C2715" s="114">
        <v>570</v>
      </c>
      <c r="D2715" s="147"/>
      <c r="E2715" s="148"/>
      <c r="F2715" s="148"/>
    </row>
    <row r="2716" spans="2:6" x14ac:dyDescent="0.2">
      <c r="B2716" s="115" t="s">
        <v>478</v>
      </c>
      <c r="C2716" s="114">
        <v>3447</v>
      </c>
      <c r="D2716" s="147"/>
      <c r="E2716" s="148"/>
      <c r="F2716" s="148"/>
    </row>
    <row r="2717" spans="2:6" x14ac:dyDescent="0.2">
      <c r="B2717" s="115" t="s">
        <v>477</v>
      </c>
      <c r="C2717" s="114">
        <v>1064</v>
      </c>
      <c r="D2717" s="147"/>
      <c r="E2717" s="148"/>
      <c r="F2717" s="148"/>
    </row>
    <row r="2718" spans="2:6" x14ac:dyDescent="0.2">
      <c r="B2718" s="115" t="s">
        <v>476</v>
      </c>
      <c r="C2718" s="114">
        <v>1739</v>
      </c>
      <c r="D2718" s="147"/>
      <c r="E2718" s="148"/>
      <c r="F2718" s="148"/>
    </row>
    <row r="2719" spans="2:6" x14ac:dyDescent="0.2">
      <c r="B2719" s="115" t="s">
        <v>475</v>
      </c>
      <c r="C2719" s="114">
        <v>745</v>
      </c>
      <c r="D2719" s="147"/>
      <c r="E2719" s="148"/>
      <c r="F2719" s="148"/>
    </row>
    <row r="2720" spans="2:6" x14ac:dyDescent="0.2">
      <c r="B2720" s="198" t="s">
        <v>474</v>
      </c>
      <c r="C2720" s="197">
        <v>1540</v>
      </c>
      <c r="D2720" s="147"/>
      <c r="E2720" s="148"/>
      <c r="F2720" s="148"/>
    </row>
    <row r="2721" spans="2:6" x14ac:dyDescent="0.2">
      <c r="B2721" s="198" t="s">
        <v>473</v>
      </c>
      <c r="C2721" s="197">
        <v>7408</v>
      </c>
      <c r="D2721" s="147"/>
      <c r="E2721" s="148"/>
      <c r="F2721" s="148"/>
    </row>
    <row r="2722" spans="2:6" x14ac:dyDescent="0.2">
      <c r="B2722" s="115" t="s">
        <v>472</v>
      </c>
      <c r="C2722" s="114">
        <v>787</v>
      </c>
      <c r="D2722" s="147"/>
      <c r="E2722" s="148"/>
      <c r="F2722" s="148"/>
    </row>
    <row r="2723" spans="2:6" x14ac:dyDescent="0.2">
      <c r="B2723" s="115" t="s">
        <v>471</v>
      </c>
      <c r="C2723" s="114">
        <v>721</v>
      </c>
      <c r="D2723" s="147"/>
      <c r="E2723" s="148"/>
      <c r="F2723" s="148"/>
    </row>
    <row r="2724" spans="2:6" x14ac:dyDescent="0.2">
      <c r="B2724" s="198" t="s">
        <v>470</v>
      </c>
      <c r="C2724" s="197">
        <v>3655</v>
      </c>
      <c r="D2724" s="147"/>
      <c r="E2724" s="148"/>
      <c r="F2724" s="148"/>
    </row>
    <row r="2725" spans="2:6" x14ac:dyDescent="0.2">
      <c r="B2725" s="115" t="s">
        <v>469</v>
      </c>
      <c r="C2725" s="114">
        <v>3590</v>
      </c>
      <c r="D2725" s="147"/>
      <c r="E2725" s="148"/>
      <c r="F2725" s="148"/>
    </row>
    <row r="2726" spans="2:6" x14ac:dyDescent="0.2">
      <c r="B2726" s="115" t="s">
        <v>468</v>
      </c>
      <c r="C2726" s="114">
        <v>2674</v>
      </c>
      <c r="D2726" s="147"/>
      <c r="E2726" s="148"/>
      <c r="F2726" s="148"/>
    </row>
    <row r="2727" spans="2:6" x14ac:dyDescent="0.2">
      <c r="B2727" s="198" t="s">
        <v>467</v>
      </c>
      <c r="C2727" s="197">
        <v>6119</v>
      </c>
      <c r="D2727" s="147"/>
      <c r="E2727" s="148"/>
      <c r="F2727" s="148"/>
    </row>
    <row r="2728" spans="2:6" x14ac:dyDescent="0.2">
      <c r="B2728" s="115" t="s">
        <v>466</v>
      </c>
      <c r="C2728" s="114">
        <v>5835</v>
      </c>
      <c r="D2728" s="147"/>
      <c r="E2728" s="148"/>
      <c r="F2728" s="148"/>
    </row>
    <row r="2729" spans="2:6" x14ac:dyDescent="0.2">
      <c r="B2729" s="115" t="s">
        <v>465</v>
      </c>
      <c r="C2729" s="114">
        <v>5717</v>
      </c>
      <c r="D2729" s="147"/>
      <c r="E2729" s="148"/>
      <c r="F2729" s="148"/>
    </row>
    <row r="2730" spans="2:6" x14ac:dyDescent="0.2">
      <c r="B2730" s="115" t="s">
        <v>464</v>
      </c>
      <c r="C2730" s="114">
        <v>2870</v>
      </c>
      <c r="D2730" s="147"/>
      <c r="E2730" s="148"/>
      <c r="F2730" s="148"/>
    </row>
    <row r="2731" spans="2:6" x14ac:dyDescent="0.2">
      <c r="B2731" s="115" t="s">
        <v>463</v>
      </c>
      <c r="C2731" s="114">
        <v>2583</v>
      </c>
      <c r="D2731" s="147"/>
      <c r="E2731" s="148"/>
      <c r="F2731" s="148"/>
    </row>
    <row r="2732" spans="2:6" x14ac:dyDescent="0.2">
      <c r="B2732" s="115" t="s">
        <v>462</v>
      </c>
      <c r="C2732" s="114">
        <v>13829</v>
      </c>
      <c r="D2732" s="147"/>
      <c r="E2732" s="148"/>
      <c r="F2732" s="148"/>
    </row>
    <row r="2733" spans="2:6" x14ac:dyDescent="0.2">
      <c r="B2733" s="115" t="s">
        <v>461</v>
      </c>
      <c r="C2733" s="114">
        <v>577</v>
      </c>
      <c r="D2733" s="147"/>
      <c r="E2733" s="148"/>
      <c r="F2733" s="148"/>
    </row>
    <row r="2734" spans="2:6" x14ac:dyDescent="0.2">
      <c r="B2734" s="115" t="s">
        <v>460</v>
      </c>
      <c r="C2734" s="114">
        <v>889</v>
      </c>
      <c r="D2734" s="147"/>
      <c r="E2734" s="148"/>
      <c r="F2734" s="148"/>
    </row>
    <row r="2735" spans="2:6" x14ac:dyDescent="0.2">
      <c r="B2735" s="198" t="s">
        <v>459</v>
      </c>
      <c r="C2735" s="197">
        <v>1727</v>
      </c>
      <c r="D2735" s="147"/>
      <c r="E2735" s="148"/>
      <c r="F2735" s="148"/>
    </row>
    <row r="2736" spans="2:6" x14ac:dyDescent="0.2">
      <c r="B2736" s="115" t="s">
        <v>458</v>
      </c>
      <c r="C2736" s="114">
        <v>1104</v>
      </c>
      <c r="D2736" s="147"/>
      <c r="E2736" s="148"/>
      <c r="F2736" s="148"/>
    </row>
    <row r="2737" spans="2:6" x14ac:dyDescent="0.2">
      <c r="B2737" s="115" t="s">
        <v>457</v>
      </c>
      <c r="C2737" s="114">
        <v>2569</v>
      </c>
      <c r="D2737" s="147"/>
      <c r="E2737" s="148"/>
      <c r="F2737" s="148"/>
    </row>
    <row r="2738" spans="2:6" x14ac:dyDescent="0.2">
      <c r="B2738" s="115" t="s">
        <v>456</v>
      </c>
      <c r="C2738" s="114">
        <v>1008</v>
      </c>
      <c r="D2738" s="147"/>
      <c r="E2738" s="148"/>
      <c r="F2738" s="148"/>
    </row>
    <row r="2739" spans="2:6" x14ac:dyDescent="0.2">
      <c r="B2739" s="115" t="s">
        <v>455</v>
      </c>
      <c r="C2739" s="114">
        <v>971</v>
      </c>
      <c r="D2739" s="147"/>
      <c r="E2739" s="148"/>
      <c r="F2739" s="148"/>
    </row>
    <row r="2740" spans="2:6" x14ac:dyDescent="0.2">
      <c r="B2740" s="115" t="s">
        <v>454</v>
      </c>
      <c r="C2740" s="114">
        <v>1574</v>
      </c>
      <c r="D2740" s="147"/>
      <c r="E2740" s="148"/>
      <c r="F2740" s="148"/>
    </row>
    <row r="2741" spans="2:6" x14ac:dyDescent="0.2">
      <c r="B2741" s="198" t="s">
        <v>453</v>
      </c>
      <c r="C2741" s="197">
        <v>734</v>
      </c>
      <c r="D2741" s="147"/>
      <c r="E2741" s="148"/>
      <c r="F2741" s="148"/>
    </row>
    <row r="2742" spans="2:6" x14ac:dyDescent="0.2">
      <c r="B2742" s="198" t="s">
        <v>452</v>
      </c>
      <c r="C2742" s="197">
        <v>2771</v>
      </c>
      <c r="D2742" s="147"/>
      <c r="E2742" s="148"/>
      <c r="F2742" s="148"/>
    </row>
    <row r="2743" spans="2:6" x14ac:dyDescent="0.2">
      <c r="B2743" s="115" t="s">
        <v>451</v>
      </c>
      <c r="C2743" s="114">
        <v>428</v>
      </c>
      <c r="D2743" s="147"/>
      <c r="E2743" s="148"/>
      <c r="F2743" s="148"/>
    </row>
    <row r="2744" spans="2:6" x14ac:dyDescent="0.2">
      <c r="B2744" s="115" t="s">
        <v>450</v>
      </c>
      <c r="C2744" s="114">
        <v>1420</v>
      </c>
      <c r="D2744" s="147"/>
      <c r="E2744" s="148"/>
      <c r="F2744" s="148"/>
    </row>
    <row r="2745" spans="2:6" x14ac:dyDescent="0.2">
      <c r="B2745" s="115" t="s">
        <v>449</v>
      </c>
      <c r="C2745" s="114">
        <v>718</v>
      </c>
      <c r="D2745" s="147"/>
      <c r="E2745" s="148"/>
      <c r="F2745" s="148"/>
    </row>
    <row r="2746" spans="2:6" x14ac:dyDescent="0.2">
      <c r="B2746" s="198" t="s">
        <v>448</v>
      </c>
      <c r="C2746" s="197">
        <v>1498</v>
      </c>
      <c r="D2746" s="147"/>
      <c r="E2746" s="148"/>
      <c r="F2746" s="148"/>
    </row>
    <row r="2747" spans="2:6" x14ac:dyDescent="0.2">
      <c r="B2747" s="115" t="s">
        <v>447</v>
      </c>
      <c r="C2747" s="114">
        <v>1475</v>
      </c>
      <c r="D2747" s="147"/>
      <c r="E2747" s="148"/>
      <c r="F2747" s="148"/>
    </row>
    <row r="2748" spans="2:6" x14ac:dyDescent="0.2">
      <c r="B2748" s="115" t="s">
        <v>446</v>
      </c>
      <c r="C2748" s="114">
        <v>1828</v>
      </c>
      <c r="D2748" s="147"/>
      <c r="E2748" s="148"/>
      <c r="F2748" s="148"/>
    </row>
    <row r="2749" spans="2:6" x14ac:dyDescent="0.2">
      <c r="B2749" s="198" t="s">
        <v>445</v>
      </c>
      <c r="C2749" s="197">
        <v>213</v>
      </c>
      <c r="D2749" s="147"/>
      <c r="E2749" s="148"/>
      <c r="F2749" s="148"/>
    </row>
    <row r="2750" spans="2:6" x14ac:dyDescent="0.2">
      <c r="B2750" s="198" t="s">
        <v>444</v>
      </c>
      <c r="C2750" s="197">
        <v>738</v>
      </c>
      <c r="D2750" s="147"/>
      <c r="E2750" s="148"/>
      <c r="F2750" s="148"/>
    </row>
    <row r="2751" spans="2:6" x14ac:dyDescent="0.2">
      <c r="B2751" s="198" t="s">
        <v>443</v>
      </c>
      <c r="C2751" s="197">
        <v>1205</v>
      </c>
      <c r="D2751" s="147"/>
      <c r="E2751" s="148"/>
      <c r="F2751" s="148"/>
    </row>
    <row r="2752" spans="2:6" x14ac:dyDescent="0.2">
      <c r="B2752" s="198" t="s">
        <v>442</v>
      </c>
      <c r="C2752" s="197">
        <v>10548</v>
      </c>
      <c r="D2752" s="147"/>
      <c r="E2752" s="148"/>
      <c r="F2752" s="148"/>
    </row>
    <row r="2753" spans="2:6" x14ac:dyDescent="0.2">
      <c r="B2753" s="115" t="s">
        <v>441</v>
      </c>
      <c r="C2753" s="114">
        <v>166</v>
      </c>
      <c r="D2753" s="147"/>
      <c r="E2753" s="148"/>
      <c r="F2753" s="148"/>
    </row>
    <row r="2754" spans="2:6" x14ac:dyDescent="0.2">
      <c r="B2754" s="198" t="s">
        <v>440</v>
      </c>
      <c r="C2754" s="197">
        <v>2184</v>
      </c>
      <c r="D2754" s="147"/>
      <c r="E2754" s="148"/>
      <c r="F2754" s="148"/>
    </row>
    <row r="2755" spans="2:6" x14ac:dyDescent="0.2">
      <c r="B2755" s="115" t="s">
        <v>439</v>
      </c>
      <c r="C2755" s="114">
        <v>92</v>
      </c>
      <c r="D2755" s="147"/>
      <c r="E2755" s="148"/>
      <c r="F2755" s="148"/>
    </row>
    <row r="2756" spans="2:6" x14ac:dyDescent="0.2">
      <c r="B2756" s="115" t="s">
        <v>438</v>
      </c>
      <c r="C2756" s="114">
        <v>332</v>
      </c>
      <c r="D2756" s="147"/>
      <c r="E2756" s="148"/>
      <c r="F2756" s="148"/>
    </row>
    <row r="2757" spans="2:6" x14ac:dyDescent="0.2">
      <c r="B2757" s="115" t="s">
        <v>437</v>
      </c>
      <c r="C2757" s="114">
        <v>2836</v>
      </c>
      <c r="D2757" s="147"/>
      <c r="E2757" s="148"/>
      <c r="F2757" s="148"/>
    </row>
    <row r="2758" spans="2:6" x14ac:dyDescent="0.2">
      <c r="B2758" s="115" t="s">
        <v>436</v>
      </c>
      <c r="C2758" s="114">
        <v>1718</v>
      </c>
      <c r="D2758" s="147"/>
      <c r="E2758" s="148"/>
      <c r="F2758" s="148"/>
    </row>
    <row r="2759" spans="2:6" x14ac:dyDescent="0.2">
      <c r="B2759" s="115" t="s">
        <v>435</v>
      </c>
      <c r="C2759" s="114">
        <v>5116</v>
      </c>
      <c r="D2759" s="147"/>
      <c r="E2759" s="148"/>
      <c r="F2759" s="148"/>
    </row>
    <row r="2760" spans="2:6" x14ac:dyDescent="0.2">
      <c r="B2760" s="115" t="s">
        <v>434</v>
      </c>
      <c r="C2760" s="114">
        <v>23663</v>
      </c>
      <c r="D2760" s="147"/>
      <c r="E2760" s="148"/>
      <c r="F2760" s="148"/>
    </row>
    <row r="2761" spans="2:6" x14ac:dyDescent="0.2">
      <c r="B2761" s="115" t="s">
        <v>433</v>
      </c>
      <c r="C2761" s="114">
        <v>64785</v>
      </c>
      <c r="D2761" s="147"/>
      <c r="E2761" s="148"/>
      <c r="F2761" s="148"/>
    </row>
    <row r="2762" spans="2:6" x14ac:dyDescent="0.2">
      <c r="B2762" s="198" t="s">
        <v>432</v>
      </c>
      <c r="C2762" s="197">
        <v>1054</v>
      </c>
      <c r="D2762" s="147"/>
      <c r="E2762" s="148"/>
      <c r="F2762" s="148"/>
    </row>
    <row r="2763" spans="2:6" x14ac:dyDescent="0.2">
      <c r="B2763" s="198" t="s">
        <v>431</v>
      </c>
      <c r="C2763" s="197">
        <v>1855</v>
      </c>
      <c r="D2763" s="147"/>
      <c r="E2763" s="148"/>
      <c r="F2763" s="148"/>
    </row>
    <row r="2764" spans="2:6" x14ac:dyDescent="0.2">
      <c r="B2764" s="198" t="s">
        <v>430</v>
      </c>
      <c r="C2764" s="197">
        <v>1655</v>
      </c>
      <c r="D2764" s="147"/>
      <c r="E2764" s="148"/>
      <c r="F2764" s="148"/>
    </row>
    <row r="2765" spans="2:6" x14ac:dyDescent="0.2">
      <c r="B2765" s="115" t="s">
        <v>429</v>
      </c>
      <c r="C2765" s="114">
        <v>6304</v>
      </c>
      <c r="D2765" s="147"/>
      <c r="E2765" s="148"/>
      <c r="F2765" s="148"/>
    </row>
    <row r="2766" spans="2:6" x14ac:dyDescent="0.2">
      <c r="B2766" s="198" t="s">
        <v>428</v>
      </c>
      <c r="C2766" s="197">
        <v>408</v>
      </c>
      <c r="D2766" s="147"/>
      <c r="E2766" s="148"/>
      <c r="F2766" s="148"/>
    </row>
    <row r="2767" spans="2:6" x14ac:dyDescent="0.2">
      <c r="B2767" s="115" t="s">
        <v>427</v>
      </c>
      <c r="C2767" s="114">
        <v>188</v>
      </c>
      <c r="D2767" s="147"/>
      <c r="E2767" s="148"/>
      <c r="F2767" s="148"/>
    </row>
    <row r="2768" spans="2:6" x14ac:dyDescent="0.2">
      <c r="B2768" s="115" t="s">
        <v>426</v>
      </c>
      <c r="C2768" s="114">
        <v>316</v>
      </c>
      <c r="D2768" s="147"/>
      <c r="E2768" s="148"/>
      <c r="F2768" s="148"/>
    </row>
    <row r="2769" spans="2:6" x14ac:dyDescent="0.2">
      <c r="B2769" s="198" t="s">
        <v>425</v>
      </c>
      <c r="C2769" s="197">
        <v>424</v>
      </c>
      <c r="D2769" s="147"/>
      <c r="E2769" s="148"/>
      <c r="F2769" s="148"/>
    </row>
    <row r="2770" spans="2:6" x14ac:dyDescent="0.2">
      <c r="B2770" s="115" t="s">
        <v>424</v>
      </c>
      <c r="C2770" s="114">
        <v>1395</v>
      </c>
      <c r="D2770" s="147"/>
      <c r="E2770" s="148"/>
      <c r="F2770" s="148"/>
    </row>
    <row r="2771" spans="2:6" x14ac:dyDescent="0.2">
      <c r="B2771" s="115" t="s">
        <v>423</v>
      </c>
      <c r="C2771" s="114">
        <v>187</v>
      </c>
      <c r="D2771" s="147"/>
      <c r="E2771" s="148"/>
      <c r="F2771" s="148"/>
    </row>
    <row r="2772" spans="2:6" x14ac:dyDescent="0.2">
      <c r="B2772" s="115" t="s">
        <v>422</v>
      </c>
      <c r="C2772" s="114">
        <v>4466</v>
      </c>
      <c r="D2772" s="147"/>
      <c r="E2772" s="148"/>
      <c r="F2772" s="148"/>
    </row>
    <row r="2773" spans="2:6" x14ac:dyDescent="0.2">
      <c r="B2773" s="198" t="s">
        <v>421</v>
      </c>
      <c r="C2773" s="197">
        <v>557</v>
      </c>
      <c r="D2773" s="147"/>
      <c r="E2773" s="148"/>
      <c r="F2773" s="148"/>
    </row>
    <row r="2774" spans="2:6" x14ac:dyDescent="0.2">
      <c r="B2774" s="115" t="s">
        <v>420</v>
      </c>
      <c r="C2774" s="114">
        <v>2007</v>
      </c>
      <c r="D2774" s="147"/>
      <c r="E2774" s="148"/>
      <c r="F2774" s="148"/>
    </row>
    <row r="2775" spans="2:6" x14ac:dyDescent="0.2">
      <c r="B2775" s="115" t="s">
        <v>419</v>
      </c>
      <c r="C2775" s="114">
        <v>60</v>
      </c>
      <c r="D2775" s="147"/>
      <c r="E2775" s="148"/>
      <c r="F2775" s="148"/>
    </row>
    <row r="2776" spans="2:6" x14ac:dyDescent="0.2">
      <c r="B2776" s="198" t="s">
        <v>418</v>
      </c>
      <c r="C2776" s="197">
        <v>378</v>
      </c>
      <c r="D2776" s="147"/>
      <c r="E2776" s="148"/>
      <c r="F2776" s="148"/>
    </row>
    <row r="2777" spans="2:6" x14ac:dyDescent="0.2">
      <c r="B2777" s="198" t="s">
        <v>417</v>
      </c>
      <c r="C2777" s="197">
        <v>1080</v>
      </c>
      <c r="D2777" s="147"/>
      <c r="E2777" s="148"/>
      <c r="F2777" s="148"/>
    </row>
    <row r="2778" spans="2:6" x14ac:dyDescent="0.2">
      <c r="B2778" s="115" t="s">
        <v>416</v>
      </c>
      <c r="C2778" s="114">
        <v>1781</v>
      </c>
      <c r="D2778" s="147"/>
      <c r="E2778" s="148"/>
      <c r="F2778" s="148"/>
    </row>
    <row r="2779" spans="2:6" x14ac:dyDescent="0.2">
      <c r="B2779" s="115" t="s">
        <v>415</v>
      </c>
      <c r="C2779" s="114">
        <v>1002</v>
      </c>
      <c r="D2779" s="147"/>
      <c r="E2779" s="148"/>
      <c r="F2779" s="148"/>
    </row>
    <row r="2780" spans="2:6" x14ac:dyDescent="0.2">
      <c r="B2780" s="115" t="s">
        <v>414</v>
      </c>
      <c r="C2780" s="114">
        <v>568</v>
      </c>
      <c r="D2780" s="147"/>
      <c r="E2780" s="148"/>
      <c r="F2780" s="148"/>
    </row>
    <row r="2781" spans="2:6" x14ac:dyDescent="0.2">
      <c r="B2781" s="115" t="s">
        <v>413</v>
      </c>
      <c r="C2781" s="114">
        <v>343</v>
      </c>
      <c r="D2781" s="147"/>
      <c r="E2781" s="148"/>
      <c r="F2781" s="148"/>
    </row>
    <row r="2782" spans="2:6" x14ac:dyDescent="0.2">
      <c r="B2782" s="198" t="s">
        <v>412</v>
      </c>
      <c r="C2782" s="197">
        <v>667</v>
      </c>
      <c r="D2782" s="147"/>
      <c r="E2782" s="148"/>
      <c r="F2782" s="148"/>
    </row>
    <row r="2783" spans="2:6" x14ac:dyDescent="0.2">
      <c r="B2783" s="198" t="s">
        <v>411</v>
      </c>
      <c r="C2783" s="197">
        <v>22</v>
      </c>
      <c r="D2783" s="147"/>
      <c r="E2783" s="148"/>
      <c r="F2783" s="148"/>
    </row>
    <row r="2784" spans="2:6" x14ac:dyDescent="0.2">
      <c r="B2784" s="198" t="s">
        <v>410</v>
      </c>
      <c r="C2784" s="197">
        <v>205</v>
      </c>
      <c r="D2784" s="147"/>
      <c r="E2784" s="148"/>
      <c r="F2784" s="148"/>
    </row>
    <row r="2785" spans="2:6" x14ac:dyDescent="0.2">
      <c r="B2785" s="115" t="s">
        <v>409</v>
      </c>
      <c r="C2785" s="114">
        <v>796</v>
      </c>
      <c r="D2785" s="147"/>
      <c r="E2785" s="148"/>
      <c r="F2785" s="148"/>
    </row>
    <row r="2786" spans="2:6" x14ac:dyDescent="0.2">
      <c r="B2786" s="198" t="s">
        <v>408</v>
      </c>
      <c r="C2786" s="197">
        <v>87</v>
      </c>
      <c r="D2786" s="147"/>
      <c r="E2786" s="148"/>
      <c r="F2786" s="148"/>
    </row>
    <row r="2787" spans="2:6" x14ac:dyDescent="0.2">
      <c r="B2787" s="198" t="s">
        <v>407</v>
      </c>
      <c r="C2787" s="197">
        <v>145</v>
      </c>
      <c r="D2787" s="147"/>
      <c r="E2787" s="148"/>
      <c r="F2787" s="148"/>
    </row>
    <row r="2788" spans="2:6" x14ac:dyDescent="0.2">
      <c r="B2788" s="115" t="s">
        <v>406</v>
      </c>
      <c r="C2788" s="114">
        <v>297</v>
      </c>
      <c r="D2788" s="147"/>
      <c r="E2788" s="148"/>
      <c r="F2788" s="148"/>
    </row>
    <row r="2789" spans="2:6" x14ac:dyDescent="0.2">
      <c r="B2789" s="115" t="s">
        <v>405</v>
      </c>
      <c r="C2789" s="114">
        <v>1254</v>
      </c>
      <c r="D2789" s="147"/>
      <c r="E2789" s="148"/>
      <c r="F2789" s="148"/>
    </row>
    <row r="2790" spans="2:6" x14ac:dyDescent="0.2">
      <c r="B2790" s="115" t="s">
        <v>404</v>
      </c>
      <c r="C2790" s="114">
        <v>4205</v>
      </c>
      <c r="D2790" s="147"/>
      <c r="E2790" s="148"/>
      <c r="F2790" s="148"/>
    </row>
    <row r="2791" spans="2:6" x14ac:dyDescent="0.2">
      <c r="B2791" s="198" t="s">
        <v>403</v>
      </c>
      <c r="C2791" s="197">
        <v>1231</v>
      </c>
      <c r="D2791" s="147"/>
      <c r="E2791" s="148"/>
      <c r="F2791" s="148"/>
    </row>
    <row r="2792" spans="2:6" x14ac:dyDescent="0.2">
      <c r="B2792" s="115" t="s">
        <v>402</v>
      </c>
      <c r="C2792" s="114">
        <v>1202</v>
      </c>
      <c r="D2792" s="147"/>
      <c r="E2792" s="148"/>
      <c r="F2792" s="148"/>
    </row>
    <row r="2793" spans="2:6" x14ac:dyDescent="0.2">
      <c r="B2793" s="198" t="s">
        <v>401</v>
      </c>
      <c r="C2793" s="197">
        <v>1179</v>
      </c>
      <c r="D2793" s="147"/>
      <c r="E2793" s="148"/>
      <c r="F2793" s="148"/>
    </row>
    <row r="2794" spans="2:6" x14ac:dyDescent="0.2">
      <c r="B2794" s="115" t="s">
        <v>400</v>
      </c>
      <c r="C2794" s="114">
        <v>848</v>
      </c>
      <c r="D2794" s="147"/>
      <c r="E2794" s="148"/>
      <c r="F2794" s="148"/>
    </row>
    <row r="2795" spans="2:6" x14ac:dyDescent="0.2">
      <c r="B2795" s="115" t="s">
        <v>399</v>
      </c>
      <c r="C2795" s="114">
        <v>1330</v>
      </c>
      <c r="D2795" s="147"/>
      <c r="E2795" s="148"/>
      <c r="F2795" s="148"/>
    </row>
    <row r="2796" spans="2:6" x14ac:dyDescent="0.2">
      <c r="B2796" s="198" t="s">
        <v>398</v>
      </c>
      <c r="C2796" s="197">
        <v>135</v>
      </c>
      <c r="D2796" s="147"/>
      <c r="E2796" s="148"/>
      <c r="F2796" s="148"/>
    </row>
    <row r="2797" spans="2:6" x14ac:dyDescent="0.2">
      <c r="B2797" s="115" t="s">
        <v>397</v>
      </c>
      <c r="C2797" s="114">
        <v>190</v>
      </c>
      <c r="D2797" s="147"/>
      <c r="E2797" s="148"/>
      <c r="F2797" s="148"/>
    </row>
    <row r="2798" spans="2:6" x14ac:dyDescent="0.2">
      <c r="B2798" s="115" t="s">
        <v>396</v>
      </c>
      <c r="C2798" s="114">
        <v>1160</v>
      </c>
      <c r="D2798" s="147"/>
      <c r="E2798" s="148"/>
      <c r="F2798" s="148"/>
    </row>
    <row r="2799" spans="2:6" x14ac:dyDescent="0.2">
      <c r="B2799" s="198" t="s">
        <v>395</v>
      </c>
      <c r="C2799" s="197">
        <v>1950</v>
      </c>
      <c r="D2799" s="147"/>
      <c r="E2799" s="148"/>
      <c r="F2799" s="148"/>
    </row>
    <row r="2800" spans="2:6" x14ac:dyDescent="0.2">
      <c r="B2800" s="198" t="s">
        <v>394</v>
      </c>
      <c r="C2800" s="197">
        <v>570</v>
      </c>
      <c r="D2800" s="147"/>
      <c r="E2800" s="148"/>
      <c r="F2800" s="148"/>
    </row>
    <row r="2801" spans="2:6" x14ac:dyDescent="0.2">
      <c r="B2801" s="198" t="s">
        <v>393</v>
      </c>
      <c r="C2801" s="197">
        <v>4767</v>
      </c>
      <c r="D2801" s="147"/>
      <c r="E2801" s="148"/>
      <c r="F2801" s="148"/>
    </row>
    <row r="2802" spans="2:6" x14ac:dyDescent="0.2">
      <c r="B2802" s="115" t="s">
        <v>392</v>
      </c>
      <c r="C2802" s="114">
        <v>259</v>
      </c>
      <c r="D2802" s="147"/>
      <c r="E2802" s="148"/>
      <c r="F2802" s="148"/>
    </row>
    <row r="2803" spans="2:6" x14ac:dyDescent="0.2">
      <c r="B2803" s="198" t="s">
        <v>391</v>
      </c>
      <c r="C2803" s="197">
        <v>1055</v>
      </c>
      <c r="D2803" s="147"/>
      <c r="E2803" s="148"/>
      <c r="F2803" s="148"/>
    </row>
    <row r="2804" spans="2:6" x14ac:dyDescent="0.2">
      <c r="B2804" s="198" t="s">
        <v>390</v>
      </c>
      <c r="C2804" s="197">
        <v>1731</v>
      </c>
      <c r="D2804" s="147"/>
      <c r="E2804" s="148"/>
      <c r="F2804" s="148"/>
    </row>
    <row r="2805" spans="2:6" x14ac:dyDescent="0.2">
      <c r="B2805" s="115" t="s">
        <v>389</v>
      </c>
      <c r="C2805" s="114">
        <v>1672</v>
      </c>
      <c r="D2805" s="147"/>
      <c r="E2805" s="148"/>
      <c r="F2805" s="148"/>
    </row>
    <row r="2806" spans="2:6" x14ac:dyDescent="0.2">
      <c r="B2806" s="115" t="s">
        <v>388</v>
      </c>
      <c r="C2806" s="114">
        <v>2239</v>
      </c>
      <c r="D2806" s="147"/>
      <c r="E2806" s="148"/>
      <c r="F2806" s="148"/>
    </row>
    <row r="2807" spans="2:6" x14ac:dyDescent="0.2">
      <c r="B2807" s="115" t="s">
        <v>387</v>
      </c>
      <c r="C2807" s="114">
        <v>3078</v>
      </c>
      <c r="D2807" s="147"/>
      <c r="E2807" s="148"/>
      <c r="F2807" s="148"/>
    </row>
    <row r="2808" spans="2:6" x14ac:dyDescent="0.2">
      <c r="B2808" s="115" t="s">
        <v>386</v>
      </c>
      <c r="C2808" s="114">
        <v>210</v>
      </c>
      <c r="D2808" s="147"/>
      <c r="E2808" s="148"/>
      <c r="F2808" s="148"/>
    </row>
    <row r="2809" spans="2:6" x14ac:dyDescent="0.2">
      <c r="B2809" s="115" t="s">
        <v>385</v>
      </c>
      <c r="C2809" s="114">
        <v>4237</v>
      </c>
      <c r="D2809" s="147"/>
      <c r="E2809" s="148"/>
      <c r="F2809" s="148"/>
    </row>
    <row r="2810" spans="2:6" x14ac:dyDescent="0.2">
      <c r="B2810" s="198" t="s">
        <v>384</v>
      </c>
      <c r="C2810" s="197">
        <v>412</v>
      </c>
      <c r="D2810" s="147"/>
      <c r="E2810" s="148"/>
      <c r="F2810" s="148"/>
    </row>
    <row r="2811" spans="2:6" x14ac:dyDescent="0.2">
      <c r="B2811" s="115" t="s">
        <v>383</v>
      </c>
      <c r="C2811" s="114">
        <v>2024</v>
      </c>
      <c r="D2811" s="147"/>
      <c r="E2811" s="148"/>
      <c r="F2811" s="148"/>
    </row>
    <row r="2812" spans="2:6" x14ac:dyDescent="0.2">
      <c r="B2812" s="198" t="s">
        <v>382</v>
      </c>
      <c r="C2812" s="197">
        <v>991</v>
      </c>
      <c r="D2812" s="147"/>
      <c r="E2812" s="148"/>
      <c r="F2812" s="148"/>
    </row>
    <row r="2813" spans="2:6" x14ac:dyDescent="0.2">
      <c r="B2813" s="115" t="s">
        <v>381</v>
      </c>
      <c r="C2813" s="114">
        <v>2502</v>
      </c>
      <c r="D2813" s="147"/>
      <c r="E2813" s="148"/>
      <c r="F2813" s="148"/>
    </row>
    <row r="2814" spans="2:6" x14ac:dyDescent="0.2">
      <c r="B2814" s="115" t="s">
        <v>380</v>
      </c>
      <c r="C2814" s="114">
        <v>333</v>
      </c>
      <c r="D2814" s="147"/>
      <c r="E2814" s="148"/>
      <c r="F2814" s="148"/>
    </row>
    <row r="2815" spans="2:6" x14ac:dyDescent="0.2">
      <c r="B2815" s="115" t="s">
        <v>379</v>
      </c>
      <c r="C2815" s="114">
        <v>2343</v>
      </c>
      <c r="D2815" s="147"/>
      <c r="E2815" s="148"/>
      <c r="F2815" s="148"/>
    </row>
    <row r="2816" spans="2:6" x14ac:dyDescent="0.2">
      <c r="B2816" s="115" t="s">
        <v>378</v>
      </c>
      <c r="C2816" s="114">
        <v>9778</v>
      </c>
      <c r="D2816" s="147"/>
      <c r="E2816" s="148"/>
      <c r="F2816" s="148"/>
    </row>
    <row r="2817" spans="2:6" x14ac:dyDescent="0.2">
      <c r="B2817" s="198" t="s">
        <v>377</v>
      </c>
      <c r="C2817" s="197">
        <v>10628</v>
      </c>
      <c r="D2817" s="147"/>
      <c r="E2817" s="148"/>
      <c r="F2817" s="148"/>
    </row>
    <row r="2818" spans="2:6" x14ac:dyDescent="0.2">
      <c r="B2818" s="198" t="s">
        <v>376</v>
      </c>
      <c r="C2818" s="197">
        <v>916</v>
      </c>
      <c r="D2818" s="147"/>
      <c r="E2818" s="148"/>
      <c r="F2818" s="148"/>
    </row>
    <row r="2819" spans="2:6" x14ac:dyDescent="0.2">
      <c r="B2819" s="198" t="s">
        <v>375</v>
      </c>
      <c r="C2819" s="197">
        <v>659</v>
      </c>
      <c r="D2819" s="147"/>
      <c r="E2819" s="148"/>
      <c r="F2819" s="148"/>
    </row>
    <row r="2820" spans="2:6" x14ac:dyDescent="0.2">
      <c r="B2820" s="115" t="s">
        <v>374</v>
      </c>
      <c r="C2820" s="114">
        <v>694</v>
      </c>
      <c r="D2820" s="147"/>
      <c r="E2820" s="148"/>
      <c r="F2820" s="148"/>
    </row>
    <row r="2821" spans="2:6" x14ac:dyDescent="0.2">
      <c r="B2821" s="115" t="s">
        <v>373</v>
      </c>
      <c r="C2821" s="114">
        <v>397</v>
      </c>
      <c r="D2821" s="147"/>
      <c r="E2821" s="148"/>
      <c r="F2821" s="148"/>
    </row>
    <row r="2822" spans="2:6" x14ac:dyDescent="0.2">
      <c r="B2822" s="115" t="s">
        <v>372</v>
      </c>
      <c r="C2822" s="114">
        <v>1450</v>
      </c>
      <c r="D2822" s="147"/>
      <c r="E2822" s="148"/>
      <c r="F2822" s="148"/>
    </row>
    <row r="2823" spans="2:6" x14ac:dyDescent="0.2">
      <c r="B2823" s="115" t="s">
        <v>371</v>
      </c>
      <c r="C2823" s="114">
        <v>1467</v>
      </c>
      <c r="D2823" s="147"/>
      <c r="E2823" s="148"/>
      <c r="F2823" s="148"/>
    </row>
    <row r="2824" spans="2:6" x14ac:dyDescent="0.2">
      <c r="B2824" s="115" t="s">
        <v>370</v>
      </c>
      <c r="C2824" s="114">
        <v>2128</v>
      </c>
      <c r="D2824" s="147"/>
      <c r="E2824" s="148"/>
      <c r="F2824" s="148"/>
    </row>
    <row r="2825" spans="2:6" x14ac:dyDescent="0.2">
      <c r="B2825" s="115" t="s">
        <v>369</v>
      </c>
      <c r="C2825" s="114">
        <v>11654</v>
      </c>
      <c r="D2825" s="147"/>
      <c r="E2825" s="148"/>
      <c r="F2825" s="148"/>
    </row>
    <row r="2826" spans="2:6" x14ac:dyDescent="0.2">
      <c r="B2826" s="198" t="s">
        <v>368</v>
      </c>
      <c r="C2826" s="197">
        <v>801</v>
      </c>
      <c r="D2826" s="147"/>
      <c r="E2826" s="148"/>
      <c r="F2826" s="148"/>
    </row>
    <row r="2827" spans="2:6" x14ac:dyDescent="0.2">
      <c r="B2827" s="115" t="s">
        <v>367</v>
      </c>
      <c r="C2827" s="114">
        <v>2433</v>
      </c>
      <c r="D2827" s="147"/>
      <c r="E2827" s="148"/>
      <c r="F2827" s="148"/>
    </row>
    <row r="2828" spans="2:6" x14ac:dyDescent="0.2">
      <c r="B2828" s="198" t="s">
        <v>366</v>
      </c>
      <c r="C2828" s="197">
        <v>710</v>
      </c>
      <c r="D2828" s="147"/>
      <c r="E2828" s="148"/>
      <c r="F2828" s="148"/>
    </row>
    <row r="2829" spans="2:6" x14ac:dyDescent="0.2">
      <c r="B2829" s="115" t="s">
        <v>365</v>
      </c>
      <c r="C2829" s="114">
        <v>1241</v>
      </c>
      <c r="D2829" s="147"/>
      <c r="E2829" s="148"/>
      <c r="F2829" s="148"/>
    </row>
    <row r="2830" spans="2:6" x14ac:dyDescent="0.2">
      <c r="B2830" s="115" t="s">
        <v>364</v>
      </c>
      <c r="C2830" s="114">
        <v>592</v>
      </c>
      <c r="D2830" s="147"/>
      <c r="E2830" s="148"/>
      <c r="F2830" s="148"/>
    </row>
    <row r="2831" spans="2:6" x14ac:dyDescent="0.2">
      <c r="B2831" s="115" t="s">
        <v>363</v>
      </c>
      <c r="C2831" s="114">
        <v>5335</v>
      </c>
      <c r="D2831" s="147"/>
      <c r="E2831" s="148"/>
      <c r="F2831" s="148"/>
    </row>
    <row r="2832" spans="2:6" x14ac:dyDescent="0.2">
      <c r="B2832" s="115" t="s">
        <v>362</v>
      </c>
      <c r="C2832" s="114">
        <v>4676</v>
      </c>
      <c r="D2832" s="147"/>
      <c r="E2832" s="148"/>
      <c r="F2832" s="148"/>
    </row>
    <row r="2833" spans="2:6" x14ac:dyDescent="0.2">
      <c r="B2833" s="198" t="s">
        <v>361</v>
      </c>
      <c r="C2833" s="197">
        <v>595</v>
      </c>
      <c r="D2833" s="147"/>
      <c r="E2833" s="148"/>
      <c r="F2833" s="148"/>
    </row>
    <row r="2834" spans="2:6" x14ac:dyDescent="0.2">
      <c r="B2834" s="115" t="s">
        <v>360</v>
      </c>
      <c r="C2834" s="114">
        <v>1685</v>
      </c>
      <c r="D2834" s="147"/>
      <c r="E2834" s="148"/>
      <c r="F2834" s="148"/>
    </row>
    <row r="2835" spans="2:6" x14ac:dyDescent="0.2">
      <c r="B2835" s="115" t="s">
        <v>359</v>
      </c>
      <c r="C2835" s="114">
        <v>2298</v>
      </c>
      <c r="D2835" s="147"/>
      <c r="E2835" s="148"/>
      <c r="F2835" s="148"/>
    </row>
    <row r="2836" spans="2:6" x14ac:dyDescent="0.2">
      <c r="B2836" s="115" t="s">
        <v>358</v>
      </c>
      <c r="C2836" s="114">
        <v>1240</v>
      </c>
      <c r="D2836" s="147"/>
      <c r="E2836" s="148"/>
      <c r="F2836" s="148"/>
    </row>
    <row r="2837" spans="2:6" x14ac:dyDescent="0.2">
      <c r="B2837" s="198" t="s">
        <v>357</v>
      </c>
      <c r="C2837" s="197">
        <v>1415</v>
      </c>
      <c r="D2837" s="147"/>
      <c r="E2837" s="148"/>
      <c r="F2837" s="148"/>
    </row>
    <row r="2838" spans="2:6" x14ac:dyDescent="0.2">
      <c r="B2838" s="115" t="s">
        <v>356</v>
      </c>
      <c r="C2838" s="114">
        <v>1988</v>
      </c>
      <c r="D2838" s="147"/>
      <c r="E2838" s="148"/>
      <c r="F2838" s="148"/>
    </row>
    <row r="2839" spans="2:6" x14ac:dyDescent="0.2">
      <c r="B2839" s="115" t="s">
        <v>355</v>
      </c>
      <c r="C2839" s="114">
        <v>536</v>
      </c>
      <c r="D2839" s="147"/>
      <c r="E2839" s="148"/>
      <c r="F2839" s="148"/>
    </row>
    <row r="2840" spans="2:6" x14ac:dyDescent="0.2">
      <c r="B2840" s="198" t="s">
        <v>354</v>
      </c>
      <c r="C2840" s="197">
        <v>1522</v>
      </c>
      <c r="D2840" s="147"/>
      <c r="E2840" s="148"/>
      <c r="F2840" s="148"/>
    </row>
    <row r="2841" spans="2:6" x14ac:dyDescent="0.2">
      <c r="B2841" s="198" t="s">
        <v>353</v>
      </c>
      <c r="C2841" s="197">
        <v>973</v>
      </c>
      <c r="D2841" s="147"/>
      <c r="E2841" s="148"/>
      <c r="F2841" s="148"/>
    </row>
    <row r="2842" spans="2:6" x14ac:dyDescent="0.2">
      <c r="B2842" s="198" t="s">
        <v>352</v>
      </c>
      <c r="C2842" s="197">
        <v>1332</v>
      </c>
      <c r="D2842" s="147"/>
      <c r="E2842" s="148"/>
      <c r="F2842" s="148"/>
    </row>
    <row r="2843" spans="2:6" x14ac:dyDescent="0.2">
      <c r="B2843" s="115" t="s">
        <v>351</v>
      </c>
      <c r="C2843" s="114">
        <v>810</v>
      </c>
      <c r="D2843" s="147"/>
      <c r="E2843" s="148"/>
      <c r="F2843" s="148"/>
    </row>
    <row r="2844" spans="2:6" x14ac:dyDescent="0.2">
      <c r="B2844" s="115" t="s">
        <v>350</v>
      </c>
      <c r="C2844" s="114">
        <v>1847</v>
      </c>
      <c r="D2844" s="147"/>
      <c r="E2844" s="148"/>
      <c r="F2844" s="148"/>
    </row>
    <row r="2845" spans="2:6" x14ac:dyDescent="0.2">
      <c r="B2845" s="198" t="s">
        <v>349</v>
      </c>
      <c r="C2845" s="197">
        <v>1059</v>
      </c>
      <c r="D2845" s="147"/>
      <c r="E2845" s="148"/>
      <c r="F2845" s="148"/>
    </row>
    <row r="2846" spans="2:6" x14ac:dyDescent="0.2">
      <c r="B2846" s="198" t="s">
        <v>348</v>
      </c>
      <c r="C2846" s="197">
        <v>1675</v>
      </c>
      <c r="D2846" s="147"/>
      <c r="E2846" s="148"/>
      <c r="F2846" s="148"/>
    </row>
    <row r="2847" spans="2:6" x14ac:dyDescent="0.2">
      <c r="B2847" s="115" t="s">
        <v>347</v>
      </c>
      <c r="C2847" s="114">
        <v>1174</v>
      </c>
      <c r="D2847" s="147"/>
      <c r="E2847" s="148"/>
      <c r="F2847" s="148"/>
    </row>
    <row r="2848" spans="2:6" x14ac:dyDescent="0.2">
      <c r="B2848" s="115" t="s">
        <v>346</v>
      </c>
      <c r="C2848" s="114">
        <v>244</v>
      </c>
      <c r="D2848" s="147"/>
      <c r="E2848" s="148"/>
      <c r="F2848" s="148"/>
    </row>
    <row r="2849" spans="2:6" x14ac:dyDescent="0.2">
      <c r="B2849" s="198" t="s">
        <v>345</v>
      </c>
      <c r="C2849" s="197">
        <v>1353</v>
      </c>
      <c r="D2849" s="147"/>
      <c r="E2849" s="148"/>
      <c r="F2849" s="148"/>
    </row>
    <row r="2850" spans="2:6" x14ac:dyDescent="0.2">
      <c r="B2850" s="198" t="s">
        <v>344</v>
      </c>
      <c r="C2850" s="197">
        <v>1234</v>
      </c>
      <c r="D2850" s="147"/>
      <c r="E2850" s="148"/>
      <c r="F2850" s="148"/>
    </row>
    <row r="2851" spans="2:6" x14ac:dyDescent="0.2">
      <c r="B2851" s="198" t="s">
        <v>343</v>
      </c>
      <c r="C2851" s="197">
        <v>1488</v>
      </c>
      <c r="D2851" s="147"/>
      <c r="E2851" s="148"/>
      <c r="F2851" s="148"/>
    </row>
    <row r="2852" spans="2:6" x14ac:dyDescent="0.2">
      <c r="B2852" s="198" t="s">
        <v>342</v>
      </c>
      <c r="C2852" s="197">
        <v>901</v>
      </c>
      <c r="D2852" s="147"/>
      <c r="E2852" s="148"/>
      <c r="F2852" s="148"/>
    </row>
    <row r="2853" spans="2:6" x14ac:dyDescent="0.2">
      <c r="B2853" s="115" t="s">
        <v>341</v>
      </c>
      <c r="C2853" s="114">
        <v>14060</v>
      </c>
      <c r="D2853" s="147"/>
      <c r="E2853" s="148"/>
      <c r="F2853" s="148"/>
    </row>
    <row r="2854" spans="2:6" x14ac:dyDescent="0.2">
      <c r="B2854" s="198" t="s">
        <v>340</v>
      </c>
      <c r="C2854" s="197">
        <v>287</v>
      </c>
      <c r="D2854" s="147"/>
      <c r="E2854" s="148"/>
      <c r="F2854" s="148"/>
    </row>
    <row r="2855" spans="2:6" x14ac:dyDescent="0.2">
      <c r="B2855" s="115" t="s">
        <v>339</v>
      </c>
      <c r="C2855" s="114">
        <v>1467</v>
      </c>
      <c r="D2855" s="147"/>
      <c r="E2855" s="148"/>
      <c r="F2855" s="148"/>
    </row>
    <row r="2856" spans="2:6" x14ac:dyDescent="0.2">
      <c r="B2856" s="115" t="s">
        <v>338</v>
      </c>
      <c r="C2856" s="114">
        <v>12238</v>
      </c>
      <c r="D2856" s="147"/>
      <c r="E2856" s="148"/>
      <c r="F2856" s="148"/>
    </row>
    <row r="2857" spans="2:6" x14ac:dyDescent="0.2">
      <c r="B2857" s="198" t="s">
        <v>337</v>
      </c>
      <c r="C2857" s="197">
        <v>499</v>
      </c>
      <c r="D2857" s="147"/>
      <c r="E2857" s="148"/>
      <c r="F2857" s="148"/>
    </row>
    <row r="2858" spans="2:6" x14ac:dyDescent="0.2">
      <c r="B2858" s="115" t="s">
        <v>336</v>
      </c>
      <c r="C2858" s="114">
        <v>580</v>
      </c>
      <c r="D2858" s="147"/>
      <c r="E2858" s="148"/>
      <c r="F2858" s="148"/>
    </row>
    <row r="2859" spans="2:6" x14ac:dyDescent="0.2">
      <c r="B2859" s="115" t="s">
        <v>335</v>
      </c>
      <c r="C2859" s="114">
        <v>171</v>
      </c>
      <c r="D2859" s="147"/>
      <c r="E2859" s="148"/>
      <c r="F2859" s="148"/>
    </row>
    <row r="2860" spans="2:6" x14ac:dyDescent="0.2">
      <c r="B2860" s="115" t="s">
        <v>334</v>
      </c>
      <c r="C2860" s="114">
        <v>4066</v>
      </c>
      <c r="D2860" s="147"/>
      <c r="E2860" s="148"/>
      <c r="F2860" s="148"/>
    </row>
    <row r="2861" spans="2:6" x14ac:dyDescent="0.2">
      <c r="B2861" s="115" t="s">
        <v>333</v>
      </c>
      <c r="C2861" s="114">
        <v>532</v>
      </c>
      <c r="D2861" s="147"/>
      <c r="E2861" s="148"/>
      <c r="F2861" s="148"/>
    </row>
    <row r="2862" spans="2:6" x14ac:dyDescent="0.2">
      <c r="B2862" s="198" t="s">
        <v>332</v>
      </c>
      <c r="C2862" s="197">
        <v>647</v>
      </c>
      <c r="D2862" s="147"/>
      <c r="E2862" s="148"/>
      <c r="F2862" s="148"/>
    </row>
    <row r="2863" spans="2:6" x14ac:dyDescent="0.2">
      <c r="B2863" s="198" t="s">
        <v>331</v>
      </c>
      <c r="C2863" s="197">
        <v>95</v>
      </c>
      <c r="D2863" s="147"/>
      <c r="E2863" s="148"/>
      <c r="F2863" s="148"/>
    </row>
    <row r="2864" spans="2:6" x14ac:dyDescent="0.2">
      <c r="B2864" s="115" t="s">
        <v>330</v>
      </c>
      <c r="C2864" s="114">
        <v>3649</v>
      </c>
      <c r="D2864" s="147"/>
      <c r="E2864" s="148"/>
      <c r="F2864" s="148"/>
    </row>
    <row r="2865" spans="2:6" x14ac:dyDescent="0.2">
      <c r="B2865" s="198" t="s">
        <v>329</v>
      </c>
      <c r="C2865" s="197">
        <v>4255</v>
      </c>
      <c r="D2865" s="147"/>
      <c r="E2865" s="148"/>
      <c r="F2865" s="148"/>
    </row>
    <row r="2866" spans="2:6" x14ac:dyDescent="0.2">
      <c r="B2866" s="115" t="s">
        <v>328</v>
      </c>
      <c r="C2866" s="114">
        <v>2994</v>
      </c>
      <c r="D2866" s="147"/>
      <c r="E2866" s="148"/>
      <c r="F2866" s="148"/>
    </row>
    <row r="2867" spans="2:6" x14ac:dyDescent="0.2">
      <c r="B2867" s="115" t="s">
        <v>327</v>
      </c>
      <c r="C2867" s="114">
        <v>366</v>
      </c>
      <c r="D2867" s="147"/>
      <c r="E2867" s="148"/>
      <c r="F2867" s="148"/>
    </row>
    <row r="2868" spans="2:6" x14ac:dyDescent="0.2">
      <c r="B2868" s="115" t="s">
        <v>326</v>
      </c>
      <c r="C2868" s="114">
        <v>1463</v>
      </c>
      <c r="D2868" s="147"/>
      <c r="E2868" s="148"/>
      <c r="F2868" s="148"/>
    </row>
    <row r="2869" spans="2:6" x14ac:dyDescent="0.2">
      <c r="B2869" s="198" t="s">
        <v>325</v>
      </c>
      <c r="C2869" s="197">
        <v>286</v>
      </c>
      <c r="D2869" s="147"/>
      <c r="E2869" s="148"/>
      <c r="F2869" s="148"/>
    </row>
    <row r="2870" spans="2:6" x14ac:dyDescent="0.2">
      <c r="B2870" s="198" t="s">
        <v>324</v>
      </c>
      <c r="C2870" s="197">
        <v>702</v>
      </c>
      <c r="D2870" s="147"/>
      <c r="E2870" s="148"/>
      <c r="F2870" s="148"/>
    </row>
    <row r="2871" spans="2:6" x14ac:dyDescent="0.2">
      <c r="B2871" s="115" t="s">
        <v>323</v>
      </c>
      <c r="C2871" s="114">
        <v>10518</v>
      </c>
      <c r="D2871" s="147"/>
      <c r="E2871" s="148"/>
      <c r="F2871" s="148"/>
    </row>
    <row r="2872" spans="2:6" x14ac:dyDescent="0.2">
      <c r="B2872" s="115" t="s">
        <v>322</v>
      </c>
      <c r="C2872" s="114">
        <v>918</v>
      </c>
      <c r="D2872" s="147"/>
      <c r="E2872" s="148"/>
      <c r="F2872" s="148"/>
    </row>
    <row r="2873" spans="2:6" x14ac:dyDescent="0.2">
      <c r="B2873" s="115" t="s">
        <v>321</v>
      </c>
      <c r="C2873" s="114">
        <v>690</v>
      </c>
      <c r="D2873" s="147"/>
      <c r="E2873" s="148"/>
      <c r="F2873" s="148"/>
    </row>
    <row r="2874" spans="2:6" x14ac:dyDescent="0.2">
      <c r="B2874" s="115" t="s">
        <v>320</v>
      </c>
      <c r="C2874" s="114">
        <v>219</v>
      </c>
      <c r="D2874" s="147"/>
      <c r="E2874" s="148"/>
      <c r="F2874" s="148"/>
    </row>
    <row r="2875" spans="2:6" x14ac:dyDescent="0.2">
      <c r="B2875" s="115" t="s">
        <v>319</v>
      </c>
      <c r="C2875" s="114">
        <v>3823</v>
      </c>
      <c r="D2875" s="147"/>
      <c r="E2875" s="148"/>
      <c r="F2875" s="148"/>
    </row>
    <row r="2876" spans="2:6" x14ac:dyDescent="0.2">
      <c r="B2876" s="198" t="s">
        <v>318</v>
      </c>
      <c r="C2876" s="197">
        <v>325</v>
      </c>
      <c r="D2876" s="147"/>
      <c r="E2876" s="148"/>
      <c r="F2876" s="148"/>
    </row>
    <row r="2877" spans="2:6" x14ac:dyDescent="0.2">
      <c r="B2877" s="115" t="s">
        <v>317</v>
      </c>
      <c r="C2877" s="114">
        <v>2324</v>
      </c>
      <c r="D2877" s="147"/>
      <c r="E2877" s="148"/>
      <c r="F2877" s="148"/>
    </row>
    <row r="2878" spans="2:6" x14ac:dyDescent="0.2">
      <c r="B2878" s="198" t="s">
        <v>316</v>
      </c>
      <c r="C2878" s="197">
        <v>327</v>
      </c>
      <c r="D2878" s="147"/>
      <c r="E2878" s="148"/>
      <c r="F2878" s="148"/>
    </row>
    <row r="2879" spans="2:6" x14ac:dyDescent="0.2">
      <c r="B2879" s="115" t="s">
        <v>315</v>
      </c>
      <c r="C2879" s="114">
        <v>228</v>
      </c>
      <c r="D2879" s="147"/>
      <c r="E2879" s="148"/>
      <c r="F2879" s="148"/>
    </row>
    <row r="2880" spans="2:6" x14ac:dyDescent="0.2">
      <c r="B2880" s="198" t="s">
        <v>314</v>
      </c>
      <c r="C2880" s="197">
        <v>312</v>
      </c>
      <c r="D2880" s="147"/>
      <c r="E2880" s="148"/>
      <c r="F2880" s="148"/>
    </row>
    <row r="2881" spans="2:6" x14ac:dyDescent="0.2">
      <c r="B2881" s="198" t="s">
        <v>313</v>
      </c>
      <c r="C2881" s="197">
        <v>24</v>
      </c>
      <c r="D2881" s="147"/>
      <c r="E2881" s="148"/>
      <c r="F2881" s="148"/>
    </row>
    <row r="2882" spans="2:6" x14ac:dyDescent="0.2">
      <c r="B2882" s="198" t="s">
        <v>312</v>
      </c>
      <c r="C2882" s="197">
        <v>24</v>
      </c>
      <c r="D2882" s="147"/>
      <c r="E2882" s="148"/>
      <c r="F2882" s="148"/>
    </row>
    <row r="2883" spans="2:6" x14ac:dyDescent="0.2">
      <c r="B2883" s="115" t="s">
        <v>311</v>
      </c>
      <c r="C2883" s="114">
        <v>807</v>
      </c>
      <c r="D2883" s="147"/>
      <c r="E2883" s="148"/>
      <c r="F2883" s="148"/>
    </row>
    <row r="2884" spans="2:6" x14ac:dyDescent="0.2">
      <c r="B2884" s="198" t="s">
        <v>310</v>
      </c>
      <c r="C2884" s="197">
        <v>157</v>
      </c>
      <c r="D2884" s="147"/>
      <c r="E2884" s="148"/>
      <c r="F2884" s="148"/>
    </row>
    <row r="2885" spans="2:6" x14ac:dyDescent="0.2">
      <c r="B2885" s="198" t="s">
        <v>309</v>
      </c>
      <c r="C2885" s="197">
        <v>208</v>
      </c>
      <c r="D2885" s="147"/>
      <c r="E2885" s="148"/>
      <c r="F2885" s="148"/>
    </row>
    <row r="2886" spans="2:6" x14ac:dyDescent="0.2">
      <c r="B2886" s="115" t="s">
        <v>308</v>
      </c>
      <c r="C2886" s="114">
        <v>455</v>
      </c>
      <c r="D2886" s="147"/>
      <c r="E2886" s="148"/>
      <c r="F2886" s="148"/>
    </row>
    <row r="2887" spans="2:6" x14ac:dyDescent="0.2">
      <c r="B2887" s="115" t="s">
        <v>307</v>
      </c>
      <c r="C2887" s="114">
        <v>513</v>
      </c>
      <c r="D2887" s="147"/>
      <c r="E2887" s="148"/>
      <c r="F2887" s="148"/>
    </row>
    <row r="2888" spans="2:6" x14ac:dyDescent="0.2">
      <c r="B2888" s="198" t="s">
        <v>306</v>
      </c>
      <c r="C2888" s="197">
        <v>2221</v>
      </c>
      <c r="D2888" s="147"/>
      <c r="E2888" s="148"/>
      <c r="F2888" s="148"/>
    </row>
    <row r="2889" spans="2:6" x14ac:dyDescent="0.2">
      <c r="B2889" s="115" t="s">
        <v>305</v>
      </c>
      <c r="C2889" s="114">
        <v>1924</v>
      </c>
      <c r="D2889" s="147"/>
      <c r="E2889" s="148"/>
      <c r="F2889" s="148"/>
    </row>
    <row r="2890" spans="2:6" x14ac:dyDescent="0.2">
      <c r="B2890" s="115" t="s">
        <v>304</v>
      </c>
      <c r="C2890" s="114">
        <v>207</v>
      </c>
      <c r="D2890" s="147"/>
      <c r="E2890" s="148"/>
      <c r="F2890" s="148"/>
    </row>
    <row r="2891" spans="2:6" x14ac:dyDescent="0.2">
      <c r="B2891" s="115" t="s">
        <v>303</v>
      </c>
      <c r="C2891" s="114">
        <v>4218</v>
      </c>
      <c r="D2891" s="147"/>
      <c r="E2891" s="148"/>
      <c r="F2891" s="148"/>
    </row>
    <row r="2892" spans="2:6" x14ac:dyDescent="0.2">
      <c r="B2892" s="115" t="s">
        <v>302</v>
      </c>
      <c r="C2892" s="114">
        <v>5146</v>
      </c>
      <c r="D2892" s="147"/>
      <c r="E2892" s="148"/>
      <c r="F2892" s="148"/>
    </row>
    <row r="2893" spans="2:6" x14ac:dyDescent="0.2">
      <c r="B2893" s="115" t="s">
        <v>301</v>
      </c>
      <c r="C2893" s="114">
        <v>127</v>
      </c>
      <c r="D2893" s="147"/>
      <c r="E2893" s="148"/>
      <c r="F2893" s="148"/>
    </row>
    <row r="2894" spans="2:6" x14ac:dyDescent="0.2">
      <c r="B2894" s="115" t="s">
        <v>300</v>
      </c>
      <c r="C2894" s="114">
        <v>675</v>
      </c>
      <c r="D2894" s="147"/>
      <c r="E2894" s="148"/>
      <c r="F2894" s="148"/>
    </row>
    <row r="2895" spans="2:6" x14ac:dyDescent="0.2">
      <c r="B2895" s="115" t="s">
        <v>299</v>
      </c>
      <c r="C2895" s="114">
        <v>1044</v>
      </c>
      <c r="D2895" s="147"/>
      <c r="E2895" s="148"/>
      <c r="F2895" s="148"/>
    </row>
    <row r="2896" spans="2:6" x14ac:dyDescent="0.2">
      <c r="B2896" s="115" t="s">
        <v>298</v>
      </c>
      <c r="C2896" s="114">
        <v>190</v>
      </c>
      <c r="D2896" s="147"/>
      <c r="E2896" s="148"/>
      <c r="F2896" s="148"/>
    </row>
    <row r="2897" spans="2:6" x14ac:dyDescent="0.2">
      <c r="B2897" s="115" t="s">
        <v>297</v>
      </c>
      <c r="C2897" s="114">
        <v>1392</v>
      </c>
      <c r="D2897" s="147"/>
      <c r="E2897" s="148"/>
      <c r="F2897" s="148"/>
    </row>
    <row r="2898" spans="2:6" x14ac:dyDescent="0.2">
      <c r="B2898" s="198" t="s">
        <v>296</v>
      </c>
      <c r="C2898" s="197">
        <v>1591</v>
      </c>
      <c r="D2898" s="147"/>
      <c r="E2898" s="148"/>
      <c r="F2898" s="148"/>
    </row>
    <row r="2899" spans="2:6" x14ac:dyDescent="0.2">
      <c r="B2899" s="115" t="s">
        <v>295</v>
      </c>
      <c r="C2899" s="114">
        <v>11253</v>
      </c>
      <c r="D2899" s="147"/>
      <c r="E2899" s="148"/>
      <c r="F2899" s="148"/>
    </row>
    <row r="2900" spans="2:6" x14ac:dyDescent="0.2">
      <c r="B2900" s="198" t="s">
        <v>294</v>
      </c>
      <c r="C2900" s="197">
        <v>2554</v>
      </c>
      <c r="D2900" s="147"/>
      <c r="E2900" s="148"/>
      <c r="F2900" s="148"/>
    </row>
    <row r="2901" spans="2:6" x14ac:dyDescent="0.2">
      <c r="B2901" s="198" t="s">
        <v>293</v>
      </c>
      <c r="C2901" s="197">
        <v>276</v>
      </c>
      <c r="D2901" s="147"/>
      <c r="E2901" s="148"/>
      <c r="F2901" s="148"/>
    </row>
    <row r="2902" spans="2:6" x14ac:dyDescent="0.2">
      <c r="B2902" s="115" t="s">
        <v>292</v>
      </c>
      <c r="C2902" s="114">
        <v>1595</v>
      </c>
      <c r="D2902" s="147"/>
      <c r="E2902" s="148"/>
      <c r="F2902" s="148"/>
    </row>
    <row r="2903" spans="2:6" x14ac:dyDescent="0.2">
      <c r="B2903" s="198" t="s">
        <v>291</v>
      </c>
      <c r="C2903" s="197">
        <v>14948</v>
      </c>
      <c r="D2903" s="147"/>
      <c r="E2903" s="148"/>
      <c r="F2903" s="148"/>
    </row>
    <row r="2904" spans="2:6" x14ac:dyDescent="0.2">
      <c r="B2904" s="198" t="s">
        <v>290</v>
      </c>
      <c r="C2904" s="197">
        <v>443</v>
      </c>
      <c r="D2904" s="147"/>
      <c r="E2904" s="148"/>
      <c r="F2904" s="148"/>
    </row>
    <row r="2905" spans="2:6" x14ac:dyDescent="0.2">
      <c r="B2905" s="115" t="s">
        <v>289</v>
      </c>
      <c r="C2905" s="114">
        <v>18963</v>
      </c>
      <c r="D2905" s="147"/>
      <c r="E2905" s="148"/>
      <c r="F2905" s="148"/>
    </row>
    <row r="2906" spans="2:6" x14ac:dyDescent="0.2">
      <c r="B2906" s="115" t="s">
        <v>288</v>
      </c>
      <c r="C2906" s="114">
        <v>4212</v>
      </c>
      <c r="D2906" s="147"/>
      <c r="E2906" s="148"/>
      <c r="F2906" s="148"/>
    </row>
    <row r="2907" spans="2:6" x14ac:dyDescent="0.2">
      <c r="B2907" s="115" t="s">
        <v>287</v>
      </c>
      <c r="C2907" s="114">
        <v>540</v>
      </c>
      <c r="D2907" s="147"/>
      <c r="E2907" s="148"/>
      <c r="F2907" s="148"/>
    </row>
    <row r="2908" spans="2:6" x14ac:dyDescent="0.2">
      <c r="B2908" s="115" t="s">
        <v>286</v>
      </c>
      <c r="C2908" s="114">
        <v>158</v>
      </c>
      <c r="D2908" s="147"/>
      <c r="E2908" s="148"/>
      <c r="F2908" s="148"/>
    </row>
    <row r="2909" spans="2:6" x14ac:dyDescent="0.2">
      <c r="B2909" s="115" t="s">
        <v>285</v>
      </c>
      <c r="C2909" s="114">
        <v>2295</v>
      </c>
      <c r="D2909" s="147"/>
      <c r="E2909" s="148"/>
      <c r="F2909" s="148"/>
    </row>
    <row r="2910" spans="2:6" x14ac:dyDescent="0.2">
      <c r="B2910" s="115" t="s">
        <v>284</v>
      </c>
      <c r="C2910" s="114">
        <v>7701</v>
      </c>
      <c r="D2910" s="147"/>
      <c r="E2910" s="148"/>
      <c r="F2910" s="148"/>
    </row>
    <row r="2911" spans="2:6" x14ac:dyDescent="0.2">
      <c r="B2911" s="115" t="s">
        <v>283</v>
      </c>
      <c r="C2911" s="114">
        <v>643</v>
      </c>
      <c r="D2911" s="147"/>
      <c r="E2911" s="148"/>
      <c r="F2911" s="148"/>
    </row>
    <row r="2912" spans="2:6" x14ac:dyDescent="0.2">
      <c r="B2912" s="198" t="s">
        <v>282</v>
      </c>
      <c r="C2912" s="197">
        <v>7663</v>
      </c>
      <c r="D2912" s="147"/>
      <c r="E2912" s="148"/>
      <c r="F2912" s="148"/>
    </row>
    <row r="2913" spans="2:6" x14ac:dyDescent="0.2">
      <c r="B2913" s="115" t="s">
        <v>281</v>
      </c>
      <c r="C2913" s="114">
        <v>262</v>
      </c>
      <c r="D2913" s="147"/>
      <c r="E2913" s="148"/>
      <c r="F2913" s="148"/>
    </row>
    <row r="2914" spans="2:6" x14ac:dyDescent="0.2">
      <c r="B2914" s="198" t="s">
        <v>280</v>
      </c>
      <c r="C2914" s="197">
        <v>546</v>
      </c>
      <c r="D2914" s="147"/>
      <c r="E2914" s="148"/>
      <c r="F2914" s="148"/>
    </row>
    <row r="2915" spans="2:6" x14ac:dyDescent="0.2">
      <c r="B2915" s="115" t="s">
        <v>279</v>
      </c>
      <c r="C2915" s="114">
        <v>3194</v>
      </c>
      <c r="D2915" s="147"/>
      <c r="E2915" s="148"/>
      <c r="F2915" s="148"/>
    </row>
    <row r="2916" spans="2:6" x14ac:dyDescent="0.2">
      <c r="B2916" s="198" t="s">
        <v>278</v>
      </c>
      <c r="C2916" s="197">
        <v>1541</v>
      </c>
      <c r="D2916" s="147"/>
      <c r="E2916" s="148"/>
      <c r="F2916" s="148"/>
    </row>
    <row r="2917" spans="2:6" x14ac:dyDescent="0.2">
      <c r="B2917" s="198" t="s">
        <v>277</v>
      </c>
      <c r="C2917" s="197">
        <v>526</v>
      </c>
      <c r="D2917" s="147"/>
      <c r="E2917" s="148"/>
      <c r="F2917" s="148"/>
    </row>
    <row r="2918" spans="2:6" x14ac:dyDescent="0.2">
      <c r="B2918" s="115" t="s">
        <v>276</v>
      </c>
      <c r="C2918" s="114">
        <v>1799</v>
      </c>
      <c r="D2918" s="147"/>
      <c r="E2918" s="148"/>
      <c r="F2918" s="148"/>
    </row>
    <row r="2919" spans="2:6" x14ac:dyDescent="0.2">
      <c r="B2919" s="198" t="s">
        <v>275</v>
      </c>
      <c r="C2919" s="197">
        <v>118</v>
      </c>
      <c r="D2919" s="147"/>
      <c r="E2919" s="148"/>
      <c r="F2919" s="148"/>
    </row>
    <row r="2920" spans="2:6" x14ac:dyDescent="0.2">
      <c r="B2920" s="198" t="s">
        <v>274</v>
      </c>
      <c r="C2920" s="197">
        <v>248</v>
      </c>
      <c r="D2920" s="147"/>
      <c r="E2920" s="148"/>
      <c r="F2920" s="148"/>
    </row>
    <row r="2921" spans="2:6" x14ac:dyDescent="0.2">
      <c r="B2921" s="115" t="s">
        <v>273</v>
      </c>
      <c r="C2921" s="114">
        <v>1250</v>
      </c>
      <c r="D2921" s="147"/>
      <c r="E2921" s="148"/>
      <c r="F2921" s="148"/>
    </row>
    <row r="2922" spans="2:6" x14ac:dyDescent="0.2">
      <c r="B2922" s="198" t="s">
        <v>272</v>
      </c>
      <c r="C2922" s="197">
        <v>485</v>
      </c>
      <c r="D2922" s="147"/>
      <c r="E2922" s="148"/>
      <c r="F2922" s="148"/>
    </row>
    <row r="2923" spans="2:6" x14ac:dyDescent="0.2">
      <c r="B2923" s="198" t="s">
        <v>271</v>
      </c>
      <c r="C2923" s="197">
        <v>715</v>
      </c>
      <c r="D2923" s="147"/>
      <c r="E2923" s="148"/>
      <c r="F2923" s="148"/>
    </row>
    <row r="2924" spans="2:6" x14ac:dyDescent="0.2">
      <c r="B2924" s="198" t="s">
        <v>270</v>
      </c>
      <c r="C2924" s="197">
        <v>605</v>
      </c>
      <c r="D2924" s="147"/>
      <c r="E2924" s="148"/>
      <c r="F2924" s="148"/>
    </row>
    <row r="2925" spans="2:6" x14ac:dyDescent="0.2">
      <c r="B2925" s="115" t="s">
        <v>269</v>
      </c>
      <c r="C2925" s="114">
        <v>12129</v>
      </c>
      <c r="D2925" s="147"/>
      <c r="E2925" s="148"/>
      <c r="F2925" s="148"/>
    </row>
    <row r="2926" spans="2:6" x14ac:dyDescent="0.2">
      <c r="B2926" s="115" t="s">
        <v>268</v>
      </c>
      <c r="C2926" s="114">
        <v>2914</v>
      </c>
      <c r="D2926" s="147"/>
      <c r="E2926" s="148"/>
      <c r="F2926" s="148"/>
    </row>
    <row r="2927" spans="2:6" x14ac:dyDescent="0.2">
      <c r="B2927" s="115" t="s">
        <v>267</v>
      </c>
      <c r="C2927" s="114">
        <v>451</v>
      </c>
      <c r="D2927" s="147"/>
      <c r="E2927" s="148"/>
      <c r="F2927" s="148"/>
    </row>
    <row r="2928" spans="2:6" x14ac:dyDescent="0.2">
      <c r="B2928" s="115" t="s">
        <v>266</v>
      </c>
      <c r="C2928" s="114">
        <v>233</v>
      </c>
      <c r="D2928" s="147"/>
      <c r="E2928" s="148"/>
      <c r="F2928" s="148"/>
    </row>
    <row r="2929" spans="2:6" x14ac:dyDescent="0.2">
      <c r="B2929" s="198" t="s">
        <v>265</v>
      </c>
      <c r="C2929" s="197">
        <v>910</v>
      </c>
      <c r="D2929" s="147"/>
      <c r="E2929" s="148"/>
      <c r="F2929" s="148"/>
    </row>
    <row r="2930" spans="2:6" x14ac:dyDescent="0.2">
      <c r="B2930" s="115" t="s">
        <v>264</v>
      </c>
      <c r="C2930" s="114">
        <v>938</v>
      </c>
      <c r="D2930" s="147"/>
      <c r="E2930" s="148"/>
      <c r="F2930" s="148"/>
    </row>
    <row r="2931" spans="2:6" x14ac:dyDescent="0.2">
      <c r="B2931" s="115" t="s">
        <v>263</v>
      </c>
      <c r="C2931" s="114">
        <v>4697</v>
      </c>
      <c r="D2931" s="147"/>
      <c r="E2931" s="148"/>
      <c r="F2931" s="148"/>
    </row>
    <row r="2932" spans="2:6" x14ac:dyDescent="0.2">
      <c r="B2932" s="115" t="s">
        <v>262</v>
      </c>
      <c r="C2932" s="114">
        <v>1821</v>
      </c>
      <c r="D2932" s="147"/>
      <c r="E2932" s="148"/>
      <c r="F2932" s="148"/>
    </row>
    <row r="2933" spans="2:6" x14ac:dyDescent="0.2">
      <c r="B2933" s="115" t="s">
        <v>261</v>
      </c>
      <c r="C2933" s="114">
        <v>1006</v>
      </c>
      <c r="D2933" s="147"/>
      <c r="E2933" s="148"/>
      <c r="F2933" s="148"/>
    </row>
    <row r="2934" spans="2:6" x14ac:dyDescent="0.2">
      <c r="B2934" s="115" t="s">
        <v>260</v>
      </c>
      <c r="C2934" s="114">
        <v>189</v>
      </c>
      <c r="D2934" s="147"/>
      <c r="E2934" s="148"/>
      <c r="F2934" s="148"/>
    </row>
    <row r="2935" spans="2:6" x14ac:dyDescent="0.2">
      <c r="B2935" s="198" t="s">
        <v>259</v>
      </c>
      <c r="C2935" s="197">
        <v>973</v>
      </c>
      <c r="D2935" s="147"/>
      <c r="E2935" s="148"/>
      <c r="F2935" s="148"/>
    </row>
    <row r="2936" spans="2:6" x14ac:dyDescent="0.2">
      <c r="B2936" s="115" t="s">
        <v>258</v>
      </c>
      <c r="C2936" s="114">
        <v>836</v>
      </c>
      <c r="D2936" s="147"/>
      <c r="E2936" s="148"/>
      <c r="F2936" s="148"/>
    </row>
    <row r="2937" spans="2:6" x14ac:dyDescent="0.2">
      <c r="B2937" s="115" t="s">
        <v>257</v>
      </c>
      <c r="C2937" s="114">
        <v>159</v>
      </c>
      <c r="D2937" s="147"/>
      <c r="E2937" s="148"/>
      <c r="F2937" s="148"/>
    </row>
    <row r="2938" spans="2:6" x14ac:dyDescent="0.2">
      <c r="B2938" s="198" t="s">
        <v>256</v>
      </c>
      <c r="C2938" s="197">
        <v>71</v>
      </c>
      <c r="D2938" s="147"/>
      <c r="E2938" s="148"/>
      <c r="F2938" s="148"/>
    </row>
    <row r="2939" spans="2:6" x14ac:dyDescent="0.2">
      <c r="B2939" s="115" t="s">
        <v>255</v>
      </c>
      <c r="C2939" s="114">
        <v>5858</v>
      </c>
      <c r="D2939" s="147"/>
      <c r="E2939" s="148"/>
      <c r="F2939" s="148"/>
    </row>
    <row r="2940" spans="2:6" x14ac:dyDescent="0.2">
      <c r="B2940" s="115" t="s">
        <v>254</v>
      </c>
      <c r="C2940" s="114">
        <v>1969</v>
      </c>
      <c r="D2940" s="147"/>
      <c r="E2940" s="148"/>
      <c r="F2940" s="148"/>
    </row>
    <row r="2941" spans="2:6" x14ac:dyDescent="0.2">
      <c r="B2941" s="198" t="s">
        <v>253</v>
      </c>
      <c r="C2941" s="197">
        <v>1295</v>
      </c>
      <c r="D2941" s="147"/>
      <c r="E2941" s="148"/>
      <c r="F2941" s="148"/>
    </row>
    <row r="2942" spans="2:6" x14ac:dyDescent="0.2">
      <c r="B2942" s="198" t="s">
        <v>252</v>
      </c>
      <c r="C2942" s="197">
        <v>2635</v>
      </c>
      <c r="D2942" s="147"/>
      <c r="E2942" s="148"/>
      <c r="F2942" s="148"/>
    </row>
    <row r="2943" spans="2:6" x14ac:dyDescent="0.2">
      <c r="B2943" s="115" t="s">
        <v>251</v>
      </c>
      <c r="C2943" s="114">
        <v>342</v>
      </c>
      <c r="D2943" s="147"/>
      <c r="E2943" s="148"/>
      <c r="F2943" s="148"/>
    </row>
    <row r="2944" spans="2:6" x14ac:dyDescent="0.2">
      <c r="B2944" s="115" t="s">
        <v>250</v>
      </c>
      <c r="C2944" s="114">
        <v>737</v>
      </c>
      <c r="D2944" s="147"/>
      <c r="E2944" s="148"/>
      <c r="F2944" s="148"/>
    </row>
    <row r="2945" spans="2:6" x14ac:dyDescent="0.2">
      <c r="B2945" s="198" t="s">
        <v>249</v>
      </c>
      <c r="C2945" s="197">
        <v>891</v>
      </c>
      <c r="D2945" s="147"/>
      <c r="E2945" s="148"/>
      <c r="F2945" s="148"/>
    </row>
    <row r="2946" spans="2:6" x14ac:dyDescent="0.2">
      <c r="B2946" s="115" t="s">
        <v>248</v>
      </c>
      <c r="C2946" s="114">
        <v>227</v>
      </c>
      <c r="D2946" s="147"/>
      <c r="E2946" s="148"/>
      <c r="F2946" s="148"/>
    </row>
    <row r="2947" spans="2:6" x14ac:dyDescent="0.2">
      <c r="B2947" s="115" t="s">
        <v>247</v>
      </c>
      <c r="C2947" s="114">
        <v>278</v>
      </c>
      <c r="D2947" s="147"/>
      <c r="E2947" s="148"/>
      <c r="F2947" s="148"/>
    </row>
    <row r="2948" spans="2:6" x14ac:dyDescent="0.2">
      <c r="B2948" s="115" t="s">
        <v>246</v>
      </c>
      <c r="C2948" s="114">
        <v>331</v>
      </c>
      <c r="D2948" s="147"/>
      <c r="E2948" s="148"/>
      <c r="F2948" s="148"/>
    </row>
    <row r="2949" spans="2:6" x14ac:dyDescent="0.2">
      <c r="B2949" s="198" t="s">
        <v>245</v>
      </c>
      <c r="C2949" s="197">
        <v>711</v>
      </c>
      <c r="D2949" s="147"/>
      <c r="E2949" s="148"/>
      <c r="F2949" s="148"/>
    </row>
    <row r="2950" spans="2:6" x14ac:dyDescent="0.2">
      <c r="B2950" s="198" t="s">
        <v>244</v>
      </c>
      <c r="C2950" s="197">
        <v>260</v>
      </c>
      <c r="D2950" s="147"/>
      <c r="E2950" s="148"/>
      <c r="F2950" s="148"/>
    </row>
    <row r="2951" spans="2:6" x14ac:dyDescent="0.2">
      <c r="B2951" s="115" t="s">
        <v>243</v>
      </c>
      <c r="C2951" s="114">
        <v>496</v>
      </c>
      <c r="D2951" s="147"/>
      <c r="E2951" s="148"/>
      <c r="F2951" s="148"/>
    </row>
    <row r="2952" spans="2:6" x14ac:dyDescent="0.2">
      <c r="B2952" s="198" t="s">
        <v>242</v>
      </c>
      <c r="C2952" s="197">
        <v>822</v>
      </c>
      <c r="D2952" s="147"/>
      <c r="E2952" s="148"/>
      <c r="F2952" s="148"/>
    </row>
    <row r="2953" spans="2:6" x14ac:dyDescent="0.2">
      <c r="B2953" s="115" t="s">
        <v>241</v>
      </c>
      <c r="C2953" s="114">
        <v>2710</v>
      </c>
      <c r="D2953" s="147"/>
      <c r="E2953" s="148"/>
      <c r="F2953" s="148"/>
    </row>
    <row r="2954" spans="2:6" x14ac:dyDescent="0.2">
      <c r="B2954" s="115" t="s">
        <v>240</v>
      </c>
      <c r="C2954" s="114">
        <v>2530</v>
      </c>
      <c r="D2954" s="147"/>
      <c r="E2954" s="148"/>
      <c r="F2954" s="148"/>
    </row>
    <row r="2955" spans="2:6" x14ac:dyDescent="0.2">
      <c r="B2955" s="115" t="s">
        <v>239</v>
      </c>
      <c r="C2955" s="114">
        <v>1854</v>
      </c>
      <c r="D2955" s="147"/>
      <c r="E2955" s="148"/>
      <c r="F2955" s="148"/>
    </row>
    <row r="2956" spans="2:6" x14ac:dyDescent="0.2">
      <c r="B2956" s="115" t="s">
        <v>238</v>
      </c>
      <c r="C2956" s="114">
        <v>502</v>
      </c>
      <c r="D2956" s="147"/>
      <c r="E2956" s="148"/>
      <c r="F2956" s="148"/>
    </row>
    <row r="2957" spans="2:6" x14ac:dyDescent="0.2">
      <c r="B2957" s="115" t="s">
        <v>237</v>
      </c>
      <c r="C2957" s="114">
        <v>816</v>
      </c>
      <c r="D2957" s="147"/>
      <c r="E2957" s="148"/>
      <c r="F2957" s="148"/>
    </row>
    <row r="2958" spans="2:6" x14ac:dyDescent="0.2">
      <c r="B2958" s="198" t="s">
        <v>236</v>
      </c>
      <c r="C2958" s="197">
        <v>298</v>
      </c>
      <c r="D2958" s="147"/>
      <c r="E2958" s="148"/>
      <c r="F2958" s="148"/>
    </row>
    <row r="2959" spans="2:6" x14ac:dyDescent="0.2">
      <c r="B2959" s="115" t="s">
        <v>235</v>
      </c>
      <c r="C2959" s="114">
        <v>3100</v>
      </c>
      <c r="D2959" s="147"/>
      <c r="E2959" s="148"/>
      <c r="F2959" s="148"/>
    </row>
    <row r="2960" spans="2:6" x14ac:dyDescent="0.2">
      <c r="B2960" s="115" t="s">
        <v>234</v>
      </c>
      <c r="C2960" s="114">
        <v>12693</v>
      </c>
      <c r="D2960" s="147"/>
      <c r="E2960" s="148"/>
      <c r="F2960" s="148"/>
    </row>
    <row r="2961" spans="2:6" x14ac:dyDescent="0.2">
      <c r="B2961" s="115" t="s">
        <v>233</v>
      </c>
      <c r="C2961" s="114">
        <v>8347</v>
      </c>
      <c r="D2961" s="147"/>
      <c r="E2961" s="148"/>
      <c r="F2961" s="148"/>
    </row>
    <row r="2962" spans="2:6" x14ac:dyDescent="0.2">
      <c r="B2962" s="115" t="s">
        <v>232</v>
      </c>
      <c r="C2962" s="114">
        <v>33871</v>
      </c>
      <c r="D2962" s="147"/>
      <c r="E2962" s="148"/>
      <c r="F2962" s="148"/>
    </row>
    <row r="2963" spans="2:6" x14ac:dyDescent="0.2">
      <c r="B2963" s="115" t="s">
        <v>231</v>
      </c>
      <c r="C2963" s="114">
        <v>1831</v>
      </c>
      <c r="D2963" s="147"/>
      <c r="E2963" s="148"/>
      <c r="F2963" s="148"/>
    </row>
    <row r="2964" spans="2:6" x14ac:dyDescent="0.2">
      <c r="B2964" s="115" t="s">
        <v>230</v>
      </c>
      <c r="C2964" s="114">
        <v>887</v>
      </c>
      <c r="D2964" s="147"/>
      <c r="E2964" s="148"/>
      <c r="F2964" s="148"/>
    </row>
    <row r="2965" spans="2:6" x14ac:dyDescent="0.2">
      <c r="B2965" s="115" t="s">
        <v>229</v>
      </c>
      <c r="C2965" s="114">
        <v>1747</v>
      </c>
      <c r="D2965" s="147"/>
      <c r="E2965" s="148"/>
      <c r="F2965" s="148"/>
    </row>
    <row r="2966" spans="2:6" x14ac:dyDescent="0.2">
      <c r="B2966" s="115" t="s">
        <v>228</v>
      </c>
      <c r="C2966" s="114">
        <v>476</v>
      </c>
      <c r="D2966" s="147"/>
      <c r="E2966" s="148"/>
      <c r="F2966" s="148"/>
    </row>
    <row r="2967" spans="2:6" x14ac:dyDescent="0.2">
      <c r="B2967" s="115" t="s">
        <v>227</v>
      </c>
      <c r="C2967" s="114">
        <v>2625</v>
      </c>
      <c r="D2967" s="147"/>
      <c r="E2967" s="148"/>
      <c r="F2967" s="148"/>
    </row>
    <row r="2968" spans="2:6" x14ac:dyDescent="0.2">
      <c r="B2968" s="115" t="s">
        <v>226</v>
      </c>
      <c r="C2968" s="114">
        <v>2190</v>
      </c>
      <c r="D2968" s="147"/>
      <c r="E2968" s="148"/>
      <c r="F2968" s="148"/>
    </row>
    <row r="2969" spans="2:6" x14ac:dyDescent="0.2">
      <c r="B2969" s="198" t="s">
        <v>225</v>
      </c>
      <c r="C2969" s="197">
        <v>614</v>
      </c>
      <c r="D2969" s="147"/>
      <c r="E2969" s="148"/>
      <c r="F2969" s="148"/>
    </row>
    <row r="2970" spans="2:6" x14ac:dyDescent="0.2">
      <c r="B2970" s="198" t="s">
        <v>224</v>
      </c>
      <c r="C2970" s="197">
        <v>89</v>
      </c>
      <c r="D2970" s="147"/>
      <c r="E2970" s="148"/>
      <c r="F2970" s="148"/>
    </row>
    <row r="2971" spans="2:6" x14ac:dyDescent="0.2">
      <c r="B2971" s="198" t="s">
        <v>223</v>
      </c>
      <c r="C2971" s="197">
        <v>485</v>
      </c>
      <c r="D2971" s="147"/>
      <c r="E2971" s="148"/>
      <c r="F2971" s="148"/>
    </row>
    <row r="2972" spans="2:6" x14ac:dyDescent="0.2">
      <c r="B2972" s="198" t="s">
        <v>222</v>
      </c>
      <c r="C2972" s="197">
        <v>96</v>
      </c>
      <c r="D2972" s="147"/>
      <c r="E2972" s="148"/>
      <c r="F2972" s="148"/>
    </row>
    <row r="2973" spans="2:6" x14ac:dyDescent="0.2">
      <c r="B2973" s="115" t="s">
        <v>221</v>
      </c>
      <c r="C2973" s="114">
        <v>3368</v>
      </c>
      <c r="D2973" s="147"/>
      <c r="E2973" s="148"/>
      <c r="F2973" s="148"/>
    </row>
    <row r="2974" spans="2:6" x14ac:dyDescent="0.2">
      <c r="B2974" s="115" t="s">
        <v>220</v>
      </c>
      <c r="C2974" s="114">
        <v>1161</v>
      </c>
      <c r="D2974" s="147"/>
      <c r="E2974" s="148"/>
      <c r="F2974" s="148"/>
    </row>
    <row r="2975" spans="2:6" x14ac:dyDescent="0.2">
      <c r="B2975" s="115" t="s">
        <v>219</v>
      </c>
      <c r="C2975" s="114">
        <v>1568</v>
      </c>
      <c r="D2975" s="147"/>
      <c r="E2975" s="148"/>
      <c r="F2975" s="148"/>
    </row>
    <row r="2976" spans="2:6" x14ac:dyDescent="0.2">
      <c r="B2976" s="198" t="s">
        <v>218</v>
      </c>
      <c r="C2976" s="197">
        <v>774</v>
      </c>
      <c r="D2976" s="147"/>
      <c r="E2976" s="148"/>
      <c r="F2976" s="148"/>
    </row>
    <row r="2977" spans="2:6" x14ac:dyDescent="0.2">
      <c r="B2977" s="115" t="s">
        <v>217</v>
      </c>
      <c r="C2977" s="114">
        <v>2660</v>
      </c>
      <c r="D2977" s="147"/>
      <c r="E2977" s="148"/>
      <c r="F2977" s="148"/>
    </row>
    <row r="2978" spans="2:6" x14ac:dyDescent="0.2">
      <c r="B2978" s="198" t="s">
        <v>216</v>
      </c>
      <c r="C2978" s="197">
        <v>2564</v>
      </c>
      <c r="D2978" s="147"/>
      <c r="E2978" s="148"/>
      <c r="F2978" s="148"/>
    </row>
    <row r="2979" spans="2:6" x14ac:dyDescent="0.2">
      <c r="B2979" s="115" t="s">
        <v>215</v>
      </c>
      <c r="C2979" s="114">
        <v>59</v>
      </c>
      <c r="D2979" s="147"/>
      <c r="E2979" s="148"/>
      <c r="F2979" s="148"/>
    </row>
    <row r="2980" spans="2:6" x14ac:dyDescent="0.2">
      <c r="B2980" s="198" t="s">
        <v>214</v>
      </c>
      <c r="C2980" s="197">
        <v>904</v>
      </c>
      <c r="D2980" s="147"/>
      <c r="E2980" s="148"/>
      <c r="F2980" s="148"/>
    </row>
    <row r="2981" spans="2:6" x14ac:dyDescent="0.2">
      <c r="B2981" s="115" t="s">
        <v>213</v>
      </c>
      <c r="C2981" s="114">
        <v>97</v>
      </c>
      <c r="D2981" s="147"/>
      <c r="E2981" s="148"/>
      <c r="F2981" s="148"/>
    </row>
    <row r="2982" spans="2:6" x14ac:dyDescent="0.2">
      <c r="B2982" s="115" t="s">
        <v>212</v>
      </c>
      <c r="C2982" s="114">
        <v>527</v>
      </c>
      <c r="D2982" s="147"/>
      <c r="E2982" s="148"/>
      <c r="F2982" s="148"/>
    </row>
    <row r="2983" spans="2:6" x14ac:dyDescent="0.2">
      <c r="B2983" s="198" t="s">
        <v>211</v>
      </c>
      <c r="C2983" s="197">
        <v>273</v>
      </c>
      <c r="D2983" s="147"/>
      <c r="E2983" s="148"/>
      <c r="F2983" s="148"/>
    </row>
    <row r="2984" spans="2:6" x14ac:dyDescent="0.2">
      <c r="B2984" s="198" t="s">
        <v>210</v>
      </c>
      <c r="C2984" s="197">
        <v>1857</v>
      </c>
      <c r="D2984" s="147"/>
      <c r="E2984" s="148"/>
      <c r="F2984" s="148"/>
    </row>
    <row r="2985" spans="2:6" x14ac:dyDescent="0.2">
      <c r="B2985" s="198" t="s">
        <v>209</v>
      </c>
      <c r="C2985" s="197">
        <v>1493</v>
      </c>
      <c r="D2985" s="147"/>
      <c r="E2985" s="148"/>
      <c r="F2985" s="148"/>
    </row>
    <row r="2986" spans="2:6" x14ac:dyDescent="0.2">
      <c r="B2986" s="115" t="s">
        <v>208</v>
      </c>
      <c r="C2986" s="114">
        <v>438</v>
      </c>
      <c r="D2986" s="147"/>
      <c r="E2986" s="148"/>
      <c r="F2986" s="148"/>
    </row>
    <row r="2987" spans="2:6" x14ac:dyDescent="0.2">
      <c r="B2987" s="115" t="s">
        <v>207</v>
      </c>
      <c r="C2987" s="114">
        <v>5086</v>
      </c>
      <c r="D2987" s="147"/>
      <c r="E2987" s="148"/>
      <c r="F2987" s="148"/>
    </row>
    <row r="2988" spans="2:6" x14ac:dyDescent="0.2">
      <c r="B2988" s="198" t="s">
        <v>206</v>
      </c>
      <c r="C2988" s="197">
        <v>680</v>
      </c>
      <c r="D2988" s="147"/>
      <c r="E2988" s="148"/>
      <c r="F2988" s="148"/>
    </row>
    <row r="2989" spans="2:6" x14ac:dyDescent="0.2">
      <c r="B2989" s="115" t="s">
        <v>205</v>
      </c>
      <c r="C2989" s="114">
        <v>3093</v>
      </c>
      <c r="D2989" s="147"/>
      <c r="E2989" s="148"/>
      <c r="F2989" s="148"/>
    </row>
    <row r="2990" spans="2:6" x14ac:dyDescent="0.2">
      <c r="B2990" s="198" t="s">
        <v>204</v>
      </c>
      <c r="C2990" s="197">
        <v>993</v>
      </c>
      <c r="D2990" s="147"/>
      <c r="E2990" s="148"/>
      <c r="F2990" s="148"/>
    </row>
    <row r="2991" spans="2:6" x14ac:dyDescent="0.2">
      <c r="B2991" s="115" t="s">
        <v>203</v>
      </c>
      <c r="C2991" s="114">
        <v>1105</v>
      </c>
      <c r="D2991" s="147"/>
      <c r="E2991" s="148"/>
      <c r="F2991" s="148"/>
    </row>
    <row r="2992" spans="2:6" x14ac:dyDescent="0.2">
      <c r="B2992" s="115" t="s">
        <v>202</v>
      </c>
      <c r="C2992" s="114">
        <v>495</v>
      </c>
      <c r="D2992" s="147"/>
      <c r="E2992" s="148"/>
      <c r="F2992" s="148"/>
    </row>
    <row r="2993" spans="2:6" x14ac:dyDescent="0.2">
      <c r="B2993" s="198" t="s">
        <v>201</v>
      </c>
      <c r="C2993" s="197">
        <v>158</v>
      </c>
      <c r="D2993" s="147"/>
      <c r="E2993" s="148"/>
      <c r="F2993" s="148"/>
    </row>
    <row r="2994" spans="2:6" x14ac:dyDescent="0.2">
      <c r="B2994" s="115" t="s">
        <v>200</v>
      </c>
      <c r="C2994" s="114">
        <v>748</v>
      </c>
      <c r="D2994" s="147"/>
      <c r="E2994" s="148"/>
      <c r="F2994" s="148"/>
    </row>
    <row r="2995" spans="2:6" x14ac:dyDescent="0.2">
      <c r="B2995" s="115" t="s">
        <v>199</v>
      </c>
      <c r="C2995" s="114">
        <v>124</v>
      </c>
      <c r="D2995" s="147"/>
      <c r="E2995" s="148"/>
      <c r="F2995" s="148"/>
    </row>
    <row r="2996" spans="2:6" x14ac:dyDescent="0.2">
      <c r="B2996" s="115" t="s">
        <v>198</v>
      </c>
      <c r="C2996" s="114">
        <v>498</v>
      </c>
      <c r="D2996" s="147"/>
      <c r="E2996" s="148"/>
      <c r="F2996" s="148"/>
    </row>
    <row r="2997" spans="2:6" x14ac:dyDescent="0.2">
      <c r="B2997" s="198" t="s">
        <v>197</v>
      </c>
      <c r="C2997" s="197">
        <v>425</v>
      </c>
      <c r="D2997" s="147"/>
      <c r="E2997" s="148"/>
      <c r="F2997" s="148"/>
    </row>
    <row r="2998" spans="2:6" x14ac:dyDescent="0.2">
      <c r="B2998" s="198" t="s">
        <v>196</v>
      </c>
      <c r="C2998" s="197">
        <v>1013</v>
      </c>
      <c r="D2998" s="147"/>
      <c r="E2998" s="148"/>
      <c r="F2998" s="148"/>
    </row>
    <row r="2999" spans="2:6" x14ac:dyDescent="0.2">
      <c r="B2999" s="115" t="s">
        <v>195</v>
      </c>
      <c r="C2999" s="114">
        <v>50</v>
      </c>
      <c r="D2999" s="147"/>
      <c r="E2999" s="148"/>
      <c r="F2999" s="148"/>
    </row>
    <row r="3000" spans="2:6" x14ac:dyDescent="0.2">
      <c r="B3000" s="198" t="s">
        <v>194</v>
      </c>
      <c r="C3000" s="197">
        <v>395</v>
      </c>
      <c r="D3000" s="147"/>
      <c r="E3000" s="148"/>
      <c r="F3000" s="148"/>
    </row>
    <row r="3001" spans="2:6" x14ac:dyDescent="0.2">
      <c r="B3001" s="115" t="s">
        <v>193</v>
      </c>
      <c r="C3001" s="114">
        <v>1051</v>
      </c>
      <c r="D3001" s="147"/>
      <c r="E3001" s="148"/>
      <c r="F3001" s="148"/>
    </row>
    <row r="3002" spans="2:6" x14ac:dyDescent="0.2">
      <c r="B3002" s="198" t="s">
        <v>192</v>
      </c>
      <c r="C3002" s="197">
        <v>172</v>
      </c>
      <c r="D3002" s="147"/>
      <c r="E3002" s="148"/>
      <c r="F3002" s="148"/>
    </row>
    <row r="3003" spans="2:6" x14ac:dyDescent="0.2">
      <c r="B3003" s="198" t="s">
        <v>191</v>
      </c>
      <c r="C3003" s="197">
        <v>87</v>
      </c>
      <c r="D3003" s="147"/>
      <c r="E3003" s="148"/>
      <c r="F3003" s="148"/>
    </row>
    <row r="3004" spans="2:6" x14ac:dyDescent="0.2">
      <c r="B3004" s="115" t="s">
        <v>190</v>
      </c>
      <c r="C3004" s="114">
        <v>641</v>
      </c>
      <c r="D3004" s="147"/>
      <c r="E3004" s="148"/>
      <c r="F3004" s="148"/>
    </row>
    <row r="3005" spans="2:6" x14ac:dyDescent="0.2">
      <c r="B3005" s="198" t="s">
        <v>189</v>
      </c>
      <c r="C3005" s="197">
        <v>144</v>
      </c>
      <c r="D3005" s="147"/>
      <c r="E3005" s="148"/>
      <c r="F3005" s="148"/>
    </row>
    <row r="3006" spans="2:6" x14ac:dyDescent="0.2">
      <c r="B3006" s="115" t="s">
        <v>188</v>
      </c>
      <c r="C3006" s="114">
        <v>108</v>
      </c>
      <c r="D3006" s="147"/>
      <c r="E3006" s="148"/>
      <c r="F3006" s="148"/>
    </row>
    <row r="3007" spans="2:6" x14ac:dyDescent="0.2">
      <c r="B3007" s="115" t="s">
        <v>187</v>
      </c>
      <c r="C3007" s="114">
        <v>2136</v>
      </c>
      <c r="D3007" s="147"/>
      <c r="E3007" s="148"/>
      <c r="F3007" s="148"/>
    </row>
    <row r="3008" spans="2:6" x14ac:dyDescent="0.2">
      <c r="B3008" s="115" t="s">
        <v>186</v>
      </c>
      <c r="C3008" s="114">
        <v>1222</v>
      </c>
      <c r="D3008" s="147"/>
      <c r="E3008" s="148"/>
      <c r="F3008" s="148"/>
    </row>
    <row r="3009" spans="2:6" x14ac:dyDescent="0.2">
      <c r="B3009" s="198" t="s">
        <v>185</v>
      </c>
      <c r="C3009" s="197">
        <v>19265</v>
      </c>
      <c r="D3009" s="147"/>
      <c r="E3009" s="148"/>
      <c r="F3009" s="148"/>
    </row>
    <row r="3010" spans="2:6" x14ac:dyDescent="0.2">
      <c r="B3010" s="198" t="s">
        <v>184</v>
      </c>
      <c r="C3010" s="197">
        <v>339</v>
      </c>
      <c r="D3010" s="147"/>
      <c r="E3010" s="148"/>
      <c r="F3010" s="148"/>
    </row>
    <row r="3011" spans="2:6" x14ac:dyDescent="0.2">
      <c r="B3011" s="115" t="s">
        <v>183</v>
      </c>
      <c r="C3011" s="114">
        <v>1480</v>
      </c>
      <c r="D3011" s="147"/>
      <c r="E3011" s="148"/>
      <c r="F3011" s="148"/>
    </row>
    <row r="3012" spans="2:6" x14ac:dyDescent="0.2">
      <c r="B3012" s="115" t="s">
        <v>182</v>
      </c>
      <c r="C3012" s="114">
        <v>920</v>
      </c>
      <c r="D3012" s="147"/>
      <c r="E3012" s="148"/>
      <c r="F3012" s="148"/>
    </row>
    <row r="3013" spans="2:6" x14ac:dyDescent="0.2">
      <c r="B3013" s="198" t="s">
        <v>181</v>
      </c>
      <c r="C3013" s="197">
        <v>1975</v>
      </c>
      <c r="D3013" s="147"/>
      <c r="E3013" s="148"/>
      <c r="F3013" s="148"/>
    </row>
    <row r="3014" spans="2:6" x14ac:dyDescent="0.2">
      <c r="B3014" s="115" t="s">
        <v>180</v>
      </c>
      <c r="C3014" s="114">
        <v>284</v>
      </c>
      <c r="D3014" s="147"/>
      <c r="E3014" s="148"/>
      <c r="F3014" s="148"/>
    </row>
    <row r="3015" spans="2:6" x14ac:dyDescent="0.2">
      <c r="B3015" s="115" t="s">
        <v>179</v>
      </c>
      <c r="C3015" s="114">
        <v>171</v>
      </c>
      <c r="D3015" s="147"/>
      <c r="E3015" s="148"/>
      <c r="F3015" s="148"/>
    </row>
    <row r="3016" spans="2:6" x14ac:dyDescent="0.2">
      <c r="B3016" s="198" t="s">
        <v>178</v>
      </c>
      <c r="C3016" s="197">
        <v>989</v>
      </c>
      <c r="D3016" s="147"/>
      <c r="E3016" s="148"/>
      <c r="F3016" s="148"/>
    </row>
    <row r="3017" spans="2:6" x14ac:dyDescent="0.2">
      <c r="B3017" s="115" t="s">
        <v>177</v>
      </c>
      <c r="C3017" s="114">
        <v>154</v>
      </c>
      <c r="D3017" s="147"/>
      <c r="E3017" s="148"/>
      <c r="F3017" s="148"/>
    </row>
    <row r="3018" spans="2:6" x14ac:dyDescent="0.2">
      <c r="B3018" s="198" t="s">
        <v>176</v>
      </c>
      <c r="C3018" s="197">
        <v>344</v>
      </c>
      <c r="D3018" s="147"/>
      <c r="E3018" s="148"/>
      <c r="F3018" s="148"/>
    </row>
    <row r="3019" spans="2:6" x14ac:dyDescent="0.2">
      <c r="B3019" s="115" t="s">
        <v>175</v>
      </c>
      <c r="C3019" s="114">
        <v>7711</v>
      </c>
      <c r="D3019" s="147"/>
      <c r="E3019" s="148"/>
      <c r="F3019" s="148"/>
    </row>
    <row r="3020" spans="2:6" x14ac:dyDescent="0.2">
      <c r="B3020" s="198" t="s">
        <v>174</v>
      </c>
      <c r="C3020" s="197">
        <v>441</v>
      </c>
      <c r="D3020" s="147"/>
      <c r="E3020" s="148"/>
      <c r="F3020" s="148"/>
    </row>
    <row r="3021" spans="2:6" x14ac:dyDescent="0.2">
      <c r="B3021" s="198" t="s">
        <v>173</v>
      </c>
      <c r="C3021" s="197">
        <v>528</v>
      </c>
      <c r="D3021" s="147"/>
      <c r="E3021" s="148"/>
      <c r="F3021" s="148"/>
    </row>
    <row r="3022" spans="2:6" x14ac:dyDescent="0.2">
      <c r="B3022" s="115" t="s">
        <v>172</v>
      </c>
      <c r="C3022" s="114">
        <v>337</v>
      </c>
      <c r="D3022" s="147"/>
      <c r="E3022" s="148"/>
      <c r="F3022" s="148"/>
    </row>
    <row r="3023" spans="2:6" x14ac:dyDescent="0.2">
      <c r="B3023" s="198" t="s">
        <v>171</v>
      </c>
      <c r="C3023" s="197">
        <v>349</v>
      </c>
      <c r="D3023" s="147"/>
      <c r="E3023" s="148"/>
      <c r="F3023" s="148"/>
    </row>
    <row r="3024" spans="2:6" x14ac:dyDescent="0.2">
      <c r="B3024" s="115" t="s">
        <v>170</v>
      </c>
      <c r="C3024" s="114">
        <v>323</v>
      </c>
      <c r="D3024" s="147"/>
      <c r="E3024" s="148"/>
      <c r="F3024" s="148"/>
    </row>
    <row r="3025" spans="2:6" x14ac:dyDescent="0.2">
      <c r="B3025" s="115" t="s">
        <v>169</v>
      </c>
      <c r="C3025" s="114">
        <v>3058</v>
      </c>
      <c r="D3025" s="147"/>
      <c r="E3025" s="148"/>
      <c r="F3025" s="148"/>
    </row>
    <row r="3026" spans="2:6" x14ac:dyDescent="0.2">
      <c r="B3026" s="198" t="s">
        <v>168</v>
      </c>
      <c r="C3026" s="197">
        <v>1669</v>
      </c>
      <c r="D3026" s="147"/>
      <c r="E3026" s="148"/>
      <c r="F3026" s="148"/>
    </row>
    <row r="3027" spans="2:6" x14ac:dyDescent="0.2">
      <c r="B3027" s="115" t="s">
        <v>167</v>
      </c>
      <c r="C3027" s="114">
        <v>340</v>
      </c>
      <c r="D3027" s="147"/>
      <c r="E3027" s="148"/>
      <c r="F3027" s="148"/>
    </row>
    <row r="3028" spans="2:6" x14ac:dyDescent="0.2">
      <c r="B3028" s="198" t="s">
        <v>166</v>
      </c>
      <c r="C3028" s="197">
        <v>693</v>
      </c>
      <c r="D3028" s="147"/>
      <c r="E3028" s="148"/>
      <c r="F3028" s="148"/>
    </row>
    <row r="3029" spans="2:6" x14ac:dyDescent="0.2">
      <c r="B3029" s="115" t="s">
        <v>165</v>
      </c>
      <c r="C3029" s="114">
        <v>3881</v>
      </c>
      <c r="D3029" s="147"/>
      <c r="E3029" s="148"/>
      <c r="F3029" s="148"/>
    </row>
    <row r="3030" spans="2:6" x14ac:dyDescent="0.2">
      <c r="B3030" s="115" t="s">
        <v>164</v>
      </c>
      <c r="C3030" s="114">
        <v>1504</v>
      </c>
      <c r="D3030" s="147"/>
      <c r="E3030" s="148"/>
      <c r="F3030" s="148"/>
    </row>
    <row r="3031" spans="2:6" x14ac:dyDescent="0.2">
      <c r="B3031" s="198" t="s">
        <v>163</v>
      </c>
      <c r="C3031" s="197">
        <v>290</v>
      </c>
      <c r="D3031" s="147"/>
      <c r="E3031" s="148"/>
      <c r="F3031" s="148"/>
    </row>
    <row r="3032" spans="2:6" x14ac:dyDescent="0.2">
      <c r="B3032" s="115" t="s">
        <v>162</v>
      </c>
      <c r="C3032" s="114">
        <v>1278</v>
      </c>
      <c r="D3032" s="147"/>
      <c r="E3032" s="148"/>
      <c r="F3032" s="148"/>
    </row>
    <row r="3033" spans="2:6" x14ac:dyDescent="0.2">
      <c r="B3033" s="115" t="s">
        <v>161</v>
      </c>
      <c r="C3033" s="114">
        <v>341</v>
      </c>
      <c r="D3033" s="147"/>
      <c r="E3033" s="148"/>
      <c r="F3033" s="148"/>
    </row>
    <row r="3034" spans="2:6" x14ac:dyDescent="0.2">
      <c r="B3034" s="198" t="s">
        <v>160</v>
      </c>
      <c r="C3034" s="197">
        <v>371</v>
      </c>
      <c r="D3034" s="147"/>
      <c r="E3034" s="148"/>
      <c r="F3034" s="148"/>
    </row>
    <row r="3035" spans="2:6" x14ac:dyDescent="0.2">
      <c r="B3035" s="198" t="s">
        <v>159</v>
      </c>
      <c r="C3035" s="197">
        <v>634</v>
      </c>
      <c r="D3035" s="147"/>
      <c r="E3035" s="148"/>
      <c r="F3035" s="148"/>
    </row>
    <row r="3036" spans="2:6" x14ac:dyDescent="0.2">
      <c r="B3036" s="115" t="s">
        <v>158</v>
      </c>
      <c r="C3036" s="114">
        <v>823</v>
      </c>
      <c r="D3036" s="147"/>
      <c r="E3036" s="148"/>
      <c r="F3036" s="148"/>
    </row>
    <row r="3037" spans="2:6" x14ac:dyDescent="0.2">
      <c r="B3037" s="198" t="s">
        <v>157</v>
      </c>
      <c r="C3037" s="197">
        <v>121</v>
      </c>
      <c r="D3037" s="147"/>
      <c r="E3037" s="148"/>
      <c r="F3037" s="148"/>
    </row>
    <row r="3038" spans="2:6" x14ac:dyDescent="0.2">
      <c r="B3038" s="115" t="s">
        <v>156</v>
      </c>
      <c r="C3038" s="114">
        <v>551</v>
      </c>
      <c r="D3038" s="147"/>
      <c r="E3038" s="148"/>
      <c r="F3038" s="148"/>
    </row>
    <row r="3039" spans="2:6" x14ac:dyDescent="0.2">
      <c r="B3039" s="115" t="s">
        <v>155</v>
      </c>
      <c r="C3039" s="114">
        <v>21379</v>
      </c>
      <c r="D3039" s="147"/>
      <c r="E3039" s="148"/>
      <c r="F3039" s="148"/>
    </row>
    <row r="3040" spans="2:6" x14ac:dyDescent="0.2">
      <c r="B3040" s="115" t="s">
        <v>154</v>
      </c>
      <c r="C3040" s="114">
        <v>1113</v>
      </c>
      <c r="D3040" s="147"/>
      <c r="E3040" s="148"/>
      <c r="F3040" s="148"/>
    </row>
    <row r="3041" spans="2:6" x14ac:dyDescent="0.2">
      <c r="B3041" s="198" t="s">
        <v>153</v>
      </c>
      <c r="C3041" s="197">
        <v>151</v>
      </c>
      <c r="D3041" s="147"/>
      <c r="E3041" s="148"/>
      <c r="F3041" s="148"/>
    </row>
    <row r="3042" spans="2:6" x14ac:dyDescent="0.2">
      <c r="B3042" s="198" t="s">
        <v>152</v>
      </c>
      <c r="C3042" s="197">
        <v>134</v>
      </c>
      <c r="D3042" s="147"/>
      <c r="E3042" s="148"/>
      <c r="F3042" s="148"/>
    </row>
    <row r="3043" spans="2:6" x14ac:dyDescent="0.2">
      <c r="B3043" s="198" t="s">
        <v>151</v>
      </c>
      <c r="C3043" s="197">
        <v>105</v>
      </c>
      <c r="D3043" s="147"/>
      <c r="E3043" s="148"/>
      <c r="F3043" s="148"/>
    </row>
    <row r="3044" spans="2:6" x14ac:dyDescent="0.2">
      <c r="B3044" s="115" t="s">
        <v>150</v>
      </c>
      <c r="C3044" s="114">
        <v>392</v>
      </c>
      <c r="D3044" s="147"/>
      <c r="E3044" s="148"/>
      <c r="F3044" s="148"/>
    </row>
    <row r="3045" spans="2:6" x14ac:dyDescent="0.2">
      <c r="B3045" s="115" t="s">
        <v>149</v>
      </c>
      <c r="C3045" s="114">
        <v>71</v>
      </c>
      <c r="D3045" s="147"/>
      <c r="E3045" s="148"/>
      <c r="F3045" s="148"/>
    </row>
    <row r="3046" spans="2:6" x14ac:dyDescent="0.2">
      <c r="B3046" s="115" t="s">
        <v>148</v>
      </c>
      <c r="C3046" s="114">
        <v>7906</v>
      </c>
      <c r="D3046" s="147"/>
      <c r="E3046" s="148"/>
      <c r="F3046" s="148"/>
    </row>
    <row r="3047" spans="2:6" x14ac:dyDescent="0.2">
      <c r="B3047" s="115" t="s">
        <v>147</v>
      </c>
      <c r="C3047" s="114">
        <v>149</v>
      </c>
      <c r="D3047" s="147"/>
      <c r="E3047" s="148"/>
      <c r="F3047" s="148"/>
    </row>
    <row r="3048" spans="2:6" x14ac:dyDescent="0.2">
      <c r="B3048" s="198" t="s">
        <v>146</v>
      </c>
      <c r="C3048" s="197">
        <v>1144</v>
      </c>
      <c r="D3048" s="147"/>
      <c r="E3048" s="148"/>
      <c r="F3048" s="148"/>
    </row>
    <row r="3049" spans="2:6" x14ac:dyDescent="0.2">
      <c r="B3049" s="198" t="s">
        <v>145</v>
      </c>
      <c r="C3049" s="197">
        <v>192</v>
      </c>
      <c r="D3049" s="147"/>
      <c r="E3049" s="148"/>
      <c r="F3049" s="148"/>
    </row>
    <row r="3050" spans="2:6" x14ac:dyDescent="0.2">
      <c r="B3050" s="115" t="s">
        <v>144</v>
      </c>
      <c r="C3050" s="114">
        <v>3210</v>
      </c>
      <c r="D3050" s="147"/>
      <c r="E3050" s="148"/>
      <c r="F3050" s="148"/>
    </row>
    <row r="3051" spans="2:6" x14ac:dyDescent="0.2">
      <c r="B3051" s="115" t="s">
        <v>143</v>
      </c>
      <c r="C3051" s="114">
        <v>829</v>
      </c>
      <c r="D3051" s="147"/>
      <c r="E3051" s="148"/>
      <c r="F3051" s="148"/>
    </row>
    <row r="3052" spans="2:6" x14ac:dyDescent="0.2">
      <c r="B3052" s="115" t="s">
        <v>142</v>
      </c>
      <c r="C3052" s="114">
        <v>21129</v>
      </c>
      <c r="D3052" s="147"/>
      <c r="E3052" s="148"/>
      <c r="F3052" s="148"/>
    </row>
    <row r="3053" spans="2:6" x14ac:dyDescent="0.2">
      <c r="B3053" s="115" t="s">
        <v>141</v>
      </c>
      <c r="C3053" s="114">
        <v>4146</v>
      </c>
      <c r="D3053" s="147"/>
      <c r="E3053" s="148"/>
      <c r="F3053" s="148"/>
    </row>
    <row r="3054" spans="2:6" x14ac:dyDescent="0.2">
      <c r="B3054" s="198" t="s">
        <v>140</v>
      </c>
      <c r="C3054" s="197">
        <v>3653</v>
      </c>
      <c r="D3054" s="147"/>
      <c r="E3054" s="148"/>
      <c r="F3054" s="148"/>
    </row>
    <row r="3055" spans="2:6" x14ac:dyDescent="0.2">
      <c r="B3055" s="115" t="s">
        <v>139</v>
      </c>
      <c r="C3055" s="114">
        <v>1248</v>
      </c>
      <c r="D3055" s="147"/>
      <c r="E3055" s="148"/>
      <c r="F3055" s="148"/>
    </row>
    <row r="3056" spans="2:6" x14ac:dyDescent="0.2">
      <c r="B3056" s="115" t="s">
        <v>138</v>
      </c>
      <c r="C3056" s="114">
        <v>877</v>
      </c>
      <c r="D3056" s="147"/>
      <c r="E3056" s="148"/>
      <c r="F3056" s="148"/>
    </row>
    <row r="3057" spans="2:6" x14ac:dyDescent="0.2">
      <c r="B3057" s="115" t="s">
        <v>137</v>
      </c>
      <c r="C3057" s="114">
        <v>1773</v>
      </c>
      <c r="D3057" s="147"/>
      <c r="E3057" s="148"/>
      <c r="F3057" s="148"/>
    </row>
    <row r="3058" spans="2:6" x14ac:dyDescent="0.2">
      <c r="B3058" s="198" t="s">
        <v>136</v>
      </c>
      <c r="C3058" s="197">
        <v>904</v>
      </c>
      <c r="D3058" s="147"/>
      <c r="E3058" s="148"/>
      <c r="F3058" s="148"/>
    </row>
    <row r="3059" spans="2:6" x14ac:dyDescent="0.2">
      <c r="B3059" s="115" t="s">
        <v>135</v>
      </c>
      <c r="C3059" s="114">
        <v>552</v>
      </c>
      <c r="D3059" s="147"/>
      <c r="E3059" s="148"/>
      <c r="F3059" s="148"/>
    </row>
    <row r="3060" spans="2:6" x14ac:dyDescent="0.2">
      <c r="B3060" s="115" t="s">
        <v>134</v>
      </c>
      <c r="C3060" s="114">
        <v>1412</v>
      </c>
      <c r="D3060" s="147"/>
      <c r="E3060" s="148"/>
      <c r="F3060" s="148"/>
    </row>
    <row r="3061" spans="2:6" x14ac:dyDescent="0.2">
      <c r="B3061" s="198" t="s">
        <v>133</v>
      </c>
      <c r="C3061" s="197">
        <v>583</v>
      </c>
      <c r="D3061" s="147"/>
      <c r="E3061" s="148"/>
      <c r="F3061" s="148"/>
    </row>
    <row r="3062" spans="2:6" x14ac:dyDescent="0.2">
      <c r="B3062" s="115" t="s">
        <v>132</v>
      </c>
      <c r="C3062" s="114">
        <v>3632</v>
      </c>
      <c r="D3062" s="147"/>
      <c r="E3062" s="148"/>
      <c r="F3062" s="148"/>
    </row>
    <row r="3063" spans="2:6" x14ac:dyDescent="0.2">
      <c r="B3063" s="198" t="s">
        <v>131</v>
      </c>
      <c r="C3063" s="197">
        <v>648</v>
      </c>
      <c r="D3063" s="147"/>
      <c r="E3063" s="148"/>
      <c r="F3063" s="148"/>
    </row>
    <row r="3064" spans="2:6" x14ac:dyDescent="0.2">
      <c r="B3064" s="198" t="s">
        <v>130</v>
      </c>
      <c r="C3064" s="197">
        <v>1008</v>
      </c>
      <c r="D3064" s="147"/>
      <c r="E3064" s="148"/>
      <c r="F3064" s="148"/>
    </row>
    <row r="3065" spans="2:6" x14ac:dyDescent="0.2">
      <c r="B3065" s="115" t="s">
        <v>129</v>
      </c>
      <c r="C3065" s="114">
        <v>55118</v>
      </c>
      <c r="D3065" s="147"/>
      <c r="E3065" s="148"/>
      <c r="F3065" s="148"/>
    </row>
    <row r="3066" spans="2:6" x14ac:dyDescent="0.2">
      <c r="B3066" s="198" t="s">
        <v>128</v>
      </c>
      <c r="C3066" s="197">
        <v>251</v>
      </c>
      <c r="D3066" s="147"/>
      <c r="E3066" s="148"/>
      <c r="F3066" s="148"/>
    </row>
    <row r="3067" spans="2:6" x14ac:dyDescent="0.2">
      <c r="B3067" s="115" t="s">
        <v>127</v>
      </c>
      <c r="C3067" s="114">
        <v>264</v>
      </c>
      <c r="D3067" s="147"/>
      <c r="E3067" s="148"/>
      <c r="F3067" s="148"/>
    </row>
    <row r="3068" spans="2:6" x14ac:dyDescent="0.2">
      <c r="B3068" s="198" t="s">
        <v>126</v>
      </c>
      <c r="C3068" s="197">
        <v>976</v>
      </c>
      <c r="D3068" s="147"/>
      <c r="E3068" s="148"/>
      <c r="F3068" s="148"/>
    </row>
    <row r="3069" spans="2:6" x14ac:dyDescent="0.2">
      <c r="B3069" s="115" t="s">
        <v>125</v>
      </c>
      <c r="C3069" s="114">
        <v>5992</v>
      </c>
      <c r="D3069" s="147"/>
      <c r="E3069" s="148"/>
      <c r="F3069" s="148"/>
    </row>
    <row r="3070" spans="2:6" x14ac:dyDescent="0.2">
      <c r="B3070" s="198" t="s">
        <v>124</v>
      </c>
      <c r="C3070" s="197">
        <v>578</v>
      </c>
      <c r="D3070" s="147"/>
      <c r="E3070" s="148"/>
      <c r="F3070" s="148"/>
    </row>
    <row r="3071" spans="2:6" x14ac:dyDescent="0.2">
      <c r="B3071" s="115" t="s">
        <v>123</v>
      </c>
      <c r="C3071" s="114">
        <v>97</v>
      </c>
      <c r="D3071" s="147"/>
      <c r="E3071" s="148"/>
      <c r="F3071" s="148"/>
    </row>
    <row r="3072" spans="2:6" x14ac:dyDescent="0.2">
      <c r="B3072" s="198" t="s">
        <v>122</v>
      </c>
      <c r="C3072" s="197">
        <v>221</v>
      </c>
      <c r="D3072" s="147"/>
      <c r="E3072" s="148"/>
      <c r="F3072" s="148"/>
    </row>
    <row r="3073" spans="2:6" x14ac:dyDescent="0.2">
      <c r="B3073" s="198" t="s">
        <v>121</v>
      </c>
      <c r="C3073" s="197">
        <v>1989</v>
      </c>
      <c r="D3073" s="147"/>
      <c r="E3073" s="148"/>
      <c r="F3073" s="148"/>
    </row>
    <row r="3074" spans="2:6" x14ac:dyDescent="0.2">
      <c r="B3074" s="198" t="s">
        <v>120</v>
      </c>
      <c r="C3074" s="197">
        <v>205</v>
      </c>
      <c r="D3074" s="147"/>
      <c r="E3074" s="148"/>
      <c r="F3074" s="148"/>
    </row>
    <row r="3075" spans="2:6" x14ac:dyDescent="0.2">
      <c r="B3075" s="198" t="s">
        <v>119</v>
      </c>
      <c r="C3075" s="197">
        <v>1389</v>
      </c>
      <c r="D3075" s="147"/>
      <c r="E3075" s="148"/>
      <c r="F3075" s="148"/>
    </row>
    <row r="3076" spans="2:6" x14ac:dyDescent="0.2">
      <c r="B3076" s="198" t="s">
        <v>118</v>
      </c>
      <c r="C3076" s="197">
        <v>664</v>
      </c>
      <c r="D3076" s="147"/>
      <c r="E3076" s="148"/>
      <c r="F3076" s="148"/>
    </row>
    <row r="3077" spans="2:6" x14ac:dyDescent="0.2">
      <c r="B3077" s="198" t="s">
        <v>117</v>
      </c>
      <c r="C3077" s="197">
        <v>279</v>
      </c>
      <c r="D3077" s="147"/>
      <c r="E3077" s="148"/>
      <c r="F3077" s="148"/>
    </row>
    <row r="3078" spans="2:6" x14ac:dyDescent="0.2">
      <c r="B3078" s="198" t="s">
        <v>116</v>
      </c>
      <c r="C3078" s="197">
        <v>196</v>
      </c>
      <c r="D3078" s="147"/>
      <c r="E3078" s="148"/>
      <c r="F3078" s="148"/>
    </row>
    <row r="3079" spans="2:6" x14ac:dyDescent="0.2">
      <c r="B3079" s="115" t="s">
        <v>115</v>
      </c>
      <c r="C3079" s="114">
        <v>117</v>
      </c>
      <c r="D3079" s="147"/>
      <c r="E3079" s="148"/>
      <c r="F3079" s="148"/>
    </row>
    <row r="3080" spans="2:6" x14ac:dyDescent="0.2">
      <c r="B3080" s="198" t="s">
        <v>114</v>
      </c>
      <c r="C3080" s="197">
        <v>89</v>
      </c>
      <c r="D3080" s="147"/>
      <c r="E3080" s="148"/>
      <c r="F3080" s="148"/>
    </row>
    <row r="3081" spans="2:6" x14ac:dyDescent="0.2">
      <c r="B3081" s="198" t="s">
        <v>113</v>
      </c>
      <c r="C3081" s="197">
        <v>333</v>
      </c>
      <c r="D3081" s="147"/>
      <c r="E3081" s="148"/>
      <c r="F3081" s="148"/>
    </row>
    <row r="3082" spans="2:6" x14ac:dyDescent="0.2">
      <c r="B3082" s="115" t="s">
        <v>112</v>
      </c>
      <c r="C3082" s="114">
        <v>1775</v>
      </c>
      <c r="D3082" s="147"/>
      <c r="E3082" s="148"/>
      <c r="F3082" s="148"/>
    </row>
    <row r="3083" spans="2:6" x14ac:dyDescent="0.2">
      <c r="B3083" s="115" t="s">
        <v>111</v>
      </c>
      <c r="C3083" s="114">
        <v>223</v>
      </c>
      <c r="D3083" s="147"/>
      <c r="E3083" s="148"/>
      <c r="F3083" s="148"/>
    </row>
    <row r="3084" spans="2:6" x14ac:dyDescent="0.2">
      <c r="B3084" s="198" t="s">
        <v>110</v>
      </c>
      <c r="C3084" s="197">
        <v>1179</v>
      </c>
      <c r="D3084" s="147"/>
      <c r="E3084" s="148"/>
      <c r="F3084" s="148"/>
    </row>
    <row r="3085" spans="2:6" x14ac:dyDescent="0.2">
      <c r="B3085" s="198" t="s">
        <v>109</v>
      </c>
      <c r="C3085" s="197">
        <v>463</v>
      </c>
      <c r="D3085" s="147"/>
      <c r="E3085" s="148"/>
      <c r="F3085" s="148"/>
    </row>
    <row r="3086" spans="2:6" x14ac:dyDescent="0.2">
      <c r="B3086" s="115" t="s">
        <v>108</v>
      </c>
      <c r="C3086" s="114">
        <v>158</v>
      </c>
      <c r="D3086" s="147"/>
      <c r="E3086" s="148"/>
      <c r="F3086" s="148"/>
    </row>
    <row r="3087" spans="2:6" x14ac:dyDescent="0.2">
      <c r="B3087" s="198" t="s">
        <v>107</v>
      </c>
      <c r="C3087" s="197">
        <v>255</v>
      </c>
      <c r="D3087" s="147"/>
      <c r="E3087" s="148"/>
      <c r="F3087" s="148"/>
    </row>
    <row r="3088" spans="2:6" x14ac:dyDescent="0.2">
      <c r="B3088" s="198" t="s">
        <v>106</v>
      </c>
      <c r="C3088" s="197">
        <v>60</v>
      </c>
      <c r="D3088" s="147"/>
      <c r="E3088" s="148"/>
      <c r="F3088" s="148"/>
    </row>
    <row r="3089" spans="2:6" x14ac:dyDescent="0.2">
      <c r="B3089" s="115" t="s">
        <v>105</v>
      </c>
      <c r="C3089" s="114">
        <v>1095</v>
      </c>
      <c r="D3089" s="147"/>
      <c r="E3089" s="148"/>
      <c r="F3089" s="148"/>
    </row>
    <row r="3090" spans="2:6" x14ac:dyDescent="0.2">
      <c r="B3090" s="198" t="s">
        <v>104</v>
      </c>
      <c r="C3090" s="197">
        <v>1461</v>
      </c>
      <c r="D3090" s="147"/>
      <c r="E3090" s="148"/>
      <c r="F3090" s="148"/>
    </row>
    <row r="3091" spans="2:6" x14ac:dyDescent="0.2">
      <c r="B3091" s="198" t="s">
        <v>103</v>
      </c>
      <c r="C3091" s="197">
        <v>419</v>
      </c>
      <c r="D3091" s="147"/>
      <c r="E3091" s="148"/>
      <c r="F3091" s="148"/>
    </row>
    <row r="3092" spans="2:6" x14ac:dyDescent="0.2">
      <c r="B3092" s="115" t="s">
        <v>102</v>
      </c>
      <c r="C3092" s="114">
        <v>1163</v>
      </c>
      <c r="D3092" s="147"/>
      <c r="E3092" s="148"/>
      <c r="F3092" s="148"/>
    </row>
    <row r="3093" spans="2:6" x14ac:dyDescent="0.2">
      <c r="B3093" s="115" t="s">
        <v>101</v>
      </c>
      <c r="C3093" s="114">
        <v>878</v>
      </c>
      <c r="D3093" s="147"/>
      <c r="E3093" s="148"/>
      <c r="F3093" s="148"/>
    </row>
    <row r="3094" spans="2:6" x14ac:dyDescent="0.2">
      <c r="B3094" s="198" t="s">
        <v>100</v>
      </c>
      <c r="C3094" s="197">
        <v>763</v>
      </c>
      <c r="D3094" s="147"/>
      <c r="E3094" s="148"/>
      <c r="F3094" s="148"/>
    </row>
    <row r="3095" spans="2:6" x14ac:dyDescent="0.2">
      <c r="B3095" s="115" t="s">
        <v>99</v>
      </c>
      <c r="C3095" s="114">
        <v>2471</v>
      </c>
      <c r="D3095" s="147"/>
      <c r="E3095" s="148"/>
      <c r="F3095" s="148"/>
    </row>
    <row r="3096" spans="2:6" x14ac:dyDescent="0.2">
      <c r="B3096" s="198" t="s">
        <v>98</v>
      </c>
      <c r="C3096" s="197">
        <v>103</v>
      </c>
      <c r="D3096" s="147"/>
      <c r="E3096" s="148"/>
      <c r="F3096" s="148"/>
    </row>
    <row r="3097" spans="2:6" x14ac:dyDescent="0.2">
      <c r="B3097" s="198" t="s">
        <v>97</v>
      </c>
      <c r="C3097" s="197">
        <v>393</v>
      </c>
      <c r="D3097" s="147"/>
      <c r="E3097" s="148"/>
      <c r="F3097" s="148"/>
    </row>
    <row r="3098" spans="2:6" x14ac:dyDescent="0.2">
      <c r="B3098" s="115" t="s">
        <v>96</v>
      </c>
      <c r="C3098" s="114">
        <v>636</v>
      </c>
      <c r="D3098" s="147"/>
      <c r="E3098" s="148"/>
      <c r="F3098" s="148"/>
    </row>
    <row r="3099" spans="2:6" x14ac:dyDescent="0.2">
      <c r="B3099" s="198" t="s">
        <v>95</v>
      </c>
      <c r="C3099" s="197">
        <v>120</v>
      </c>
      <c r="D3099" s="147"/>
      <c r="E3099" s="148"/>
      <c r="F3099" s="148"/>
    </row>
    <row r="3100" spans="2:6" x14ac:dyDescent="0.2">
      <c r="B3100" s="198" t="s">
        <v>94</v>
      </c>
      <c r="C3100" s="197">
        <v>452</v>
      </c>
      <c r="D3100" s="147"/>
      <c r="E3100" s="148"/>
      <c r="F3100" s="148"/>
    </row>
    <row r="3101" spans="2:6" x14ac:dyDescent="0.2">
      <c r="B3101" s="198" t="s">
        <v>93</v>
      </c>
      <c r="C3101" s="197">
        <v>460</v>
      </c>
      <c r="D3101" s="147"/>
      <c r="E3101" s="148"/>
      <c r="F3101" s="148"/>
    </row>
    <row r="3102" spans="2:6" x14ac:dyDescent="0.2">
      <c r="B3102" s="115" t="s">
        <v>92</v>
      </c>
      <c r="C3102" s="114">
        <v>282</v>
      </c>
      <c r="D3102" s="147"/>
      <c r="E3102" s="148"/>
      <c r="F3102" s="148"/>
    </row>
    <row r="3103" spans="2:6" x14ac:dyDescent="0.2">
      <c r="B3103" s="198" t="s">
        <v>91</v>
      </c>
      <c r="C3103" s="197">
        <v>440</v>
      </c>
      <c r="D3103" s="147"/>
      <c r="E3103" s="148"/>
      <c r="F3103" s="148"/>
    </row>
    <row r="3104" spans="2:6" x14ac:dyDescent="0.2">
      <c r="B3104" s="115" t="s">
        <v>90</v>
      </c>
      <c r="C3104" s="114">
        <v>3554</v>
      </c>
      <c r="D3104" s="147"/>
      <c r="E3104" s="148"/>
      <c r="F3104" s="148"/>
    </row>
    <row r="3105" spans="2:6" x14ac:dyDescent="0.2">
      <c r="B3105" s="115" t="s">
        <v>89</v>
      </c>
      <c r="C3105" s="114">
        <v>1831</v>
      </c>
      <c r="D3105" s="147"/>
      <c r="E3105" s="148"/>
      <c r="F3105" s="148"/>
    </row>
    <row r="3106" spans="2:6" x14ac:dyDescent="0.2">
      <c r="B3106" s="198" t="s">
        <v>88</v>
      </c>
      <c r="C3106" s="197">
        <v>3650</v>
      </c>
      <c r="D3106" s="147"/>
      <c r="E3106" s="148"/>
      <c r="F3106" s="148"/>
    </row>
    <row r="3107" spans="2:6" x14ac:dyDescent="0.2">
      <c r="B3107" s="115" t="s">
        <v>87</v>
      </c>
      <c r="C3107" s="114">
        <v>196</v>
      </c>
      <c r="D3107" s="147"/>
      <c r="E3107" s="148"/>
      <c r="F3107" s="148"/>
    </row>
    <row r="3108" spans="2:6" x14ac:dyDescent="0.2">
      <c r="B3108" s="115" t="s">
        <v>86</v>
      </c>
      <c r="C3108" s="114">
        <v>352</v>
      </c>
      <c r="D3108" s="147"/>
      <c r="E3108" s="148"/>
      <c r="F3108" s="148"/>
    </row>
    <row r="3109" spans="2:6" x14ac:dyDescent="0.2">
      <c r="B3109" s="198" t="s">
        <v>85</v>
      </c>
      <c r="C3109" s="197">
        <v>1064</v>
      </c>
      <c r="D3109" s="147"/>
      <c r="E3109" s="148"/>
      <c r="F3109" s="148"/>
    </row>
    <row r="3110" spans="2:6" x14ac:dyDescent="0.2">
      <c r="B3110" s="198" t="s">
        <v>84</v>
      </c>
      <c r="C3110" s="197">
        <v>375</v>
      </c>
      <c r="D3110" s="147"/>
      <c r="E3110" s="148"/>
      <c r="F3110" s="148"/>
    </row>
    <row r="3111" spans="2:6" x14ac:dyDescent="0.2">
      <c r="B3111" s="115" t="s">
        <v>83</v>
      </c>
      <c r="C3111" s="114">
        <v>2653</v>
      </c>
      <c r="D3111" s="147"/>
      <c r="E3111" s="148"/>
      <c r="F3111" s="148"/>
    </row>
    <row r="3112" spans="2:6" x14ac:dyDescent="0.2">
      <c r="B3112" s="115" t="s">
        <v>82</v>
      </c>
      <c r="C3112" s="114">
        <v>233</v>
      </c>
      <c r="D3112" s="147"/>
      <c r="E3112" s="148"/>
      <c r="F3112" s="148"/>
    </row>
    <row r="3113" spans="2:6" x14ac:dyDescent="0.2">
      <c r="B3113" s="115" t="s">
        <v>81</v>
      </c>
      <c r="C3113" s="114">
        <v>1649</v>
      </c>
      <c r="D3113" s="147"/>
      <c r="E3113" s="148"/>
      <c r="F3113" s="148"/>
    </row>
    <row r="3114" spans="2:6" x14ac:dyDescent="0.2">
      <c r="B3114" s="198" t="s">
        <v>80</v>
      </c>
      <c r="C3114" s="197">
        <v>596</v>
      </c>
      <c r="D3114" s="147"/>
      <c r="E3114" s="148"/>
      <c r="F3114" s="148"/>
    </row>
    <row r="3115" spans="2:6" x14ac:dyDescent="0.2">
      <c r="B3115" s="115" t="s">
        <v>79</v>
      </c>
      <c r="C3115" s="114">
        <v>671</v>
      </c>
      <c r="D3115" s="147"/>
      <c r="E3115" s="148"/>
      <c r="F3115" s="148"/>
    </row>
    <row r="3116" spans="2:6" x14ac:dyDescent="0.2">
      <c r="B3116" s="198" t="s">
        <v>78</v>
      </c>
      <c r="C3116" s="197">
        <v>368</v>
      </c>
      <c r="D3116" s="147"/>
      <c r="E3116" s="148"/>
      <c r="F3116" s="148"/>
    </row>
    <row r="3117" spans="2:6" x14ac:dyDescent="0.2">
      <c r="B3117" s="115" t="s">
        <v>77</v>
      </c>
      <c r="C3117" s="114">
        <v>1026</v>
      </c>
      <c r="D3117" s="147"/>
      <c r="E3117" s="148"/>
      <c r="F3117" s="148"/>
    </row>
    <row r="3118" spans="2:6" x14ac:dyDescent="0.2">
      <c r="B3118" s="198" t="s">
        <v>76</v>
      </c>
      <c r="C3118" s="197">
        <v>455</v>
      </c>
      <c r="D3118" s="147"/>
      <c r="E3118" s="148"/>
      <c r="F3118" s="148"/>
    </row>
    <row r="3119" spans="2:6" x14ac:dyDescent="0.2">
      <c r="B3119" s="198" t="s">
        <v>75</v>
      </c>
      <c r="C3119" s="197">
        <v>53960</v>
      </c>
      <c r="D3119" s="147"/>
      <c r="E3119" s="148"/>
      <c r="F3119" s="148"/>
    </row>
    <row r="3120" spans="2:6" x14ac:dyDescent="0.2">
      <c r="B3120" s="198" t="s">
        <v>74</v>
      </c>
      <c r="C3120" s="197">
        <v>243</v>
      </c>
      <c r="D3120" s="147"/>
      <c r="E3120" s="148"/>
      <c r="F3120" s="148"/>
    </row>
    <row r="3121" spans="2:6" x14ac:dyDescent="0.2">
      <c r="B3121" s="115" t="s">
        <v>73</v>
      </c>
      <c r="C3121" s="114">
        <v>410</v>
      </c>
      <c r="D3121" s="147"/>
      <c r="E3121" s="148"/>
      <c r="F3121" s="148"/>
    </row>
    <row r="3122" spans="2:6" x14ac:dyDescent="0.2">
      <c r="B3122" s="115" t="s">
        <v>72</v>
      </c>
      <c r="C3122" s="114">
        <v>1168</v>
      </c>
      <c r="D3122" s="147"/>
      <c r="E3122" s="148"/>
      <c r="F3122" s="148"/>
    </row>
    <row r="3123" spans="2:6" x14ac:dyDescent="0.2">
      <c r="B3123" s="115" t="s">
        <v>71</v>
      </c>
      <c r="C3123" s="114">
        <v>352</v>
      </c>
      <c r="D3123" s="147"/>
      <c r="E3123" s="148"/>
      <c r="F3123" s="148"/>
    </row>
    <row r="3124" spans="2:6" x14ac:dyDescent="0.2">
      <c r="B3124" s="198" t="s">
        <v>70</v>
      </c>
      <c r="C3124" s="197">
        <v>88</v>
      </c>
      <c r="D3124" s="147"/>
      <c r="E3124" s="148"/>
      <c r="F3124" s="148"/>
    </row>
    <row r="3125" spans="2:6" x14ac:dyDescent="0.2">
      <c r="B3125" s="198" t="s">
        <v>69</v>
      </c>
      <c r="C3125" s="197">
        <v>338</v>
      </c>
      <c r="D3125" s="147"/>
      <c r="E3125" s="148"/>
      <c r="F3125" s="148"/>
    </row>
    <row r="3126" spans="2:6" x14ac:dyDescent="0.2">
      <c r="B3126" s="115" t="s">
        <v>68</v>
      </c>
      <c r="C3126" s="114">
        <v>2375</v>
      </c>
      <c r="D3126" s="147"/>
      <c r="E3126" s="148"/>
      <c r="F3126" s="148"/>
    </row>
    <row r="3127" spans="2:6" x14ac:dyDescent="0.2">
      <c r="B3127" s="115" t="s">
        <v>67</v>
      </c>
      <c r="C3127" s="114">
        <v>2805</v>
      </c>
      <c r="D3127" s="147"/>
      <c r="E3127" s="148"/>
      <c r="F3127" s="148"/>
    </row>
    <row r="3128" spans="2:6" x14ac:dyDescent="0.2">
      <c r="B3128" s="115" t="s">
        <v>66</v>
      </c>
      <c r="C3128" s="114">
        <v>38</v>
      </c>
      <c r="D3128" s="147"/>
      <c r="E3128" s="148"/>
      <c r="F3128" s="148"/>
    </row>
    <row r="3129" spans="2:6" x14ac:dyDescent="0.2">
      <c r="B3129" s="115" t="s">
        <v>65</v>
      </c>
      <c r="C3129" s="114">
        <v>2698</v>
      </c>
      <c r="D3129" s="147"/>
      <c r="E3129" s="148"/>
      <c r="F3129" s="148"/>
    </row>
    <row r="3130" spans="2:6" x14ac:dyDescent="0.2">
      <c r="B3130" s="198" t="s">
        <v>64</v>
      </c>
      <c r="C3130" s="197">
        <v>62</v>
      </c>
      <c r="D3130" s="147"/>
      <c r="E3130" s="148"/>
      <c r="F3130" s="148"/>
    </row>
    <row r="3131" spans="2:6" x14ac:dyDescent="0.2">
      <c r="B3131" s="198" t="s">
        <v>63</v>
      </c>
      <c r="C3131" s="197">
        <v>196</v>
      </c>
      <c r="D3131" s="147"/>
      <c r="E3131" s="148"/>
      <c r="F3131" s="148"/>
    </row>
    <row r="3132" spans="2:6" x14ac:dyDescent="0.2">
      <c r="B3132" s="198" t="s">
        <v>62</v>
      </c>
      <c r="C3132" s="197">
        <v>132</v>
      </c>
      <c r="D3132" s="147"/>
      <c r="E3132" s="148"/>
      <c r="F3132" s="148"/>
    </row>
    <row r="3133" spans="2:6" x14ac:dyDescent="0.2">
      <c r="B3133" s="198" t="s">
        <v>61</v>
      </c>
      <c r="C3133" s="197">
        <v>491</v>
      </c>
      <c r="D3133" s="147"/>
      <c r="E3133" s="148"/>
      <c r="F3133" s="148"/>
    </row>
    <row r="3134" spans="2:6" x14ac:dyDescent="0.2">
      <c r="B3134" s="115" t="s">
        <v>60</v>
      </c>
      <c r="C3134" s="114">
        <v>920</v>
      </c>
      <c r="D3134" s="147"/>
      <c r="E3134" s="148"/>
      <c r="F3134" s="148"/>
    </row>
    <row r="3135" spans="2:6" x14ac:dyDescent="0.2">
      <c r="B3135" s="115" t="s">
        <v>59</v>
      </c>
      <c r="C3135" s="114">
        <v>138</v>
      </c>
      <c r="D3135" s="147"/>
      <c r="E3135" s="148"/>
      <c r="F3135" s="148"/>
    </row>
    <row r="3136" spans="2:6" x14ac:dyDescent="0.2">
      <c r="B3136" s="115" t="s">
        <v>58</v>
      </c>
      <c r="C3136" s="114">
        <v>808</v>
      </c>
      <c r="D3136" s="147"/>
      <c r="E3136" s="148"/>
      <c r="F3136" s="148"/>
    </row>
    <row r="3137" spans="2:6" x14ac:dyDescent="0.2">
      <c r="B3137" s="198" t="s">
        <v>57</v>
      </c>
      <c r="C3137" s="197">
        <v>5665</v>
      </c>
      <c r="D3137" s="147"/>
      <c r="E3137" s="148"/>
      <c r="F3137" s="148"/>
    </row>
    <row r="3138" spans="2:6" x14ac:dyDescent="0.2">
      <c r="B3138" s="198" t="s">
        <v>56</v>
      </c>
      <c r="C3138" s="197">
        <v>403</v>
      </c>
      <c r="D3138" s="147"/>
      <c r="E3138" s="148"/>
      <c r="F3138" s="148"/>
    </row>
    <row r="3139" spans="2:6" x14ac:dyDescent="0.2">
      <c r="B3139" s="115" t="s">
        <v>55</v>
      </c>
      <c r="C3139" s="114">
        <v>1015</v>
      </c>
      <c r="D3139" s="147"/>
      <c r="E3139" s="148"/>
      <c r="F3139" s="148"/>
    </row>
    <row r="3140" spans="2:6" x14ac:dyDescent="0.2">
      <c r="B3140" s="115" t="s">
        <v>54</v>
      </c>
      <c r="C3140" s="114">
        <v>291</v>
      </c>
      <c r="D3140" s="147"/>
      <c r="E3140" s="148"/>
      <c r="F3140" s="148"/>
    </row>
    <row r="3141" spans="2:6" x14ac:dyDescent="0.2">
      <c r="B3141" s="198" t="s">
        <v>53</v>
      </c>
      <c r="C3141" s="197">
        <v>737</v>
      </c>
      <c r="D3141" s="147"/>
      <c r="E3141" s="148"/>
      <c r="F3141" s="148"/>
    </row>
    <row r="3142" spans="2:6" x14ac:dyDescent="0.2">
      <c r="B3142" s="198" t="s">
        <v>52</v>
      </c>
      <c r="C3142" s="197">
        <v>256</v>
      </c>
      <c r="D3142" s="147"/>
      <c r="E3142" s="148"/>
      <c r="F3142" s="148"/>
    </row>
    <row r="3143" spans="2:6" x14ac:dyDescent="0.2">
      <c r="B3143" s="198" t="s">
        <v>51</v>
      </c>
      <c r="C3143" s="197">
        <v>62</v>
      </c>
      <c r="D3143" s="147"/>
      <c r="E3143" s="148"/>
      <c r="F3143" s="148"/>
    </row>
    <row r="3144" spans="2:6" x14ac:dyDescent="0.2">
      <c r="B3144" s="115" t="s">
        <v>50</v>
      </c>
      <c r="C3144" s="114">
        <v>936</v>
      </c>
      <c r="D3144" s="147"/>
      <c r="E3144" s="148"/>
      <c r="F3144" s="148"/>
    </row>
    <row r="3145" spans="2:6" x14ac:dyDescent="0.2">
      <c r="B3145" s="198" t="s">
        <v>49</v>
      </c>
      <c r="C3145" s="197">
        <v>36</v>
      </c>
      <c r="D3145" s="147"/>
      <c r="E3145" s="148"/>
      <c r="F3145" s="148"/>
    </row>
    <row r="3146" spans="2:6" x14ac:dyDescent="0.2">
      <c r="B3146" s="198" t="s">
        <v>48</v>
      </c>
      <c r="C3146" s="197">
        <v>195</v>
      </c>
      <c r="D3146" s="147"/>
      <c r="E3146" s="148"/>
      <c r="F3146" s="148"/>
    </row>
    <row r="3147" spans="2:6" x14ac:dyDescent="0.2">
      <c r="B3147" s="198" t="s">
        <v>47</v>
      </c>
      <c r="C3147" s="197">
        <v>612</v>
      </c>
      <c r="D3147" s="147"/>
      <c r="E3147" s="148"/>
      <c r="F3147" s="148"/>
    </row>
    <row r="3148" spans="2:6" x14ac:dyDescent="0.2">
      <c r="B3148" s="115" t="s">
        <v>46</v>
      </c>
      <c r="C3148" s="114">
        <v>102</v>
      </c>
      <c r="D3148" s="147"/>
      <c r="E3148" s="148"/>
      <c r="F3148" s="148"/>
    </row>
    <row r="3149" spans="2:6" x14ac:dyDescent="0.2">
      <c r="B3149" s="198" t="s">
        <v>45</v>
      </c>
      <c r="C3149" s="197">
        <v>841</v>
      </c>
      <c r="D3149" s="147"/>
      <c r="E3149" s="148"/>
      <c r="F3149" s="148"/>
    </row>
    <row r="3150" spans="2:6" x14ac:dyDescent="0.2">
      <c r="B3150" s="115" t="s">
        <v>44</v>
      </c>
      <c r="C3150" s="114">
        <v>322</v>
      </c>
      <c r="D3150" s="147"/>
      <c r="E3150" s="148"/>
      <c r="F3150" s="148"/>
    </row>
    <row r="3151" spans="2:6" x14ac:dyDescent="0.2">
      <c r="B3151" s="198" t="s">
        <v>43</v>
      </c>
      <c r="C3151" s="197">
        <v>178</v>
      </c>
      <c r="D3151" s="147"/>
      <c r="E3151" s="148"/>
      <c r="F3151" s="148"/>
    </row>
    <row r="3152" spans="2:6" x14ac:dyDescent="0.2">
      <c r="B3152" s="198" t="s">
        <v>42</v>
      </c>
      <c r="C3152" s="197">
        <v>2708</v>
      </c>
      <c r="D3152" s="147"/>
      <c r="E3152" s="148"/>
      <c r="F3152" s="148"/>
    </row>
    <row r="3153" spans="2:6" x14ac:dyDescent="0.2">
      <c r="B3153" s="115" t="s">
        <v>41</v>
      </c>
      <c r="C3153" s="114">
        <v>2235</v>
      </c>
      <c r="D3153" s="147"/>
      <c r="E3153" s="148"/>
      <c r="F3153" s="148"/>
    </row>
    <row r="3154" spans="2:6" x14ac:dyDescent="0.2">
      <c r="B3154" s="115" t="s">
        <v>40</v>
      </c>
      <c r="C3154" s="114">
        <v>980</v>
      </c>
      <c r="D3154" s="147"/>
      <c r="E3154" s="148"/>
      <c r="F3154" s="148"/>
    </row>
    <row r="3155" spans="2:6" x14ac:dyDescent="0.2">
      <c r="B3155" s="115" t="s">
        <v>39</v>
      </c>
      <c r="C3155" s="114">
        <v>452</v>
      </c>
      <c r="D3155" s="147"/>
      <c r="E3155" s="148"/>
      <c r="F3155" s="148"/>
    </row>
    <row r="3156" spans="2:6" x14ac:dyDescent="0.2">
      <c r="B3156" s="198" t="s">
        <v>38</v>
      </c>
      <c r="C3156" s="197">
        <v>258</v>
      </c>
      <c r="D3156" s="147"/>
      <c r="E3156" s="148"/>
      <c r="F3156" s="148"/>
    </row>
    <row r="3157" spans="2:6" x14ac:dyDescent="0.2">
      <c r="B3157" s="198" t="s">
        <v>37</v>
      </c>
      <c r="C3157" s="197">
        <v>62</v>
      </c>
      <c r="D3157" s="147"/>
      <c r="E3157" s="148"/>
      <c r="F3157" s="148"/>
    </row>
    <row r="3158" spans="2:6" x14ac:dyDescent="0.2">
      <c r="B3158" s="198" t="s">
        <v>36</v>
      </c>
      <c r="C3158" s="197">
        <v>1307</v>
      </c>
      <c r="D3158" s="147"/>
      <c r="E3158" s="148"/>
      <c r="F3158" s="148"/>
    </row>
    <row r="3159" spans="2:6" x14ac:dyDescent="0.2">
      <c r="B3159" s="198" t="s">
        <v>35</v>
      </c>
      <c r="C3159" s="197">
        <v>541</v>
      </c>
      <c r="D3159" s="147"/>
      <c r="E3159" s="148"/>
      <c r="F3159" s="148"/>
    </row>
    <row r="3160" spans="2:6" x14ac:dyDescent="0.2">
      <c r="B3160" s="115" t="s">
        <v>34</v>
      </c>
      <c r="C3160" s="114">
        <v>413</v>
      </c>
      <c r="D3160" s="147"/>
      <c r="E3160" s="148"/>
      <c r="F3160" s="148"/>
    </row>
    <row r="3161" spans="2:6" x14ac:dyDescent="0.2">
      <c r="B3161" s="115" t="s">
        <v>33</v>
      </c>
      <c r="C3161" s="114">
        <v>822</v>
      </c>
      <c r="D3161" s="147"/>
      <c r="E3161" s="148"/>
      <c r="F3161" s="148"/>
    </row>
    <row r="3162" spans="2:6" x14ac:dyDescent="0.2">
      <c r="B3162" s="198" t="s">
        <v>32</v>
      </c>
      <c r="C3162" s="197">
        <v>337</v>
      </c>
      <c r="D3162" s="147"/>
      <c r="E3162" s="148"/>
      <c r="F3162" s="148"/>
    </row>
    <row r="3163" spans="2:6" x14ac:dyDescent="0.2">
      <c r="B3163" s="198" t="s">
        <v>31</v>
      </c>
      <c r="C3163" s="197">
        <v>359</v>
      </c>
      <c r="D3163" s="147"/>
      <c r="E3163" s="148"/>
      <c r="F3163" s="148"/>
    </row>
    <row r="3164" spans="2:6" x14ac:dyDescent="0.2">
      <c r="B3164" s="115" t="s">
        <v>30</v>
      </c>
      <c r="C3164" s="114">
        <v>525</v>
      </c>
      <c r="D3164" s="147"/>
      <c r="E3164" s="148"/>
      <c r="F3164" s="148"/>
    </row>
    <row r="3165" spans="2:6" x14ac:dyDescent="0.2">
      <c r="B3165" s="198" t="s">
        <v>29</v>
      </c>
      <c r="C3165" s="197">
        <v>6371</v>
      </c>
      <c r="D3165" s="147"/>
      <c r="E3165" s="148"/>
      <c r="F3165" s="148"/>
    </row>
    <row r="3166" spans="2:6" x14ac:dyDescent="0.2">
      <c r="B3166" s="198" t="s">
        <v>28</v>
      </c>
      <c r="C3166" s="197">
        <v>242</v>
      </c>
      <c r="D3166" s="147"/>
      <c r="E3166" s="148"/>
      <c r="F3166" s="148"/>
    </row>
    <row r="3167" spans="2:6" x14ac:dyDescent="0.2">
      <c r="B3167" s="115" t="s">
        <v>27</v>
      </c>
      <c r="C3167" s="114">
        <v>1790</v>
      </c>
      <c r="D3167" s="147"/>
      <c r="E3167" s="148"/>
      <c r="F3167" s="148"/>
    </row>
    <row r="3168" spans="2:6" x14ac:dyDescent="0.2">
      <c r="B3168" s="198" t="s">
        <v>26</v>
      </c>
      <c r="C3168" s="197">
        <v>442</v>
      </c>
      <c r="D3168" s="147"/>
      <c r="E3168" s="148"/>
      <c r="F3168" s="148"/>
    </row>
    <row r="3169" spans="2:6" x14ac:dyDescent="0.2">
      <c r="B3169" s="198" t="s">
        <v>25</v>
      </c>
      <c r="C3169" s="197">
        <v>1485</v>
      </c>
      <c r="D3169" s="147"/>
      <c r="E3169" s="148"/>
      <c r="F3169" s="148"/>
    </row>
    <row r="3170" spans="2:6" x14ac:dyDescent="0.2">
      <c r="B3170" s="115" t="s">
        <v>24</v>
      </c>
      <c r="C3170" s="114">
        <v>1388</v>
      </c>
      <c r="D3170" s="147"/>
      <c r="E3170" s="148"/>
      <c r="F3170" s="148"/>
    </row>
    <row r="3171" spans="2:6" x14ac:dyDescent="0.2">
      <c r="B3171" s="115" t="s">
        <v>23</v>
      </c>
      <c r="C3171" s="114">
        <v>5866</v>
      </c>
      <c r="D3171" s="147"/>
      <c r="E3171" s="148"/>
      <c r="F3171" s="148"/>
    </row>
    <row r="3172" spans="2:6" x14ac:dyDescent="0.2">
      <c r="B3172" s="115" t="s">
        <v>22</v>
      </c>
      <c r="C3172" s="114">
        <v>2362</v>
      </c>
      <c r="D3172" s="147"/>
      <c r="E3172" s="148"/>
      <c r="F3172" s="148"/>
    </row>
    <row r="3173" spans="2:6" x14ac:dyDescent="0.2">
      <c r="B3173" s="198" t="s">
        <v>21</v>
      </c>
      <c r="C3173" s="197">
        <v>647</v>
      </c>
      <c r="D3173" s="147"/>
      <c r="E3173" s="148"/>
      <c r="F3173" s="148"/>
    </row>
    <row r="3174" spans="2:6" x14ac:dyDescent="0.2">
      <c r="B3174" s="115" t="s">
        <v>20</v>
      </c>
      <c r="C3174" s="114">
        <v>346</v>
      </c>
      <c r="D3174" s="147"/>
      <c r="E3174" s="148"/>
      <c r="F3174" s="148"/>
    </row>
    <row r="3175" spans="2:6" x14ac:dyDescent="0.2">
      <c r="B3175" s="115" t="s">
        <v>19</v>
      </c>
      <c r="C3175" s="114">
        <v>126</v>
      </c>
      <c r="D3175" s="147"/>
      <c r="E3175" s="148"/>
      <c r="F3175" s="148"/>
    </row>
    <row r="3176" spans="2:6" x14ac:dyDescent="0.2">
      <c r="B3176" s="198" t="s">
        <v>18</v>
      </c>
      <c r="C3176" s="197">
        <v>217</v>
      </c>
      <c r="D3176" s="147"/>
      <c r="E3176" s="148"/>
      <c r="F3176" s="148"/>
    </row>
    <row r="3177" spans="2:6" x14ac:dyDescent="0.2">
      <c r="B3177" s="198" t="s">
        <v>17</v>
      </c>
      <c r="C3177" s="197">
        <v>198</v>
      </c>
      <c r="D3177" s="147"/>
      <c r="E3177" s="148"/>
      <c r="F3177" s="148"/>
    </row>
    <row r="3178" spans="2:6" x14ac:dyDescent="0.2">
      <c r="B3178" s="198" t="s">
        <v>16</v>
      </c>
      <c r="C3178" s="197">
        <v>453</v>
      </c>
      <c r="D3178" s="147"/>
      <c r="E3178" s="148"/>
      <c r="F3178" s="148"/>
    </row>
    <row r="3179" spans="2:6" x14ac:dyDescent="0.2">
      <c r="B3179" s="115" t="s">
        <v>15</v>
      </c>
      <c r="C3179" s="114">
        <v>438</v>
      </c>
      <c r="D3179" s="147"/>
      <c r="E3179" s="148"/>
      <c r="F3179" s="148"/>
    </row>
    <row r="3180" spans="2:6" x14ac:dyDescent="0.2">
      <c r="B3180" s="115" t="s">
        <v>14</v>
      </c>
      <c r="C3180" s="114">
        <v>106</v>
      </c>
      <c r="D3180" s="147"/>
      <c r="E3180" s="148"/>
      <c r="F3180" s="148"/>
    </row>
    <row r="3181" spans="2:6" x14ac:dyDescent="0.2">
      <c r="B3181" s="115" t="s">
        <v>13</v>
      </c>
      <c r="C3181" s="114">
        <v>813</v>
      </c>
      <c r="D3181" s="147"/>
      <c r="E3181" s="148"/>
      <c r="F3181" s="148"/>
    </row>
    <row r="3182" spans="2:6" x14ac:dyDescent="0.2">
      <c r="B3182" s="115" t="s">
        <v>12</v>
      </c>
      <c r="C3182" s="114">
        <v>3417</v>
      </c>
      <c r="D3182" s="147"/>
      <c r="E3182" s="148"/>
      <c r="F3182" s="148"/>
    </row>
    <row r="3183" spans="2:6" x14ac:dyDescent="0.2">
      <c r="B3183" s="115" t="s">
        <v>11</v>
      </c>
      <c r="C3183" s="114">
        <v>243</v>
      </c>
      <c r="D3183" s="147"/>
      <c r="E3183" s="148"/>
      <c r="F3183" s="148"/>
    </row>
    <row r="3184" spans="2:6" x14ac:dyDescent="0.2">
      <c r="B3184" s="198" t="s">
        <v>10</v>
      </c>
      <c r="C3184" s="197">
        <v>578</v>
      </c>
      <c r="D3184" s="147"/>
      <c r="E3184" s="148"/>
      <c r="F3184" s="148"/>
    </row>
  </sheetData>
  <sortState xmlns:xlrd2="http://schemas.microsoft.com/office/spreadsheetml/2017/richdata2" ref="B8:F3184">
    <sortCondition ref="B7:B3184"/>
  </sortState>
  <mergeCells count="4">
    <mergeCell ref="B2:Q2"/>
    <mergeCell ref="B4:Q4"/>
    <mergeCell ref="J7:K7"/>
    <mergeCell ref="J18:K1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21"/>
  </sheetPr>
  <dimension ref="B1:J118"/>
  <sheetViews>
    <sheetView zoomScaleNormal="100" workbookViewId="0"/>
  </sheetViews>
  <sheetFormatPr defaultColWidth="9.140625" defaultRowHeight="13.5" customHeight="1" x14ac:dyDescent="0.25"/>
  <cols>
    <col min="1" max="1" width="2.5703125" style="26" customWidth="1"/>
    <col min="2" max="5" width="16.7109375" style="26" customWidth="1"/>
    <col min="6" max="16384" width="9.140625" style="26"/>
  </cols>
  <sheetData>
    <row r="1" spans="2:10" customFormat="1" ht="13.5" customHeight="1" thickBot="1" x14ac:dyDescent="0.25"/>
    <row r="2" spans="2:10" customFormat="1" ht="27" customHeight="1" thickBot="1" x14ac:dyDescent="0.25">
      <c r="B2" s="244" t="s">
        <v>3199</v>
      </c>
      <c r="C2" s="245"/>
      <c r="D2" s="245"/>
      <c r="E2" s="245"/>
      <c r="F2" s="245"/>
      <c r="G2" s="245"/>
      <c r="H2" s="245"/>
      <c r="I2" s="246"/>
      <c r="J2" s="4"/>
    </row>
    <row r="3" spans="2:10" customFormat="1" ht="13.5" customHeight="1" thickBot="1" x14ac:dyDescent="0.25"/>
    <row r="4" spans="2:10" customFormat="1" ht="28.5" customHeight="1" thickBot="1" x14ac:dyDescent="0.25">
      <c r="B4" s="25" t="s">
        <v>3193</v>
      </c>
      <c r="C4" s="9" t="s">
        <v>3198</v>
      </c>
      <c r="D4" s="9" t="s">
        <v>3197</v>
      </c>
      <c r="E4" s="3" t="s">
        <v>3196</v>
      </c>
    </row>
    <row r="5" spans="2:10" customFormat="1" ht="13.5" customHeight="1" x14ac:dyDescent="0.2">
      <c r="B5" s="38" t="s">
        <v>3192</v>
      </c>
      <c r="C5" s="46">
        <v>6</v>
      </c>
      <c r="D5" s="45">
        <v>35</v>
      </c>
      <c r="E5" s="45">
        <v>68</v>
      </c>
    </row>
    <row r="6" spans="2:10" customFormat="1" ht="13.5" customHeight="1" x14ac:dyDescent="0.2">
      <c r="B6" s="40" t="s">
        <v>3191</v>
      </c>
      <c r="C6" s="48">
        <v>17</v>
      </c>
      <c r="D6" s="47">
        <v>240</v>
      </c>
      <c r="E6" s="47">
        <v>875</v>
      </c>
    </row>
    <row r="7" spans="2:10" customFormat="1" ht="13.5" customHeight="1" x14ac:dyDescent="0.2">
      <c r="B7" s="38" t="s">
        <v>3190</v>
      </c>
      <c r="C7" s="46">
        <v>22</v>
      </c>
      <c r="D7" s="45">
        <v>557</v>
      </c>
      <c r="E7" s="45">
        <v>2675</v>
      </c>
    </row>
    <row r="8" spans="2:10" customFormat="1" ht="13.5" customHeight="1" x14ac:dyDescent="0.2">
      <c r="B8" s="40" t="s">
        <v>3189</v>
      </c>
      <c r="C8" s="48">
        <v>32</v>
      </c>
      <c r="D8" s="47">
        <v>1416</v>
      </c>
      <c r="E8" s="47">
        <v>7890</v>
      </c>
    </row>
    <row r="9" spans="2:10" customFormat="1" ht="13.5" customHeight="1" x14ac:dyDescent="0.2">
      <c r="B9" s="38" t="s">
        <v>3188</v>
      </c>
      <c r="C9" s="46">
        <v>21</v>
      </c>
      <c r="D9" s="45">
        <v>940</v>
      </c>
      <c r="E9" s="45">
        <v>9874</v>
      </c>
    </row>
    <row r="10" spans="2:10" customFormat="1" ht="13.5" customHeight="1" thickBot="1" x14ac:dyDescent="0.25">
      <c r="B10" s="35" t="s">
        <v>3187</v>
      </c>
      <c r="C10" s="44">
        <v>2</v>
      </c>
      <c r="D10" s="43">
        <v>141</v>
      </c>
      <c r="E10" s="43">
        <v>1658</v>
      </c>
    </row>
    <row r="11" spans="2:10" customFormat="1" ht="13.5" customHeight="1" thickBot="1" x14ac:dyDescent="0.25">
      <c r="B11" s="32" t="s">
        <v>4</v>
      </c>
      <c r="C11" s="42">
        <f>SUM(C5:C10)</f>
        <v>100</v>
      </c>
      <c r="D11" s="41">
        <f>SUM(D5:D10)</f>
        <v>3329</v>
      </c>
      <c r="E11" s="41">
        <f>SUM(E5:E10)</f>
        <v>23040</v>
      </c>
    </row>
    <row r="12" spans="2:10" customFormat="1" ht="13.5" customHeight="1" thickBot="1" x14ac:dyDescent="0.25"/>
    <row r="13" spans="2:10" customFormat="1" thickBot="1" x14ac:dyDescent="0.25">
      <c r="B13" s="244" t="s">
        <v>3195</v>
      </c>
      <c r="C13" s="245"/>
      <c r="D13" s="245"/>
      <c r="E13" s="245"/>
      <c r="F13" s="245"/>
      <c r="G13" s="245"/>
      <c r="H13" s="245"/>
      <c r="I13" s="246"/>
      <c r="J13" s="4"/>
    </row>
    <row r="14" spans="2:10" s="1" customFormat="1" ht="13.5" customHeight="1" thickBot="1" x14ac:dyDescent="0.25">
      <c r="B14" s="2"/>
      <c r="C14" s="2"/>
      <c r="D14" s="2"/>
      <c r="E14" s="2"/>
      <c r="F14" s="2"/>
      <c r="G14" s="2"/>
      <c r="H14" s="2"/>
      <c r="I14" s="2"/>
    </row>
    <row r="15" spans="2:10" customFormat="1" ht="13.5" customHeight="1" thickBot="1" x14ac:dyDescent="0.25"/>
    <row r="16" spans="2:10" customFormat="1" ht="14.25" customHeight="1" thickBot="1" x14ac:dyDescent="0.25">
      <c r="D16" s="247" t="s">
        <v>3194</v>
      </c>
      <c r="E16" s="248"/>
    </row>
    <row r="17" spans="2:10" ht="27.75" customHeight="1" thickBot="1" x14ac:dyDescent="0.3">
      <c r="B17" s="25" t="s">
        <v>3193</v>
      </c>
      <c r="C17" s="6" t="s">
        <v>6</v>
      </c>
      <c r="D17" s="21" t="s">
        <v>3184</v>
      </c>
      <c r="E17" s="7" t="s">
        <v>3183</v>
      </c>
      <c r="F17" s="27"/>
      <c r="G17" s="27"/>
      <c r="H17" s="27"/>
      <c r="I17" s="27"/>
    </row>
    <row r="18" spans="2:10" ht="13.5" customHeight="1" x14ac:dyDescent="0.25">
      <c r="B18" s="38" t="s">
        <v>3192</v>
      </c>
      <c r="C18" s="37"/>
      <c r="D18" s="28"/>
      <c r="E18" s="28"/>
      <c r="F18" s="27"/>
      <c r="G18" s="27"/>
      <c r="H18" s="27"/>
      <c r="I18" s="27"/>
    </row>
    <row r="19" spans="2:10" ht="13.5" customHeight="1" x14ac:dyDescent="0.25">
      <c r="B19" s="40" t="s">
        <v>3191</v>
      </c>
      <c r="C19" s="39"/>
      <c r="D19" s="36"/>
      <c r="E19" s="36"/>
      <c r="F19" s="27"/>
      <c r="G19" s="27"/>
      <c r="H19" s="27"/>
      <c r="I19" s="27"/>
    </row>
    <row r="20" spans="2:10" ht="13.5" customHeight="1" x14ac:dyDescent="0.25">
      <c r="B20" s="38" t="s">
        <v>3190</v>
      </c>
      <c r="C20" s="37"/>
      <c r="D20" s="36"/>
      <c r="E20" s="36"/>
      <c r="F20" s="27"/>
      <c r="G20" s="27"/>
      <c r="H20" s="27"/>
      <c r="I20" s="27"/>
    </row>
    <row r="21" spans="2:10" ht="13.5" customHeight="1" x14ac:dyDescent="0.25">
      <c r="B21" s="40" t="s">
        <v>3189</v>
      </c>
      <c r="C21" s="39"/>
      <c r="D21" s="36"/>
      <c r="E21" s="36"/>
      <c r="F21" s="27"/>
      <c r="G21" s="27"/>
      <c r="H21" s="27"/>
      <c r="I21" s="27"/>
    </row>
    <row r="22" spans="2:10" ht="13.5" customHeight="1" x14ac:dyDescent="0.25">
      <c r="B22" s="38" t="s">
        <v>3188</v>
      </c>
      <c r="C22" s="37"/>
      <c r="D22" s="36"/>
      <c r="E22" s="36"/>
      <c r="F22" s="27"/>
      <c r="G22" s="27"/>
      <c r="H22" s="27"/>
      <c r="I22" s="27"/>
    </row>
    <row r="23" spans="2:10" ht="13.5" customHeight="1" thickBot="1" x14ac:dyDescent="0.3">
      <c r="B23" s="35" t="s">
        <v>3187</v>
      </c>
      <c r="C23" s="34"/>
      <c r="D23" s="33"/>
      <c r="E23" s="33"/>
      <c r="F23" s="27"/>
      <c r="G23" s="27"/>
      <c r="H23" s="27"/>
      <c r="I23" s="27"/>
    </row>
    <row r="24" spans="2:10" ht="13.5" customHeight="1" thickBot="1" x14ac:dyDescent="0.3">
      <c r="B24" s="32" t="s">
        <v>4</v>
      </c>
      <c r="C24" s="31"/>
      <c r="D24" s="30"/>
      <c r="E24" s="30"/>
      <c r="F24" s="27"/>
      <c r="G24" s="27"/>
      <c r="H24" s="27"/>
      <c r="I24" s="27"/>
    </row>
    <row r="25" spans="2:10" ht="13.5" customHeight="1" thickBot="1" x14ac:dyDescent="0.3">
      <c r="B25" s="27"/>
      <c r="C25" s="27"/>
      <c r="D25" s="27"/>
      <c r="E25" s="27"/>
      <c r="F25" s="27"/>
      <c r="G25" s="27"/>
      <c r="H25" s="27"/>
      <c r="I25" s="27"/>
      <c r="J25" s="27"/>
    </row>
    <row r="26" spans="2:10" ht="14.25" customHeight="1" thickBot="1" x14ac:dyDescent="0.3">
      <c r="B26" s="27"/>
      <c r="C26" s="247" t="s">
        <v>3186</v>
      </c>
      <c r="D26" s="248"/>
      <c r="E26" s="27"/>
      <c r="F26" s="27"/>
      <c r="G26" s="27"/>
      <c r="H26" s="27"/>
      <c r="I26" s="27"/>
      <c r="J26" s="27"/>
    </row>
    <row r="27" spans="2:10" ht="14.25" customHeight="1" thickBot="1" x14ac:dyDescent="0.3">
      <c r="B27" s="29" t="s">
        <v>3185</v>
      </c>
      <c r="C27" s="21" t="s">
        <v>3184</v>
      </c>
      <c r="D27" s="7" t="s">
        <v>3183</v>
      </c>
      <c r="H27" s="27"/>
      <c r="I27" s="27"/>
      <c r="J27" s="27"/>
    </row>
    <row r="28" spans="2:10" ht="14.25" customHeight="1" x14ac:dyDescent="0.25">
      <c r="B28" s="28"/>
      <c r="C28" s="28"/>
      <c r="D28" s="28"/>
      <c r="H28" s="27"/>
      <c r="I28" s="27"/>
      <c r="J28" s="27"/>
    </row>
    <row r="29" spans="2:10" ht="13.5" customHeight="1" x14ac:dyDescent="0.25">
      <c r="B29" s="28"/>
      <c r="C29" s="28"/>
      <c r="D29" s="28"/>
      <c r="H29" s="27"/>
      <c r="I29" s="27"/>
      <c r="J29" s="27"/>
    </row>
    <row r="30" spans="2:10" ht="13.5" customHeight="1" x14ac:dyDescent="0.25">
      <c r="B30" s="28"/>
      <c r="C30" s="28"/>
      <c r="D30" s="28"/>
      <c r="H30" s="27"/>
      <c r="I30" s="27"/>
      <c r="J30" s="27"/>
    </row>
    <row r="31" spans="2:10" ht="13.5" customHeight="1" x14ac:dyDescent="0.25">
      <c r="B31" s="28"/>
      <c r="C31" s="28"/>
      <c r="D31" s="28"/>
      <c r="H31" s="27"/>
      <c r="I31" s="27"/>
      <c r="J31" s="27"/>
    </row>
    <row r="32" spans="2:10" ht="13.5" customHeight="1" x14ac:dyDescent="0.25">
      <c r="B32" s="28"/>
      <c r="C32" s="28"/>
      <c r="D32" s="28"/>
      <c r="H32" s="27"/>
      <c r="I32" s="27"/>
      <c r="J32" s="27"/>
    </row>
    <row r="33" spans="2:10" ht="13.5" customHeight="1" x14ac:dyDescent="0.25">
      <c r="B33" s="28"/>
      <c r="C33" s="28"/>
      <c r="D33" s="28"/>
      <c r="H33" s="27"/>
      <c r="I33" s="27"/>
      <c r="J33" s="27"/>
    </row>
    <row r="34" spans="2:10" ht="13.5" customHeight="1" x14ac:dyDescent="0.25">
      <c r="B34" s="28"/>
      <c r="C34" s="28"/>
      <c r="D34" s="28"/>
      <c r="H34" s="27"/>
      <c r="I34" s="27"/>
      <c r="J34" s="27"/>
    </row>
    <row r="35" spans="2:10" ht="13.5" customHeight="1" x14ac:dyDescent="0.25">
      <c r="B35" s="27"/>
      <c r="C35" s="27"/>
      <c r="H35" s="27"/>
      <c r="I35" s="27"/>
      <c r="J35" s="27"/>
    </row>
    <row r="36" spans="2:10" ht="13.5" customHeight="1" x14ac:dyDescent="0.25">
      <c r="B36" s="27"/>
      <c r="C36" s="27"/>
      <c r="D36" s="27"/>
      <c r="E36" s="27"/>
      <c r="F36" s="27"/>
      <c r="G36" s="27"/>
      <c r="H36" s="27"/>
      <c r="I36" s="27"/>
      <c r="J36" s="27"/>
    </row>
    <row r="37" spans="2:10" ht="13.5" customHeight="1" x14ac:dyDescent="0.25">
      <c r="B37" s="27"/>
      <c r="C37" s="27"/>
      <c r="D37" s="27"/>
      <c r="E37" s="27"/>
      <c r="F37" s="27"/>
      <c r="G37" s="27"/>
      <c r="H37" s="27"/>
      <c r="I37" s="27"/>
      <c r="J37" s="27"/>
    </row>
    <row r="38" spans="2:10" ht="13.5" customHeight="1" x14ac:dyDescent="0.25">
      <c r="B38" s="27"/>
      <c r="C38" s="27"/>
      <c r="D38" s="27"/>
      <c r="E38" s="27"/>
      <c r="F38" s="27"/>
      <c r="G38" s="27"/>
      <c r="H38" s="27"/>
      <c r="I38" s="27"/>
      <c r="J38" s="27"/>
    </row>
    <row r="39" spans="2:10" ht="13.5" customHeight="1" x14ac:dyDescent="0.25">
      <c r="B39" s="27"/>
      <c r="C39" s="27"/>
      <c r="D39" s="27"/>
      <c r="E39" s="27"/>
      <c r="F39" s="27"/>
      <c r="G39" s="27"/>
      <c r="H39" s="27"/>
      <c r="I39" s="27"/>
      <c r="J39" s="27"/>
    </row>
    <row r="40" spans="2:10" ht="13.5" customHeight="1" x14ac:dyDescent="0.25">
      <c r="B40" s="27"/>
      <c r="C40" s="27"/>
      <c r="D40" s="27"/>
      <c r="E40" s="27"/>
      <c r="F40" s="27"/>
      <c r="G40" s="27"/>
      <c r="H40" s="27"/>
      <c r="I40" s="27"/>
      <c r="J40" s="27"/>
    </row>
    <row r="41" spans="2:10" ht="13.5" customHeight="1" x14ac:dyDescent="0.25">
      <c r="B41" s="27"/>
      <c r="C41" s="27"/>
      <c r="D41" s="27"/>
      <c r="E41" s="27"/>
      <c r="F41" s="27"/>
      <c r="G41" s="27"/>
      <c r="H41" s="27"/>
      <c r="I41" s="27"/>
      <c r="J41" s="27"/>
    </row>
    <row r="42" spans="2:10" ht="13.5" customHeight="1" x14ac:dyDescent="0.25">
      <c r="B42" s="27"/>
      <c r="C42" s="27"/>
      <c r="D42" s="27"/>
      <c r="E42" s="27"/>
      <c r="F42" s="27"/>
      <c r="G42" s="27"/>
      <c r="H42" s="27"/>
      <c r="I42" s="27"/>
      <c r="J42" s="27"/>
    </row>
    <row r="43" spans="2:10" ht="13.5" customHeight="1" x14ac:dyDescent="0.25">
      <c r="B43" s="27"/>
      <c r="C43" s="27"/>
      <c r="D43" s="27"/>
      <c r="E43" s="27"/>
      <c r="F43" s="27"/>
      <c r="G43" s="27"/>
      <c r="H43" s="27"/>
      <c r="I43" s="27"/>
      <c r="J43" s="27"/>
    </row>
    <row r="44" spans="2:10" ht="13.5" customHeight="1" x14ac:dyDescent="0.25">
      <c r="B44" s="27"/>
      <c r="C44" s="27"/>
      <c r="D44" s="27"/>
      <c r="E44" s="27"/>
      <c r="F44" s="27"/>
      <c r="G44" s="27"/>
      <c r="H44" s="27"/>
      <c r="I44" s="27"/>
      <c r="J44" s="27"/>
    </row>
    <row r="45" spans="2:10" ht="13.5" customHeight="1" x14ac:dyDescent="0.25">
      <c r="B45" s="27"/>
      <c r="C45" s="27"/>
      <c r="D45" s="27"/>
      <c r="E45" s="27"/>
      <c r="F45" s="27"/>
      <c r="G45" s="27"/>
      <c r="H45" s="27"/>
      <c r="I45" s="27"/>
      <c r="J45" s="27"/>
    </row>
    <row r="46" spans="2:10" ht="13.5" customHeight="1" x14ac:dyDescent="0.25">
      <c r="B46" s="27"/>
      <c r="C46" s="27"/>
      <c r="D46" s="27"/>
      <c r="E46" s="27"/>
      <c r="F46" s="27"/>
      <c r="G46" s="27"/>
      <c r="H46" s="27"/>
      <c r="I46" s="27"/>
      <c r="J46" s="27"/>
    </row>
    <row r="47" spans="2:10" ht="13.5" customHeight="1" x14ac:dyDescent="0.25">
      <c r="B47" s="27"/>
      <c r="C47" s="27"/>
      <c r="D47" s="27"/>
      <c r="E47" s="27"/>
      <c r="F47" s="27"/>
      <c r="G47" s="27"/>
      <c r="H47" s="27"/>
      <c r="I47" s="27"/>
      <c r="J47" s="27"/>
    </row>
    <row r="48" spans="2:10" ht="13.5" customHeight="1" x14ac:dyDescent="0.25">
      <c r="B48" s="27"/>
      <c r="C48" s="27"/>
      <c r="D48" s="27"/>
      <c r="E48" s="27"/>
      <c r="F48" s="27"/>
      <c r="G48" s="27"/>
      <c r="H48" s="27"/>
      <c r="I48" s="27"/>
      <c r="J48" s="27"/>
    </row>
    <row r="49" spans="2:10" ht="13.5" customHeight="1" x14ac:dyDescent="0.25">
      <c r="B49" s="27"/>
      <c r="C49" s="27"/>
      <c r="D49" s="27"/>
      <c r="E49" s="27"/>
      <c r="F49" s="27"/>
      <c r="G49" s="27"/>
      <c r="H49" s="27"/>
      <c r="I49" s="27"/>
      <c r="J49" s="27"/>
    </row>
    <row r="50" spans="2:10" ht="13.5" customHeight="1" x14ac:dyDescent="0.25">
      <c r="B50" s="27"/>
      <c r="C50" s="27"/>
      <c r="D50" s="27"/>
      <c r="E50" s="27"/>
      <c r="F50" s="27"/>
      <c r="G50" s="27"/>
      <c r="H50" s="27"/>
      <c r="I50" s="27"/>
      <c r="J50" s="27"/>
    </row>
    <row r="51" spans="2:10" ht="13.5" customHeight="1" x14ac:dyDescent="0.25">
      <c r="B51" s="27"/>
      <c r="C51" s="27"/>
      <c r="D51" s="27"/>
      <c r="E51" s="27"/>
      <c r="F51" s="27"/>
      <c r="G51" s="27"/>
      <c r="H51" s="27"/>
      <c r="I51" s="27"/>
      <c r="J51" s="27"/>
    </row>
    <row r="52" spans="2:10" ht="13.5" customHeight="1" x14ac:dyDescent="0.25">
      <c r="B52" s="27"/>
      <c r="C52" s="27"/>
      <c r="D52" s="27"/>
      <c r="E52" s="27"/>
      <c r="F52" s="27"/>
      <c r="G52" s="27"/>
      <c r="H52" s="27"/>
      <c r="I52" s="27"/>
      <c r="J52" s="27"/>
    </row>
    <row r="53" spans="2:10" ht="13.5" customHeight="1" x14ac:dyDescent="0.25">
      <c r="B53" s="27"/>
      <c r="C53" s="27"/>
      <c r="D53" s="27"/>
      <c r="E53" s="27"/>
      <c r="F53" s="27"/>
      <c r="G53" s="27"/>
      <c r="H53" s="27"/>
      <c r="I53" s="27"/>
      <c r="J53" s="27"/>
    </row>
    <row r="54" spans="2:10" ht="13.5" customHeight="1" x14ac:dyDescent="0.25">
      <c r="B54" s="27"/>
      <c r="C54" s="27"/>
      <c r="D54" s="27"/>
      <c r="E54" s="27"/>
      <c r="F54" s="27"/>
      <c r="G54" s="27"/>
      <c r="H54" s="27"/>
      <c r="I54" s="27"/>
      <c r="J54" s="27"/>
    </row>
    <row r="55" spans="2:10" ht="13.5" customHeight="1" x14ac:dyDescent="0.25">
      <c r="B55" s="27"/>
      <c r="C55" s="27"/>
      <c r="D55" s="27"/>
      <c r="E55" s="27"/>
      <c r="F55" s="27"/>
      <c r="G55" s="27"/>
      <c r="H55" s="27"/>
      <c r="I55" s="27"/>
      <c r="J55" s="27"/>
    </row>
    <row r="56" spans="2:10" ht="13.5" customHeight="1" x14ac:dyDescent="0.25">
      <c r="B56" s="27"/>
      <c r="C56" s="27"/>
      <c r="D56" s="27"/>
      <c r="E56" s="27"/>
      <c r="F56" s="27"/>
      <c r="G56" s="27"/>
      <c r="H56" s="27"/>
      <c r="I56" s="27"/>
      <c r="J56" s="27"/>
    </row>
    <row r="57" spans="2:10" ht="13.5" customHeight="1" x14ac:dyDescent="0.25">
      <c r="B57" s="27"/>
      <c r="C57" s="27"/>
      <c r="D57" s="27"/>
      <c r="E57" s="27"/>
      <c r="F57" s="27"/>
      <c r="G57" s="27"/>
      <c r="H57" s="27"/>
      <c r="I57" s="27"/>
      <c r="J57" s="27"/>
    </row>
    <row r="58" spans="2:10" ht="13.5" customHeight="1" x14ac:dyDescent="0.25">
      <c r="B58" s="27"/>
      <c r="C58" s="27"/>
      <c r="D58" s="27"/>
      <c r="E58" s="27"/>
      <c r="F58" s="27"/>
      <c r="G58" s="27"/>
      <c r="H58" s="27"/>
      <c r="I58" s="27"/>
      <c r="J58" s="27"/>
    </row>
    <row r="59" spans="2:10" ht="13.5" customHeight="1" x14ac:dyDescent="0.25">
      <c r="B59" s="27"/>
      <c r="C59" s="27"/>
      <c r="D59" s="27"/>
      <c r="E59" s="27"/>
      <c r="F59" s="27"/>
      <c r="G59" s="27"/>
      <c r="H59" s="27"/>
      <c r="I59" s="27"/>
      <c r="J59" s="27"/>
    </row>
    <row r="60" spans="2:10" ht="13.5" customHeight="1" x14ac:dyDescent="0.25">
      <c r="B60" s="27"/>
      <c r="C60" s="27"/>
      <c r="D60" s="27"/>
      <c r="E60" s="27"/>
      <c r="F60" s="27"/>
      <c r="G60" s="27"/>
      <c r="H60" s="27"/>
      <c r="I60" s="27"/>
      <c r="J60" s="27"/>
    </row>
    <row r="61" spans="2:10" ht="13.5" customHeight="1" x14ac:dyDescent="0.25">
      <c r="B61" s="27"/>
      <c r="C61" s="27"/>
      <c r="D61" s="27"/>
      <c r="E61" s="27"/>
      <c r="F61" s="27"/>
      <c r="G61" s="27"/>
      <c r="H61" s="27"/>
      <c r="I61" s="27"/>
      <c r="J61" s="27"/>
    </row>
    <row r="62" spans="2:10" ht="13.5" customHeight="1" x14ac:dyDescent="0.25">
      <c r="B62" s="27"/>
      <c r="C62" s="27"/>
      <c r="D62" s="27"/>
      <c r="E62" s="27"/>
      <c r="F62" s="27"/>
      <c r="G62" s="27"/>
      <c r="H62" s="27"/>
      <c r="I62" s="27"/>
      <c r="J62" s="27"/>
    </row>
    <row r="63" spans="2:10" ht="13.5" customHeight="1" x14ac:dyDescent="0.25">
      <c r="B63" s="27"/>
      <c r="C63" s="27"/>
      <c r="D63" s="27"/>
      <c r="E63" s="27"/>
      <c r="F63" s="27"/>
      <c r="G63" s="27"/>
      <c r="H63" s="27"/>
      <c r="I63" s="27"/>
      <c r="J63" s="27"/>
    </row>
    <row r="64" spans="2:10" ht="13.5" customHeight="1" x14ac:dyDescent="0.25">
      <c r="B64" s="27"/>
      <c r="C64" s="27"/>
      <c r="D64" s="27"/>
      <c r="E64" s="27"/>
      <c r="F64" s="27"/>
      <c r="G64" s="27"/>
      <c r="H64" s="27"/>
      <c r="I64" s="27"/>
      <c r="J64" s="27"/>
    </row>
    <row r="65" spans="2:10" ht="13.5" customHeight="1" x14ac:dyDescent="0.25">
      <c r="B65" s="27"/>
      <c r="C65" s="27"/>
      <c r="D65" s="27"/>
      <c r="E65" s="27"/>
      <c r="F65" s="27"/>
      <c r="G65" s="27"/>
      <c r="H65" s="27"/>
      <c r="I65" s="27"/>
      <c r="J65" s="27"/>
    </row>
    <row r="66" spans="2:10" ht="13.5" customHeight="1" x14ac:dyDescent="0.25">
      <c r="B66" s="27"/>
      <c r="C66" s="27"/>
      <c r="D66" s="27"/>
      <c r="E66" s="27"/>
      <c r="F66" s="27"/>
      <c r="G66" s="27"/>
      <c r="H66" s="27"/>
      <c r="I66" s="27"/>
      <c r="J66" s="27"/>
    </row>
    <row r="67" spans="2:10" ht="13.5" customHeight="1" x14ac:dyDescent="0.25">
      <c r="B67" s="27"/>
      <c r="C67" s="27"/>
      <c r="D67" s="27"/>
      <c r="E67" s="27"/>
      <c r="F67" s="27"/>
      <c r="G67" s="27"/>
      <c r="H67" s="27"/>
      <c r="I67" s="27"/>
      <c r="J67" s="27"/>
    </row>
    <row r="68" spans="2:10" ht="13.5" customHeight="1" x14ac:dyDescent="0.25">
      <c r="B68" s="27"/>
      <c r="C68" s="27"/>
      <c r="D68" s="27"/>
      <c r="E68" s="27"/>
      <c r="F68" s="27"/>
      <c r="G68" s="27"/>
      <c r="H68" s="27"/>
      <c r="I68" s="27"/>
      <c r="J68" s="27"/>
    </row>
    <row r="69" spans="2:10" ht="13.5" customHeight="1" x14ac:dyDescent="0.25">
      <c r="B69" s="27"/>
      <c r="C69" s="27"/>
      <c r="D69" s="27"/>
      <c r="E69" s="27"/>
      <c r="F69" s="27"/>
      <c r="G69" s="27"/>
      <c r="H69" s="27"/>
      <c r="I69" s="27"/>
      <c r="J69" s="27"/>
    </row>
    <row r="70" spans="2:10" ht="13.5" customHeight="1" x14ac:dyDescent="0.25">
      <c r="B70" s="27"/>
      <c r="C70" s="27"/>
      <c r="D70" s="27"/>
      <c r="E70" s="27"/>
      <c r="F70" s="27"/>
      <c r="G70" s="27"/>
      <c r="H70" s="27"/>
      <c r="I70" s="27"/>
      <c r="J70" s="27"/>
    </row>
    <row r="71" spans="2:10" ht="13.5" customHeight="1" x14ac:dyDescent="0.25">
      <c r="B71" s="27"/>
      <c r="C71" s="27"/>
      <c r="D71" s="27"/>
      <c r="E71" s="27"/>
      <c r="F71" s="27"/>
      <c r="G71" s="27"/>
      <c r="H71" s="27"/>
      <c r="I71" s="27"/>
      <c r="J71" s="27"/>
    </row>
    <row r="72" spans="2:10" ht="13.5" customHeight="1" x14ac:dyDescent="0.25">
      <c r="B72" s="27"/>
      <c r="C72" s="27"/>
      <c r="D72" s="27"/>
      <c r="E72" s="27"/>
      <c r="F72" s="27"/>
      <c r="G72" s="27"/>
      <c r="H72" s="27"/>
      <c r="I72" s="27"/>
      <c r="J72" s="27"/>
    </row>
    <row r="73" spans="2:10" ht="13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</row>
    <row r="74" spans="2:10" ht="13.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</row>
    <row r="75" spans="2:10" ht="13.5" customHeight="1" x14ac:dyDescent="0.25">
      <c r="B75" s="27"/>
      <c r="C75" s="27"/>
      <c r="D75" s="27"/>
      <c r="E75" s="27"/>
      <c r="F75" s="27"/>
      <c r="G75" s="27"/>
      <c r="H75" s="27"/>
      <c r="I75" s="27"/>
      <c r="J75" s="27"/>
    </row>
    <row r="76" spans="2:10" ht="13.5" customHeight="1" x14ac:dyDescent="0.25">
      <c r="B76" s="27"/>
      <c r="C76" s="27"/>
      <c r="D76" s="27"/>
      <c r="E76" s="27"/>
      <c r="F76" s="27"/>
      <c r="G76" s="27"/>
      <c r="H76" s="27"/>
      <c r="I76" s="27"/>
      <c r="J76" s="27"/>
    </row>
    <row r="77" spans="2:10" ht="13.5" customHeight="1" x14ac:dyDescent="0.25">
      <c r="B77" s="27"/>
      <c r="C77" s="27"/>
      <c r="D77" s="27"/>
      <c r="E77" s="27"/>
      <c r="F77" s="27"/>
      <c r="G77" s="27"/>
      <c r="H77" s="27"/>
      <c r="I77" s="27"/>
      <c r="J77" s="27"/>
    </row>
    <row r="78" spans="2:10" ht="13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</row>
    <row r="79" spans="2:10" ht="13.5" customHeight="1" x14ac:dyDescent="0.25">
      <c r="B79" s="27"/>
      <c r="C79" s="27"/>
      <c r="D79" s="27"/>
      <c r="E79" s="27"/>
      <c r="F79" s="27"/>
      <c r="G79" s="27"/>
      <c r="H79" s="27"/>
      <c r="I79" s="27"/>
      <c r="J79" s="27"/>
    </row>
    <row r="80" spans="2:10" ht="13.5" customHeight="1" x14ac:dyDescent="0.25">
      <c r="B80" s="27"/>
      <c r="C80" s="27"/>
      <c r="D80" s="27"/>
      <c r="E80" s="27"/>
      <c r="F80" s="27"/>
      <c r="G80" s="27"/>
      <c r="H80" s="27"/>
      <c r="I80" s="27"/>
      <c r="J80" s="27"/>
    </row>
    <row r="81" spans="2:10" ht="13.5" customHeight="1" x14ac:dyDescent="0.25">
      <c r="B81" s="27"/>
      <c r="C81" s="27"/>
      <c r="D81" s="27"/>
      <c r="E81" s="27"/>
      <c r="F81" s="27"/>
      <c r="G81" s="27"/>
      <c r="H81" s="27"/>
      <c r="I81" s="27"/>
      <c r="J81" s="27"/>
    </row>
    <row r="82" spans="2:10" ht="13.5" customHeight="1" x14ac:dyDescent="0.25">
      <c r="B82" s="27"/>
      <c r="C82" s="27"/>
      <c r="D82" s="27"/>
      <c r="E82" s="27"/>
      <c r="F82" s="27"/>
      <c r="G82" s="27"/>
      <c r="H82" s="27"/>
      <c r="I82" s="27"/>
      <c r="J82" s="27"/>
    </row>
    <row r="83" spans="2:10" ht="13.5" customHeight="1" x14ac:dyDescent="0.25">
      <c r="B83" s="27"/>
      <c r="C83" s="27"/>
      <c r="D83" s="27"/>
      <c r="E83" s="27"/>
      <c r="F83" s="27"/>
      <c r="G83" s="27"/>
      <c r="H83" s="27"/>
      <c r="I83" s="27"/>
      <c r="J83" s="27"/>
    </row>
    <row r="84" spans="2:10" ht="13.5" customHeight="1" x14ac:dyDescent="0.25">
      <c r="B84" s="27"/>
      <c r="C84" s="27"/>
      <c r="D84" s="27"/>
      <c r="E84" s="27"/>
      <c r="F84" s="27"/>
      <c r="G84" s="27"/>
      <c r="H84" s="27"/>
      <c r="I84" s="27"/>
      <c r="J84" s="27"/>
    </row>
    <row r="85" spans="2:10" ht="13.5" customHeight="1" x14ac:dyDescent="0.25">
      <c r="B85" s="27"/>
      <c r="C85" s="27"/>
      <c r="D85" s="27"/>
      <c r="E85" s="27"/>
      <c r="F85" s="27"/>
      <c r="G85" s="27"/>
      <c r="H85" s="27"/>
      <c r="I85" s="27"/>
      <c r="J85" s="27"/>
    </row>
    <row r="86" spans="2:10" ht="13.5" customHeight="1" x14ac:dyDescent="0.25">
      <c r="B86" s="27"/>
      <c r="C86" s="27"/>
      <c r="D86" s="27"/>
      <c r="E86" s="27"/>
      <c r="F86" s="27"/>
      <c r="G86" s="27"/>
      <c r="H86" s="27"/>
      <c r="I86" s="27"/>
      <c r="J86" s="27"/>
    </row>
    <row r="87" spans="2:10" ht="13.5" customHeight="1" x14ac:dyDescent="0.25">
      <c r="B87" s="27"/>
      <c r="C87" s="27"/>
      <c r="D87" s="27"/>
      <c r="E87" s="27"/>
      <c r="F87" s="27"/>
      <c r="G87" s="27"/>
      <c r="H87" s="27"/>
      <c r="I87" s="27"/>
      <c r="J87" s="27"/>
    </row>
    <row r="88" spans="2:10" ht="13.5" customHeight="1" x14ac:dyDescent="0.25">
      <c r="B88" s="27"/>
      <c r="C88" s="27"/>
      <c r="D88" s="27"/>
      <c r="E88" s="27"/>
      <c r="F88" s="27"/>
      <c r="G88" s="27"/>
      <c r="H88" s="27"/>
      <c r="I88" s="27"/>
      <c r="J88" s="27"/>
    </row>
    <row r="89" spans="2:10" ht="13.5" customHeight="1" x14ac:dyDescent="0.25">
      <c r="B89" s="27"/>
      <c r="C89" s="27"/>
      <c r="D89" s="27"/>
      <c r="E89" s="27"/>
      <c r="F89" s="27"/>
      <c r="G89" s="27"/>
      <c r="H89" s="27"/>
      <c r="I89" s="27"/>
      <c r="J89" s="27"/>
    </row>
    <row r="90" spans="2:10" ht="13.5" customHeight="1" x14ac:dyDescent="0.25">
      <c r="B90" s="27"/>
      <c r="C90" s="27"/>
      <c r="D90" s="27"/>
      <c r="E90" s="27"/>
      <c r="F90" s="27"/>
      <c r="G90" s="27"/>
      <c r="H90" s="27"/>
      <c r="I90" s="27"/>
      <c r="J90" s="27"/>
    </row>
    <row r="91" spans="2:10" ht="13.5" customHeight="1" x14ac:dyDescent="0.25">
      <c r="B91" s="27"/>
      <c r="C91" s="27"/>
      <c r="D91" s="27"/>
      <c r="E91" s="27"/>
      <c r="F91" s="27"/>
      <c r="G91" s="27"/>
      <c r="H91" s="27"/>
      <c r="I91" s="27"/>
      <c r="J91" s="27"/>
    </row>
    <row r="92" spans="2:10" ht="13.5" customHeight="1" x14ac:dyDescent="0.25">
      <c r="B92" s="27"/>
      <c r="C92" s="27"/>
      <c r="D92" s="27"/>
      <c r="E92" s="27"/>
      <c r="F92" s="27"/>
      <c r="G92" s="27"/>
      <c r="H92" s="27"/>
      <c r="I92" s="27"/>
      <c r="J92" s="27"/>
    </row>
    <row r="93" spans="2:10" ht="13.5" customHeight="1" x14ac:dyDescent="0.25">
      <c r="B93" s="27"/>
      <c r="C93" s="27"/>
      <c r="D93" s="27"/>
      <c r="E93" s="27"/>
      <c r="F93" s="27"/>
      <c r="G93" s="27"/>
      <c r="H93" s="27"/>
      <c r="I93" s="27"/>
      <c r="J93" s="27"/>
    </row>
    <row r="94" spans="2:10" ht="13.5" customHeight="1" x14ac:dyDescent="0.25">
      <c r="B94" s="27"/>
      <c r="C94" s="27"/>
      <c r="D94" s="27"/>
      <c r="E94" s="27"/>
      <c r="F94" s="27"/>
      <c r="G94" s="27"/>
      <c r="H94" s="27"/>
      <c r="I94" s="27"/>
      <c r="J94" s="27"/>
    </row>
    <row r="95" spans="2:10" ht="13.5" customHeight="1" x14ac:dyDescent="0.25">
      <c r="B95" s="27"/>
      <c r="C95" s="27"/>
      <c r="D95" s="27"/>
      <c r="E95" s="27"/>
      <c r="F95" s="27"/>
      <c r="G95" s="27"/>
      <c r="H95" s="27"/>
      <c r="I95" s="27"/>
      <c r="J95" s="27"/>
    </row>
    <row r="96" spans="2:10" ht="13.5" customHeight="1" x14ac:dyDescent="0.25">
      <c r="B96" s="27"/>
      <c r="C96" s="27"/>
      <c r="D96" s="27"/>
      <c r="E96" s="27"/>
      <c r="F96" s="27"/>
      <c r="G96" s="27"/>
      <c r="H96" s="27"/>
      <c r="I96" s="27"/>
      <c r="J96" s="27"/>
    </row>
    <row r="97" spans="2:10" ht="13.5" customHeight="1" x14ac:dyDescent="0.25">
      <c r="B97" s="27"/>
      <c r="C97" s="27"/>
      <c r="D97" s="27"/>
      <c r="E97" s="27"/>
      <c r="F97" s="27"/>
      <c r="G97" s="27"/>
      <c r="H97" s="27"/>
      <c r="I97" s="27"/>
      <c r="J97" s="27"/>
    </row>
    <row r="98" spans="2:10" ht="13.5" customHeight="1" x14ac:dyDescent="0.25">
      <c r="B98" s="27"/>
      <c r="C98" s="27"/>
      <c r="D98" s="27"/>
      <c r="E98" s="27"/>
      <c r="F98" s="27"/>
      <c r="G98" s="27"/>
      <c r="H98" s="27"/>
      <c r="I98" s="27"/>
      <c r="J98" s="27"/>
    </row>
    <row r="99" spans="2:10" ht="13.5" customHeight="1" x14ac:dyDescent="0.25">
      <c r="B99" s="27"/>
      <c r="C99" s="27"/>
      <c r="D99" s="27"/>
      <c r="E99" s="27"/>
      <c r="F99" s="27"/>
      <c r="G99" s="27"/>
      <c r="H99" s="27"/>
      <c r="I99" s="27"/>
      <c r="J99" s="27"/>
    </row>
    <row r="100" spans="2:10" ht="13.5" customHeight="1" x14ac:dyDescent="0.25">
      <c r="B100" s="27"/>
      <c r="C100" s="27"/>
      <c r="D100" s="27"/>
      <c r="E100" s="27"/>
      <c r="F100" s="27"/>
      <c r="G100" s="27"/>
      <c r="H100" s="27"/>
      <c r="I100" s="27"/>
      <c r="J100" s="27"/>
    </row>
    <row r="101" spans="2:10" ht="13.5" customHeight="1" x14ac:dyDescent="0.25">
      <c r="B101" s="27"/>
      <c r="C101" s="27"/>
      <c r="D101" s="27"/>
      <c r="E101" s="27"/>
      <c r="F101" s="27"/>
      <c r="G101" s="27"/>
      <c r="H101" s="27"/>
      <c r="I101" s="27"/>
      <c r="J101" s="27"/>
    </row>
    <row r="102" spans="2:10" ht="13.5" customHeight="1" x14ac:dyDescent="0.25">
      <c r="B102" s="27"/>
      <c r="C102" s="27"/>
      <c r="D102" s="27"/>
      <c r="E102" s="27"/>
      <c r="F102" s="27"/>
      <c r="G102" s="27"/>
      <c r="H102" s="27"/>
      <c r="I102" s="27"/>
      <c r="J102" s="27"/>
    </row>
    <row r="103" spans="2:10" ht="13.5" customHeight="1" x14ac:dyDescent="0.25">
      <c r="B103" s="27"/>
      <c r="C103" s="27"/>
      <c r="D103" s="27"/>
      <c r="E103" s="27"/>
      <c r="F103" s="27"/>
      <c r="G103" s="27"/>
      <c r="H103" s="27"/>
      <c r="I103" s="27"/>
      <c r="J103" s="27"/>
    </row>
    <row r="104" spans="2:10" ht="13.5" customHeight="1" x14ac:dyDescent="0.25">
      <c r="B104" s="27"/>
      <c r="C104" s="27"/>
      <c r="D104" s="27"/>
      <c r="E104" s="27"/>
      <c r="F104" s="27"/>
      <c r="G104" s="27"/>
      <c r="H104" s="27"/>
      <c r="I104" s="27"/>
      <c r="J104" s="27"/>
    </row>
    <row r="105" spans="2:10" ht="13.5" customHeight="1" x14ac:dyDescent="0.25">
      <c r="B105" s="27"/>
      <c r="C105" s="27"/>
      <c r="D105" s="27"/>
      <c r="E105" s="27"/>
      <c r="F105" s="27"/>
      <c r="G105" s="27"/>
      <c r="H105" s="27"/>
      <c r="I105" s="27"/>
      <c r="J105" s="27"/>
    </row>
    <row r="106" spans="2:10" ht="13.5" customHeight="1" x14ac:dyDescent="0.25">
      <c r="B106" s="27"/>
      <c r="C106" s="27"/>
      <c r="D106" s="27"/>
      <c r="E106" s="27"/>
      <c r="F106" s="27"/>
      <c r="G106" s="27"/>
      <c r="H106" s="27"/>
      <c r="I106" s="27"/>
      <c r="J106" s="27"/>
    </row>
    <row r="107" spans="2:10" ht="13.5" customHeight="1" x14ac:dyDescent="0.25">
      <c r="B107" s="27"/>
      <c r="C107" s="27"/>
      <c r="D107" s="27"/>
      <c r="E107" s="27"/>
      <c r="F107" s="27"/>
      <c r="G107" s="27"/>
      <c r="H107" s="27"/>
      <c r="I107" s="27"/>
      <c r="J107" s="27"/>
    </row>
    <row r="108" spans="2:10" ht="13.5" customHeight="1" x14ac:dyDescent="0.25">
      <c r="B108" s="27"/>
      <c r="C108" s="27"/>
      <c r="D108" s="27"/>
      <c r="E108" s="27"/>
      <c r="F108" s="27"/>
      <c r="G108" s="27"/>
      <c r="H108" s="27"/>
      <c r="I108" s="27"/>
      <c r="J108" s="27"/>
    </row>
    <row r="109" spans="2:10" ht="13.5" customHeight="1" x14ac:dyDescent="0.25">
      <c r="B109" s="27"/>
      <c r="C109" s="27"/>
      <c r="D109" s="27"/>
      <c r="E109" s="27"/>
      <c r="F109" s="27"/>
      <c r="G109" s="27"/>
      <c r="H109" s="27"/>
      <c r="I109" s="27"/>
      <c r="J109" s="27"/>
    </row>
    <row r="110" spans="2:10" ht="13.5" customHeight="1" x14ac:dyDescent="0.25">
      <c r="B110" s="27"/>
      <c r="C110" s="27"/>
      <c r="D110" s="27"/>
      <c r="E110" s="27"/>
      <c r="F110" s="27"/>
      <c r="G110" s="27"/>
      <c r="H110" s="27"/>
      <c r="I110" s="27"/>
      <c r="J110" s="27"/>
    </row>
    <row r="111" spans="2:10" ht="13.5" customHeight="1" x14ac:dyDescent="0.25">
      <c r="B111" s="27"/>
      <c r="C111" s="27"/>
      <c r="D111" s="27"/>
      <c r="E111" s="27"/>
      <c r="F111" s="27"/>
      <c r="G111" s="27"/>
      <c r="H111" s="27"/>
      <c r="I111" s="27"/>
      <c r="J111" s="27"/>
    </row>
    <row r="112" spans="2:10" ht="13.5" customHeight="1" x14ac:dyDescent="0.25">
      <c r="B112" s="27"/>
      <c r="C112" s="27"/>
      <c r="D112" s="27"/>
      <c r="E112" s="27"/>
      <c r="F112" s="27"/>
      <c r="G112" s="27"/>
      <c r="H112" s="27"/>
      <c r="I112" s="27"/>
      <c r="J112" s="27"/>
    </row>
    <row r="113" spans="2:10" ht="13.5" customHeight="1" x14ac:dyDescent="0.25">
      <c r="B113" s="27"/>
      <c r="C113" s="27"/>
      <c r="D113" s="27"/>
      <c r="E113" s="27"/>
      <c r="F113" s="27"/>
      <c r="G113" s="27"/>
      <c r="H113" s="27"/>
      <c r="I113" s="27"/>
      <c r="J113" s="27"/>
    </row>
    <row r="114" spans="2:10" ht="13.5" customHeight="1" x14ac:dyDescent="0.25">
      <c r="B114" s="27"/>
      <c r="C114" s="27"/>
      <c r="D114" s="27"/>
      <c r="E114" s="27"/>
      <c r="F114" s="27"/>
      <c r="G114" s="27"/>
      <c r="H114" s="27"/>
      <c r="I114" s="27"/>
      <c r="J114" s="27"/>
    </row>
    <row r="115" spans="2:10" ht="13.5" customHeight="1" x14ac:dyDescent="0.25">
      <c r="B115" s="27"/>
      <c r="C115" s="27"/>
      <c r="D115" s="27"/>
      <c r="E115" s="27"/>
      <c r="F115" s="27"/>
      <c r="G115" s="27"/>
      <c r="H115" s="27"/>
      <c r="I115" s="27"/>
      <c r="J115" s="27"/>
    </row>
    <row r="116" spans="2:10" ht="13.5" customHeight="1" x14ac:dyDescent="0.25">
      <c r="B116" s="27"/>
      <c r="C116" s="27"/>
      <c r="D116" s="27"/>
      <c r="E116" s="27"/>
      <c r="F116" s="27"/>
      <c r="G116" s="27"/>
      <c r="H116" s="27"/>
      <c r="I116" s="27"/>
      <c r="J116" s="27"/>
    </row>
    <row r="117" spans="2:10" ht="13.5" customHeight="1" x14ac:dyDescent="0.25">
      <c r="B117" s="27"/>
      <c r="C117" s="27"/>
      <c r="D117" s="27"/>
      <c r="E117" s="27"/>
      <c r="F117" s="27"/>
      <c r="G117" s="27"/>
      <c r="H117" s="27"/>
      <c r="I117" s="27"/>
      <c r="J117" s="27"/>
    </row>
    <row r="118" spans="2:10" ht="13.5" customHeight="1" x14ac:dyDescent="0.25">
      <c r="B118" s="27"/>
      <c r="C118" s="27"/>
      <c r="D118" s="27"/>
      <c r="E118" s="27"/>
      <c r="F118" s="27"/>
      <c r="G118" s="27"/>
      <c r="H118" s="27"/>
      <c r="I118" s="27"/>
      <c r="J118" s="27"/>
    </row>
  </sheetData>
  <mergeCells count="4">
    <mergeCell ref="B2:I2"/>
    <mergeCell ref="B13:I13"/>
    <mergeCell ref="C26:D26"/>
    <mergeCell ref="D16:E16"/>
  </mergeCells>
  <pageMargins left="0.7" right="0.7" top="0.75" bottom="0.75" header="0.3" footer="0.3"/>
  <pageSetup paperSize="9" scale="6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080"/>
  </sheetPr>
  <dimension ref="B1:T32"/>
  <sheetViews>
    <sheetView zoomScaleNormal="100" workbookViewId="0"/>
  </sheetViews>
  <sheetFormatPr defaultRowHeight="13.5" customHeight="1" x14ac:dyDescent="0.2"/>
  <cols>
    <col min="1" max="1" width="2.5703125" customWidth="1"/>
  </cols>
  <sheetData>
    <row r="1" spans="2:20" ht="13.5" customHeight="1" thickBot="1" x14ac:dyDescent="0.25"/>
    <row r="2" spans="2:20" ht="109.9" customHeight="1" thickBot="1" x14ac:dyDescent="0.25">
      <c r="B2" s="244" t="s">
        <v>3203</v>
      </c>
      <c r="C2" s="245"/>
      <c r="D2" s="245"/>
      <c r="E2" s="245"/>
      <c r="F2" s="245"/>
      <c r="G2" s="245"/>
      <c r="H2" s="245"/>
      <c r="I2" s="245"/>
      <c r="J2" s="246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6" customHeight="1" thickBot="1" x14ac:dyDescent="0.25"/>
    <row r="4" spans="2:20" ht="13.5" customHeight="1" thickBot="1" x14ac:dyDescent="0.25">
      <c r="B4" s="244" t="s">
        <v>3202</v>
      </c>
      <c r="C4" s="245"/>
      <c r="D4" s="245"/>
      <c r="E4" s="245"/>
      <c r="F4" s="245"/>
      <c r="G4" s="245"/>
      <c r="H4" s="245"/>
      <c r="I4" s="245"/>
      <c r="J4" s="246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s="1" customFormat="1" ht="13.5" customHeight="1" thickBot="1" x14ac:dyDescent="0.25">
      <c r="B5" s="2"/>
      <c r="C5" s="2"/>
      <c r="D5" s="2"/>
      <c r="E5" s="2"/>
      <c r="F5" s="2"/>
      <c r="G5" s="2"/>
      <c r="H5" s="2"/>
      <c r="I5" s="2"/>
      <c r="J5" s="2"/>
    </row>
    <row r="6" spans="2:20" s="8" customFormat="1" ht="13.5" customHeight="1" thickBot="1" x14ac:dyDescent="0.25"/>
    <row r="7" spans="2:20" ht="13.5" customHeight="1" thickBot="1" x14ac:dyDescent="0.25">
      <c r="B7" s="25">
        <v>1977</v>
      </c>
      <c r="C7" s="9">
        <v>1995</v>
      </c>
      <c r="D7" s="3">
        <v>2010</v>
      </c>
    </row>
    <row r="8" spans="2:20" ht="13.5" customHeight="1" x14ac:dyDescent="0.2">
      <c r="B8" s="58">
        <v>4.5</v>
      </c>
      <c r="C8" s="58">
        <v>3.3</v>
      </c>
      <c r="D8" s="58">
        <v>1.8</v>
      </c>
    </row>
    <row r="9" spans="2:20" ht="13.5" customHeight="1" x14ac:dyDescent="0.2">
      <c r="B9" s="57">
        <v>6.3</v>
      </c>
      <c r="C9" s="57">
        <v>5</v>
      </c>
      <c r="D9" s="57">
        <v>4.2</v>
      </c>
    </row>
    <row r="10" spans="2:20" ht="13.5" customHeight="1" x14ac:dyDescent="0.2">
      <c r="B10" s="57">
        <v>7.3</v>
      </c>
      <c r="C10" s="57">
        <v>6.2</v>
      </c>
      <c r="D10" s="57">
        <v>5.8</v>
      </c>
      <c r="G10" s="5"/>
      <c r="H10" s="5"/>
    </row>
    <row r="11" spans="2:20" ht="13.5" customHeight="1" x14ac:dyDescent="0.2">
      <c r="B11" s="57">
        <v>8.1</v>
      </c>
      <c r="C11" s="57">
        <v>7.2</v>
      </c>
      <c r="D11" s="57">
        <v>7.1</v>
      </c>
    </row>
    <row r="12" spans="2:20" ht="13.5" customHeight="1" x14ac:dyDescent="0.2">
      <c r="B12" s="57">
        <v>8.9</v>
      </c>
      <c r="C12" s="57">
        <v>8.1999999999999993</v>
      </c>
      <c r="D12" s="57">
        <v>7.5</v>
      </c>
    </row>
    <row r="13" spans="2:20" ht="13.5" customHeight="1" x14ac:dyDescent="0.2">
      <c r="B13" s="57">
        <v>9.8000000000000007</v>
      </c>
      <c r="C13" s="57">
        <v>9.1</v>
      </c>
      <c r="D13" s="57">
        <v>8.1999999999999993</v>
      </c>
    </row>
    <row r="14" spans="2:20" ht="13.5" customHeight="1" x14ac:dyDescent="0.2">
      <c r="B14" s="57">
        <v>10.8</v>
      </c>
      <c r="C14" s="57">
        <v>10.199999999999999</v>
      </c>
      <c r="D14" s="57">
        <v>9.4</v>
      </c>
    </row>
    <row r="15" spans="2:20" ht="13.5" customHeight="1" x14ac:dyDescent="0.2">
      <c r="B15" s="57">
        <v>12</v>
      </c>
      <c r="C15" s="57">
        <v>11.7</v>
      </c>
      <c r="D15" s="57">
        <v>11.5</v>
      </c>
    </row>
    <row r="16" spans="2:20" ht="13.5" customHeight="1" x14ac:dyDescent="0.2">
      <c r="B16" s="57">
        <v>13.7</v>
      </c>
      <c r="C16" s="57">
        <v>14.1</v>
      </c>
      <c r="D16" s="57">
        <v>14.9</v>
      </c>
    </row>
    <row r="17" spans="2:16" ht="13.5" customHeight="1" thickBot="1" x14ac:dyDescent="0.25">
      <c r="B17" s="56">
        <v>18.600000000000001</v>
      </c>
      <c r="C17" s="56">
        <v>25</v>
      </c>
      <c r="D17" s="56">
        <v>29.6</v>
      </c>
    </row>
    <row r="18" spans="2:16" ht="13.5" customHeight="1" thickBot="1" x14ac:dyDescent="0.25">
      <c r="B18" s="55"/>
      <c r="C18" s="55"/>
      <c r="D18" s="55"/>
    </row>
    <row r="19" spans="2:16" ht="13.5" customHeight="1" thickBot="1" x14ac:dyDescent="0.25"/>
    <row r="20" spans="2:16" ht="13.5" customHeight="1" x14ac:dyDescent="0.2">
      <c r="B20" s="249"/>
      <c r="C20" s="250"/>
      <c r="D20" s="250"/>
      <c r="E20" s="251"/>
    </row>
    <row r="21" spans="2:16" ht="13.5" customHeight="1" thickBot="1" x14ac:dyDescent="0.25">
      <c r="B21" s="54"/>
      <c r="C21" s="21">
        <v>1977</v>
      </c>
      <c r="D21" s="21">
        <v>1995</v>
      </c>
      <c r="E21" s="7">
        <v>2010</v>
      </c>
    </row>
    <row r="22" spans="2:16" ht="13.5" customHeight="1" x14ac:dyDescent="0.2">
      <c r="B22" s="53"/>
      <c r="C22" s="52"/>
      <c r="D22" s="52"/>
      <c r="E22" s="52"/>
    </row>
    <row r="23" spans="2:16" ht="13.5" customHeight="1" x14ac:dyDescent="0.2">
      <c r="B23" s="51"/>
      <c r="C23" s="50"/>
      <c r="D23" s="50"/>
      <c r="E23" s="50"/>
    </row>
    <row r="24" spans="2:16" ht="13.5" customHeight="1" x14ac:dyDescent="0.2">
      <c r="B24" s="51"/>
      <c r="C24" s="50"/>
      <c r="D24" s="50"/>
      <c r="E24" s="50"/>
    </row>
    <row r="25" spans="2:16" ht="13.5" customHeight="1" x14ac:dyDescent="0.2">
      <c r="B25" s="51"/>
      <c r="C25" s="50"/>
      <c r="D25" s="50"/>
      <c r="E25" s="50"/>
    </row>
    <row r="26" spans="2:16" ht="13.5" customHeight="1" x14ac:dyDescent="0.2">
      <c r="B26" s="51"/>
      <c r="C26" s="50"/>
      <c r="D26" s="50"/>
      <c r="E26" s="50"/>
    </row>
    <row r="27" spans="2:16" ht="13.5" customHeight="1" x14ac:dyDescent="0.2">
      <c r="B27" s="51"/>
      <c r="C27" s="50"/>
      <c r="D27" s="50"/>
      <c r="E27" s="50"/>
    </row>
    <row r="28" spans="2:16" ht="13.5" customHeight="1" x14ac:dyDescent="0.2">
      <c r="B28" s="51"/>
      <c r="C28" s="50"/>
      <c r="D28" s="50"/>
      <c r="E28" s="50"/>
    </row>
    <row r="29" spans="2:16" ht="13.5" customHeight="1" x14ac:dyDescent="0.2">
      <c r="B29" s="51"/>
      <c r="C29" s="50"/>
      <c r="D29" s="50"/>
      <c r="E29" s="50"/>
    </row>
    <row r="30" spans="2:16" ht="13.5" customHeight="1" x14ac:dyDescent="0.25">
      <c r="B30" s="51"/>
      <c r="C30" s="50"/>
      <c r="D30" s="50"/>
      <c r="E30" s="50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2:16" ht="13.5" customHeight="1" x14ac:dyDescent="0.25">
      <c r="B31" s="51"/>
      <c r="C31" s="50"/>
      <c r="D31" s="50"/>
      <c r="E31" s="50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3.5" customHeight="1" x14ac:dyDescent="0.25">
      <c r="B32" s="51"/>
      <c r="C32" s="50"/>
      <c r="D32" s="50"/>
      <c r="E32" s="50"/>
      <c r="F32" s="49"/>
    </row>
  </sheetData>
  <mergeCells count="3">
    <mergeCell ref="B20:E20"/>
    <mergeCell ref="B2:J2"/>
    <mergeCell ref="B4:J4"/>
  </mergeCells>
  <pageMargins left="0.75" right="0.75" top="1" bottom="1" header="0.5" footer="0.5"/>
  <pageSetup scale="7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80"/>
  </sheetPr>
  <dimension ref="B1:J27"/>
  <sheetViews>
    <sheetView zoomScaleNormal="100" workbookViewId="0"/>
  </sheetViews>
  <sheetFormatPr defaultRowHeight="13.5" customHeight="1" x14ac:dyDescent="0.2"/>
  <cols>
    <col min="1" max="1" width="2.5703125" customWidth="1"/>
    <col min="2" max="2" width="11.7109375" customWidth="1"/>
    <col min="3" max="4" width="12.140625" customWidth="1"/>
    <col min="5" max="5" width="11.7109375" customWidth="1"/>
    <col min="6" max="6" width="12.28515625" bestFit="1" customWidth="1"/>
    <col min="7" max="9" width="11.7109375" customWidth="1"/>
  </cols>
  <sheetData>
    <row r="1" spans="2:10" ht="13.5" customHeight="1" thickBot="1" x14ac:dyDescent="0.25"/>
    <row r="2" spans="2:10" ht="27" customHeight="1" thickBot="1" x14ac:dyDescent="0.25">
      <c r="B2" s="244" t="s">
        <v>3182</v>
      </c>
      <c r="C2" s="245"/>
      <c r="D2" s="245"/>
      <c r="E2" s="245"/>
      <c r="F2" s="245"/>
      <c r="G2" s="245"/>
      <c r="H2" s="245"/>
      <c r="I2" s="246"/>
      <c r="J2" s="4"/>
    </row>
    <row r="3" spans="2:10" ht="13.5" customHeight="1" thickBot="1" x14ac:dyDescent="0.25"/>
    <row r="4" spans="2:10" ht="13.5" customHeight="1" thickBot="1" x14ac:dyDescent="0.25">
      <c r="B4" s="25" t="s">
        <v>3181</v>
      </c>
      <c r="C4" s="9" t="s">
        <v>3170</v>
      </c>
      <c r="D4" s="3" t="s">
        <v>3169</v>
      </c>
    </row>
    <row r="5" spans="2:10" ht="13.5" customHeight="1" x14ac:dyDescent="0.2">
      <c r="B5" s="20" t="s">
        <v>3180</v>
      </c>
      <c r="C5" s="18">
        <v>0.52800000000000002</v>
      </c>
      <c r="D5" s="18">
        <v>0.28699999999999998</v>
      </c>
    </row>
    <row r="6" spans="2:10" ht="13.5" customHeight="1" x14ac:dyDescent="0.2">
      <c r="B6" s="19" t="s">
        <v>3179</v>
      </c>
      <c r="C6" s="18">
        <v>0.21299999999999999</v>
      </c>
      <c r="D6" s="18">
        <v>0.33500000000000002</v>
      </c>
    </row>
    <row r="7" spans="2:10" ht="13.5" customHeight="1" x14ac:dyDescent="0.2">
      <c r="B7" s="19" t="s">
        <v>3178</v>
      </c>
      <c r="C7" s="18">
        <v>8.7999999999999995E-2</v>
      </c>
      <c r="D7" s="18">
        <v>0.16700000000000001</v>
      </c>
    </row>
    <row r="8" spans="2:10" ht="13.5" customHeight="1" x14ac:dyDescent="0.2">
      <c r="B8" s="19" t="s">
        <v>3177</v>
      </c>
      <c r="C8" s="18">
        <v>8.6999999999999994E-2</v>
      </c>
      <c r="D8" s="18">
        <v>0.113</v>
      </c>
    </row>
    <row r="9" spans="2:10" ht="13.5" customHeight="1" x14ac:dyDescent="0.2">
      <c r="B9" s="19" t="s">
        <v>3176</v>
      </c>
      <c r="C9" s="18">
        <v>4.2000000000000003E-2</v>
      </c>
      <c r="D9" s="18">
        <v>4.2000000000000003E-2</v>
      </c>
    </row>
    <row r="10" spans="2:10" ht="13.5" customHeight="1" x14ac:dyDescent="0.2">
      <c r="B10" s="19" t="s">
        <v>3175</v>
      </c>
      <c r="C10" s="18">
        <v>4.1000000000000002E-2</v>
      </c>
      <c r="D10" s="18">
        <v>3.1E-2</v>
      </c>
    </row>
    <row r="11" spans="2:10" ht="13.5" customHeight="1" thickBot="1" x14ac:dyDescent="0.25">
      <c r="B11" s="24" t="s">
        <v>3174</v>
      </c>
      <c r="C11" s="18">
        <v>1E-3</v>
      </c>
      <c r="D11" s="18">
        <v>2.5000000000000001E-2</v>
      </c>
    </row>
    <row r="12" spans="2:10" ht="13.5" customHeight="1" thickBot="1" x14ac:dyDescent="0.25">
      <c r="B12" s="23" t="s">
        <v>4</v>
      </c>
      <c r="C12" s="22">
        <v>1</v>
      </c>
      <c r="D12" s="22">
        <v>1</v>
      </c>
    </row>
    <row r="13" spans="2:10" ht="13.5" customHeight="1" thickBot="1" x14ac:dyDescent="0.25"/>
    <row r="14" spans="2:10" ht="57.6" customHeight="1" thickBot="1" x14ac:dyDescent="0.25">
      <c r="B14" s="244" t="s">
        <v>3304</v>
      </c>
      <c r="C14" s="245"/>
      <c r="D14" s="245"/>
      <c r="E14" s="245"/>
      <c r="F14" s="245"/>
      <c r="G14" s="245"/>
      <c r="H14" s="245"/>
      <c r="I14" s="246"/>
      <c r="J14" s="4"/>
    </row>
    <row r="15" spans="2:10" s="1" customFormat="1" ht="13.5" customHeight="1" thickBot="1" x14ac:dyDescent="0.25">
      <c r="B15" s="2"/>
      <c r="C15" s="2"/>
      <c r="D15" s="2"/>
      <c r="E15" s="2"/>
      <c r="F15" s="2"/>
      <c r="G15" s="2"/>
      <c r="H15" s="2"/>
      <c r="I15" s="2"/>
    </row>
    <row r="16" spans="2:10" ht="13.5" customHeight="1" thickBot="1" x14ac:dyDescent="0.25"/>
    <row r="17" spans="2:9" s="13" customFormat="1" ht="13.15" customHeight="1" x14ac:dyDescent="0.25">
      <c r="B17" s="10" t="s">
        <v>3172</v>
      </c>
      <c r="C17" s="17" t="s">
        <v>3170</v>
      </c>
      <c r="D17" s="16" t="s">
        <v>3169</v>
      </c>
    </row>
    <row r="18" spans="2:9" s="13" customFormat="1" ht="13.15" customHeight="1" x14ac:dyDescent="0.25">
      <c r="B18" s="233" t="s">
        <v>3305</v>
      </c>
      <c r="C18" s="232"/>
      <c r="D18" s="232"/>
    </row>
    <row r="19" spans="2:9" s="13" customFormat="1" ht="13.15" customHeight="1" x14ac:dyDescent="0.25">
      <c r="B19" s="252" t="s">
        <v>3167</v>
      </c>
      <c r="C19" s="232"/>
      <c r="D19" s="232"/>
    </row>
    <row r="20" spans="2:9" s="13" customFormat="1" ht="13.15" customHeight="1" thickBot="1" x14ac:dyDescent="0.3">
      <c r="B20" s="253"/>
      <c r="C20" s="14"/>
      <c r="D20" s="14"/>
    </row>
    <row r="21" spans="2:9" s="13" customFormat="1" ht="13.5" customHeight="1" x14ac:dyDescent="0.25"/>
    <row r="22" spans="2:9" s="13" customFormat="1" ht="13.5" customHeight="1" x14ac:dyDescent="0.25"/>
    <row r="23" spans="2:9" s="13" customFormat="1" ht="13.5" customHeight="1" x14ac:dyDescent="0.25"/>
    <row r="24" spans="2:9" s="13" customFormat="1" ht="13.5" customHeight="1" x14ac:dyDescent="0.25"/>
    <row r="25" spans="2:9" s="13" customFormat="1" ht="13.5" customHeight="1" x14ac:dyDescent="0.25"/>
    <row r="26" spans="2:9" s="13" customFormat="1" ht="13.5" customHeight="1" x14ac:dyDescent="0.25">
      <c r="B26"/>
      <c r="C26"/>
      <c r="D26"/>
      <c r="E26"/>
      <c r="F26"/>
      <c r="G26"/>
      <c r="H26"/>
      <c r="I26"/>
    </row>
    <row r="27" spans="2:9" s="13" customFormat="1" ht="13.5" customHeight="1" x14ac:dyDescent="0.25">
      <c r="B27"/>
      <c r="C27"/>
      <c r="D27"/>
      <c r="E27"/>
      <c r="F27"/>
      <c r="G27"/>
      <c r="H27"/>
      <c r="I27"/>
    </row>
  </sheetData>
  <mergeCells count="3">
    <mergeCell ref="B2:I2"/>
    <mergeCell ref="B14:I14"/>
    <mergeCell ref="B19:B20"/>
  </mergeCells>
  <pageMargins left="0.75" right="0.75" top="1" bottom="1" header="0.5" footer="0.5"/>
  <pageSetup paperSize="9" scale="91" orientation="portrait" r:id="rId1"/>
  <headerFooter alignWithMargins="0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AE69-2F6E-4139-85C9-80118BC576E7}">
  <sheetPr>
    <tabColor theme="0" tint="-0.499984740745262"/>
  </sheetPr>
  <dimension ref="A1:P46"/>
  <sheetViews>
    <sheetView zoomScaleNormal="100" workbookViewId="0"/>
  </sheetViews>
  <sheetFormatPr defaultColWidth="8.85546875" defaultRowHeight="13.5" customHeight="1" x14ac:dyDescent="0.2"/>
  <cols>
    <col min="1" max="1" width="2.7109375" style="160" bestFit="1" customWidth="1"/>
    <col min="2" max="14" width="13.140625" style="116" customWidth="1"/>
    <col min="15" max="16384" width="8.85546875" style="116"/>
  </cols>
  <sheetData>
    <row r="1" spans="1:16" ht="13.5" customHeight="1" thickBot="1" x14ac:dyDescent="0.25"/>
    <row r="2" spans="1:16" ht="28.9" customHeight="1" thickBot="1" x14ac:dyDescent="0.25">
      <c r="B2" s="254" t="s">
        <v>3272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6"/>
      <c r="O2" s="186"/>
      <c r="P2" s="186"/>
    </row>
    <row r="3" spans="1:16" ht="13.5" customHeight="1" thickBot="1" x14ac:dyDescent="0.25"/>
    <row r="4" spans="1:16" thickBot="1" x14ac:dyDescent="0.25">
      <c r="B4" s="254" t="s">
        <v>3278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6"/>
      <c r="O4" s="186"/>
      <c r="P4" s="186"/>
    </row>
    <row r="5" spans="1:16" s="183" customFormat="1" ht="13.9" customHeight="1" thickBot="1" x14ac:dyDescent="0.25">
      <c r="A5" s="185"/>
      <c r="B5" s="184"/>
      <c r="C5" s="184"/>
      <c r="D5" s="184"/>
      <c r="E5" s="184"/>
      <c r="F5" s="184"/>
      <c r="G5" s="184"/>
      <c r="H5" s="184"/>
      <c r="I5" s="184"/>
      <c r="J5" s="184"/>
      <c r="K5" s="184"/>
    </row>
    <row r="6" spans="1:16" ht="13.5" customHeight="1" thickBot="1" x14ac:dyDescent="0.25"/>
    <row r="7" spans="1:16" ht="16.149999999999999" customHeight="1" thickBot="1" x14ac:dyDescent="0.25">
      <c r="B7" s="257" t="s">
        <v>3255</v>
      </c>
      <c r="C7" s="258"/>
      <c r="D7" s="128" t="s">
        <v>3254</v>
      </c>
      <c r="E7" s="129" t="s">
        <v>3253</v>
      </c>
      <c r="F7" s="129" t="s">
        <v>3271</v>
      </c>
      <c r="G7" s="129" t="s">
        <v>3252</v>
      </c>
      <c r="H7" s="128" t="s">
        <v>3256</v>
      </c>
      <c r="I7" s="128" t="s">
        <v>3270</v>
      </c>
      <c r="J7" s="128" t="s">
        <v>3269</v>
      </c>
      <c r="K7" s="129" t="s">
        <v>3257</v>
      </c>
      <c r="L7" s="129" t="s">
        <v>3268</v>
      </c>
      <c r="M7" s="129" t="s">
        <v>3267</v>
      </c>
      <c r="N7" s="130" t="s">
        <v>3266</v>
      </c>
    </row>
    <row r="8" spans="1:16" ht="13.5" customHeight="1" x14ac:dyDescent="0.2">
      <c r="B8" s="180">
        <v>0</v>
      </c>
      <c r="C8" s="123">
        <v>39999</v>
      </c>
      <c r="D8" s="123">
        <v>18718</v>
      </c>
      <c r="E8" s="182">
        <f t="shared" ref="E8:E24" si="0">D8/D$25</f>
        <v>9.3585273943665847E-3</v>
      </c>
      <c r="F8" s="180">
        <f>D8</f>
        <v>18718</v>
      </c>
      <c r="G8" s="182">
        <f>E8</f>
        <v>9.3585273943665847E-3</v>
      </c>
      <c r="H8" s="181">
        <f t="shared" ref="H8:H24" si="1">(B8+C8+1)/2</f>
        <v>20000</v>
      </c>
      <c r="I8" s="172">
        <f t="shared" ref="I8:I24" si="2">C8-B8+1</f>
        <v>40000</v>
      </c>
      <c r="J8" s="189">
        <f t="shared" ref="J8:J24" si="3">D8/I8</f>
        <v>0.46794999999999998</v>
      </c>
      <c r="K8" s="180">
        <f t="shared" ref="K8:K24" si="4">D8*H8/1000000</f>
        <v>374.36</v>
      </c>
      <c r="L8" s="171">
        <f t="shared" ref="L8:L24" si="5">K8/K$25</f>
        <v>7.7720685401110967E-4</v>
      </c>
      <c r="M8" s="180">
        <f>K8</f>
        <v>374.36</v>
      </c>
      <c r="N8" s="171">
        <f>L8</f>
        <v>7.7720685401110967E-4</v>
      </c>
    </row>
    <row r="9" spans="1:16" ht="13.5" customHeight="1" x14ac:dyDescent="0.2">
      <c r="B9" s="124">
        <v>40000</v>
      </c>
      <c r="C9" s="124">
        <v>59999</v>
      </c>
      <c r="D9" s="124">
        <v>10775</v>
      </c>
      <c r="E9" s="174">
        <f t="shared" si="0"/>
        <v>5.3872279449887778E-3</v>
      </c>
      <c r="F9" s="170">
        <f t="shared" ref="F9:F24" si="6">F8+D9</f>
        <v>29493</v>
      </c>
      <c r="G9" s="174">
        <f t="shared" ref="G9:G24" si="7">G8+E9</f>
        <v>1.4745755339355363E-2</v>
      </c>
      <c r="H9" s="173">
        <f t="shared" si="1"/>
        <v>50000</v>
      </c>
      <c r="I9" s="172">
        <f t="shared" si="2"/>
        <v>20000</v>
      </c>
      <c r="J9" s="189">
        <f t="shared" si="3"/>
        <v>0.53874999999999995</v>
      </c>
      <c r="K9" s="170">
        <f t="shared" si="4"/>
        <v>538.75</v>
      </c>
      <c r="L9" s="171">
        <f t="shared" si="5"/>
        <v>1.1184960802395696E-3</v>
      </c>
      <c r="M9" s="170">
        <f t="shared" ref="M9:M24" si="8">M8+K9</f>
        <v>913.11</v>
      </c>
      <c r="N9" s="169">
        <f t="shared" ref="N9:N24" si="9">N8+L9</f>
        <v>1.8957029342506794E-3</v>
      </c>
    </row>
    <row r="10" spans="1:16" ht="13.5" customHeight="1" x14ac:dyDescent="0.2">
      <c r="B10" s="124">
        <v>60000</v>
      </c>
      <c r="C10" s="124">
        <v>79999</v>
      </c>
      <c r="D10" s="124">
        <v>17621</v>
      </c>
      <c r="E10" s="174">
        <f t="shared" si="0"/>
        <v>8.8100550922178434E-3</v>
      </c>
      <c r="F10" s="170">
        <f t="shared" si="6"/>
        <v>47114</v>
      </c>
      <c r="G10" s="174">
        <f t="shared" si="7"/>
        <v>2.3555810431573204E-2</v>
      </c>
      <c r="H10" s="173">
        <f t="shared" si="1"/>
        <v>70000</v>
      </c>
      <c r="I10" s="172">
        <f t="shared" si="2"/>
        <v>20000</v>
      </c>
      <c r="J10" s="189">
        <f t="shared" si="3"/>
        <v>0.88105</v>
      </c>
      <c r="K10" s="170">
        <f t="shared" si="4"/>
        <v>1233.47</v>
      </c>
      <c r="L10" s="171">
        <f t="shared" si="5"/>
        <v>2.5608006683862684E-3</v>
      </c>
      <c r="M10" s="170">
        <f t="shared" si="8"/>
        <v>2146.58</v>
      </c>
      <c r="N10" s="169">
        <f t="shared" si="9"/>
        <v>4.4565036026369478E-3</v>
      </c>
    </row>
    <row r="11" spans="1:16" ht="13.5" customHeight="1" x14ac:dyDescent="0.2">
      <c r="B11" s="124">
        <v>80000</v>
      </c>
      <c r="C11" s="124">
        <v>99999</v>
      </c>
      <c r="D11" s="124">
        <v>36349</v>
      </c>
      <c r="E11" s="174">
        <f t="shared" si="0"/>
        <v>1.817358223409718E-2</v>
      </c>
      <c r="F11" s="170">
        <f t="shared" si="6"/>
        <v>83463</v>
      </c>
      <c r="G11" s="174">
        <f t="shared" si="7"/>
        <v>4.1729392665670384E-2</v>
      </c>
      <c r="H11" s="173">
        <f t="shared" si="1"/>
        <v>90000</v>
      </c>
      <c r="I11" s="172">
        <f t="shared" si="2"/>
        <v>20000</v>
      </c>
      <c r="J11" s="189">
        <f t="shared" si="3"/>
        <v>1.81745</v>
      </c>
      <c r="K11" s="170">
        <f t="shared" si="4"/>
        <v>3271.41</v>
      </c>
      <c r="L11" s="171">
        <f t="shared" si="5"/>
        <v>6.7917573305921681E-3</v>
      </c>
      <c r="M11" s="170">
        <f t="shared" si="8"/>
        <v>5417.99</v>
      </c>
      <c r="N11" s="169">
        <f t="shared" si="9"/>
        <v>1.1248260933229115E-2</v>
      </c>
    </row>
    <row r="12" spans="1:16" ht="13.5" customHeight="1" x14ac:dyDescent="0.2">
      <c r="B12" s="124">
        <v>100000</v>
      </c>
      <c r="C12" s="124">
        <v>119999</v>
      </c>
      <c r="D12" s="124">
        <v>73643</v>
      </c>
      <c r="E12" s="174">
        <f t="shared" si="0"/>
        <v>3.6819640608149289E-2</v>
      </c>
      <c r="F12" s="170">
        <f t="shared" si="6"/>
        <v>157106</v>
      </c>
      <c r="G12" s="174">
        <f t="shared" si="7"/>
        <v>7.8549033273819679E-2</v>
      </c>
      <c r="H12" s="173">
        <f t="shared" si="1"/>
        <v>110000</v>
      </c>
      <c r="I12" s="172">
        <f t="shared" si="2"/>
        <v>20000</v>
      </c>
      <c r="J12" s="189">
        <f t="shared" si="3"/>
        <v>3.68215</v>
      </c>
      <c r="K12" s="170">
        <f t="shared" si="4"/>
        <v>8100.73</v>
      </c>
      <c r="L12" s="171">
        <f t="shared" si="5"/>
        <v>1.6817883530541231E-2</v>
      </c>
      <c r="M12" s="170">
        <f t="shared" si="8"/>
        <v>13518.72</v>
      </c>
      <c r="N12" s="169">
        <f t="shared" si="9"/>
        <v>2.8066144463770346E-2</v>
      </c>
    </row>
    <row r="13" spans="1:16" ht="13.5" customHeight="1" x14ac:dyDescent="0.2">
      <c r="B13" s="124">
        <v>120000</v>
      </c>
      <c r="C13" s="124">
        <v>139999</v>
      </c>
      <c r="D13" s="124">
        <v>136562</v>
      </c>
      <c r="E13" s="174">
        <f t="shared" si="0"/>
        <v>6.8277551983624826E-2</v>
      </c>
      <c r="F13" s="170">
        <f t="shared" si="6"/>
        <v>293668</v>
      </c>
      <c r="G13" s="174">
        <f t="shared" si="7"/>
        <v>0.14682658525744452</v>
      </c>
      <c r="H13" s="173">
        <f t="shared" si="1"/>
        <v>130000</v>
      </c>
      <c r="I13" s="172">
        <f t="shared" si="2"/>
        <v>20000</v>
      </c>
      <c r="J13" s="189">
        <f t="shared" si="3"/>
        <v>6.8281000000000001</v>
      </c>
      <c r="K13" s="170">
        <f t="shared" si="4"/>
        <v>17753.060000000001</v>
      </c>
      <c r="L13" s="171">
        <f t="shared" si="5"/>
        <v>3.6857035772172433E-2</v>
      </c>
      <c r="M13" s="170">
        <f t="shared" si="8"/>
        <v>31271.78</v>
      </c>
      <c r="N13" s="169">
        <f t="shared" si="9"/>
        <v>6.4923180235942776E-2</v>
      </c>
    </row>
    <row r="14" spans="1:16" ht="13.5" customHeight="1" x14ac:dyDescent="0.2">
      <c r="B14" s="124">
        <v>140000</v>
      </c>
      <c r="C14" s="124">
        <v>159999</v>
      </c>
      <c r="D14" s="124">
        <v>177991</v>
      </c>
      <c r="E14" s="174">
        <f t="shared" si="0"/>
        <v>8.8991005954199315E-2</v>
      </c>
      <c r="F14" s="170">
        <f t="shared" si="6"/>
        <v>471659</v>
      </c>
      <c r="G14" s="174">
        <f t="shared" si="7"/>
        <v>0.23581759121164383</v>
      </c>
      <c r="H14" s="173">
        <f t="shared" si="1"/>
        <v>150000</v>
      </c>
      <c r="I14" s="172">
        <f t="shared" si="2"/>
        <v>20000</v>
      </c>
      <c r="J14" s="189">
        <f t="shared" si="3"/>
        <v>8.8995499999999996</v>
      </c>
      <c r="K14" s="170">
        <f t="shared" si="4"/>
        <v>26698.65</v>
      </c>
      <c r="L14" s="171">
        <f t="shared" si="5"/>
        <v>5.5428928766010563E-2</v>
      </c>
      <c r="M14" s="170">
        <f t="shared" si="8"/>
        <v>57970.43</v>
      </c>
      <c r="N14" s="169">
        <f t="shared" si="9"/>
        <v>0.12035210900195334</v>
      </c>
    </row>
    <row r="15" spans="1:16" ht="13.5" customHeight="1" x14ac:dyDescent="0.2">
      <c r="B15" s="124">
        <v>160000</v>
      </c>
      <c r="C15" s="124">
        <v>179999</v>
      </c>
      <c r="D15" s="124">
        <v>198560</v>
      </c>
      <c r="E15" s="174">
        <f t="shared" si="0"/>
        <v>9.9274986613176033E-2</v>
      </c>
      <c r="F15" s="170">
        <f t="shared" si="6"/>
        <v>670219</v>
      </c>
      <c r="G15" s="174">
        <f t="shared" si="7"/>
        <v>0.33509257782481988</v>
      </c>
      <c r="H15" s="173">
        <f t="shared" si="1"/>
        <v>170000</v>
      </c>
      <c r="I15" s="172">
        <f t="shared" si="2"/>
        <v>20000</v>
      </c>
      <c r="J15" s="189">
        <f t="shared" si="3"/>
        <v>9.9280000000000008</v>
      </c>
      <c r="K15" s="170">
        <f t="shared" si="4"/>
        <v>33755.199999999997</v>
      </c>
      <c r="L15" s="171">
        <f t="shared" si="5"/>
        <v>7.0078995615225473E-2</v>
      </c>
      <c r="M15" s="170">
        <f t="shared" si="8"/>
        <v>91725.63</v>
      </c>
      <c r="N15" s="169">
        <f t="shared" si="9"/>
        <v>0.19043110461717883</v>
      </c>
    </row>
    <row r="16" spans="1:16" ht="13.5" customHeight="1" x14ac:dyDescent="0.2">
      <c r="B16" s="124">
        <v>180000</v>
      </c>
      <c r="C16" s="124">
        <v>199999</v>
      </c>
      <c r="D16" s="124">
        <v>204154</v>
      </c>
      <c r="E16" s="174">
        <f t="shared" si="0"/>
        <v>0.10207184537180872</v>
      </c>
      <c r="F16" s="170">
        <f t="shared" si="6"/>
        <v>874373</v>
      </c>
      <c r="G16" s="174">
        <f t="shared" si="7"/>
        <v>0.43716442319662863</v>
      </c>
      <c r="H16" s="173">
        <f t="shared" si="1"/>
        <v>190000</v>
      </c>
      <c r="I16" s="172">
        <f t="shared" si="2"/>
        <v>20000</v>
      </c>
      <c r="J16" s="189">
        <f t="shared" si="3"/>
        <v>10.207700000000001</v>
      </c>
      <c r="K16" s="170">
        <f t="shared" si="4"/>
        <v>38789.26</v>
      </c>
      <c r="L16" s="171">
        <f t="shared" si="5"/>
        <v>8.0530181467087764E-2</v>
      </c>
      <c r="M16" s="170">
        <f t="shared" si="8"/>
        <v>130514.89000000001</v>
      </c>
      <c r="N16" s="169">
        <f t="shared" si="9"/>
        <v>0.27096128608426662</v>
      </c>
    </row>
    <row r="17" spans="2:14" ht="13.5" customHeight="1" x14ac:dyDescent="0.2">
      <c r="B17" s="179">
        <v>200000</v>
      </c>
      <c r="C17" s="179">
        <v>219999</v>
      </c>
      <c r="D17" s="179">
        <v>172598</v>
      </c>
      <c r="E17" s="178">
        <f t="shared" si="0"/>
        <v>8.6294642120572917E-2</v>
      </c>
      <c r="F17" s="176">
        <f t="shared" si="6"/>
        <v>1046971</v>
      </c>
      <c r="G17" s="178">
        <f t="shared" si="7"/>
        <v>0.52345906531720154</v>
      </c>
      <c r="H17" s="173">
        <f t="shared" si="1"/>
        <v>210000</v>
      </c>
      <c r="I17" s="176">
        <f t="shared" si="2"/>
        <v>20000</v>
      </c>
      <c r="J17" s="190">
        <f t="shared" si="3"/>
        <v>8.6298999999999992</v>
      </c>
      <c r="K17" s="176">
        <f t="shared" si="4"/>
        <v>36245.58</v>
      </c>
      <c r="L17" s="177">
        <f t="shared" si="5"/>
        <v>7.5249260614403235E-2</v>
      </c>
      <c r="M17" s="176">
        <f t="shared" si="8"/>
        <v>166760.47000000003</v>
      </c>
      <c r="N17" s="175">
        <f t="shared" si="9"/>
        <v>0.34621054669866985</v>
      </c>
    </row>
    <row r="18" spans="2:14" ht="13.5" customHeight="1" x14ac:dyDescent="0.2">
      <c r="B18" s="124">
        <v>220000</v>
      </c>
      <c r="C18" s="124">
        <v>239999</v>
      </c>
      <c r="D18" s="124">
        <v>148217</v>
      </c>
      <c r="E18" s="174">
        <f t="shared" si="0"/>
        <v>7.4104757709735652E-2</v>
      </c>
      <c r="F18" s="170">
        <f t="shared" si="6"/>
        <v>1195188</v>
      </c>
      <c r="G18" s="174">
        <f t="shared" si="7"/>
        <v>0.59756382302693722</v>
      </c>
      <c r="H18" s="173">
        <f t="shared" si="1"/>
        <v>230000</v>
      </c>
      <c r="I18" s="172">
        <f t="shared" si="2"/>
        <v>20000</v>
      </c>
      <c r="J18" s="189">
        <f t="shared" si="3"/>
        <v>7.4108499999999999</v>
      </c>
      <c r="K18" s="170">
        <f t="shared" si="4"/>
        <v>34089.910000000003</v>
      </c>
      <c r="L18" s="171">
        <f t="shared" si="5"/>
        <v>7.0773885309920584E-2</v>
      </c>
      <c r="M18" s="170">
        <f t="shared" si="8"/>
        <v>200850.38000000003</v>
      </c>
      <c r="N18" s="169">
        <f t="shared" si="9"/>
        <v>0.41698443200859042</v>
      </c>
    </row>
    <row r="19" spans="2:14" ht="13.5" customHeight="1" x14ac:dyDescent="0.2">
      <c r="B19" s="124">
        <v>240000</v>
      </c>
      <c r="C19" s="124">
        <v>259999</v>
      </c>
      <c r="D19" s="124">
        <v>126806</v>
      </c>
      <c r="E19" s="174">
        <f t="shared" si="0"/>
        <v>6.3399798310185329E-2</v>
      </c>
      <c r="F19" s="170">
        <f t="shared" si="6"/>
        <v>1321994</v>
      </c>
      <c r="G19" s="174">
        <f t="shared" si="7"/>
        <v>0.66096362133712261</v>
      </c>
      <c r="H19" s="173">
        <f t="shared" si="1"/>
        <v>250000</v>
      </c>
      <c r="I19" s="172">
        <f t="shared" si="2"/>
        <v>20000</v>
      </c>
      <c r="J19" s="189">
        <f t="shared" si="3"/>
        <v>6.3403</v>
      </c>
      <c r="K19" s="170">
        <f t="shared" si="4"/>
        <v>31701.5</v>
      </c>
      <c r="L19" s="171">
        <f t="shared" si="5"/>
        <v>6.5815319698774424E-2</v>
      </c>
      <c r="M19" s="170">
        <f t="shared" si="8"/>
        <v>232551.88000000003</v>
      </c>
      <c r="N19" s="169">
        <f t="shared" si="9"/>
        <v>0.48279975170736483</v>
      </c>
    </row>
    <row r="20" spans="2:14" ht="13.5" customHeight="1" x14ac:dyDescent="0.2">
      <c r="B20" s="124">
        <v>260000</v>
      </c>
      <c r="C20" s="124">
        <v>279999</v>
      </c>
      <c r="D20" s="124">
        <v>108565</v>
      </c>
      <c r="E20" s="174">
        <f t="shared" si="0"/>
        <v>5.4279758872176953E-2</v>
      </c>
      <c r="F20" s="170">
        <f t="shared" si="6"/>
        <v>1430559</v>
      </c>
      <c r="G20" s="174">
        <f t="shared" si="7"/>
        <v>0.71524338020929956</v>
      </c>
      <c r="H20" s="173">
        <f t="shared" si="1"/>
        <v>270000</v>
      </c>
      <c r="I20" s="172">
        <f t="shared" si="2"/>
        <v>20000</v>
      </c>
      <c r="J20" s="189">
        <f t="shared" si="3"/>
        <v>5.4282500000000002</v>
      </c>
      <c r="K20" s="170">
        <f t="shared" si="4"/>
        <v>29312.55</v>
      </c>
      <c r="L20" s="171">
        <f t="shared" si="5"/>
        <v>6.0855632996429508E-2</v>
      </c>
      <c r="M20" s="170">
        <f t="shared" si="8"/>
        <v>261864.43000000002</v>
      </c>
      <c r="N20" s="169">
        <f t="shared" si="9"/>
        <v>0.54365538470379438</v>
      </c>
    </row>
    <row r="21" spans="2:14" ht="13.5" customHeight="1" x14ac:dyDescent="0.2">
      <c r="B21" s="124">
        <v>280000</v>
      </c>
      <c r="C21" s="124">
        <v>299999</v>
      </c>
      <c r="D21" s="124">
        <v>93146</v>
      </c>
      <c r="E21" s="174">
        <f t="shared" si="0"/>
        <v>4.6570648182266798E-2</v>
      </c>
      <c r="F21" s="170">
        <f t="shared" si="6"/>
        <v>1523705</v>
      </c>
      <c r="G21" s="174">
        <f t="shared" si="7"/>
        <v>0.76181402839156631</v>
      </c>
      <c r="H21" s="173">
        <f t="shared" si="1"/>
        <v>290000</v>
      </c>
      <c r="I21" s="172">
        <f t="shared" si="2"/>
        <v>20000</v>
      </c>
      <c r="J21" s="189">
        <f t="shared" si="3"/>
        <v>4.6573000000000002</v>
      </c>
      <c r="K21" s="170">
        <f t="shared" si="4"/>
        <v>27012.34</v>
      </c>
      <c r="L21" s="171">
        <f t="shared" si="5"/>
        <v>5.6080178947746709E-2</v>
      </c>
      <c r="M21" s="170">
        <f t="shared" si="8"/>
        <v>288876.77</v>
      </c>
      <c r="N21" s="169">
        <f t="shared" si="9"/>
        <v>0.59973556365154113</v>
      </c>
    </row>
    <row r="22" spans="2:14" ht="13.5" customHeight="1" x14ac:dyDescent="0.2">
      <c r="B22" s="124">
        <v>300000</v>
      </c>
      <c r="C22" s="124">
        <v>399999</v>
      </c>
      <c r="D22" s="124">
        <v>290323</v>
      </c>
      <c r="E22" s="174">
        <f t="shared" si="0"/>
        <v>0.14515416971442943</v>
      </c>
      <c r="F22" s="170">
        <f t="shared" si="6"/>
        <v>1814028</v>
      </c>
      <c r="G22" s="174">
        <f t="shared" si="7"/>
        <v>0.90696819810599572</v>
      </c>
      <c r="H22" s="173">
        <f t="shared" si="1"/>
        <v>350000</v>
      </c>
      <c r="I22" s="172">
        <f t="shared" si="2"/>
        <v>100000</v>
      </c>
      <c r="J22" s="189">
        <f t="shared" si="3"/>
        <v>2.9032300000000002</v>
      </c>
      <c r="K22" s="170">
        <f t="shared" si="4"/>
        <v>101613.05</v>
      </c>
      <c r="L22" s="171">
        <f t="shared" si="5"/>
        <v>0.2109583259882829</v>
      </c>
      <c r="M22" s="170">
        <f t="shared" si="8"/>
        <v>390489.82</v>
      </c>
      <c r="N22" s="169">
        <f t="shared" si="9"/>
        <v>0.81069388963982403</v>
      </c>
    </row>
    <row r="23" spans="2:14" ht="13.5" customHeight="1" x14ac:dyDescent="0.2">
      <c r="B23" s="124">
        <v>400000</v>
      </c>
      <c r="C23" s="124">
        <v>499999</v>
      </c>
      <c r="D23" s="124">
        <v>111564</v>
      </c>
      <c r="E23" s="174">
        <f t="shared" si="0"/>
        <v>5.5779183151250862E-2</v>
      </c>
      <c r="F23" s="170">
        <f t="shared" si="6"/>
        <v>1925592</v>
      </c>
      <c r="G23" s="174">
        <f t="shared" si="7"/>
        <v>0.96274738125724657</v>
      </c>
      <c r="H23" s="173">
        <f t="shared" si="1"/>
        <v>450000</v>
      </c>
      <c r="I23" s="172">
        <f t="shared" si="2"/>
        <v>100000</v>
      </c>
      <c r="J23" s="189">
        <f t="shared" si="3"/>
        <v>1.11564</v>
      </c>
      <c r="K23" s="170">
        <f t="shared" si="4"/>
        <v>50203.8</v>
      </c>
      <c r="L23" s="171">
        <f t="shared" si="5"/>
        <v>0.10422784874827158</v>
      </c>
      <c r="M23" s="170">
        <f t="shared" si="8"/>
        <v>440693.62</v>
      </c>
      <c r="N23" s="169">
        <f t="shared" si="9"/>
        <v>0.91492173838809565</v>
      </c>
    </row>
    <row r="24" spans="2:14" ht="13.5" customHeight="1" thickBot="1" x14ac:dyDescent="0.25">
      <c r="B24" s="124">
        <v>500000</v>
      </c>
      <c r="C24" s="170">
        <v>599999</v>
      </c>
      <c r="D24" s="124">
        <v>74509</v>
      </c>
      <c r="E24" s="174">
        <f t="shared" si="0"/>
        <v>3.7252618742753492E-2</v>
      </c>
      <c r="F24" s="170">
        <f t="shared" si="6"/>
        <v>2000101</v>
      </c>
      <c r="G24" s="174">
        <f t="shared" si="7"/>
        <v>1</v>
      </c>
      <c r="H24" s="173">
        <f t="shared" si="1"/>
        <v>550000</v>
      </c>
      <c r="I24" s="172">
        <f t="shared" si="2"/>
        <v>100000</v>
      </c>
      <c r="J24" s="189">
        <f t="shared" si="3"/>
        <v>0.74509000000000003</v>
      </c>
      <c r="K24" s="170">
        <f t="shared" si="4"/>
        <v>40979.949999999997</v>
      </c>
      <c r="L24" s="171">
        <f t="shared" si="5"/>
        <v>8.5078261611904502E-2</v>
      </c>
      <c r="M24" s="170">
        <f t="shared" si="8"/>
        <v>481673.57</v>
      </c>
      <c r="N24" s="169">
        <f t="shared" si="9"/>
        <v>1.0000000000000002</v>
      </c>
    </row>
    <row r="25" spans="2:14" ht="13.5" customHeight="1" thickBot="1" x14ac:dyDescent="0.25">
      <c r="B25" s="242" t="s">
        <v>4</v>
      </c>
      <c r="C25" s="259"/>
      <c r="D25" s="164">
        <f>SUM(D8:D24)</f>
        <v>2000101</v>
      </c>
      <c r="E25" s="168">
        <f>SUM(E8:E24)</f>
        <v>1</v>
      </c>
      <c r="F25" s="162" t="s">
        <v>5</v>
      </c>
      <c r="G25" s="167" t="s">
        <v>5</v>
      </c>
      <c r="H25" s="166" t="s">
        <v>5</v>
      </c>
      <c r="I25" s="165"/>
      <c r="J25" s="191"/>
      <c r="K25" s="164">
        <f>SUM(K8:K24)</f>
        <v>481673.57</v>
      </c>
      <c r="L25" s="163">
        <f>SUM(L8:L24)</f>
        <v>1.0000000000000002</v>
      </c>
      <c r="M25" s="162" t="s">
        <v>5</v>
      </c>
      <c r="N25" s="161" t="s">
        <v>5</v>
      </c>
    </row>
    <row r="27" spans="2:14" ht="13.5" customHeight="1" thickBot="1" x14ac:dyDescent="0.25"/>
    <row r="28" spans="2:14" ht="13.5" customHeight="1" thickBot="1" x14ac:dyDescent="0.25">
      <c r="B28" s="192"/>
      <c r="C28" s="159"/>
    </row>
    <row r="29" spans="2:14" ht="13.5" customHeight="1" x14ac:dyDescent="0.2">
      <c r="B29" s="138"/>
      <c r="C29" s="138"/>
    </row>
    <row r="30" spans="2:14" ht="13.5" customHeight="1" x14ac:dyDescent="0.2">
      <c r="B30" s="139"/>
      <c r="C30" s="139"/>
    </row>
    <row r="31" spans="2:14" ht="13.5" customHeight="1" x14ac:dyDescent="0.2">
      <c r="B31" s="139"/>
      <c r="C31" s="139"/>
    </row>
    <row r="32" spans="2:14" ht="13.5" customHeight="1" x14ac:dyDescent="0.2">
      <c r="B32" s="139"/>
      <c r="C32" s="139"/>
    </row>
    <row r="33" spans="2:3" ht="13.5" customHeight="1" x14ac:dyDescent="0.2">
      <c r="B33" s="139"/>
      <c r="C33" s="139"/>
    </row>
    <row r="34" spans="2:3" ht="13.5" customHeight="1" x14ac:dyDescent="0.2">
      <c r="B34" s="139"/>
      <c r="C34" s="139"/>
    </row>
    <row r="35" spans="2:3" ht="13.5" customHeight="1" x14ac:dyDescent="0.2">
      <c r="B35" s="139"/>
      <c r="C35" s="139"/>
    </row>
    <row r="36" spans="2:3" ht="13.5" customHeight="1" x14ac:dyDescent="0.2">
      <c r="B36" s="139"/>
      <c r="C36" s="139"/>
    </row>
    <row r="37" spans="2:3" ht="13.5" customHeight="1" x14ac:dyDescent="0.2">
      <c r="B37" s="139"/>
      <c r="C37" s="139"/>
    </row>
    <row r="38" spans="2:3" ht="13.5" customHeight="1" x14ac:dyDescent="0.2">
      <c r="B38" s="139"/>
      <c r="C38" s="139"/>
    </row>
    <row r="39" spans="2:3" ht="13.5" customHeight="1" x14ac:dyDescent="0.2">
      <c r="B39" s="139"/>
      <c r="C39" s="139"/>
    </row>
    <row r="40" spans="2:3" ht="13.5" customHeight="1" x14ac:dyDescent="0.2">
      <c r="B40" s="139"/>
      <c r="C40" s="139"/>
    </row>
    <row r="41" spans="2:3" ht="13.5" customHeight="1" x14ac:dyDescent="0.2">
      <c r="B41" s="139"/>
      <c r="C41" s="139"/>
    </row>
    <row r="42" spans="2:3" ht="13.5" customHeight="1" x14ac:dyDescent="0.2">
      <c r="B42" s="139"/>
      <c r="C42" s="139"/>
    </row>
    <row r="43" spans="2:3" ht="13.5" customHeight="1" x14ac:dyDescent="0.2">
      <c r="B43" s="139"/>
      <c r="C43" s="139"/>
    </row>
    <row r="44" spans="2:3" ht="13.5" customHeight="1" x14ac:dyDescent="0.2">
      <c r="B44" s="139"/>
      <c r="C44" s="139"/>
    </row>
    <row r="45" spans="2:3" ht="13.5" customHeight="1" x14ac:dyDescent="0.2">
      <c r="B45" s="139"/>
      <c r="C45" s="139"/>
    </row>
    <row r="46" spans="2:3" ht="13.5" customHeight="1" x14ac:dyDescent="0.2">
      <c r="B46" s="139"/>
      <c r="C46" s="139"/>
    </row>
  </sheetData>
  <mergeCells count="4">
    <mergeCell ref="B2:N2"/>
    <mergeCell ref="B4:N4"/>
    <mergeCell ref="B7:C7"/>
    <mergeCell ref="B25:C25"/>
  </mergeCells>
  <pageMargins left="0.75" right="0.75" top="1" bottom="1" header="0.5" footer="0.5"/>
  <pageSetup paperSize="9" scale="55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A2E9-6FB1-4770-9BEB-D6070671F93A}">
  <sheetPr>
    <tabColor theme="0" tint="-0.499984740745262"/>
  </sheetPr>
  <dimension ref="B1:Q1303"/>
  <sheetViews>
    <sheetView workbookViewId="0"/>
  </sheetViews>
  <sheetFormatPr defaultColWidth="8.85546875" defaultRowHeight="12.75" x14ac:dyDescent="0.2"/>
  <cols>
    <col min="1" max="1" width="2.7109375" style="193" customWidth="1"/>
    <col min="2" max="6" width="12.28515625" style="193" customWidth="1"/>
    <col min="7" max="7" width="6.28515625" style="193" customWidth="1"/>
    <col min="8" max="8" width="3.140625" style="194" customWidth="1"/>
    <col min="9" max="9" width="10.7109375" style="193" customWidth="1"/>
    <col min="10" max="17" width="11.140625" style="193" customWidth="1"/>
    <col min="18" max="16384" width="8.85546875" style="193"/>
  </cols>
  <sheetData>
    <row r="1" spans="2:17" s="215" customFormat="1" ht="14.45" customHeight="1" thickBot="1" x14ac:dyDescent="0.25">
      <c r="H1" s="216"/>
    </row>
    <row r="2" spans="2:17" s="215" customFormat="1" ht="31.9" customHeight="1" thickBot="1" x14ac:dyDescent="0.25">
      <c r="B2" s="234" t="s">
        <v>3276</v>
      </c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6"/>
    </row>
    <row r="3" spans="2:17" s="215" customFormat="1" ht="14.45" customHeight="1" thickBot="1" x14ac:dyDescent="0.25">
      <c r="H3" s="216"/>
    </row>
    <row r="4" spans="2:17" s="215" customFormat="1" ht="29.45" customHeight="1" thickBot="1" x14ac:dyDescent="0.25">
      <c r="B4" s="234" t="s">
        <v>3303</v>
      </c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6"/>
    </row>
    <row r="5" spans="2:17" s="217" customFormat="1" ht="14.45" customHeight="1" thickBot="1" x14ac:dyDescent="0.25">
      <c r="B5" s="218"/>
      <c r="C5" s="218"/>
      <c r="D5" s="218"/>
      <c r="E5" s="218"/>
      <c r="F5" s="218"/>
      <c r="G5" s="218"/>
      <c r="H5" s="219"/>
      <c r="I5" s="218"/>
      <c r="J5" s="218"/>
      <c r="K5" s="218"/>
      <c r="L5" s="218"/>
      <c r="M5" s="218"/>
      <c r="N5" s="218"/>
    </row>
    <row r="6" spans="2:17" s="215" customFormat="1" ht="14.45" customHeight="1" thickBot="1" x14ac:dyDescent="0.25">
      <c r="H6" s="216"/>
    </row>
    <row r="7" spans="2:17" ht="15" thickBot="1" x14ac:dyDescent="0.25">
      <c r="B7" s="214" t="s">
        <v>3275</v>
      </c>
      <c r="C7" s="145" t="s">
        <v>3274</v>
      </c>
      <c r="D7" s="145" t="s">
        <v>3252</v>
      </c>
      <c r="E7" s="145" t="s">
        <v>3265</v>
      </c>
      <c r="F7" s="213" t="s">
        <v>3249</v>
      </c>
      <c r="H7" s="212"/>
      <c r="I7" s="211" t="s">
        <v>3166</v>
      </c>
      <c r="J7" s="240" t="s">
        <v>3273</v>
      </c>
      <c r="K7" s="241"/>
      <c r="L7" s="128" t="s">
        <v>3254</v>
      </c>
      <c r="M7" s="129" t="s">
        <v>3253</v>
      </c>
      <c r="N7" s="129" t="s">
        <v>3252</v>
      </c>
      <c r="O7" s="128" t="s">
        <v>3251</v>
      </c>
      <c r="P7" s="129" t="s">
        <v>3250</v>
      </c>
      <c r="Q7" s="130" t="s">
        <v>3249</v>
      </c>
    </row>
    <row r="8" spans="2:17" x14ac:dyDescent="0.2">
      <c r="B8" s="226"/>
      <c r="C8" s="121"/>
      <c r="D8" s="196"/>
      <c r="E8" s="196"/>
      <c r="F8" s="195"/>
      <c r="I8" s="131">
        <v>1</v>
      </c>
      <c r="J8" s="120"/>
      <c r="K8" s="120"/>
      <c r="L8" s="120"/>
      <c r="M8" s="118"/>
      <c r="N8" s="118"/>
      <c r="O8" s="120"/>
      <c r="P8" s="118"/>
      <c r="Q8" s="118"/>
    </row>
    <row r="9" spans="2:17" x14ac:dyDescent="0.2">
      <c r="B9" s="227">
        <v>944</v>
      </c>
      <c r="C9" s="114">
        <v>110</v>
      </c>
      <c r="D9" s="196"/>
      <c r="E9" s="195"/>
      <c r="F9" s="195"/>
      <c r="I9" s="132">
        <v>2</v>
      </c>
      <c r="J9" s="119"/>
      <c r="K9" s="120"/>
      <c r="L9" s="119"/>
      <c r="M9" s="229"/>
      <c r="N9" s="229"/>
      <c r="O9" s="119"/>
      <c r="P9" s="118"/>
      <c r="Q9" s="229"/>
    </row>
    <row r="10" spans="2:17" x14ac:dyDescent="0.2">
      <c r="B10" s="228">
        <v>1516</v>
      </c>
      <c r="C10" s="197">
        <v>115</v>
      </c>
      <c r="D10" s="196"/>
      <c r="E10" s="195"/>
      <c r="F10" s="195"/>
      <c r="I10" s="132">
        <v>3</v>
      </c>
      <c r="J10" s="119"/>
      <c r="K10" s="120"/>
      <c r="L10" s="119"/>
      <c r="M10" s="229"/>
      <c r="N10" s="229"/>
      <c r="O10" s="119"/>
      <c r="P10" s="118"/>
      <c r="Q10" s="229"/>
    </row>
    <row r="11" spans="2:17" x14ac:dyDescent="0.2">
      <c r="B11" s="227">
        <v>566</v>
      </c>
      <c r="C11" s="114">
        <v>120</v>
      </c>
      <c r="D11" s="196"/>
      <c r="E11" s="195"/>
      <c r="F11" s="195"/>
      <c r="I11" s="132">
        <v>4</v>
      </c>
      <c r="J11" s="119"/>
      <c r="K11" s="120"/>
      <c r="L11" s="119"/>
      <c r="M11" s="229"/>
      <c r="N11" s="229"/>
      <c r="O11" s="119"/>
      <c r="P11" s="118"/>
      <c r="Q11" s="229"/>
    </row>
    <row r="12" spans="2:17" x14ac:dyDescent="0.2">
      <c r="B12" s="227">
        <v>2158</v>
      </c>
      <c r="C12" s="114">
        <v>125</v>
      </c>
      <c r="D12" s="196"/>
      <c r="E12" s="195"/>
      <c r="F12" s="195"/>
      <c r="I12" s="132">
        <v>5</v>
      </c>
      <c r="J12" s="119"/>
      <c r="K12" s="120"/>
      <c r="L12" s="119"/>
      <c r="M12" s="229"/>
      <c r="N12" s="229"/>
      <c r="O12" s="119"/>
      <c r="P12" s="118"/>
      <c r="Q12" s="229"/>
    </row>
    <row r="13" spans="2:17" x14ac:dyDescent="0.2">
      <c r="B13" s="227">
        <v>590</v>
      </c>
      <c r="C13" s="114">
        <v>130</v>
      </c>
      <c r="D13" s="196"/>
      <c r="E13" s="195"/>
      <c r="F13" s="195"/>
      <c r="I13" s="132">
        <v>6</v>
      </c>
      <c r="J13" s="119"/>
      <c r="K13" s="120"/>
      <c r="L13" s="119"/>
      <c r="M13" s="229"/>
      <c r="N13" s="229"/>
      <c r="O13" s="119"/>
      <c r="P13" s="118"/>
      <c r="Q13" s="229"/>
    </row>
    <row r="14" spans="2:17" x14ac:dyDescent="0.2">
      <c r="B14" s="227">
        <v>1333</v>
      </c>
      <c r="C14" s="114">
        <v>130</v>
      </c>
      <c r="D14" s="196"/>
      <c r="E14" s="195"/>
      <c r="F14" s="195"/>
      <c r="I14" s="132">
        <v>7</v>
      </c>
      <c r="J14" s="119"/>
      <c r="K14" s="120"/>
      <c r="L14" s="119"/>
      <c r="M14" s="229"/>
      <c r="N14" s="229"/>
      <c r="O14" s="119"/>
      <c r="P14" s="118"/>
      <c r="Q14" s="229"/>
    </row>
    <row r="15" spans="2:17" x14ac:dyDescent="0.2">
      <c r="B15" s="227">
        <v>1335</v>
      </c>
      <c r="C15" s="114">
        <v>130</v>
      </c>
      <c r="D15" s="196"/>
      <c r="E15" s="195"/>
      <c r="F15" s="195"/>
      <c r="I15" s="132">
        <v>8</v>
      </c>
      <c r="J15" s="119"/>
      <c r="K15" s="120"/>
      <c r="L15" s="119"/>
      <c r="M15" s="229"/>
      <c r="N15" s="229"/>
      <c r="O15" s="119"/>
      <c r="P15" s="118"/>
      <c r="Q15" s="229"/>
    </row>
    <row r="16" spans="2:17" x14ac:dyDescent="0.2">
      <c r="B16" s="228">
        <v>860</v>
      </c>
      <c r="C16" s="197">
        <v>132.999</v>
      </c>
      <c r="D16" s="196"/>
      <c r="E16" s="195"/>
      <c r="F16" s="195"/>
      <c r="I16" s="133">
        <v>9</v>
      </c>
      <c r="J16" s="119"/>
      <c r="K16" s="120"/>
      <c r="L16" s="119"/>
      <c r="M16" s="229"/>
      <c r="N16" s="229"/>
      <c r="O16" s="119"/>
      <c r="P16" s="118"/>
      <c r="Q16" s="229"/>
    </row>
    <row r="17" spans="2:17" ht="13.5" thickBot="1" x14ac:dyDescent="0.25">
      <c r="B17" s="228">
        <v>1134</v>
      </c>
      <c r="C17" s="197">
        <v>133</v>
      </c>
      <c r="D17" s="196"/>
      <c r="E17" s="195"/>
      <c r="F17" s="195"/>
      <c r="I17" s="134">
        <v>10</v>
      </c>
      <c r="J17" s="119"/>
      <c r="K17" s="119"/>
      <c r="L17" s="119"/>
      <c r="M17" s="229"/>
      <c r="N17" s="229"/>
      <c r="O17" s="119"/>
      <c r="P17" s="118"/>
      <c r="Q17" s="229"/>
    </row>
    <row r="18" spans="2:17" ht="13.5" thickBot="1" x14ac:dyDescent="0.25">
      <c r="B18" s="228">
        <v>2112</v>
      </c>
      <c r="C18" s="197">
        <v>140</v>
      </c>
      <c r="D18" s="196"/>
      <c r="E18" s="195"/>
      <c r="F18" s="195"/>
      <c r="I18" s="12"/>
      <c r="J18" s="242" t="s">
        <v>4</v>
      </c>
      <c r="K18" s="259"/>
      <c r="L18" s="187"/>
      <c r="M18" s="230"/>
      <c r="N18" s="188"/>
      <c r="O18" s="187"/>
      <c r="P18" s="230"/>
      <c r="Q18" s="231"/>
    </row>
    <row r="19" spans="2:17" ht="13.5" thickBot="1" x14ac:dyDescent="0.25">
      <c r="B19" s="228">
        <v>131</v>
      </c>
      <c r="C19" s="197">
        <v>145</v>
      </c>
      <c r="D19" s="196"/>
      <c r="E19" s="195"/>
      <c r="F19" s="195"/>
      <c r="J19" s="117"/>
      <c r="K19" s="116"/>
      <c r="L19" s="116"/>
    </row>
    <row r="20" spans="2:17" ht="15" customHeight="1" thickBot="1" x14ac:dyDescent="0.25">
      <c r="B20" s="227">
        <v>1710</v>
      </c>
      <c r="C20" s="114">
        <v>145</v>
      </c>
      <c r="D20" s="196"/>
      <c r="E20" s="195"/>
      <c r="F20" s="195"/>
      <c r="H20" s="194" t="s">
        <v>0</v>
      </c>
      <c r="I20" s="206" t="s">
        <v>3261</v>
      </c>
      <c r="J20" s="129" t="s">
        <v>3262</v>
      </c>
      <c r="K20" s="130" t="s">
        <v>3259</v>
      </c>
    </row>
    <row r="21" spans="2:17" x14ac:dyDescent="0.2">
      <c r="B21" s="227">
        <v>1733</v>
      </c>
      <c r="C21" s="114">
        <v>147</v>
      </c>
      <c r="D21" s="196"/>
      <c r="E21" s="195"/>
      <c r="F21" s="195"/>
      <c r="I21" s="210"/>
      <c r="J21" s="210"/>
      <c r="K21" s="209"/>
    </row>
    <row r="22" spans="2:17" x14ac:dyDescent="0.2">
      <c r="B22" s="228">
        <v>134</v>
      </c>
      <c r="C22" s="197">
        <v>150</v>
      </c>
      <c r="D22" s="196"/>
      <c r="E22" s="195"/>
      <c r="F22" s="195"/>
      <c r="I22" s="208"/>
      <c r="J22" s="208"/>
      <c r="K22" s="207"/>
    </row>
    <row r="23" spans="2:17" x14ac:dyDescent="0.2">
      <c r="B23" s="228">
        <v>163</v>
      </c>
      <c r="C23" s="197">
        <v>150</v>
      </c>
      <c r="D23" s="196"/>
      <c r="E23" s="195"/>
      <c r="F23" s="195"/>
      <c r="I23" s="208"/>
      <c r="J23" s="208"/>
      <c r="K23" s="207"/>
    </row>
    <row r="24" spans="2:17" x14ac:dyDescent="0.2">
      <c r="B24" s="227">
        <v>231</v>
      </c>
      <c r="C24" s="114">
        <v>150</v>
      </c>
      <c r="D24" s="196"/>
      <c r="E24" s="195"/>
      <c r="F24" s="195"/>
      <c r="I24" s="208"/>
      <c r="J24" s="208"/>
      <c r="K24" s="207"/>
    </row>
    <row r="25" spans="2:17" x14ac:dyDescent="0.2">
      <c r="B25" s="227">
        <v>764</v>
      </c>
      <c r="C25" s="114">
        <v>150</v>
      </c>
      <c r="D25" s="196"/>
      <c r="E25" s="195"/>
      <c r="F25" s="195"/>
      <c r="I25" s="208"/>
      <c r="J25" s="208"/>
      <c r="K25" s="207"/>
    </row>
    <row r="26" spans="2:17" x14ac:dyDescent="0.2">
      <c r="B26" s="228">
        <v>1172</v>
      </c>
      <c r="C26" s="197">
        <v>150</v>
      </c>
      <c r="D26" s="196"/>
      <c r="E26" s="195"/>
      <c r="F26" s="195"/>
      <c r="I26" s="208"/>
      <c r="J26" s="208"/>
      <c r="K26" s="207"/>
    </row>
    <row r="27" spans="2:17" x14ac:dyDescent="0.2">
      <c r="B27" s="227">
        <v>1179</v>
      </c>
      <c r="C27" s="114">
        <v>150</v>
      </c>
      <c r="D27" s="196"/>
      <c r="E27" s="195"/>
      <c r="F27" s="195"/>
      <c r="I27" s="208"/>
      <c r="J27" s="208"/>
      <c r="K27" s="207"/>
    </row>
    <row r="28" spans="2:17" x14ac:dyDescent="0.2">
      <c r="B28" s="227">
        <v>1293</v>
      </c>
      <c r="C28" s="114">
        <v>150</v>
      </c>
      <c r="D28" s="196"/>
      <c r="E28" s="195"/>
      <c r="F28" s="195"/>
      <c r="I28" s="208"/>
      <c r="J28" s="208"/>
      <c r="K28" s="207"/>
    </row>
    <row r="29" spans="2:17" x14ac:dyDescent="0.2">
      <c r="B29" s="228">
        <v>847</v>
      </c>
      <c r="C29" s="197">
        <v>160</v>
      </c>
      <c r="D29" s="196"/>
      <c r="E29" s="195"/>
      <c r="F29" s="195"/>
      <c r="I29" s="208"/>
      <c r="J29" s="208"/>
      <c r="K29" s="207"/>
    </row>
    <row r="30" spans="2:17" x14ac:dyDescent="0.2">
      <c r="B30" s="228">
        <v>970</v>
      </c>
      <c r="C30" s="197">
        <v>160</v>
      </c>
      <c r="D30" s="196"/>
      <c r="E30" s="195"/>
      <c r="F30" s="195"/>
      <c r="I30" s="208"/>
      <c r="J30" s="208"/>
      <c r="K30" s="207"/>
    </row>
    <row r="31" spans="2:17" x14ac:dyDescent="0.2">
      <c r="B31" s="228">
        <v>1287</v>
      </c>
      <c r="C31" s="197">
        <v>160</v>
      </c>
      <c r="D31" s="196"/>
      <c r="E31" s="195"/>
      <c r="F31" s="195"/>
      <c r="I31" s="208"/>
      <c r="J31" s="208"/>
      <c r="K31" s="207"/>
    </row>
    <row r="32" spans="2:17" ht="13.5" thickBot="1" x14ac:dyDescent="0.25">
      <c r="B32" s="227">
        <v>827</v>
      </c>
      <c r="C32" s="114">
        <v>170</v>
      </c>
      <c r="D32" s="196"/>
      <c r="E32" s="195"/>
      <c r="F32" s="195"/>
      <c r="L32" s="116"/>
    </row>
    <row r="33" spans="2:12" ht="13.5" thickBot="1" x14ac:dyDescent="0.25">
      <c r="B33" s="228">
        <v>517</v>
      </c>
      <c r="C33" s="197">
        <v>180</v>
      </c>
      <c r="D33" s="196"/>
      <c r="E33" s="195"/>
      <c r="F33" s="195"/>
      <c r="I33" s="206" t="s">
        <v>3260</v>
      </c>
      <c r="J33" s="201"/>
      <c r="K33" s="141"/>
    </row>
    <row r="34" spans="2:12" x14ac:dyDescent="0.2">
      <c r="B34" s="227">
        <v>602</v>
      </c>
      <c r="C34" s="114">
        <v>180</v>
      </c>
      <c r="D34" s="196"/>
      <c r="E34" s="195"/>
      <c r="F34" s="195"/>
      <c r="K34" s="116"/>
      <c r="L34" s="116"/>
    </row>
    <row r="35" spans="2:12" x14ac:dyDescent="0.2">
      <c r="B35" s="228">
        <v>832</v>
      </c>
      <c r="C35" s="197">
        <v>180</v>
      </c>
      <c r="D35" s="196"/>
      <c r="E35" s="195"/>
      <c r="F35" s="195"/>
      <c r="K35" s="141"/>
      <c r="L35" s="116"/>
    </row>
    <row r="36" spans="2:12" x14ac:dyDescent="0.2">
      <c r="B36" s="227">
        <v>1246</v>
      </c>
      <c r="C36" s="114">
        <v>180</v>
      </c>
      <c r="D36" s="196"/>
      <c r="E36" s="195"/>
      <c r="F36" s="195"/>
      <c r="K36" s="116"/>
      <c r="L36" s="116"/>
    </row>
    <row r="37" spans="2:12" x14ac:dyDescent="0.2">
      <c r="B37" s="227">
        <v>182</v>
      </c>
      <c r="C37" s="114">
        <v>190</v>
      </c>
      <c r="D37" s="196"/>
      <c r="E37" s="195"/>
      <c r="F37" s="195"/>
      <c r="K37" s="116"/>
      <c r="L37" s="116"/>
    </row>
    <row r="38" spans="2:12" x14ac:dyDescent="0.2">
      <c r="B38" s="227">
        <v>843</v>
      </c>
      <c r="C38" s="114">
        <v>195</v>
      </c>
      <c r="D38" s="196"/>
      <c r="E38" s="195"/>
      <c r="F38" s="195"/>
      <c r="K38" s="116"/>
      <c r="L38" s="116"/>
    </row>
    <row r="39" spans="2:12" x14ac:dyDescent="0.2">
      <c r="B39" s="227">
        <v>504</v>
      </c>
      <c r="C39" s="114">
        <v>200</v>
      </c>
      <c r="D39" s="196"/>
      <c r="E39" s="195"/>
      <c r="F39" s="195"/>
      <c r="K39" s="116"/>
      <c r="L39" s="116"/>
    </row>
    <row r="40" spans="2:12" x14ac:dyDescent="0.2">
      <c r="B40" s="228">
        <v>2152</v>
      </c>
      <c r="C40" s="197">
        <v>208.33333333333331</v>
      </c>
      <c r="D40" s="196"/>
      <c r="E40" s="195"/>
      <c r="F40" s="195"/>
      <c r="K40" s="116"/>
      <c r="L40" s="116"/>
    </row>
    <row r="41" spans="2:12" x14ac:dyDescent="0.2">
      <c r="B41" s="227">
        <v>793</v>
      </c>
      <c r="C41" s="114">
        <v>210</v>
      </c>
      <c r="D41" s="196"/>
      <c r="E41" s="195"/>
      <c r="F41" s="195"/>
      <c r="K41" s="116"/>
      <c r="L41" s="116"/>
    </row>
    <row r="42" spans="2:12" ht="13.5" thickBot="1" x14ac:dyDescent="0.25">
      <c r="B42" s="227">
        <v>2188</v>
      </c>
      <c r="C42" s="114">
        <v>210</v>
      </c>
      <c r="D42" s="196"/>
      <c r="E42" s="195"/>
      <c r="F42" s="195"/>
      <c r="K42" s="116"/>
      <c r="L42" s="116"/>
    </row>
    <row r="43" spans="2:12" ht="13.5" thickBot="1" x14ac:dyDescent="0.25">
      <c r="B43" s="227">
        <v>385</v>
      </c>
      <c r="C43" s="114">
        <v>210.6</v>
      </c>
      <c r="D43" s="196"/>
      <c r="E43" s="195"/>
      <c r="F43" s="195"/>
      <c r="H43" s="194" t="s">
        <v>1</v>
      </c>
      <c r="I43" s="205" t="s">
        <v>3</v>
      </c>
      <c r="J43" s="204"/>
      <c r="K43" s="116"/>
      <c r="L43" s="116"/>
    </row>
    <row r="44" spans="2:12" ht="13.5" thickBot="1" x14ac:dyDescent="0.25">
      <c r="B44" s="228">
        <v>1306</v>
      </c>
      <c r="C44" s="197">
        <v>217</v>
      </c>
      <c r="D44" s="196"/>
      <c r="E44" s="195"/>
      <c r="F44" s="195"/>
      <c r="I44" s="203" t="s">
        <v>3263</v>
      </c>
      <c r="J44" s="202"/>
      <c r="K44" s="201"/>
      <c r="L44" s="116"/>
    </row>
    <row r="45" spans="2:12" ht="13.5" thickBot="1" x14ac:dyDescent="0.25">
      <c r="B45" s="228">
        <v>880</v>
      </c>
      <c r="C45" s="197">
        <v>225</v>
      </c>
      <c r="D45" s="196"/>
      <c r="E45" s="195"/>
      <c r="F45" s="195"/>
      <c r="K45" s="116"/>
      <c r="L45" s="116"/>
    </row>
    <row r="46" spans="2:12" ht="13.5" thickBot="1" x14ac:dyDescent="0.25">
      <c r="B46" s="227">
        <v>1228</v>
      </c>
      <c r="C46" s="114">
        <v>227</v>
      </c>
      <c r="D46" s="196"/>
      <c r="E46" s="195"/>
      <c r="F46" s="195"/>
      <c r="I46" s="200" t="s">
        <v>3264</v>
      </c>
      <c r="J46" s="199"/>
      <c r="K46" s="116"/>
      <c r="L46" s="116"/>
    </row>
    <row r="47" spans="2:12" x14ac:dyDescent="0.2">
      <c r="B47" s="228">
        <v>730</v>
      </c>
      <c r="C47" s="197">
        <v>230</v>
      </c>
      <c r="D47" s="196"/>
      <c r="E47" s="195"/>
      <c r="F47" s="195"/>
      <c r="K47" s="116"/>
      <c r="L47" s="116"/>
    </row>
    <row r="48" spans="2:12" ht="13.9" customHeight="1" x14ac:dyDescent="0.2">
      <c r="B48" s="227">
        <v>1295</v>
      </c>
      <c r="C48" s="114">
        <v>230</v>
      </c>
      <c r="D48" s="196"/>
      <c r="E48" s="195"/>
      <c r="F48" s="195"/>
    </row>
    <row r="49" spans="2:12" x14ac:dyDescent="0.2">
      <c r="B49" s="227">
        <v>545</v>
      </c>
      <c r="C49" s="114">
        <v>237</v>
      </c>
      <c r="D49" s="196"/>
      <c r="E49" s="195"/>
      <c r="F49" s="195"/>
    </row>
    <row r="50" spans="2:12" x14ac:dyDescent="0.2">
      <c r="B50" s="227">
        <v>516</v>
      </c>
      <c r="C50" s="114">
        <v>240</v>
      </c>
      <c r="D50" s="196"/>
      <c r="E50" s="195"/>
      <c r="F50" s="195"/>
      <c r="L50" s="116"/>
    </row>
    <row r="51" spans="2:12" x14ac:dyDescent="0.2">
      <c r="B51" s="227">
        <v>522</v>
      </c>
      <c r="C51" s="114">
        <v>240</v>
      </c>
      <c r="D51" s="196"/>
      <c r="E51" s="195"/>
      <c r="F51" s="195"/>
      <c r="L51" s="116"/>
    </row>
    <row r="52" spans="2:12" x14ac:dyDescent="0.2">
      <c r="B52" s="228">
        <v>314</v>
      </c>
      <c r="C52" s="197">
        <v>243</v>
      </c>
      <c r="D52" s="196"/>
      <c r="E52" s="195"/>
      <c r="F52" s="195"/>
    </row>
    <row r="53" spans="2:12" x14ac:dyDescent="0.2">
      <c r="B53" s="227">
        <v>232</v>
      </c>
      <c r="C53" s="114">
        <v>250</v>
      </c>
      <c r="D53" s="196"/>
      <c r="E53" s="195"/>
      <c r="F53" s="195"/>
    </row>
    <row r="54" spans="2:12" x14ac:dyDescent="0.2">
      <c r="B54" s="228">
        <v>255</v>
      </c>
      <c r="C54" s="197">
        <v>250</v>
      </c>
      <c r="D54" s="196"/>
      <c r="E54" s="195"/>
      <c r="F54" s="195"/>
    </row>
    <row r="55" spans="2:12" x14ac:dyDescent="0.2">
      <c r="B55" s="227">
        <v>611</v>
      </c>
      <c r="C55" s="114">
        <v>250</v>
      </c>
      <c r="D55" s="196"/>
      <c r="E55" s="195"/>
      <c r="F55" s="195"/>
    </row>
    <row r="56" spans="2:12" x14ac:dyDescent="0.2">
      <c r="B56" s="227">
        <v>785</v>
      </c>
      <c r="C56" s="114">
        <v>250</v>
      </c>
      <c r="D56" s="196"/>
      <c r="E56" s="195"/>
      <c r="F56" s="195"/>
    </row>
    <row r="57" spans="2:12" x14ac:dyDescent="0.2">
      <c r="B57" s="227">
        <v>799</v>
      </c>
      <c r="C57" s="114">
        <v>250</v>
      </c>
      <c r="D57" s="196"/>
      <c r="E57" s="195"/>
      <c r="F57" s="195"/>
    </row>
    <row r="58" spans="2:12" x14ac:dyDescent="0.2">
      <c r="B58" s="227">
        <v>826</v>
      </c>
      <c r="C58" s="114">
        <v>250</v>
      </c>
      <c r="D58" s="196"/>
      <c r="E58" s="195"/>
      <c r="F58" s="195"/>
      <c r="J58" s="116"/>
      <c r="K58" s="116"/>
    </row>
    <row r="59" spans="2:12" x14ac:dyDescent="0.2">
      <c r="B59" s="228">
        <v>866</v>
      </c>
      <c r="C59" s="197">
        <v>250</v>
      </c>
      <c r="D59" s="196"/>
      <c r="E59" s="195"/>
      <c r="F59" s="195"/>
      <c r="J59" s="116"/>
      <c r="K59" s="116"/>
    </row>
    <row r="60" spans="2:12" x14ac:dyDescent="0.2">
      <c r="B60" s="228">
        <v>1022</v>
      </c>
      <c r="C60" s="197">
        <v>250</v>
      </c>
      <c r="D60" s="196"/>
      <c r="E60" s="195"/>
      <c r="F60" s="195"/>
      <c r="J60" s="116"/>
      <c r="K60" s="116"/>
    </row>
    <row r="61" spans="2:12" x14ac:dyDescent="0.2">
      <c r="B61" s="228">
        <v>1508</v>
      </c>
      <c r="C61" s="197">
        <v>250</v>
      </c>
      <c r="D61" s="196"/>
      <c r="E61" s="195"/>
      <c r="F61" s="195"/>
      <c r="J61" s="116"/>
      <c r="K61" s="116"/>
    </row>
    <row r="62" spans="2:12" x14ac:dyDescent="0.2">
      <c r="B62" s="227">
        <v>1565</v>
      </c>
      <c r="C62" s="114">
        <v>250</v>
      </c>
      <c r="D62" s="196"/>
      <c r="E62" s="195"/>
      <c r="F62" s="195"/>
      <c r="J62" s="116"/>
      <c r="K62" s="116"/>
    </row>
    <row r="63" spans="2:12" x14ac:dyDescent="0.2">
      <c r="B63" s="227">
        <v>1587</v>
      </c>
      <c r="C63" s="114">
        <v>250</v>
      </c>
      <c r="D63" s="196"/>
      <c r="E63" s="195"/>
      <c r="F63" s="195"/>
      <c r="J63" s="116"/>
      <c r="K63" s="116"/>
    </row>
    <row r="64" spans="2:12" x14ac:dyDescent="0.2">
      <c r="B64" s="227">
        <v>1608</v>
      </c>
      <c r="C64" s="114">
        <v>250</v>
      </c>
      <c r="D64" s="196"/>
      <c r="E64" s="195"/>
      <c r="F64" s="195"/>
      <c r="J64" s="116"/>
      <c r="K64" s="116"/>
    </row>
    <row r="65" spans="2:11" x14ac:dyDescent="0.2">
      <c r="B65" s="227">
        <v>1730</v>
      </c>
      <c r="C65" s="114">
        <v>250</v>
      </c>
      <c r="D65" s="196"/>
      <c r="E65" s="195"/>
      <c r="F65" s="195"/>
      <c r="J65" s="116"/>
      <c r="K65" s="116"/>
    </row>
    <row r="66" spans="2:11" x14ac:dyDescent="0.2">
      <c r="B66" s="227">
        <v>154</v>
      </c>
      <c r="C66" s="114">
        <v>256.62599999999998</v>
      </c>
      <c r="D66" s="196"/>
      <c r="E66" s="195"/>
      <c r="F66" s="195"/>
      <c r="J66" s="116"/>
      <c r="K66" s="116"/>
    </row>
    <row r="67" spans="2:11" x14ac:dyDescent="0.2">
      <c r="B67" s="227">
        <v>85</v>
      </c>
      <c r="C67" s="114">
        <v>260</v>
      </c>
      <c r="D67" s="196"/>
      <c r="E67" s="195"/>
      <c r="F67" s="195"/>
      <c r="J67" s="116"/>
      <c r="K67" s="116"/>
    </row>
    <row r="68" spans="2:11" x14ac:dyDescent="0.2">
      <c r="B68" s="227">
        <v>2245</v>
      </c>
      <c r="C68" s="114">
        <v>260</v>
      </c>
      <c r="D68" s="196"/>
      <c r="E68" s="195"/>
      <c r="F68" s="195"/>
      <c r="J68" s="116"/>
      <c r="K68" s="116"/>
    </row>
    <row r="69" spans="2:11" x14ac:dyDescent="0.2">
      <c r="B69" s="228">
        <v>1658</v>
      </c>
      <c r="C69" s="197">
        <v>262.01</v>
      </c>
      <c r="D69" s="196"/>
      <c r="E69" s="195"/>
      <c r="F69" s="195"/>
      <c r="J69" s="116"/>
      <c r="K69" s="116"/>
    </row>
    <row r="70" spans="2:11" x14ac:dyDescent="0.2">
      <c r="B70" s="227">
        <v>663</v>
      </c>
      <c r="C70" s="114">
        <v>265</v>
      </c>
      <c r="D70" s="196"/>
      <c r="E70" s="195"/>
      <c r="F70" s="195"/>
      <c r="J70" s="116"/>
      <c r="K70" s="116"/>
    </row>
    <row r="71" spans="2:11" x14ac:dyDescent="0.2">
      <c r="B71" s="227">
        <v>36</v>
      </c>
      <c r="C71" s="114">
        <v>270</v>
      </c>
      <c r="D71" s="196"/>
      <c r="E71" s="195"/>
      <c r="F71" s="195"/>
      <c r="J71" s="116"/>
      <c r="K71" s="116"/>
    </row>
    <row r="72" spans="2:11" x14ac:dyDescent="0.2">
      <c r="B72" s="228">
        <v>523</v>
      </c>
      <c r="C72" s="197">
        <v>270</v>
      </c>
      <c r="D72" s="196"/>
      <c r="E72" s="195"/>
      <c r="F72" s="195"/>
      <c r="J72" s="116"/>
      <c r="K72" s="116"/>
    </row>
    <row r="73" spans="2:11" x14ac:dyDescent="0.2">
      <c r="B73" s="228">
        <v>525</v>
      </c>
      <c r="C73" s="197">
        <v>270</v>
      </c>
      <c r="D73" s="196"/>
      <c r="E73" s="195"/>
      <c r="F73" s="195"/>
      <c r="J73" s="116"/>
      <c r="K73" s="116"/>
    </row>
    <row r="74" spans="2:11" x14ac:dyDescent="0.2">
      <c r="B74" s="228">
        <v>665</v>
      </c>
      <c r="C74" s="197">
        <v>270</v>
      </c>
      <c r="D74" s="196"/>
      <c r="E74" s="195"/>
      <c r="F74" s="195"/>
      <c r="J74" s="116"/>
      <c r="K74" s="116"/>
    </row>
    <row r="75" spans="2:11" x14ac:dyDescent="0.2">
      <c r="B75" s="227">
        <v>282</v>
      </c>
      <c r="C75" s="114">
        <v>275</v>
      </c>
      <c r="D75" s="196"/>
      <c r="E75" s="195"/>
      <c r="F75" s="195"/>
      <c r="J75" s="116"/>
      <c r="K75" s="116"/>
    </row>
    <row r="76" spans="2:11" x14ac:dyDescent="0.2">
      <c r="B76" s="228">
        <v>668</v>
      </c>
      <c r="C76" s="197">
        <v>280</v>
      </c>
      <c r="D76" s="196"/>
      <c r="E76" s="195"/>
      <c r="F76" s="195"/>
      <c r="J76" s="116"/>
      <c r="K76" s="116"/>
    </row>
    <row r="77" spans="2:11" x14ac:dyDescent="0.2">
      <c r="B77" s="228">
        <v>702</v>
      </c>
      <c r="C77" s="197">
        <v>280</v>
      </c>
      <c r="D77" s="196"/>
      <c r="E77" s="195"/>
      <c r="F77" s="195"/>
      <c r="J77" s="116"/>
      <c r="K77" s="116"/>
    </row>
    <row r="78" spans="2:11" x14ac:dyDescent="0.2">
      <c r="B78" s="228">
        <v>918</v>
      </c>
      <c r="C78" s="197">
        <v>280</v>
      </c>
      <c r="D78" s="196"/>
      <c r="E78" s="195"/>
      <c r="F78" s="195"/>
      <c r="J78" s="116"/>
      <c r="K78" s="116"/>
    </row>
    <row r="79" spans="2:11" x14ac:dyDescent="0.2">
      <c r="B79" s="228">
        <v>1598</v>
      </c>
      <c r="C79" s="197">
        <v>280</v>
      </c>
      <c r="D79" s="196"/>
      <c r="E79" s="195"/>
      <c r="F79" s="195"/>
      <c r="J79" s="116"/>
      <c r="K79" s="116"/>
    </row>
    <row r="80" spans="2:11" x14ac:dyDescent="0.2">
      <c r="B80" s="227">
        <v>179</v>
      </c>
      <c r="C80" s="114">
        <v>282.02</v>
      </c>
      <c r="D80" s="196"/>
      <c r="E80" s="195"/>
      <c r="F80" s="195"/>
      <c r="J80" s="116"/>
      <c r="K80" s="116"/>
    </row>
    <row r="81" spans="2:11" x14ac:dyDescent="0.2">
      <c r="B81" s="227">
        <v>790</v>
      </c>
      <c r="C81" s="114">
        <v>283</v>
      </c>
      <c r="D81" s="196"/>
      <c r="E81" s="195"/>
      <c r="F81" s="195"/>
      <c r="J81" s="116"/>
      <c r="K81" s="116"/>
    </row>
    <row r="82" spans="2:11" x14ac:dyDescent="0.2">
      <c r="B82" s="228">
        <v>23</v>
      </c>
      <c r="C82" s="197">
        <v>295</v>
      </c>
      <c r="D82" s="196"/>
      <c r="E82" s="195"/>
      <c r="F82" s="195"/>
      <c r="J82" s="116"/>
      <c r="K82" s="116"/>
    </row>
    <row r="83" spans="2:11" x14ac:dyDescent="0.2">
      <c r="B83" s="228">
        <v>854</v>
      </c>
      <c r="C83" s="197">
        <v>297.375</v>
      </c>
      <c r="D83" s="196"/>
      <c r="E83" s="195"/>
      <c r="F83" s="195"/>
      <c r="J83" s="116"/>
      <c r="K83" s="116"/>
    </row>
    <row r="84" spans="2:11" x14ac:dyDescent="0.2">
      <c r="B84" s="228">
        <v>383</v>
      </c>
      <c r="C84" s="197">
        <v>310</v>
      </c>
      <c r="D84" s="196"/>
      <c r="E84" s="195"/>
      <c r="F84" s="195"/>
      <c r="J84" s="116"/>
      <c r="K84" s="116"/>
    </row>
    <row r="85" spans="2:11" x14ac:dyDescent="0.2">
      <c r="B85" s="227">
        <v>950</v>
      </c>
      <c r="C85" s="114">
        <v>310</v>
      </c>
      <c r="D85" s="196"/>
      <c r="E85" s="195"/>
      <c r="F85" s="195"/>
      <c r="J85" s="116"/>
      <c r="K85" s="116"/>
    </row>
    <row r="86" spans="2:11" x14ac:dyDescent="0.2">
      <c r="B86" s="228">
        <v>822</v>
      </c>
      <c r="C86" s="197">
        <v>312</v>
      </c>
      <c r="D86" s="196"/>
      <c r="E86" s="195"/>
      <c r="F86" s="195"/>
      <c r="J86" s="116"/>
      <c r="K86" s="116"/>
    </row>
    <row r="87" spans="2:11" x14ac:dyDescent="0.2">
      <c r="B87" s="227">
        <v>1602</v>
      </c>
      <c r="C87" s="114">
        <v>313</v>
      </c>
      <c r="D87" s="196"/>
      <c r="E87" s="195"/>
      <c r="F87" s="195"/>
      <c r="J87" s="116"/>
      <c r="K87" s="116"/>
    </row>
    <row r="88" spans="2:11" x14ac:dyDescent="0.2">
      <c r="B88" s="227">
        <v>725</v>
      </c>
      <c r="C88" s="114">
        <v>316</v>
      </c>
      <c r="D88" s="196"/>
      <c r="E88" s="195"/>
      <c r="F88" s="195"/>
      <c r="J88" s="116"/>
      <c r="K88" s="116"/>
    </row>
    <row r="89" spans="2:11" x14ac:dyDescent="0.2">
      <c r="B89" s="227">
        <v>158</v>
      </c>
      <c r="C89" s="114">
        <v>318</v>
      </c>
      <c r="D89" s="196"/>
      <c r="E89" s="195"/>
      <c r="F89" s="195"/>
      <c r="J89" s="116"/>
      <c r="K89" s="116"/>
    </row>
    <row r="90" spans="2:11" x14ac:dyDescent="0.2">
      <c r="B90" s="228">
        <v>369</v>
      </c>
      <c r="C90" s="197">
        <v>318</v>
      </c>
      <c r="D90" s="196"/>
      <c r="E90" s="195"/>
      <c r="F90" s="195"/>
      <c r="J90" s="116"/>
      <c r="K90" s="116"/>
    </row>
    <row r="91" spans="2:11" x14ac:dyDescent="0.2">
      <c r="B91" s="227">
        <v>1867</v>
      </c>
      <c r="C91" s="114">
        <v>318</v>
      </c>
      <c r="D91" s="196"/>
      <c r="E91" s="195"/>
      <c r="F91" s="195"/>
      <c r="J91" s="116"/>
      <c r="K91" s="116"/>
    </row>
    <row r="92" spans="2:11" x14ac:dyDescent="0.2">
      <c r="B92" s="227">
        <v>1064</v>
      </c>
      <c r="C92" s="114">
        <v>320</v>
      </c>
      <c r="D92" s="196"/>
      <c r="E92" s="195"/>
      <c r="F92" s="195"/>
      <c r="J92" s="116"/>
      <c r="K92" s="116"/>
    </row>
    <row r="93" spans="2:11" x14ac:dyDescent="0.2">
      <c r="B93" s="227">
        <v>1101</v>
      </c>
      <c r="C93" s="114">
        <v>320</v>
      </c>
      <c r="D93" s="196"/>
      <c r="E93" s="195"/>
      <c r="F93" s="195"/>
      <c r="J93" s="116"/>
      <c r="K93" s="116"/>
    </row>
    <row r="94" spans="2:11" x14ac:dyDescent="0.2">
      <c r="B94" s="227">
        <v>1164</v>
      </c>
      <c r="C94" s="114">
        <v>320</v>
      </c>
      <c r="D94" s="196"/>
      <c r="E94" s="195"/>
      <c r="F94" s="195"/>
      <c r="J94" s="116"/>
      <c r="K94" s="116"/>
    </row>
    <row r="95" spans="2:11" x14ac:dyDescent="0.2">
      <c r="B95" s="227">
        <v>1186</v>
      </c>
      <c r="C95" s="114">
        <v>320</v>
      </c>
      <c r="D95" s="196"/>
      <c r="E95" s="195"/>
      <c r="F95" s="195"/>
      <c r="J95" s="116"/>
      <c r="K95" s="116"/>
    </row>
    <row r="96" spans="2:11" x14ac:dyDescent="0.2">
      <c r="B96" s="228">
        <v>1313</v>
      </c>
      <c r="C96" s="197">
        <v>320</v>
      </c>
      <c r="D96" s="196"/>
      <c r="E96" s="195"/>
      <c r="F96" s="195"/>
      <c r="J96" s="116"/>
      <c r="K96" s="116"/>
    </row>
    <row r="97" spans="2:11" x14ac:dyDescent="0.2">
      <c r="B97" s="228">
        <v>1323</v>
      </c>
      <c r="C97" s="197">
        <v>320</v>
      </c>
      <c r="D97" s="196"/>
      <c r="E97" s="195"/>
      <c r="F97" s="195"/>
      <c r="J97" s="116"/>
      <c r="K97" s="116"/>
    </row>
    <row r="98" spans="2:11" x14ac:dyDescent="0.2">
      <c r="B98" s="228">
        <v>343</v>
      </c>
      <c r="C98" s="197">
        <v>325</v>
      </c>
      <c r="D98" s="196"/>
      <c r="E98" s="195"/>
      <c r="F98" s="195"/>
      <c r="J98" s="116"/>
      <c r="K98" s="116"/>
    </row>
    <row r="99" spans="2:11" x14ac:dyDescent="0.2">
      <c r="B99" s="228">
        <v>637</v>
      </c>
      <c r="C99" s="197">
        <v>325</v>
      </c>
      <c r="D99" s="196"/>
      <c r="E99" s="195"/>
      <c r="F99" s="195"/>
      <c r="J99" s="116"/>
      <c r="K99" s="116"/>
    </row>
    <row r="100" spans="2:11" x14ac:dyDescent="0.2">
      <c r="B100" s="228">
        <v>736</v>
      </c>
      <c r="C100" s="197">
        <v>327</v>
      </c>
      <c r="D100" s="196"/>
      <c r="E100" s="195"/>
      <c r="F100" s="195"/>
      <c r="J100" s="116"/>
      <c r="K100" s="116"/>
    </row>
    <row r="101" spans="2:11" x14ac:dyDescent="0.2">
      <c r="B101" s="227">
        <v>41</v>
      </c>
      <c r="C101" s="114">
        <v>330</v>
      </c>
      <c r="D101" s="196"/>
      <c r="E101" s="195"/>
      <c r="F101" s="195"/>
      <c r="J101" s="116"/>
      <c r="K101" s="116"/>
    </row>
    <row r="102" spans="2:11" x14ac:dyDescent="0.2">
      <c r="B102" s="227">
        <v>222</v>
      </c>
      <c r="C102" s="114">
        <v>330</v>
      </c>
      <c r="D102" s="196"/>
      <c r="E102" s="195"/>
      <c r="F102" s="195"/>
      <c r="J102" s="116"/>
      <c r="K102" s="116"/>
    </row>
    <row r="103" spans="2:11" x14ac:dyDescent="0.2">
      <c r="B103" s="227">
        <v>531</v>
      </c>
      <c r="C103" s="114">
        <v>330</v>
      </c>
      <c r="D103" s="196"/>
      <c r="E103" s="195"/>
      <c r="F103" s="195"/>
      <c r="J103" s="116"/>
      <c r="K103" s="116"/>
    </row>
    <row r="104" spans="2:11" x14ac:dyDescent="0.2">
      <c r="B104" s="227">
        <v>712</v>
      </c>
      <c r="C104" s="114">
        <v>330</v>
      </c>
      <c r="D104" s="196"/>
      <c r="E104" s="195"/>
      <c r="F104" s="195"/>
      <c r="J104" s="116"/>
      <c r="K104" s="116"/>
    </row>
    <row r="105" spans="2:11" x14ac:dyDescent="0.2">
      <c r="B105" s="227">
        <v>863</v>
      </c>
      <c r="C105" s="114">
        <v>330</v>
      </c>
      <c r="D105" s="196"/>
      <c r="E105" s="195"/>
      <c r="F105" s="195"/>
      <c r="J105" s="116"/>
      <c r="K105" s="116"/>
    </row>
    <row r="106" spans="2:11" x14ac:dyDescent="0.2">
      <c r="B106" s="227">
        <v>894</v>
      </c>
      <c r="C106" s="114">
        <v>330</v>
      </c>
      <c r="D106" s="196"/>
      <c r="E106" s="195"/>
      <c r="F106" s="195"/>
      <c r="J106" s="116"/>
      <c r="K106" s="116"/>
    </row>
    <row r="107" spans="2:11" x14ac:dyDescent="0.2">
      <c r="B107" s="227">
        <v>995</v>
      </c>
      <c r="C107" s="114">
        <v>330</v>
      </c>
      <c r="D107" s="196"/>
      <c r="E107" s="195"/>
      <c r="F107" s="195"/>
      <c r="J107" s="116"/>
      <c r="K107" s="116"/>
    </row>
    <row r="108" spans="2:11" x14ac:dyDescent="0.2">
      <c r="B108" s="228">
        <v>1592</v>
      </c>
      <c r="C108" s="197">
        <v>330</v>
      </c>
      <c r="D108" s="196"/>
      <c r="E108" s="195"/>
      <c r="F108" s="195"/>
      <c r="J108" s="116"/>
      <c r="K108" s="116"/>
    </row>
    <row r="109" spans="2:11" x14ac:dyDescent="0.2">
      <c r="B109" s="228">
        <v>876</v>
      </c>
      <c r="C109" s="197">
        <v>333.33333333333331</v>
      </c>
      <c r="D109" s="196"/>
      <c r="E109" s="195"/>
      <c r="F109" s="195"/>
      <c r="J109" s="116"/>
      <c r="K109" s="116"/>
    </row>
    <row r="110" spans="2:11" x14ac:dyDescent="0.2">
      <c r="B110" s="227">
        <v>126</v>
      </c>
      <c r="C110" s="114">
        <v>333.9</v>
      </c>
      <c r="D110" s="196"/>
      <c r="E110" s="195"/>
      <c r="F110" s="195"/>
      <c r="J110" s="116"/>
      <c r="K110" s="116"/>
    </row>
    <row r="111" spans="2:11" x14ac:dyDescent="0.2">
      <c r="B111" s="227">
        <v>3</v>
      </c>
      <c r="C111" s="114">
        <v>340</v>
      </c>
      <c r="D111" s="196"/>
      <c r="E111" s="195"/>
      <c r="F111" s="195"/>
      <c r="J111" s="116"/>
      <c r="K111" s="116"/>
    </row>
    <row r="112" spans="2:11" x14ac:dyDescent="0.2">
      <c r="B112" s="228">
        <v>283</v>
      </c>
      <c r="C112" s="197">
        <v>340</v>
      </c>
      <c r="D112" s="196"/>
      <c r="E112" s="195"/>
      <c r="F112" s="195"/>
      <c r="J112" s="116"/>
      <c r="K112" s="116"/>
    </row>
    <row r="113" spans="2:11" x14ac:dyDescent="0.2">
      <c r="B113" s="228">
        <v>502</v>
      </c>
      <c r="C113" s="197">
        <v>340</v>
      </c>
      <c r="D113" s="196"/>
      <c r="E113" s="195"/>
      <c r="F113" s="195"/>
      <c r="J113" s="116"/>
      <c r="K113" s="116"/>
    </row>
    <row r="114" spans="2:11" x14ac:dyDescent="0.2">
      <c r="B114" s="227">
        <v>955</v>
      </c>
      <c r="C114" s="114">
        <v>340</v>
      </c>
      <c r="D114" s="196"/>
      <c r="E114" s="195"/>
      <c r="F114" s="195"/>
      <c r="J114" s="116"/>
      <c r="K114" s="116"/>
    </row>
    <row r="115" spans="2:11" x14ac:dyDescent="0.2">
      <c r="B115" s="227">
        <v>1170</v>
      </c>
      <c r="C115" s="114">
        <v>340</v>
      </c>
      <c r="D115" s="196"/>
      <c r="E115" s="195"/>
      <c r="F115" s="195"/>
      <c r="J115" s="116"/>
      <c r="K115" s="116"/>
    </row>
    <row r="116" spans="2:11" x14ac:dyDescent="0.2">
      <c r="B116" s="227">
        <v>59</v>
      </c>
      <c r="C116" s="114">
        <v>350</v>
      </c>
      <c r="D116" s="196"/>
      <c r="E116" s="195"/>
      <c r="F116" s="195"/>
      <c r="J116" s="116"/>
      <c r="K116" s="116"/>
    </row>
    <row r="117" spans="2:11" x14ac:dyDescent="0.2">
      <c r="B117" s="228">
        <v>74</v>
      </c>
      <c r="C117" s="197">
        <v>350</v>
      </c>
      <c r="D117" s="196"/>
      <c r="E117" s="195"/>
      <c r="F117" s="195"/>
      <c r="J117" s="116"/>
      <c r="K117" s="116"/>
    </row>
    <row r="118" spans="2:11" x14ac:dyDescent="0.2">
      <c r="B118" s="227">
        <v>181</v>
      </c>
      <c r="C118" s="114">
        <v>350</v>
      </c>
      <c r="D118" s="196"/>
      <c r="E118" s="195"/>
      <c r="F118" s="195"/>
      <c r="J118" s="116"/>
      <c r="K118" s="116"/>
    </row>
    <row r="119" spans="2:11" x14ac:dyDescent="0.2">
      <c r="B119" s="227">
        <v>224</v>
      </c>
      <c r="C119" s="114">
        <v>350</v>
      </c>
      <c r="D119" s="196"/>
      <c r="E119" s="195"/>
      <c r="F119" s="195"/>
      <c r="J119" s="116"/>
      <c r="K119" s="116"/>
    </row>
    <row r="120" spans="2:11" x14ac:dyDescent="0.2">
      <c r="B120" s="227">
        <v>238</v>
      </c>
      <c r="C120" s="114">
        <v>350</v>
      </c>
      <c r="D120" s="196"/>
      <c r="E120" s="195"/>
      <c r="F120" s="195"/>
      <c r="J120" s="116"/>
      <c r="K120" s="116"/>
    </row>
    <row r="121" spans="2:11" x14ac:dyDescent="0.2">
      <c r="B121" s="227">
        <v>313</v>
      </c>
      <c r="C121" s="114">
        <v>350</v>
      </c>
      <c r="D121" s="196"/>
      <c r="E121" s="195"/>
      <c r="F121" s="195"/>
      <c r="J121" s="116"/>
      <c r="K121" s="116"/>
    </row>
    <row r="122" spans="2:11" x14ac:dyDescent="0.2">
      <c r="B122" s="227">
        <v>321</v>
      </c>
      <c r="C122" s="114">
        <v>350</v>
      </c>
      <c r="D122" s="196"/>
      <c r="E122" s="195"/>
      <c r="F122" s="195"/>
      <c r="J122" s="116"/>
      <c r="K122" s="116"/>
    </row>
    <row r="123" spans="2:11" x14ac:dyDescent="0.2">
      <c r="B123" s="227">
        <v>542</v>
      </c>
      <c r="C123" s="114">
        <v>350</v>
      </c>
      <c r="D123" s="196"/>
      <c r="E123" s="195"/>
      <c r="F123" s="195"/>
      <c r="J123" s="116"/>
      <c r="K123" s="116"/>
    </row>
    <row r="124" spans="2:11" x14ac:dyDescent="0.2">
      <c r="B124" s="228">
        <v>548</v>
      </c>
      <c r="C124" s="197">
        <v>350</v>
      </c>
      <c r="D124" s="196"/>
      <c r="E124" s="195"/>
      <c r="F124" s="195"/>
      <c r="J124" s="116"/>
      <c r="K124" s="116"/>
    </row>
    <row r="125" spans="2:11" x14ac:dyDescent="0.2">
      <c r="B125" s="227">
        <v>560</v>
      </c>
      <c r="C125" s="114">
        <v>350</v>
      </c>
      <c r="D125" s="196"/>
      <c r="E125" s="195"/>
      <c r="F125" s="195"/>
      <c r="J125" s="116"/>
      <c r="K125" s="116"/>
    </row>
    <row r="126" spans="2:11" x14ac:dyDescent="0.2">
      <c r="B126" s="227">
        <v>643</v>
      </c>
      <c r="C126" s="114">
        <v>350</v>
      </c>
      <c r="D126" s="196"/>
      <c r="E126" s="195"/>
      <c r="F126" s="195"/>
      <c r="J126" s="116"/>
      <c r="K126" s="116"/>
    </row>
    <row r="127" spans="2:11" x14ac:dyDescent="0.2">
      <c r="B127" s="227">
        <v>787</v>
      </c>
      <c r="C127" s="114">
        <v>350</v>
      </c>
      <c r="D127" s="196"/>
      <c r="E127" s="195"/>
      <c r="F127" s="195"/>
      <c r="J127" s="116"/>
      <c r="K127" s="116"/>
    </row>
    <row r="128" spans="2:11" x14ac:dyDescent="0.2">
      <c r="B128" s="227">
        <v>839</v>
      </c>
      <c r="C128" s="114">
        <v>350</v>
      </c>
      <c r="D128" s="196"/>
      <c r="E128" s="195"/>
      <c r="F128" s="195"/>
      <c r="J128" s="116"/>
      <c r="K128" s="116"/>
    </row>
    <row r="129" spans="2:11" x14ac:dyDescent="0.2">
      <c r="B129" s="227">
        <v>1089</v>
      </c>
      <c r="C129" s="114">
        <v>350</v>
      </c>
      <c r="D129" s="196"/>
      <c r="E129" s="195"/>
      <c r="F129" s="195"/>
      <c r="J129" s="116"/>
      <c r="K129" s="116"/>
    </row>
    <row r="130" spans="2:11" x14ac:dyDescent="0.2">
      <c r="B130" s="227">
        <v>1120</v>
      </c>
      <c r="C130" s="114">
        <v>350</v>
      </c>
      <c r="D130" s="196"/>
      <c r="E130" s="195"/>
      <c r="F130" s="195"/>
      <c r="J130" s="116"/>
      <c r="K130" s="116"/>
    </row>
    <row r="131" spans="2:11" x14ac:dyDescent="0.2">
      <c r="B131" s="227">
        <v>1271</v>
      </c>
      <c r="C131" s="114">
        <v>350</v>
      </c>
      <c r="D131" s="196"/>
      <c r="E131" s="195"/>
      <c r="F131" s="195"/>
      <c r="J131" s="116"/>
      <c r="K131" s="116"/>
    </row>
    <row r="132" spans="2:11" x14ac:dyDescent="0.2">
      <c r="B132" s="227">
        <v>1290</v>
      </c>
      <c r="C132" s="114">
        <v>350</v>
      </c>
      <c r="D132" s="196"/>
      <c r="E132" s="195"/>
      <c r="F132" s="195"/>
      <c r="J132" s="116"/>
      <c r="K132" s="116"/>
    </row>
    <row r="133" spans="2:11" x14ac:dyDescent="0.2">
      <c r="B133" s="228">
        <v>1309</v>
      </c>
      <c r="C133" s="197">
        <v>350</v>
      </c>
      <c r="D133" s="196"/>
      <c r="E133" s="195"/>
      <c r="F133" s="195"/>
      <c r="J133" s="116"/>
      <c r="K133" s="116"/>
    </row>
    <row r="134" spans="2:11" x14ac:dyDescent="0.2">
      <c r="B134" s="227">
        <v>1716</v>
      </c>
      <c r="C134" s="114">
        <v>350</v>
      </c>
      <c r="D134" s="196"/>
      <c r="E134" s="195"/>
      <c r="F134" s="195"/>
      <c r="J134" s="116"/>
      <c r="K134" s="116"/>
    </row>
    <row r="135" spans="2:11" x14ac:dyDescent="0.2">
      <c r="B135" s="227">
        <v>2062</v>
      </c>
      <c r="C135" s="114">
        <v>350</v>
      </c>
      <c r="D135" s="196"/>
      <c r="E135" s="195"/>
      <c r="F135" s="195"/>
      <c r="J135" s="116"/>
      <c r="K135" s="116"/>
    </row>
    <row r="136" spans="2:11" x14ac:dyDescent="0.2">
      <c r="B136" s="228">
        <v>1158</v>
      </c>
      <c r="C136" s="197">
        <v>351</v>
      </c>
      <c r="D136" s="196"/>
      <c r="E136" s="195"/>
      <c r="F136" s="195"/>
      <c r="J136" s="116"/>
      <c r="K136" s="116"/>
    </row>
    <row r="137" spans="2:11" x14ac:dyDescent="0.2">
      <c r="B137" s="227">
        <v>1601</v>
      </c>
      <c r="C137" s="114">
        <v>360</v>
      </c>
      <c r="D137" s="196"/>
      <c r="E137" s="195"/>
      <c r="F137" s="195"/>
      <c r="J137" s="116"/>
      <c r="K137" s="116"/>
    </row>
    <row r="138" spans="2:11" x14ac:dyDescent="0.2">
      <c r="B138" s="227">
        <v>1611</v>
      </c>
      <c r="C138" s="114">
        <v>360</v>
      </c>
      <c r="D138" s="196"/>
      <c r="E138" s="195"/>
      <c r="F138" s="195"/>
      <c r="J138" s="116"/>
      <c r="K138" s="116"/>
    </row>
    <row r="139" spans="2:11" x14ac:dyDescent="0.2">
      <c r="B139" s="227">
        <v>1493</v>
      </c>
      <c r="C139" s="114">
        <v>363.6</v>
      </c>
      <c r="D139" s="196"/>
      <c r="E139" s="195"/>
      <c r="F139" s="195"/>
      <c r="J139" s="116"/>
      <c r="K139" s="116"/>
    </row>
    <row r="140" spans="2:11" x14ac:dyDescent="0.2">
      <c r="B140" s="227">
        <v>1775</v>
      </c>
      <c r="C140" s="114">
        <v>363.6</v>
      </c>
      <c r="D140" s="196"/>
      <c r="E140" s="195"/>
      <c r="F140" s="195"/>
      <c r="J140" s="116"/>
      <c r="K140" s="116"/>
    </row>
    <row r="141" spans="2:11" x14ac:dyDescent="0.2">
      <c r="B141" s="227">
        <v>1321</v>
      </c>
      <c r="C141" s="114">
        <v>365</v>
      </c>
      <c r="D141" s="196"/>
      <c r="E141" s="195"/>
      <c r="F141" s="195"/>
      <c r="J141" s="116"/>
      <c r="K141" s="116"/>
    </row>
    <row r="142" spans="2:11" x14ac:dyDescent="0.2">
      <c r="B142" s="227">
        <v>2089</v>
      </c>
      <c r="C142" s="114">
        <v>365</v>
      </c>
      <c r="D142" s="196"/>
      <c r="E142" s="195"/>
      <c r="F142" s="195"/>
      <c r="J142" s="116"/>
      <c r="K142" s="116"/>
    </row>
    <row r="143" spans="2:11" x14ac:dyDescent="0.2">
      <c r="B143" s="227">
        <v>670</v>
      </c>
      <c r="C143" s="114">
        <v>370</v>
      </c>
      <c r="D143" s="196"/>
      <c r="E143" s="195"/>
      <c r="F143" s="195"/>
      <c r="J143" s="116"/>
      <c r="K143" s="116"/>
    </row>
    <row r="144" spans="2:11" x14ac:dyDescent="0.2">
      <c r="B144" s="227">
        <v>2075</v>
      </c>
      <c r="C144" s="114">
        <v>370</v>
      </c>
      <c r="D144" s="196"/>
      <c r="E144" s="195"/>
      <c r="F144" s="195"/>
      <c r="J144" s="116"/>
      <c r="K144" s="116"/>
    </row>
    <row r="145" spans="2:11" x14ac:dyDescent="0.2">
      <c r="B145" s="227">
        <v>896</v>
      </c>
      <c r="C145" s="114">
        <v>375</v>
      </c>
      <c r="D145" s="196"/>
      <c r="E145" s="195"/>
      <c r="F145" s="195"/>
      <c r="J145" s="116"/>
      <c r="K145" s="116"/>
    </row>
    <row r="146" spans="2:11" x14ac:dyDescent="0.2">
      <c r="B146" s="227">
        <v>1023</v>
      </c>
      <c r="C146" s="114">
        <v>375</v>
      </c>
      <c r="D146" s="196"/>
      <c r="E146" s="195"/>
      <c r="F146" s="195"/>
      <c r="J146" s="116"/>
      <c r="K146" s="116"/>
    </row>
    <row r="147" spans="2:11" x14ac:dyDescent="0.2">
      <c r="B147" s="228">
        <v>1763</v>
      </c>
      <c r="C147" s="197">
        <v>375</v>
      </c>
      <c r="D147" s="196"/>
      <c r="E147" s="195"/>
      <c r="F147" s="195"/>
    </row>
    <row r="148" spans="2:11" x14ac:dyDescent="0.2">
      <c r="B148" s="227">
        <v>1000</v>
      </c>
      <c r="C148" s="114">
        <v>376</v>
      </c>
      <c r="D148" s="196"/>
      <c r="E148" s="195"/>
      <c r="F148" s="195"/>
    </row>
    <row r="149" spans="2:11" x14ac:dyDescent="0.2">
      <c r="B149" s="227">
        <v>2190</v>
      </c>
      <c r="C149" s="114">
        <v>376</v>
      </c>
      <c r="D149" s="196"/>
      <c r="E149" s="195"/>
      <c r="F149" s="195"/>
    </row>
    <row r="150" spans="2:11" x14ac:dyDescent="0.2">
      <c r="B150" s="227">
        <v>514</v>
      </c>
      <c r="C150" s="114">
        <v>380</v>
      </c>
      <c r="D150" s="196"/>
      <c r="E150" s="195"/>
      <c r="F150" s="195"/>
    </row>
    <row r="151" spans="2:11" x14ac:dyDescent="0.2">
      <c r="B151" s="228">
        <v>664</v>
      </c>
      <c r="C151" s="197">
        <v>380</v>
      </c>
      <c r="D151" s="196"/>
      <c r="E151" s="195"/>
      <c r="F151" s="195"/>
    </row>
    <row r="152" spans="2:11" x14ac:dyDescent="0.2">
      <c r="B152" s="228">
        <v>928</v>
      </c>
      <c r="C152" s="197">
        <v>380</v>
      </c>
      <c r="D152" s="196"/>
      <c r="E152" s="195"/>
      <c r="F152" s="195"/>
    </row>
    <row r="153" spans="2:11" x14ac:dyDescent="0.2">
      <c r="B153" s="227">
        <v>1274</v>
      </c>
      <c r="C153" s="114">
        <v>380</v>
      </c>
      <c r="D153" s="196"/>
      <c r="E153" s="195"/>
      <c r="F153" s="195"/>
    </row>
    <row r="154" spans="2:11" x14ac:dyDescent="0.2">
      <c r="B154" s="227">
        <v>1544</v>
      </c>
      <c r="C154" s="114">
        <v>382.22300000000001</v>
      </c>
      <c r="D154" s="196"/>
      <c r="E154" s="195"/>
      <c r="F154" s="195"/>
    </row>
    <row r="155" spans="2:11" x14ac:dyDescent="0.2">
      <c r="B155" s="227">
        <v>307</v>
      </c>
      <c r="C155" s="114">
        <v>384</v>
      </c>
      <c r="D155" s="196"/>
      <c r="E155" s="195"/>
      <c r="F155" s="195"/>
    </row>
    <row r="156" spans="2:11" x14ac:dyDescent="0.2">
      <c r="B156" s="227">
        <v>858</v>
      </c>
      <c r="C156" s="114">
        <v>385</v>
      </c>
      <c r="D156" s="196"/>
      <c r="E156" s="195"/>
      <c r="F156" s="195"/>
    </row>
    <row r="157" spans="2:11" x14ac:dyDescent="0.2">
      <c r="B157" s="228">
        <v>488</v>
      </c>
      <c r="C157" s="197">
        <v>390</v>
      </c>
      <c r="D157" s="196"/>
      <c r="E157" s="195"/>
      <c r="F157" s="195"/>
    </row>
    <row r="158" spans="2:11" x14ac:dyDescent="0.2">
      <c r="B158" s="228">
        <v>1798</v>
      </c>
      <c r="C158" s="197">
        <v>390</v>
      </c>
      <c r="D158" s="196"/>
      <c r="E158" s="195"/>
      <c r="F158" s="195"/>
    </row>
    <row r="159" spans="2:11" x14ac:dyDescent="0.2">
      <c r="B159" s="228">
        <v>245</v>
      </c>
      <c r="C159" s="197">
        <v>405</v>
      </c>
      <c r="D159" s="196"/>
      <c r="E159" s="195"/>
      <c r="F159" s="195"/>
    </row>
    <row r="160" spans="2:11" x14ac:dyDescent="0.2">
      <c r="B160" s="228">
        <v>824</v>
      </c>
      <c r="C160" s="197">
        <v>405</v>
      </c>
      <c r="D160" s="196"/>
      <c r="E160" s="195"/>
      <c r="F160" s="195"/>
    </row>
    <row r="161" spans="2:6" x14ac:dyDescent="0.2">
      <c r="B161" s="228">
        <v>1163</v>
      </c>
      <c r="C161" s="197">
        <v>406</v>
      </c>
      <c r="D161" s="196"/>
      <c r="E161" s="195"/>
      <c r="F161" s="195"/>
    </row>
    <row r="162" spans="2:6" x14ac:dyDescent="0.2">
      <c r="B162" s="227">
        <v>480</v>
      </c>
      <c r="C162" s="114">
        <v>410</v>
      </c>
      <c r="D162" s="196"/>
      <c r="E162" s="195"/>
      <c r="F162" s="195"/>
    </row>
    <row r="163" spans="2:6" x14ac:dyDescent="0.2">
      <c r="B163" s="227">
        <v>912</v>
      </c>
      <c r="C163" s="114">
        <v>410</v>
      </c>
      <c r="D163" s="196"/>
      <c r="E163" s="195"/>
      <c r="F163" s="195"/>
    </row>
    <row r="164" spans="2:6" x14ac:dyDescent="0.2">
      <c r="B164" s="227">
        <v>331</v>
      </c>
      <c r="C164" s="114">
        <v>414</v>
      </c>
      <c r="D164" s="196"/>
      <c r="E164" s="195"/>
      <c r="F164" s="195"/>
    </row>
    <row r="165" spans="2:6" x14ac:dyDescent="0.2">
      <c r="B165" s="227">
        <v>1165</v>
      </c>
      <c r="C165" s="114">
        <v>414</v>
      </c>
      <c r="D165" s="196"/>
      <c r="E165" s="195"/>
      <c r="F165" s="195"/>
    </row>
    <row r="166" spans="2:6" x14ac:dyDescent="0.2">
      <c r="B166" s="227">
        <v>981</v>
      </c>
      <c r="C166" s="114">
        <v>415</v>
      </c>
      <c r="D166" s="196"/>
      <c r="E166" s="195"/>
      <c r="F166" s="195"/>
    </row>
    <row r="167" spans="2:6" x14ac:dyDescent="0.2">
      <c r="B167" s="227">
        <v>1311</v>
      </c>
      <c r="C167" s="114">
        <v>416.66666666666669</v>
      </c>
      <c r="D167" s="196"/>
      <c r="E167" s="195"/>
      <c r="F167" s="195"/>
    </row>
    <row r="168" spans="2:6" x14ac:dyDescent="0.2">
      <c r="B168" s="228">
        <v>241</v>
      </c>
      <c r="C168" s="197">
        <v>420</v>
      </c>
      <c r="D168" s="196"/>
      <c r="E168" s="195"/>
      <c r="F168" s="195"/>
    </row>
    <row r="169" spans="2:6" x14ac:dyDescent="0.2">
      <c r="B169" s="228">
        <v>653</v>
      </c>
      <c r="C169" s="197">
        <v>420</v>
      </c>
      <c r="D169" s="196"/>
      <c r="E169" s="195"/>
      <c r="F169" s="195"/>
    </row>
    <row r="170" spans="2:6" x14ac:dyDescent="0.2">
      <c r="B170" s="228">
        <v>881</v>
      </c>
      <c r="C170" s="197">
        <v>420</v>
      </c>
      <c r="D170" s="196"/>
      <c r="E170" s="195"/>
      <c r="F170" s="195"/>
    </row>
    <row r="171" spans="2:6" x14ac:dyDescent="0.2">
      <c r="B171" s="227">
        <v>1182</v>
      </c>
      <c r="C171" s="114">
        <v>420</v>
      </c>
      <c r="D171" s="196"/>
      <c r="E171" s="195"/>
      <c r="F171" s="195"/>
    </row>
    <row r="172" spans="2:6" x14ac:dyDescent="0.2">
      <c r="B172" s="228">
        <v>1627</v>
      </c>
      <c r="C172" s="197">
        <v>420</v>
      </c>
      <c r="D172" s="196"/>
      <c r="E172" s="195"/>
      <c r="F172" s="195"/>
    </row>
    <row r="173" spans="2:6" x14ac:dyDescent="0.2">
      <c r="B173" s="228">
        <v>947</v>
      </c>
      <c r="C173" s="197">
        <v>422.5</v>
      </c>
      <c r="D173" s="196"/>
      <c r="E173" s="195"/>
      <c r="F173" s="195"/>
    </row>
    <row r="174" spans="2:6" x14ac:dyDescent="0.2">
      <c r="B174" s="227">
        <v>739</v>
      </c>
      <c r="C174" s="114">
        <v>427.5</v>
      </c>
      <c r="D174" s="196"/>
      <c r="E174" s="195"/>
      <c r="F174" s="195"/>
    </row>
    <row r="175" spans="2:6" x14ac:dyDescent="0.2">
      <c r="B175" s="227">
        <v>284</v>
      </c>
      <c r="C175" s="114">
        <v>430</v>
      </c>
      <c r="D175" s="196"/>
      <c r="E175" s="195"/>
      <c r="F175" s="195"/>
    </row>
    <row r="176" spans="2:6" x14ac:dyDescent="0.2">
      <c r="B176" s="227">
        <v>499</v>
      </c>
      <c r="C176" s="114">
        <v>430</v>
      </c>
      <c r="D176" s="196"/>
      <c r="E176" s="195"/>
      <c r="F176" s="195"/>
    </row>
    <row r="177" spans="2:6" x14ac:dyDescent="0.2">
      <c r="B177" s="228">
        <v>615</v>
      </c>
      <c r="C177" s="197">
        <v>430</v>
      </c>
      <c r="D177" s="196"/>
      <c r="E177" s="195"/>
      <c r="F177" s="195"/>
    </row>
    <row r="178" spans="2:6" x14ac:dyDescent="0.2">
      <c r="B178" s="228">
        <v>897</v>
      </c>
      <c r="C178" s="197">
        <v>430</v>
      </c>
      <c r="D178" s="196"/>
      <c r="E178" s="195"/>
      <c r="F178" s="195"/>
    </row>
    <row r="179" spans="2:6" x14ac:dyDescent="0.2">
      <c r="B179" s="228">
        <v>1173</v>
      </c>
      <c r="C179" s="197">
        <v>430</v>
      </c>
      <c r="D179" s="196"/>
      <c r="E179" s="195"/>
      <c r="F179" s="195"/>
    </row>
    <row r="180" spans="2:6" x14ac:dyDescent="0.2">
      <c r="B180" s="227">
        <v>1406</v>
      </c>
      <c r="C180" s="114">
        <v>430</v>
      </c>
      <c r="D180" s="196"/>
      <c r="E180" s="195"/>
      <c r="F180" s="195"/>
    </row>
    <row r="181" spans="2:6" x14ac:dyDescent="0.2">
      <c r="B181" s="227">
        <v>2212</v>
      </c>
      <c r="C181" s="114">
        <v>430</v>
      </c>
      <c r="D181" s="196"/>
      <c r="E181" s="195"/>
      <c r="F181" s="195"/>
    </row>
    <row r="182" spans="2:6" x14ac:dyDescent="0.2">
      <c r="B182" s="227">
        <v>1285</v>
      </c>
      <c r="C182" s="114">
        <v>431.2</v>
      </c>
      <c r="D182" s="196"/>
      <c r="E182" s="195"/>
      <c r="F182" s="195"/>
    </row>
    <row r="183" spans="2:6" x14ac:dyDescent="0.2">
      <c r="B183" s="227">
        <v>1576</v>
      </c>
      <c r="C183" s="114">
        <v>432</v>
      </c>
      <c r="D183" s="196"/>
      <c r="E183" s="195"/>
      <c r="F183" s="195"/>
    </row>
    <row r="184" spans="2:6" x14ac:dyDescent="0.2">
      <c r="B184" s="228">
        <v>1427</v>
      </c>
      <c r="C184" s="197">
        <v>435</v>
      </c>
      <c r="D184" s="196"/>
      <c r="E184" s="195"/>
      <c r="F184" s="195"/>
    </row>
    <row r="185" spans="2:6" x14ac:dyDescent="0.2">
      <c r="B185" s="228">
        <v>213</v>
      </c>
      <c r="C185" s="197">
        <v>440</v>
      </c>
      <c r="D185" s="196"/>
      <c r="E185" s="195"/>
      <c r="F185" s="195"/>
    </row>
    <row r="186" spans="2:6" x14ac:dyDescent="0.2">
      <c r="B186" s="228">
        <v>768</v>
      </c>
      <c r="C186" s="197">
        <v>440</v>
      </c>
      <c r="D186" s="196"/>
      <c r="E186" s="195"/>
      <c r="F186" s="195"/>
    </row>
    <row r="187" spans="2:6" x14ac:dyDescent="0.2">
      <c r="B187" s="228">
        <v>959</v>
      </c>
      <c r="C187" s="197">
        <v>440</v>
      </c>
      <c r="D187" s="196"/>
      <c r="E187" s="195"/>
      <c r="F187" s="195"/>
    </row>
    <row r="188" spans="2:6" x14ac:dyDescent="0.2">
      <c r="B188" s="228">
        <v>1449</v>
      </c>
      <c r="C188" s="197">
        <v>440</v>
      </c>
      <c r="D188" s="196"/>
      <c r="E188" s="195"/>
      <c r="F188" s="195"/>
    </row>
    <row r="189" spans="2:6" x14ac:dyDescent="0.2">
      <c r="B189" s="227">
        <v>2090</v>
      </c>
      <c r="C189" s="114">
        <v>440</v>
      </c>
      <c r="D189" s="196"/>
      <c r="E189" s="195"/>
      <c r="F189" s="195"/>
    </row>
    <row r="190" spans="2:6" x14ac:dyDescent="0.2">
      <c r="B190" s="227">
        <v>312</v>
      </c>
      <c r="C190" s="114">
        <v>443.75</v>
      </c>
      <c r="D190" s="196"/>
      <c r="E190" s="195"/>
      <c r="F190" s="195"/>
    </row>
    <row r="191" spans="2:6" x14ac:dyDescent="0.2">
      <c r="B191" s="227">
        <v>76</v>
      </c>
      <c r="C191" s="114">
        <v>450</v>
      </c>
      <c r="D191" s="196"/>
      <c r="E191" s="195"/>
      <c r="F191" s="195"/>
    </row>
    <row r="192" spans="2:6" x14ac:dyDescent="0.2">
      <c r="B192" s="228">
        <v>110</v>
      </c>
      <c r="C192" s="197">
        <v>450</v>
      </c>
      <c r="D192" s="196"/>
      <c r="E192" s="195"/>
      <c r="F192" s="195"/>
    </row>
    <row r="193" spans="2:6" x14ac:dyDescent="0.2">
      <c r="B193" s="228">
        <v>136</v>
      </c>
      <c r="C193" s="197">
        <v>450</v>
      </c>
      <c r="D193" s="196"/>
      <c r="E193" s="195"/>
      <c r="F193" s="195"/>
    </row>
    <row r="194" spans="2:6" x14ac:dyDescent="0.2">
      <c r="B194" s="228">
        <v>266</v>
      </c>
      <c r="C194" s="197">
        <v>450</v>
      </c>
      <c r="D194" s="196"/>
      <c r="E194" s="195"/>
      <c r="F194" s="195"/>
    </row>
    <row r="195" spans="2:6" x14ac:dyDescent="0.2">
      <c r="B195" s="227">
        <v>287</v>
      </c>
      <c r="C195" s="114">
        <v>450</v>
      </c>
      <c r="D195" s="196"/>
      <c r="E195" s="195"/>
      <c r="F195" s="195"/>
    </row>
    <row r="196" spans="2:6" x14ac:dyDescent="0.2">
      <c r="B196" s="228">
        <v>491</v>
      </c>
      <c r="C196" s="197">
        <v>450</v>
      </c>
      <c r="D196" s="196"/>
      <c r="E196" s="195"/>
      <c r="F196" s="195"/>
    </row>
    <row r="197" spans="2:6" x14ac:dyDescent="0.2">
      <c r="B197" s="228">
        <v>605</v>
      </c>
      <c r="C197" s="197">
        <v>450</v>
      </c>
      <c r="D197" s="196"/>
      <c r="E197" s="195"/>
      <c r="F197" s="195"/>
    </row>
    <row r="198" spans="2:6" x14ac:dyDescent="0.2">
      <c r="B198" s="227">
        <v>660</v>
      </c>
      <c r="C198" s="114">
        <v>450</v>
      </c>
      <c r="D198" s="196"/>
      <c r="E198" s="195"/>
      <c r="F198" s="195"/>
    </row>
    <row r="199" spans="2:6" x14ac:dyDescent="0.2">
      <c r="B199" s="228">
        <v>758</v>
      </c>
      <c r="C199" s="197">
        <v>450</v>
      </c>
      <c r="D199" s="196"/>
      <c r="E199" s="195"/>
      <c r="F199" s="195"/>
    </row>
    <row r="200" spans="2:6" x14ac:dyDescent="0.2">
      <c r="B200" s="227">
        <v>783</v>
      </c>
      <c r="C200" s="114">
        <v>450</v>
      </c>
      <c r="D200" s="196"/>
      <c r="E200" s="195"/>
      <c r="F200" s="195"/>
    </row>
    <row r="201" spans="2:6" x14ac:dyDescent="0.2">
      <c r="B201" s="228">
        <v>806</v>
      </c>
      <c r="C201" s="197">
        <v>450</v>
      </c>
      <c r="D201" s="196"/>
      <c r="E201" s="195"/>
      <c r="F201" s="195"/>
    </row>
    <row r="202" spans="2:6" x14ac:dyDescent="0.2">
      <c r="B202" s="228">
        <v>821</v>
      </c>
      <c r="C202" s="197">
        <v>450</v>
      </c>
      <c r="D202" s="196"/>
      <c r="E202" s="195"/>
      <c r="F202" s="195"/>
    </row>
    <row r="203" spans="2:6" x14ac:dyDescent="0.2">
      <c r="B203" s="228">
        <v>925</v>
      </c>
      <c r="C203" s="197">
        <v>450</v>
      </c>
      <c r="D203" s="196"/>
      <c r="E203" s="195"/>
      <c r="F203" s="195"/>
    </row>
    <row r="204" spans="2:6" x14ac:dyDescent="0.2">
      <c r="B204" s="227">
        <v>1068</v>
      </c>
      <c r="C204" s="114">
        <v>450</v>
      </c>
      <c r="D204" s="196"/>
      <c r="E204" s="195"/>
      <c r="F204" s="195"/>
    </row>
    <row r="205" spans="2:6" x14ac:dyDescent="0.2">
      <c r="B205" s="228">
        <v>1071</v>
      </c>
      <c r="C205" s="197">
        <v>450</v>
      </c>
      <c r="D205" s="196"/>
      <c r="E205" s="195"/>
      <c r="F205" s="195"/>
    </row>
    <row r="206" spans="2:6" x14ac:dyDescent="0.2">
      <c r="B206" s="227">
        <v>1111</v>
      </c>
      <c r="C206" s="114">
        <v>450</v>
      </c>
      <c r="D206" s="196"/>
      <c r="E206" s="195"/>
      <c r="F206" s="195"/>
    </row>
    <row r="207" spans="2:6" x14ac:dyDescent="0.2">
      <c r="B207" s="228">
        <v>1241</v>
      </c>
      <c r="C207" s="197">
        <v>450</v>
      </c>
      <c r="D207" s="196"/>
      <c r="E207" s="195"/>
      <c r="F207" s="195"/>
    </row>
    <row r="208" spans="2:6" x14ac:dyDescent="0.2">
      <c r="B208" s="228">
        <v>1247</v>
      </c>
      <c r="C208" s="197">
        <v>450</v>
      </c>
      <c r="D208" s="196"/>
      <c r="E208" s="195"/>
      <c r="F208" s="195"/>
    </row>
    <row r="209" spans="2:6" x14ac:dyDescent="0.2">
      <c r="B209" s="228">
        <v>1500</v>
      </c>
      <c r="C209" s="197">
        <v>450</v>
      </c>
      <c r="D209" s="196"/>
      <c r="E209" s="195"/>
      <c r="F209" s="195"/>
    </row>
    <row r="210" spans="2:6" x14ac:dyDescent="0.2">
      <c r="B210" s="227">
        <v>1540</v>
      </c>
      <c r="C210" s="114">
        <v>450</v>
      </c>
      <c r="D210" s="196"/>
      <c r="E210" s="195"/>
      <c r="F210" s="195"/>
    </row>
    <row r="211" spans="2:6" x14ac:dyDescent="0.2">
      <c r="B211" s="227">
        <v>1570</v>
      </c>
      <c r="C211" s="114">
        <v>450</v>
      </c>
      <c r="D211" s="196"/>
      <c r="E211" s="195"/>
      <c r="F211" s="195"/>
    </row>
    <row r="212" spans="2:6" x14ac:dyDescent="0.2">
      <c r="B212" s="227">
        <v>1578</v>
      </c>
      <c r="C212" s="114">
        <v>450</v>
      </c>
      <c r="D212" s="196"/>
      <c r="E212" s="195"/>
      <c r="F212" s="195"/>
    </row>
    <row r="213" spans="2:6" x14ac:dyDescent="0.2">
      <c r="B213" s="228">
        <v>1758</v>
      </c>
      <c r="C213" s="197">
        <v>450</v>
      </c>
      <c r="D213" s="196"/>
      <c r="E213" s="195"/>
      <c r="F213" s="195"/>
    </row>
    <row r="214" spans="2:6" x14ac:dyDescent="0.2">
      <c r="B214" s="227">
        <v>1861</v>
      </c>
      <c r="C214" s="114">
        <v>450</v>
      </c>
      <c r="D214" s="196"/>
      <c r="E214" s="195"/>
      <c r="F214" s="195"/>
    </row>
    <row r="215" spans="2:6" x14ac:dyDescent="0.2">
      <c r="B215" s="227">
        <v>1935</v>
      </c>
      <c r="C215" s="114">
        <v>450</v>
      </c>
      <c r="D215" s="196"/>
      <c r="E215" s="195"/>
      <c r="F215" s="195"/>
    </row>
    <row r="216" spans="2:6" x14ac:dyDescent="0.2">
      <c r="B216" s="227">
        <v>1951</v>
      </c>
      <c r="C216" s="114">
        <v>450</v>
      </c>
      <c r="D216" s="196"/>
      <c r="E216" s="195"/>
      <c r="F216" s="195"/>
    </row>
    <row r="217" spans="2:6" x14ac:dyDescent="0.2">
      <c r="B217" s="227">
        <v>2057</v>
      </c>
      <c r="C217" s="114">
        <v>450</v>
      </c>
      <c r="D217" s="196"/>
      <c r="E217" s="195"/>
      <c r="F217" s="195"/>
    </row>
    <row r="218" spans="2:6" x14ac:dyDescent="0.2">
      <c r="B218" s="228">
        <v>2146</v>
      </c>
      <c r="C218" s="197">
        <v>450</v>
      </c>
      <c r="D218" s="196"/>
      <c r="E218" s="195"/>
      <c r="F218" s="195"/>
    </row>
    <row r="219" spans="2:6" x14ac:dyDescent="0.2">
      <c r="B219" s="228">
        <v>2285</v>
      </c>
      <c r="C219" s="197">
        <v>450</v>
      </c>
      <c r="D219" s="196"/>
      <c r="E219" s="195"/>
      <c r="F219" s="195"/>
    </row>
    <row r="220" spans="2:6" x14ac:dyDescent="0.2">
      <c r="B220" s="227">
        <v>215</v>
      </c>
      <c r="C220" s="114">
        <v>460</v>
      </c>
      <c r="D220" s="196"/>
      <c r="E220" s="195"/>
      <c r="F220" s="195"/>
    </row>
    <row r="221" spans="2:6" x14ac:dyDescent="0.2">
      <c r="B221" s="228">
        <v>270</v>
      </c>
      <c r="C221" s="197">
        <v>460</v>
      </c>
      <c r="D221" s="196"/>
      <c r="E221" s="195"/>
      <c r="F221" s="195"/>
    </row>
    <row r="222" spans="2:6" x14ac:dyDescent="0.2">
      <c r="B222" s="227">
        <v>492</v>
      </c>
      <c r="C222" s="114">
        <v>460</v>
      </c>
      <c r="D222" s="196"/>
      <c r="E222" s="195"/>
      <c r="F222" s="195"/>
    </row>
    <row r="223" spans="2:6" x14ac:dyDescent="0.2">
      <c r="B223" s="228">
        <v>515</v>
      </c>
      <c r="C223" s="197">
        <v>460</v>
      </c>
      <c r="D223" s="196"/>
      <c r="E223" s="195"/>
      <c r="F223" s="195"/>
    </row>
    <row r="224" spans="2:6" x14ac:dyDescent="0.2">
      <c r="B224" s="228">
        <v>750</v>
      </c>
      <c r="C224" s="197">
        <v>460</v>
      </c>
      <c r="D224" s="196"/>
      <c r="E224" s="195"/>
      <c r="F224" s="195"/>
    </row>
    <row r="225" spans="2:6" x14ac:dyDescent="0.2">
      <c r="B225" s="228">
        <v>842</v>
      </c>
      <c r="C225" s="197">
        <v>460</v>
      </c>
      <c r="D225" s="196"/>
      <c r="E225" s="195"/>
      <c r="F225" s="195"/>
    </row>
    <row r="226" spans="2:6" x14ac:dyDescent="0.2">
      <c r="B226" s="228">
        <v>157</v>
      </c>
      <c r="C226" s="197">
        <v>462.8</v>
      </c>
      <c r="D226" s="196"/>
      <c r="E226" s="195"/>
      <c r="F226" s="195"/>
    </row>
    <row r="227" spans="2:6" x14ac:dyDescent="0.2">
      <c r="B227" s="228">
        <v>484</v>
      </c>
      <c r="C227" s="197">
        <v>465</v>
      </c>
      <c r="D227" s="196"/>
      <c r="E227" s="195"/>
      <c r="F227" s="195"/>
    </row>
    <row r="228" spans="2:6" x14ac:dyDescent="0.2">
      <c r="B228" s="227">
        <v>1655</v>
      </c>
      <c r="C228" s="114">
        <v>465</v>
      </c>
      <c r="D228" s="196"/>
      <c r="E228" s="195"/>
      <c r="F228" s="195"/>
    </row>
    <row r="229" spans="2:6" x14ac:dyDescent="0.2">
      <c r="B229" s="227">
        <v>1361</v>
      </c>
      <c r="C229" s="114">
        <v>466.7</v>
      </c>
      <c r="D229" s="196"/>
      <c r="E229" s="195"/>
      <c r="F229" s="195"/>
    </row>
    <row r="230" spans="2:6" x14ac:dyDescent="0.2">
      <c r="B230" s="227">
        <v>496</v>
      </c>
      <c r="C230" s="114">
        <v>470</v>
      </c>
      <c r="D230" s="196"/>
      <c r="E230" s="195"/>
      <c r="F230" s="195"/>
    </row>
    <row r="231" spans="2:6" x14ac:dyDescent="0.2">
      <c r="B231" s="228">
        <v>704</v>
      </c>
      <c r="C231" s="197">
        <v>470</v>
      </c>
      <c r="D231" s="196"/>
      <c r="E231" s="195"/>
      <c r="F231" s="195"/>
    </row>
    <row r="232" spans="2:6" x14ac:dyDescent="0.2">
      <c r="B232" s="227">
        <v>845</v>
      </c>
      <c r="C232" s="114">
        <v>470</v>
      </c>
      <c r="D232" s="196"/>
      <c r="E232" s="195"/>
      <c r="F232" s="195"/>
    </row>
    <row r="233" spans="2:6" x14ac:dyDescent="0.2">
      <c r="B233" s="227">
        <v>851</v>
      </c>
      <c r="C233" s="114">
        <v>470</v>
      </c>
      <c r="D233" s="196"/>
      <c r="E233" s="195"/>
      <c r="F233" s="195"/>
    </row>
    <row r="234" spans="2:6" x14ac:dyDescent="0.2">
      <c r="B234" s="227">
        <v>1021</v>
      </c>
      <c r="C234" s="114">
        <v>470</v>
      </c>
      <c r="D234" s="196"/>
      <c r="E234" s="195"/>
      <c r="F234" s="195"/>
    </row>
    <row r="235" spans="2:6" x14ac:dyDescent="0.2">
      <c r="B235" s="227">
        <v>1088</v>
      </c>
      <c r="C235" s="114">
        <v>470</v>
      </c>
      <c r="D235" s="196"/>
      <c r="E235" s="195"/>
      <c r="F235" s="195"/>
    </row>
    <row r="236" spans="2:6" x14ac:dyDescent="0.2">
      <c r="B236" s="227">
        <v>1718</v>
      </c>
      <c r="C236" s="114">
        <v>470</v>
      </c>
      <c r="D236" s="196"/>
      <c r="E236" s="195"/>
      <c r="F236" s="195"/>
    </row>
    <row r="237" spans="2:6" x14ac:dyDescent="0.2">
      <c r="B237" s="227">
        <v>729</v>
      </c>
      <c r="C237" s="114">
        <v>475</v>
      </c>
      <c r="D237" s="196"/>
      <c r="E237" s="195"/>
      <c r="F237" s="195"/>
    </row>
    <row r="238" spans="2:6" x14ac:dyDescent="0.2">
      <c r="B238" s="228">
        <v>130</v>
      </c>
      <c r="C238" s="197">
        <v>477</v>
      </c>
      <c r="D238" s="196"/>
      <c r="E238" s="195"/>
      <c r="F238" s="195"/>
    </row>
    <row r="239" spans="2:6" x14ac:dyDescent="0.2">
      <c r="B239" s="227">
        <v>190</v>
      </c>
      <c r="C239" s="114">
        <v>480</v>
      </c>
      <c r="D239" s="196"/>
      <c r="E239" s="195"/>
      <c r="F239" s="195"/>
    </row>
    <row r="240" spans="2:6" x14ac:dyDescent="0.2">
      <c r="B240" s="228">
        <v>497</v>
      </c>
      <c r="C240" s="197">
        <v>480</v>
      </c>
      <c r="D240" s="196"/>
      <c r="E240" s="195"/>
      <c r="F240" s="195"/>
    </row>
    <row r="241" spans="2:6" x14ac:dyDescent="0.2">
      <c r="B241" s="227">
        <v>535</v>
      </c>
      <c r="C241" s="114">
        <v>480</v>
      </c>
      <c r="D241" s="196"/>
      <c r="E241" s="195"/>
      <c r="F241" s="195"/>
    </row>
    <row r="242" spans="2:6" x14ac:dyDescent="0.2">
      <c r="B242" s="228">
        <v>538</v>
      </c>
      <c r="C242" s="197">
        <v>480</v>
      </c>
      <c r="D242" s="196"/>
      <c r="E242" s="195"/>
      <c r="F242" s="195"/>
    </row>
    <row r="243" spans="2:6" x14ac:dyDescent="0.2">
      <c r="B243" s="227">
        <v>655</v>
      </c>
      <c r="C243" s="114">
        <v>480</v>
      </c>
      <c r="D243" s="196"/>
      <c r="E243" s="195"/>
      <c r="F243" s="195"/>
    </row>
    <row r="244" spans="2:6" x14ac:dyDescent="0.2">
      <c r="B244" s="227">
        <v>697</v>
      </c>
      <c r="C244" s="114">
        <v>480</v>
      </c>
      <c r="D244" s="196"/>
      <c r="E244" s="195"/>
      <c r="F244" s="195"/>
    </row>
    <row r="245" spans="2:6" x14ac:dyDescent="0.2">
      <c r="B245" s="227">
        <v>1292</v>
      </c>
      <c r="C245" s="114">
        <v>480</v>
      </c>
      <c r="D245" s="196"/>
      <c r="E245" s="195"/>
      <c r="F245" s="195"/>
    </row>
    <row r="246" spans="2:6" x14ac:dyDescent="0.2">
      <c r="B246" s="228">
        <v>1151</v>
      </c>
      <c r="C246" s="197">
        <v>481.06200000000001</v>
      </c>
      <c r="D246" s="196"/>
      <c r="E246" s="195"/>
      <c r="F246" s="195"/>
    </row>
    <row r="247" spans="2:6" x14ac:dyDescent="0.2">
      <c r="B247" s="228">
        <v>946</v>
      </c>
      <c r="C247" s="197">
        <v>483.33333333333331</v>
      </c>
      <c r="D247" s="196"/>
      <c r="E247" s="195"/>
      <c r="F247" s="195"/>
    </row>
    <row r="248" spans="2:6" x14ac:dyDescent="0.2">
      <c r="B248" s="227">
        <v>1988</v>
      </c>
      <c r="C248" s="114">
        <v>485</v>
      </c>
      <c r="D248" s="196"/>
      <c r="E248" s="195"/>
      <c r="F248" s="195"/>
    </row>
    <row r="249" spans="2:6" x14ac:dyDescent="0.2">
      <c r="B249" s="228">
        <v>2290</v>
      </c>
      <c r="C249" s="197">
        <v>485</v>
      </c>
      <c r="D249" s="196"/>
      <c r="E249" s="195"/>
      <c r="F249" s="195"/>
    </row>
    <row r="250" spans="2:6" x14ac:dyDescent="0.2">
      <c r="B250" s="228">
        <v>12</v>
      </c>
      <c r="C250" s="197">
        <v>490</v>
      </c>
      <c r="D250" s="196"/>
      <c r="E250" s="195"/>
      <c r="F250" s="195"/>
    </row>
    <row r="251" spans="2:6" x14ac:dyDescent="0.2">
      <c r="B251" s="227">
        <v>1110</v>
      </c>
      <c r="C251" s="114">
        <v>490</v>
      </c>
      <c r="D251" s="196"/>
      <c r="E251" s="195"/>
      <c r="F251" s="195"/>
    </row>
    <row r="252" spans="2:6" x14ac:dyDescent="0.2">
      <c r="B252" s="228">
        <v>1305</v>
      </c>
      <c r="C252" s="197">
        <v>490</v>
      </c>
      <c r="D252" s="196"/>
      <c r="E252" s="195"/>
      <c r="F252" s="195"/>
    </row>
    <row r="253" spans="2:6" x14ac:dyDescent="0.2">
      <c r="B253" s="227">
        <v>2030</v>
      </c>
      <c r="C253" s="114">
        <v>490</v>
      </c>
      <c r="D253" s="196"/>
      <c r="E253" s="195"/>
      <c r="F253" s="195"/>
    </row>
    <row r="254" spans="2:6" x14ac:dyDescent="0.2">
      <c r="B254" s="228">
        <v>966</v>
      </c>
      <c r="C254" s="197">
        <v>505</v>
      </c>
      <c r="D254" s="196"/>
      <c r="E254" s="195"/>
      <c r="F254" s="195"/>
    </row>
    <row r="255" spans="2:6" x14ac:dyDescent="0.2">
      <c r="B255" s="228">
        <v>289</v>
      </c>
      <c r="C255" s="197">
        <v>508.8</v>
      </c>
      <c r="D255" s="196"/>
      <c r="E255" s="195"/>
      <c r="F255" s="195"/>
    </row>
    <row r="256" spans="2:6" x14ac:dyDescent="0.2">
      <c r="B256" s="228">
        <v>498</v>
      </c>
      <c r="C256" s="197">
        <v>510</v>
      </c>
      <c r="D256" s="196"/>
      <c r="E256" s="195"/>
      <c r="F256" s="195"/>
    </row>
    <row r="257" spans="2:6" x14ac:dyDescent="0.2">
      <c r="B257" s="227">
        <v>505</v>
      </c>
      <c r="C257" s="114">
        <v>510</v>
      </c>
      <c r="D257" s="196"/>
      <c r="E257" s="195"/>
      <c r="F257" s="195"/>
    </row>
    <row r="258" spans="2:6" x14ac:dyDescent="0.2">
      <c r="B258" s="228">
        <v>1004</v>
      </c>
      <c r="C258" s="197">
        <v>510</v>
      </c>
      <c r="D258" s="196"/>
      <c r="E258" s="195"/>
      <c r="F258" s="195"/>
    </row>
    <row r="259" spans="2:6" x14ac:dyDescent="0.2">
      <c r="B259" s="227">
        <v>1015</v>
      </c>
      <c r="C259" s="114">
        <v>510</v>
      </c>
      <c r="D259" s="196"/>
      <c r="E259" s="195"/>
      <c r="F259" s="195"/>
    </row>
    <row r="260" spans="2:6" x14ac:dyDescent="0.2">
      <c r="B260" s="228">
        <v>939</v>
      </c>
      <c r="C260" s="197">
        <v>516</v>
      </c>
      <c r="D260" s="196"/>
      <c r="E260" s="195"/>
      <c r="F260" s="195"/>
    </row>
    <row r="261" spans="2:6" x14ac:dyDescent="0.2">
      <c r="B261" s="228">
        <v>927</v>
      </c>
      <c r="C261" s="197">
        <v>516.66666666666674</v>
      </c>
      <c r="D261" s="196"/>
      <c r="E261" s="195"/>
      <c r="F261" s="195"/>
    </row>
    <row r="262" spans="2:6" x14ac:dyDescent="0.2">
      <c r="B262" s="227">
        <v>1334</v>
      </c>
      <c r="C262" s="114">
        <v>518</v>
      </c>
      <c r="D262" s="196"/>
      <c r="E262" s="195"/>
      <c r="F262" s="195"/>
    </row>
    <row r="263" spans="2:6" x14ac:dyDescent="0.2">
      <c r="B263" s="227">
        <v>709</v>
      </c>
      <c r="C263" s="114">
        <v>520</v>
      </c>
      <c r="D263" s="196"/>
      <c r="E263" s="195"/>
      <c r="F263" s="195"/>
    </row>
    <row r="264" spans="2:6" x14ac:dyDescent="0.2">
      <c r="B264" s="227">
        <v>1040</v>
      </c>
      <c r="C264" s="114">
        <v>520</v>
      </c>
      <c r="D264" s="196"/>
      <c r="E264" s="195"/>
      <c r="F264" s="195"/>
    </row>
    <row r="265" spans="2:6" x14ac:dyDescent="0.2">
      <c r="B265" s="227">
        <v>1346</v>
      </c>
      <c r="C265" s="114">
        <v>520</v>
      </c>
      <c r="D265" s="196"/>
      <c r="E265" s="195"/>
      <c r="F265" s="195"/>
    </row>
    <row r="266" spans="2:6" x14ac:dyDescent="0.2">
      <c r="B266" s="228">
        <v>2141</v>
      </c>
      <c r="C266" s="197">
        <v>520</v>
      </c>
      <c r="D266" s="196"/>
      <c r="E266" s="195"/>
      <c r="F266" s="195"/>
    </row>
    <row r="267" spans="2:6" x14ac:dyDescent="0.2">
      <c r="B267" s="228">
        <v>2293</v>
      </c>
      <c r="C267" s="197">
        <v>520</v>
      </c>
      <c r="D267" s="196"/>
      <c r="E267" s="195"/>
      <c r="F267" s="195"/>
    </row>
    <row r="268" spans="2:6" x14ac:dyDescent="0.2">
      <c r="B268" s="227">
        <v>117</v>
      </c>
      <c r="C268" s="114">
        <v>526.31600000000003</v>
      </c>
      <c r="D268" s="196"/>
      <c r="E268" s="195"/>
      <c r="F268" s="195"/>
    </row>
    <row r="269" spans="2:6" x14ac:dyDescent="0.2">
      <c r="B269" s="227">
        <v>16</v>
      </c>
      <c r="C269" s="114">
        <v>530</v>
      </c>
      <c r="D269" s="196"/>
      <c r="E269" s="195"/>
      <c r="F269" s="195"/>
    </row>
    <row r="270" spans="2:6" x14ac:dyDescent="0.2">
      <c r="B270" s="228">
        <v>646</v>
      </c>
      <c r="C270" s="197">
        <v>530</v>
      </c>
      <c r="D270" s="196"/>
      <c r="E270" s="195"/>
      <c r="F270" s="195"/>
    </row>
    <row r="271" spans="2:6" x14ac:dyDescent="0.2">
      <c r="B271" s="228">
        <v>782</v>
      </c>
      <c r="C271" s="197">
        <v>530</v>
      </c>
      <c r="D271" s="196"/>
      <c r="E271" s="195"/>
      <c r="F271" s="195"/>
    </row>
    <row r="272" spans="2:6" x14ac:dyDescent="0.2">
      <c r="B272" s="227">
        <v>1530</v>
      </c>
      <c r="C272" s="114">
        <v>530</v>
      </c>
      <c r="D272" s="196"/>
      <c r="E272" s="195"/>
      <c r="F272" s="195"/>
    </row>
    <row r="273" spans="2:6" x14ac:dyDescent="0.2">
      <c r="B273" s="227">
        <v>1505</v>
      </c>
      <c r="C273" s="114">
        <v>538.5</v>
      </c>
      <c r="D273" s="196"/>
      <c r="E273" s="195"/>
      <c r="F273" s="195"/>
    </row>
    <row r="274" spans="2:6" x14ac:dyDescent="0.2">
      <c r="B274" s="227">
        <v>211</v>
      </c>
      <c r="C274" s="114">
        <v>540</v>
      </c>
      <c r="D274" s="196"/>
      <c r="E274" s="195"/>
      <c r="F274" s="195"/>
    </row>
    <row r="275" spans="2:6" x14ac:dyDescent="0.2">
      <c r="B275" s="228">
        <v>1126</v>
      </c>
      <c r="C275" s="197">
        <v>540</v>
      </c>
      <c r="D275" s="196"/>
      <c r="E275" s="195"/>
      <c r="F275" s="195"/>
    </row>
    <row r="276" spans="2:6" x14ac:dyDescent="0.2">
      <c r="B276" s="228">
        <v>2014</v>
      </c>
      <c r="C276" s="197">
        <v>540</v>
      </c>
      <c r="D276" s="196"/>
      <c r="E276" s="195"/>
      <c r="F276" s="195"/>
    </row>
    <row r="277" spans="2:6" x14ac:dyDescent="0.2">
      <c r="B277" s="227">
        <v>58</v>
      </c>
      <c r="C277" s="114">
        <v>541.35</v>
      </c>
      <c r="D277" s="196"/>
      <c r="E277" s="195"/>
      <c r="F277" s="195"/>
    </row>
    <row r="278" spans="2:6" x14ac:dyDescent="0.2">
      <c r="B278" s="227">
        <v>675</v>
      </c>
      <c r="C278" s="114">
        <v>542</v>
      </c>
      <c r="D278" s="196"/>
      <c r="E278" s="195"/>
      <c r="F278" s="195"/>
    </row>
    <row r="279" spans="2:6" x14ac:dyDescent="0.2">
      <c r="B279" s="227">
        <v>1497</v>
      </c>
      <c r="C279" s="114">
        <v>542</v>
      </c>
      <c r="D279" s="196"/>
      <c r="E279" s="195"/>
      <c r="F279" s="195"/>
    </row>
    <row r="280" spans="2:6" x14ac:dyDescent="0.2">
      <c r="B280" s="227">
        <v>64</v>
      </c>
      <c r="C280" s="114">
        <v>550</v>
      </c>
      <c r="D280" s="196"/>
      <c r="E280" s="195"/>
      <c r="F280" s="195"/>
    </row>
    <row r="281" spans="2:6" x14ac:dyDescent="0.2">
      <c r="B281" s="228">
        <v>100</v>
      </c>
      <c r="C281" s="197">
        <v>550</v>
      </c>
      <c r="D281" s="196"/>
      <c r="E281" s="195"/>
      <c r="F281" s="195"/>
    </row>
    <row r="282" spans="2:6" x14ac:dyDescent="0.2">
      <c r="B282" s="228">
        <v>124</v>
      </c>
      <c r="C282" s="197">
        <v>550</v>
      </c>
      <c r="D282" s="196"/>
      <c r="E282" s="195"/>
      <c r="F282" s="195"/>
    </row>
    <row r="283" spans="2:6" x14ac:dyDescent="0.2">
      <c r="B283" s="227">
        <v>214</v>
      </c>
      <c r="C283" s="114">
        <v>550</v>
      </c>
      <c r="D283" s="196"/>
      <c r="E283" s="195"/>
      <c r="F283" s="195"/>
    </row>
    <row r="284" spans="2:6" x14ac:dyDescent="0.2">
      <c r="B284" s="228">
        <v>272</v>
      </c>
      <c r="C284" s="197">
        <v>550</v>
      </c>
      <c r="D284" s="196"/>
      <c r="E284" s="195"/>
      <c r="F284" s="195"/>
    </row>
    <row r="285" spans="2:6" x14ac:dyDescent="0.2">
      <c r="B285" s="227">
        <v>652</v>
      </c>
      <c r="C285" s="114">
        <v>550</v>
      </c>
      <c r="D285" s="196"/>
      <c r="E285" s="195"/>
      <c r="F285" s="195"/>
    </row>
    <row r="286" spans="2:6" x14ac:dyDescent="0.2">
      <c r="B286" s="227">
        <v>667</v>
      </c>
      <c r="C286" s="114">
        <v>550</v>
      </c>
      <c r="D286" s="196"/>
      <c r="E286" s="195"/>
      <c r="F286" s="195"/>
    </row>
    <row r="287" spans="2:6" x14ac:dyDescent="0.2">
      <c r="B287" s="228">
        <v>865</v>
      </c>
      <c r="C287" s="197">
        <v>550</v>
      </c>
      <c r="D287" s="196"/>
      <c r="E287" s="195"/>
      <c r="F287" s="195"/>
    </row>
    <row r="288" spans="2:6" x14ac:dyDescent="0.2">
      <c r="B288" s="228">
        <v>949</v>
      </c>
      <c r="C288" s="197">
        <v>550</v>
      </c>
      <c r="D288" s="196"/>
      <c r="E288" s="195"/>
      <c r="F288" s="195"/>
    </row>
    <row r="289" spans="2:6" x14ac:dyDescent="0.2">
      <c r="B289" s="228">
        <v>1060</v>
      </c>
      <c r="C289" s="197">
        <v>550</v>
      </c>
      <c r="D289" s="196"/>
      <c r="E289" s="195"/>
      <c r="F289" s="195"/>
    </row>
    <row r="290" spans="2:6" x14ac:dyDescent="0.2">
      <c r="B290" s="228">
        <v>1103</v>
      </c>
      <c r="C290" s="197">
        <v>550</v>
      </c>
      <c r="D290" s="196"/>
      <c r="E290" s="195"/>
      <c r="F290" s="195"/>
    </row>
    <row r="291" spans="2:6" x14ac:dyDescent="0.2">
      <c r="B291" s="228">
        <v>1145</v>
      </c>
      <c r="C291" s="197">
        <v>550</v>
      </c>
      <c r="D291" s="196"/>
      <c r="E291" s="195"/>
      <c r="F291" s="195"/>
    </row>
    <row r="292" spans="2:6" x14ac:dyDescent="0.2">
      <c r="B292" s="228">
        <v>1229</v>
      </c>
      <c r="C292" s="197">
        <v>550</v>
      </c>
      <c r="D292" s="196"/>
      <c r="E292" s="195"/>
      <c r="F292" s="195"/>
    </row>
    <row r="293" spans="2:6" x14ac:dyDescent="0.2">
      <c r="B293" s="227">
        <v>1233</v>
      </c>
      <c r="C293" s="114">
        <v>550</v>
      </c>
      <c r="D293" s="196"/>
      <c r="E293" s="195"/>
      <c r="F293" s="195"/>
    </row>
    <row r="294" spans="2:6" x14ac:dyDescent="0.2">
      <c r="B294" s="227">
        <v>1259</v>
      </c>
      <c r="C294" s="114">
        <v>550</v>
      </c>
      <c r="D294" s="196"/>
      <c r="E294" s="195"/>
      <c r="F294" s="195"/>
    </row>
    <row r="295" spans="2:6" x14ac:dyDescent="0.2">
      <c r="B295" s="228">
        <v>1273</v>
      </c>
      <c r="C295" s="197">
        <v>550</v>
      </c>
      <c r="D295" s="196"/>
      <c r="E295" s="195"/>
      <c r="F295" s="195"/>
    </row>
    <row r="296" spans="2:6" x14ac:dyDescent="0.2">
      <c r="B296" s="227">
        <v>1291</v>
      </c>
      <c r="C296" s="114">
        <v>550</v>
      </c>
      <c r="D296" s="196"/>
      <c r="E296" s="195"/>
      <c r="F296" s="195"/>
    </row>
    <row r="297" spans="2:6" x14ac:dyDescent="0.2">
      <c r="B297" s="227">
        <v>1482</v>
      </c>
      <c r="C297" s="114">
        <v>550</v>
      </c>
      <c r="D297" s="196"/>
      <c r="E297" s="195"/>
      <c r="F297" s="195"/>
    </row>
    <row r="298" spans="2:6" x14ac:dyDescent="0.2">
      <c r="B298" s="228">
        <v>1582</v>
      </c>
      <c r="C298" s="197">
        <v>550</v>
      </c>
      <c r="D298" s="196"/>
      <c r="E298" s="195"/>
      <c r="F298" s="195"/>
    </row>
    <row r="299" spans="2:6" x14ac:dyDescent="0.2">
      <c r="B299" s="228">
        <v>1584</v>
      </c>
      <c r="C299" s="197">
        <v>550</v>
      </c>
      <c r="D299" s="196"/>
      <c r="E299" s="195"/>
      <c r="F299" s="195"/>
    </row>
    <row r="300" spans="2:6" x14ac:dyDescent="0.2">
      <c r="B300" s="227">
        <v>1865</v>
      </c>
      <c r="C300" s="114">
        <v>551</v>
      </c>
      <c r="D300" s="196"/>
      <c r="E300" s="195"/>
      <c r="F300" s="195"/>
    </row>
    <row r="301" spans="2:6" x14ac:dyDescent="0.2">
      <c r="B301" s="227">
        <v>532</v>
      </c>
      <c r="C301" s="114">
        <v>560</v>
      </c>
      <c r="D301" s="196"/>
      <c r="E301" s="195"/>
      <c r="F301" s="195"/>
    </row>
    <row r="302" spans="2:6" x14ac:dyDescent="0.2">
      <c r="B302" s="227">
        <v>1289</v>
      </c>
      <c r="C302" s="114">
        <v>560</v>
      </c>
      <c r="D302" s="196"/>
      <c r="E302" s="195"/>
      <c r="F302" s="195"/>
    </row>
    <row r="303" spans="2:6" x14ac:dyDescent="0.2">
      <c r="B303" s="228">
        <v>1483</v>
      </c>
      <c r="C303" s="197">
        <v>560</v>
      </c>
      <c r="D303" s="196"/>
      <c r="E303" s="195"/>
      <c r="F303" s="195"/>
    </row>
    <row r="304" spans="2:6" x14ac:dyDescent="0.2">
      <c r="B304" s="227">
        <v>1550</v>
      </c>
      <c r="C304" s="114">
        <v>560</v>
      </c>
      <c r="D304" s="196"/>
      <c r="E304" s="195"/>
      <c r="F304" s="195"/>
    </row>
    <row r="305" spans="2:6" x14ac:dyDescent="0.2">
      <c r="B305" s="227">
        <v>1589</v>
      </c>
      <c r="C305" s="114">
        <v>560</v>
      </c>
      <c r="D305" s="196"/>
      <c r="E305" s="195"/>
      <c r="F305" s="195"/>
    </row>
    <row r="306" spans="2:6" x14ac:dyDescent="0.2">
      <c r="B306" s="227">
        <v>2214</v>
      </c>
      <c r="C306" s="114">
        <v>560</v>
      </c>
      <c r="D306" s="196"/>
      <c r="E306" s="195"/>
      <c r="F306" s="195"/>
    </row>
    <row r="307" spans="2:6" x14ac:dyDescent="0.2">
      <c r="B307" s="228">
        <v>175</v>
      </c>
      <c r="C307" s="197">
        <v>570</v>
      </c>
      <c r="D307" s="196"/>
      <c r="E307" s="195"/>
      <c r="F307" s="195"/>
    </row>
    <row r="308" spans="2:6" x14ac:dyDescent="0.2">
      <c r="B308" s="228">
        <v>919</v>
      </c>
      <c r="C308" s="197">
        <v>570</v>
      </c>
      <c r="D308" s="196"/>
      <c r="E308" s="195"/>
      <c r="F308" s="195"/>
    </row>
    <row r="309" spans="2:6" x14ac:dyDescent="0.2">
      <c r="B309" s="228">
        <v>2063</v>
      </c>
      <c r="C309" s="197">
        <v>570</v>
      </c>
      <c r="D309" s="196"/>
      <c r="E309" s="195"/>
      <c r="F309" s="195"/>
    </row>
    <row r="310" spans="2:6" x14ac:dyDescent="0.2">
      <c r="B310" s="227">
        <v>73</v>
      </c>
      <c r="C310" s="114">
        <v>572.4</v>
      </c>
      <c r="D310" s="196"/>
      <c r="E310" s="195"/>
      <c r="F310" s="195"/>
    </row>
    <row r="311" spans="2:6" x14ac:dyDescent="0.2">
      <c r="B311" s="227">
        <v>123</v>
      </c>
      <c r="C311" s="114">
        <v>575</v>
      </c>
      <c r="D311" s="196"/>
      <c r="E311" s="195"/>
      <c r="F311" s="195"/>
    </row>
    <row r="312" spans="2:6" x14ac:dyDescent="0.2">
      <c r="B312" s="227">
        <v>1065</v>
      </c>
      <c r="C312" s="114">
        <v>576</v>
      </c>
      <c r="D312" s="196"/>
      <c r="E312" s="195"/>
      <c r="F312" s="195"/>
    </row>
    <row r="313" spans="2:6" x14ac:dyDescent="0.2">
      <c r="B313" s="227">
        <v>96</v>
      </c>
      <c r="C313" s="114">
        <v>580</v>
      </c>
      <c r="D313" s="196"/>
      <c r="E313" s="195"/>
      <c r="F313" s="195"/>
    </row>
    <row r="314" spans="2:6" x14ac:dyDescent="0.2">
      <c r="B314" s="228">
        <v>849</v>
      </c>
      <c r="C314" s="197">
        <v>580</v>
      </c>
      <c r="D314" s="196"/>
      <c r="E314" s="195"/>
      <c r="F314" s="195"/>
    </row>
    <row r="315" spans="2:6" x14ac:dyDescent="0.2">
      <c r="B315" s="228">
        <v>1184</v>
      </c>
      <c r="C315" s="197">
        <v>580</v>
      </c>
      <c r="D315" s="196"/>
      <c r="E315" s="195"/>
      <c r="F315" s="195"/>
    </row>
    <row r="316" spans="2:6" x14ac:dyDescent="0.2">
      <c r="B316" s="227">
        <v>1244</v>
      </c>
      <c r="C316" s="114">
        <v>580</v>
      </c>
      <c r="D316" s="196"/>
      <c r="E316" s="195"/>
      <c r="F316" s="195"/>
    </row>
    <row r="317" spans="2:6" x14ac:dyDescent="0.2">
      <c r="B317" s="227">
        <v>1727</v>
      </c>
      <c r="C317" s="114">
        <v>580</v>
      </c>
      <c r="D317" s="196"/>
      <c r="E317" s="195"/>
      <c r="F317" s="195"/>
    </row>
    <row r="318" spans="2:6" x14ac:dyDescent="0.2">
      <c r="B318" s="227">
        <v>603</v>
      </c>
      <c r="C318" s="114">
        <v>580.72500000000002</v>
      </c>
      <c r="D318" s="196"/>
      <c r="E318" s="195"/>
      <c r="F318" s="195"/>
    </row>
    <row r="319" spans="2:6" x14ac:dyDescent="0.2">
      <c r="B319" s="228">
        <v>798</v>
      </c>
      <c r="C319" s="197">
        <v>582.5</v>
      </c>
      <c r="D319" s="196"/>
      <c r="E319" s="195"/>
      <c r="F319" s="195"/>
    </row>
    <row r="320" spans="2:6" x14ac:dyDescent="0.2">
      <c r="B320" s="227">
        <v>2286</v>
      </c>
      <c r="C320" s="114">
        <v>583.33333333333337</v>
      </c>
      <c r="D320" s="196"/>
      <c r="E320" s="195"/>
      <c r="F320" s="195"/>
    </row>
    <row r="321" spans="2:6" x14ac:dyDescent="0.2">
      <c r="B321" s="227">
        <v>306</v>
      </c>
      <c r="C321" s="114">
        <v>590</v>
      </c>
      <c r="D321" s="196"/>
      <c r="E321" s="195"/>
      <c r="F321" s="195"/>
    </row>
    <row r="322" spans="2:6" x14ac:dyDescent="0.2">
      <c r="B322" s="227">
        <v>671</v>
      </c>
      <c r="C322" s="114">
        <v>590</v>
      </c>
      <c r="D322" s="196"/>
      <c r="E322" s="195"/>
      <c r="F322" s="195"/>
    </row>
    <row r="323" spans="2:6" x14ac:dyDescent="0.2">
      <c r="B323" s="228">
        <v>700</v>
      </c>
      <c r="C323" s="197">
        <v>590</v>
      </c>
      <c r="D323" s="196"/>
      <c r="E323" s="195"/>
      <c r="F323" s="195"/>
    </row>
    <row r="324" spans="2:6" x14ac:dyDescent="0.2">
      <c r="B324" s="227">
        <v>745</v>
      </c>
      <c r="C324" s="114">
        <v>590</v>
      </c>
      <c r="D324" s="196"/>
      <c r="E324" s="195"/>
      <c r="F324" s="195"/>
    </row>
    <row r="325" spans="2:6" x14ac:dyDescent="0.2">
      <c r="B325" s="227">
        <v>2006</v>
      </c>
      <c r="C325" s="114">
        <v>590</v>
      </c>
      <c r="D325" s="196"/>
      <c r="E325" s="195"/>
      <c r="F325" s="195"/>
    </row>
    <row r="326" spans="2:6" x14ac:dyDescent="0.2">
      <c r="B326" s="228">
        <v>756</v>
      </c>
      <c r="C326" s="197">
        <v>593</v>
      </c>
      <c r="D326" s="196"/>
      <c r="E326" s="195"/>
      <c r="F326" s="195"/>
    </row>
    <row r="327" spans="2:6" x14ac:dyDescent="0.2">
      <c r="B327" s="227">
        <v>1160</v>
      </c>
      <c r="C327" s="114">
        <v>600</v>
      </c>
      <c r="D327" s="196"/>
      <c r="E327" s="195"/>
      <c r="F327" s="195"/>
    </row>
    <row r="328" spans="2:6" x14ac:dyDescent="0.2">
      <c r="B328" s="227">
        <v>106</v>
      </c>
      <c r="C328" s="114">
        <v>601.04650000000004</v>
      </c>
      <c r="D328" s="196"/>
      <c r="E328" s="195"/>
      <c r="F328" s="195"/>
    </row>
    <row r="329" spans="2:6" x14ac:dyDescent="0.2">
      <c r="B329" s="227">
        <v>1076</v>
      </c>
      <c r="C329" s="114">
        <v>603.33299999999997</v>
      </c>
      <c r="D329" s="196"/>
      <c r="E329" s="195"/>
      <c r="F329" s="195"/>
    </row>
    <row r="330" spans="2:6" x14ac:dyDescent="0.2">
      <c r="B330" s="227">
        <v>332</v>
      </c>
      <c r="C330" s="114">
        <v>605</v>
      </c>
      <c r="D330" s="196"/>
      <c r="E330" s="195"/>
      <c r="F330" s="195"/>
    </row>
    <row r="331" spans="2:6" x14ac:dyDescent="0.2">
      <c r="B331" s="228">
        <v>579</v>
      </c>
      <c r="C331" s="197">
        <v>610</v>
      </c>
      <c r="D331" s="196"/>
      <c r="E331" s="195"/>
      <c r="F331" s="195"/>
    </row>
    <row r="332" spans="2:6" x14ac:dyDescent="0.2">
      <c r="B332" s="228">
        <v>916</v>
      </c>
      <c r="C332" s="197">
        <v>610</v>
      </c>
      <c r="D332" s="196"/>
      <c r="E332" s="195"/>
      <c r="F332" s="195"/>
    </row>
    <row r="333" spans="2:6" x14ac:dyDescent="0.2">
      <c r="B333" s="227">
        <v>1411</v>
      </c>
      <c r="C333" s="114">
        <v>610</v>
      </c>
      <c r="D333" s="196"/>
      <c r="E333" s="195"/>
      <c r="F333" s="195"/>
    </row>
    <row r="334" spans="2:6" x14ac:dyDescent="0.2">
      <c r="B334" s="227">
        <v>820</v>
      </c>
      <c r="C334" s="114">
        <v>610.5</v>
      </c>
      <c r="D334" s="196"/>
      <c r="E334" s="195"/>
      <c r="F334" s="195"/>
    </row>
    <row r="335" spans="2:6" x14ac:dyDescent="0.2">
      <c r="B335" s="227">
        <v>1490</v>
      </c>
      <c r="C335" s="114">
        <v>616.66666666666663</v>
      </c>
      <c r="D335" s="196"/>
      <c r="E335" s="195"/>
      <c r="F335" s="195"/>
    </row>
    <row r="336" spans="2:6" x14ac:dyDescent="0.2">
      <c r="B336" s="228">
        <v>69</v>
      </c>
      <c r="C336" s="197">
        <v>620</v>
      </c>
      <c r="D336" s="196"/>
      <c r="E336" s="195"/>
      <c r="F336" s="195"/>
    </row>
    <row r="337" spans="2:6" x14ac:dyDescent="0.2">
      <c r="B337" s="227">
        <v>622</v>
      </c>
      <c r="C337" s="114">
        <v>620</v>
      </c>
      <c r="D337" s="196"/>
      <c r="E337" s="195"/>
      <c r="F337" s="195"/>
    </row>
    <row r="338" spans="2:6" x14ac:dyDescent="0.2">
      <c r="B338" s="228">
        <v>682</v>
      </c>
      <c r="C338" s="197">
        <v>620</v>
      </c>
      <c r="D338" s="196"/>
      <c r="E338" s="195"/>
      <c r="F338" s="195"/>
    </row>
    <row r="339" spans="2:6" x14ac:dyDescent="0.2">
      <c r="B339" s="227">
        <v>835</v>
      </c>
      <c r="C339" s="114">
        <v>620</v>
      </c>
      <c r="D339" s="196"/>
      <c r="E339" s="195"/>
      <c r="F339" s="195"/>
    </row>
    <row r="340" spans="2:6" x14ac:dyDescent="0.2">
      <c r="B340" s="228">
        <v>924</v>
      </c>
      <c r="C340" s="197">
        <v>620</v>
      </c>
      <c r="D340" s="196"/>
      <c r="E340" s="195"/>
      <c r="F340" s="195"/>
    </row>
    <row r="341" spans="2:6" x14ac:dyDescent="0.2">
      <c r="B341" s="228">
        <v>1619</v>
      </c>
      <c r="C341" s="197">
        <v>620</v>
      </c>
      <c r="D341" s="196"/>
      <c r="E341" s="195"/>
      <c r="F341" s="195"/>
    </row>
    <row r="342" spans="2:6" x14ac:dyDescent="0.2">
      <c r="B342" s="228">
        <v>1812</v>
      </c>
      <c r="C342" s="197">
        <v>620</v>
      </c>
      <c r="D342" s="196"/>
      <c r="E342" s="195"/>
      <c r="F342" s="195"/>
    </row>
    <row r="343" spans="2:6" x14ac:dyDescent="0.2">
      <c r="B343" s="227">
        <v>137</v>
      </c>
      <c r="C343" s="114">
        <v>625</v>
      </c>
      <c r="D343" s="196"/>
      <c r="E343" s="195"/>
      <c r="F343" s="195"/>
    </row>
    <row r="344" spans="2:6" x14ac:dyDescent="0.2">
      <c r="B344" s="227">
        <v>1196</v>
      </c>
      <c r="C344" s="114">
        <v>625</v>
      </c>
      <c r="D344" s="196"/>
      <c r="E344" s="195"/>
      <c r="F344" s="195"/>
    </row>
    <row r="345" spans="2:6" x14ac:dyDescent="0.2">
      <c r="B345" s="227">
        <v>789</v>
      </c>
      <c r="C345" s="114">
        <v>627</v>
      </c>
      <c r="D345" s="196"/>
      <c r="E345" s="195"/>
      <c r="F345" s="195"/>
    </row>
    <row r="346" spans="2:6" x14ac:dyDescent="0.2">
      <c r="B346" s="228">
        <v>791</v>
      </c>
      <c r="C346" s="197">
        <v>630</v>
      </c>
      <c r="D346" s="196"/>
      <c r="E346" s="195"/>
      <c r="F346" s="195"/>
    </row>
    <row r="347" spans="2:6" x14ac:dyDescent="0.2">
      <c r="B347" s="227">
        <v>833</v>
      </c>
      <c r="C347" s="114">
        <v>630</v>
      </c>
      <c r="D347" s="196"/>
      <c r="E347" s="195"/>
      <c r="F347" s="195"/>
    </row>
    <row r="348" spans="2:6" x14ac:dyDescent="0.2">
      <c r="B348" s="227">
        <v>2237</v>
      </c>
      <c r="C348" s="114">
        <v>630</v>
      </c>
      <c r="D348" s="196"/>
      <c r="E348" s="195"/>
      <c r="F348" s="195"/>
    </row>
    <row r="349" spans="2:6" x14ac:dyDescent="0.2">
      <c r="B349" s="227">
        <v>7</v>
      </c>
      <c r="C349" s="114">
        <v>636</v>
      </c>
      <c r="D349" s="196"/>
      <c r="E349" s="195"/>
      <c r="F349" s="195"/>
    </row>
    <row r="350" spans="2:6" x14ac:dyDescent="0.2">
      <c r="B350" s="227">
        <v>220</v>
      </c>
      <c r="C350" s="114">
        <v>636</v>
      </c>
      <c r="D350" s="196"/>
      <c r="E350" s="195"/>
      <c r="F350" s="195"/>
    </row>
    <row r="351" spans="2:6" x14ac:dyDescent="0.2">
      <c r="B351" s="228">
        <v>348</v>
      </c>
      <c r="C351" s="197">
        <v>636</v>
      </c>
      <c r="D351" s="196"/>
      <c r="E351" s="195"/>
      <c r="F351" s="195"/>
    </row>
    <row r="352" spans="2:6" x14ac:dyDescent="0.2">
      <c r="B352" s="227">
        <v>932</v>
      </c>
      <c r="C352" s="114">
        <v>640</v>
      </c>
      <c r="D352" s="196"/>
      <c r="E352" s="195"/>
      <c r="F352" s="195"/>
    </row>
    <row r="353" spans="2:6" x14ac:dyDescent="0.2">
      <c r="B353" s="227">
        <v>1769</v>
      </c>
      <c r="C353" s="114">
        <v>640</v>
      </c>
      <c r="D353" s="196"/>
      <c r="E353" s="195"/>
      <c r="F353" s="195"/>
    </row>
    <row r="354" spans="2:6" x14ac:dyDescent="0.2">
      <c r="B354" s="227">
        <v>1855</v>
      </c>
      <c r="C354" s="114">
        <v>640</v>
      </c>
      <c r="D354" s="196"/>
      <c r="E354" s="195"/>
      <c r="F354" s="195"/>
    </row>
    <row r="355" spans="2:6" x14ac:dyDescent="0.2">
      <c r="B355" s="228">
        <v>2229</v>
      </c>
      <c r="C355" s="197">
        <v>640</v>
      </c>
      <c r="D355" s="196"/>
      <c r="E355" s="195"/>
      <c r="F355" s="195"/>
    </row>
    <row r="356" spans="2:6" x14ac:dyDescent="0.2">
      <c r="B356" s="227">
        <v>2</v>
      </c>
      <c r="C356" s="114">
        <v>645</v>
      </c>
      <c r="D356" s="196"/>
      <c r="E356" s="195"/>
      <c r="F356" s="195"/>
    </row>
    <row r="357" spans="2:6" x14ac:dyDescent="0.2">
      <c r="B357" s="227">
        <v>21</v>
      </c>
      <c r="C357" s="114">
        <v>650</v>
      </c>
      <c r="D357" s="196"/>
      <c r="E357" s="195"/>
      <c r="F357" s="195"/>
    </row>
    <row r="358" spans="2:6" x14ac:dyDescent="0.2">
      <c r="B358" s="227">
        <v>108</v>
      </c>
      <c r="C358" s="114">
        <v>650</v>
      </c>
      <c r="D358" s="196"/>
      <c r="E358" s="195"/>
      <c r="F358" s="195"/>
    </row>
    <row r="359" spans="2:6" x14ac:dyDescent="0.2">
      <c r="B359" s="228">
        <v>160</v>
      </c>
      <c r="C359" s="197">
        <v>650</v>
      </c>
      <c r="D359" s="196"/>
      <c r="E359" s="195"/>
      <c r="F359" s="195"/>
    </row>
    <row r="360" spans="2:6" x14ac:dyDescent="0.2">
      <c r="B360" s="227">
        <v>174</v>
      </c>
      <c r="C360" s="114">
        <v>650</v>
      </c>
      <c r="D360" s="196"/>
      <c r="E360" s="195"/>
      <c r="F360" s="195"/>
    </row>
    <row r="361" spans="2:6" x14ac:dyDescent="0.2">
      <c r="B361" s="227">
        <v>243</v>
      </c>
      <c r="C361" s="114">
        <v>650</v>
      </c>
      <c r="D361" s="196"/>
      <c r="E361" s="195"/>
      <c r="F361" s="195"/>
    </row>
    <row r="362" spans="2:6" x14ac:dyDescent="0.2">
      <c r="B362" s="227">
        <v>297</v>
      </c>
      <c r="C362" s="114">
        <v>650</v>
      </c>
      <c r="D362" s="196"/>
      <c r="E362" s="195"/>
      <c r="F362" s="195"/>
    </row>
    <row r="363" spans="2:6" x14ac:dyDescent="0.2">
      <c r="B363" s="227">
        <v>530</v>
      </c>
      <c r="C363" s="114">
        <v>650</v>
      </c>
      <c r="D363" s="196"/>
      <c r="E363" s="195"/>
      <c r="F363" s="195"/>
    </row>
    <row r="364" spans="2:6" x14ac:dyDescent="0.2">
      <c r="B364" s="227">
        <v>561</v>
      </c>
      <c r="C364" s="114">
        <v>650</v>
      </c>
      <c r="D364" s="196"/>
      <c r="E364" s="195"/>
      <c r="F364" s="195"/>
    </row>
    <row r="365" spans="2:6" x14ac:dyDescent="0.2">
      <c r="B365" s="228">
        <v>564</v>
      </c>
      <c r="C365" s="197">
        <v>650</v>
      </c>
      <c r="D365" s="196"/>
      <c r="E365" s="195"/>
      <c r="F365" s="195"/>
    </row>
    <row r="366" spans="2:6" x14ac:dyDescent="0.2">
      <c r="B366" s="227">
        <v>582</v>
      </c>
      <c r="C366" s="114">
        <v>650</v>
      </c>
      <c r="D366" s="196"/>
      <c r="E366" s="195"/>
      <c r="F366" s="195"/>
    </row>
    <row r="367" spans="2:6" x14ac:dyDescent="0.2">
      <c r="B367" s="227">
        <v>627</v>
      </c>
      <c r="C367" s="114">
        <v>650</v>
      </c>
      <c r="D367" s="196"/>
      <c r="E367" s="195"/>
      <c r="F367" s="195"/>
    </row>
    <row r="368" spans="2:6" x14ac:dyDescent="0.2">
      <c r="B368" s="227">
        <v>678</v>
      </c>
      <c r="C368" s="114">
        <v>650</v>
      </c>
      <c r="D368" s="196"/>
      <c r="E368" s="195"/>
      <c r="F368" s="195"/>
    </row>
    <row r="369" spans="2:11" x14ac:dyDescent="0.2">
      <c r="B369" s="227">
        <v>680</v>
      </c>
      <c r="C369" s="114">
        <v>650</v>
      </c>
      <c r="D369" s="196"/>
      <c r="E369" s="195"/>
      <c r="F369" s="195"/>
    </row>
    <row r="370" spans="2:11" x14ac:dyDescent="0.2">
      <c r="B370" s="228">
        <v>694</v>
      </c>
      <c r="C370" s="197">
        <v>650</v>
      </c>
      <c r="D370" s="196"/>
      <c r="E370" s="195"/>
      <c r="F370" s="195"/>
    </row>
    <row r="371" spans="2:11" x14ac:dyDescent="0.2">
      <c r="B371" s="228">
        <v>883</v>
      </c>
      <c r="C371" s="197">
        <v>650</v>
      </c>
      <c r="D371" s="196"/>
      <c r="E371" s="195"/>
      <c r="F371" s="195"/>
    </row>
    <row r="372" spans="2:11" x14ac:dyDescent="0.2">
      <c r="B372" s="227">
        <v>973</v>
      </c>
      <c r="C372" s="114">
        <v>650</v>
      </c>
      <c r="D372" s="196"/>
      <c r="E372" s="195"/>
      <c r="F372" s="195"/>
    </row>
    <row r="373" spans="2:11" x14ac:dyDescent="0.2">
      <c r="B373" s="228">
        <v>1033</v>
      </c>
      <c r="C373" s="197">
        <v>650</v>
      </c>
      <c r="D373" s="196"/>
      <c r="E373" s="195"/>
      <c r="F373" s="195"/>
    </row>
    <row r="374" spans="2:11" x14ac:dyDescent="0.2">
      <c r="B374" s="227">
        <v>1147</v>
      </c>
      <c r="C374" s="114">
        <v>650</v>
      </c>
      <c r="D374" s="196"/>
      <c r="E374" s="195"/>
      <c r="F374" s="195"/>
    </row>
    <row r="375" spans="2:11" x14ac:dyDescent="0.2">
      <c r="B375" s="228">
        <v>1176</v>
      </c>
      <c r="C375" s="197">
        <v>650</v>
      </c>
      <c r="D375" s="196"/>
      <c r="E375" s="195"/>
      <c r="F375" s="195"/>
    </row>
    <row r="376" spans="2:11" x14ac:dyDescent="0.2">
      <c r="B376" s="228">
        <v>1296</v>
      </c>
      <c r="C376" s="197">
        <v>650</v>
      </c>
      <c r="D376" s="196"/>
      <c r="E376" s="195"/>
      <c r="F376" s="195"/>
    </row>
    <row r="377" spans="2:11" x14ac:dyDescent="0.2">
      <c r="B377" s="227">
        <v>1331</v>
      </c>
      <c r="C377" s="114">
        <v>650</v>
      </c>
      <c r="D377" s="196"/>
      <c r="E377" s="195"/>
      <c r="F377" s="195"/>
    </row>
    <row r="378" spans="2:11" x14ac:dyDescent="0.2">
      <c r="B378" s="227">
        <v>1414</v>
      </c>
      <c r="C378" s="114">
        <v>650</v>
      </c>
      <c r="D378" s="196"/>
      <c r="E378" s="195"/>
      <c r="F378" s="195"/>
    </row>
    <row r="379" spans="2:11" x14ac:dyDescent="0.2">
      <c r="B379" s="227">
        <v>1457</v>
      </c>
      <c r="C379" s="114">
        <v>650</v>
      </c>
      <c r="D379" s="196"/>
      <c r="E379" s="195"/>
      <c r="F379" s="195"/>
      <c r="J379" s="116"/>
      <c r="K379" s="116"/>
    </row>
    <row r="380" spans="2:11" x14ac:dyDescent="0.2">
      <c r="B380" s="227">
        <v>1489</v>
      </c>
      <c r="C380" s="114">
        <v>650</v>
      </c>
      <c r="D380" s="196"/>
      <c r="E380" s="195"/>
      <c r="F380" s="195"/>
      <c r="J380" s="116"/>
      <c r="K380" s="116"/>
    </row>
    <row r="381" spans="2:11" x14ac:dyDescent="0.2">
      <c r="B381" s="228">
        <v>1614</v>
      </c>
      <c r="C381" s="197">
        <v>650</v>
      </c>
      <c r="D381" s="196"/>
      <c r="E381" s="195"/>
      <c r="F381" s="195"/>
      <c r="J381" s="116"/>
      <c r="K381" s="116"/>
    </row>
    <row r="382" spans="2:11" x14ac:dyDescent="0.2">
      <c r="B382" s="227">
        <v>1620</v>
      </c>
      <c r="C382" s="114">
        <v>650</v>
      </c>
      <c r="D382" s="196"/>
      <c r="E382" s="195"/>
      <c r="F382" s="195"/>
      <c r="J382" s="116"/>
      <c r="K382" s="116"/>
    </row>
    <row r="383" spans="2:11" x14ac:dyDescent="0.2">
      <c r="B383" s="228">
        <v>1623</v>
      </c>
      <c r="C383" s="197">
        <v>650</v>
      </c>
      <c r="D383" s="196"/>
      <c r="E383" s="195"/>
      <c r="F383" s="195"/>
      <c r="J383" s="116"/>
      <c r="K383" s="116"/>
    </row>
    <row r="384" spans="2:11" x14ac:dyDescent="0.2">
      <c r="B384" s="227">
        <v>1778</v>
      </c>
      <c r="C384" s="114">
        <v>650</v>
      </c>
      <c r="D384" s="196"/>
      <c r="E384" s="195"/>
      <c r="F384" s="195"/>
      <c r="J384" s="116"/>
      <c r="K384" s="116"/>
    </row>
    <row r="385" spans="2:11" x14ac:dyDescent="0.2">
      <c r="B385" s="227">
        <v>1785</v>
      </c>
      <c r="C385" s="114">
        <v>650</v>
      </c>
      <c r="D385" s="196"/>
      <c r="E385" s="195"/>
      <c r="F385" s="195"/>
      <c r="J385" s="116"/>
      <c r="K385" s="116"/>
    </row>
    <row r="386" spans="2:11" x14ac:dyDescent="0.2">
      <c r="B386" s="227">
        <v>2007</v>
      </c>
      <c r="C386" s="114">
        <v>650</v>
      </c>
      <c r="D386" s="196"/>
      <c r="E386" s="195"/>
      <c r="F386" s="195"/>
      <c r="J386" s="116"/>
      <c r="K386" s="116"/>
    </row>
    <row r="387" spans="2:11" x14ac:dyDescent="0.2">
      <c r="B387" s="227">
        <v>2149</v>
      </c>
      <c r="C387" s="114">
        <v>650</v>
      </c>
      <c r="D387" s="196"/>
      <c r="E387" s="195"/>
      <c r="F387" s="195"/>
      <c r="J387" s="116"/>
      <c r="K387" s="116"/>
    </row>
    <row r="388" spans="2:11" x14ac:dyDescent="0.2">
      <c r="B388" s="227">
        <v>2288</v>
      </c>
      <c r="C388" s="114">
        <v>650</v>
      </c>
      <c r="D388" s="196"/>
      <c r="E388" s="195"/>
      <c r="F388" s="195"/>
      <c r="J388" s="116"/>
      <c r="K388" s="116"/>
    </row>
    <row r="389" spans="2:11" x14ac:dyDescent="0.2">
      <c r="B389" s="228">
        <v>2295</v>
      </c>
      <c r="C389" s="197">
        <v>650</v>
      </c>
      <c r="D389" s="196"/>
      <c r="E389" s="195"/>
      <c r="F389" s="195"/>
      <c r="J389" s="116"/>
      <c r="K389" s="116"/>
    </row>
    <row r="390" spans="2:11" x14ac:dyDescent="0.2">
      <c r="B390" s="228">
        <v>247</v>
      </c>
      <c r="C390" s="197">
        <v>660</v>
      </c>
      <c r="D390" s="196"/>
      <c r="E390" s="195"/>
      <c r="F390" s="195"/>
      <c r="J390" s="116"/>
      <c r="K390" s="116"/>
    </row>
    <row r="391" spans="2:11" x14ac:dyDescent="0.2">
      <c r="B391" s="228">
        <v>620</v>
      </c>
      <c r="C391" s="197">
        <v>660</v>
      </c>
      <c r="D391" s="196"/>
      <c r="E391" s="195"/>
      <c r="F391" s="195"/>
      <c r="J391" s="116"/>
      <c r="K391" s="116"/>
    </row>
    <row r="392" spans="2:11" x14ac:dyDescent="0.2">
      <c r="B392" s="228">
        <v>1024</v>
      </c>
      <c r="C392" s="197">
        <v>660</v>
      </c>
      <c r="D392" s="196"/>
      <c r="E392" s="195"/>
      <c r="F392" s="195"/>
      <c r="J392" s="116"/>
      <c r="K392" s="116"/>
    </row>
    <row r="393" spans="2:11" x14ac:dyDescent="0.2">
      <c r="B393" s="228">
        <v>1252</v>
      </c>
      <c r="C393" s="197">
        <v>666.66666666666663</v>
      </c>
      <c r="D393" s="196"/>
      <c r="E393" s="195"/>
      <c r="F393" s="195"/>
      <c r="J393" s="116"/>
      <c r="K393" s="116"/>
    </row>
    <row r="394" spans="2:11" x14ac:dyDescent="0.2">
      <c r="B394" s="227">
        <v>1389</v>
      </c>
      <c r="C394" s="114">
        <v>666.66666666666663</v>
      </c>
      <c r="D394" s="196"/>
      <c r="E394" s="195"/>
      <c r="F394" s="195"/>
      <c r="J394" s="116"/>
      <c r="K394" s="116"/>
    </row>
    <row r="395" spans="2:11" x14ac:dyDescent="0.2">
      <c r="B395" s="227">
        <v>42</v>
      </c>
      <c r="C395" s="114">
        <v>667.8</v>
      </c>
      <c r="D395" s="196"/>
      <c r="E395" s="195"/>
      <c r="F395" s="195"/>
      <c r="J395" s="116"/>
      <c r="K395" s="116"/>
    </row>
    <row r="396" spans="2:11" x14ac:dyDescent="0.2">
      <c r="B396" s="227">
        <v>257</v>
      </c>
      <c r="C396" s="114">
        <v>667.8</v>
      </c>
      <c r="D396" s="196"/>
      <c r="E396" s="195"/>
      <c r="F396" s="195"/>
      <c r="J396" s="116"/>
      <c r="K396" s="116"/>
    </row>
    <row r="397" spans="2:11" x14ac:dyDescent="0.2">
      <c r="B397" s="227">
        <v>1390</v>
      </c>
      <c r="C397" s="114">
        <v>670</v>
      </c>
      <c r="D397" s="196"/>
      <c r="E397" s="195"/>
      <c r="F397" s="195"/>
      <c r="J397" s="116"/>
      <c r="K397" s="116"/>
    </row>
    <row r="398" spans="2:11" x14ac:dyDescent="0.2">
      <c r="B398" s="227">
        <v>1905</v>
      </c>
      <c r="C398" s="114">
        <v>670</v>
      </c>
      <c r="D398" s="196"/>
      <c r="E398" s="195"/>
      <c r="F398" s="195"/>
      <c r="J398" s="116"/>
      <c r="K398" s="116"/>
    </row>
    <row r="399" spans="2:11" x14ac:dyDescent="0.2">
      <c r="B399" s="228">
        <v>15</v>
      </c>
      <c r="C399" s="197">
        <v>675</v>
      </c>
      <c r="D399" s="196"/>
      <c r="E399" s="195"/>
      <c r="F399" s="195"/>
      <c r="J399" s="116"/>
      <c r="K399" s="116"/>
    </row>
    <row r="400" spans="2:11" x14ac:dyDescent="0.2">
      <c r="B400" s="228">
        <v>559</v>
      </c>
      <c r="C400" s="197">
        <v>676</v>
      </c>
      <c r="D400" s="196"/>
      <c r="E400" s="195"/>
      <c r="F400" s="195"/>
      <c r="J400" s="116"/>
      <c r="K400" s="116"/>
    </row>
    <row r="401" spans="2:11" x14ac:dyDescent="0.2">
      <c r="B401" s="227">
        <v>233</v>
      </c>
      <c r="C401" s="114">
        <v>680</v>
      </c>
      <c r="D401" s="196"/>
      <c r="E401" s="195"/>
      <c r="F401" s="195"/>
      <c r="J401" s="116"/>
      <c r="K401" s="116"/>
    </row>
    <row r="402" spans="2:11" x14ac:dyDescent="0.2">
      <c r="B402" s="227">
        <v>672</v>
      </c>
      <c r="C402" s="114">
        <v>680</v>
      </c>
      <c r="D402" s="196"/>
      <c r="E402" s="195"/>
      <c r="F402" s="195"/>
    </row>
    <row r="403" spans="2:11" x14ac:dyDescent="0.2">
      <c r="B403" s="227">
        <v>693</v>
      </c>
      <c r="C403" s="114">
        <v>680</v>
      </c>
      <c r="D403" s="196"/>
      <c r="E403" s="195"/>
      <c r="F403" s="195"/>
    </row>
    <row r="404" spans="2:11" x14ac:dyDescent="0.2">
      <c r="B404" s="227">
        <v>737</v>
      </c>
      <c r="C404" s="114">
        <v>680</v>
      </c>
      <c r="D404" s="196"/>
      <c r="E404" s="195"/>
      <c r="F404" s="195"/>
    </row>
    <row r="405" spans="2:11" x14ac:dyDescent="0.2">
      <c r="B405" s="227">
        <v>1171</v>
      </c>
      <c r="C405" s="114">
        <v>680</v>
      </c>
      <c r="D405" s="196"/>
      <c r="E405" s="195"/>
      <c r="F405" s="195"/>
    </row>
    <row r="406" spans="2:11" x14ac:dyDescent="0.2">
      <c r="B406" s="228">
        <v>1871</v>
      </c>
      <c r="C406" s="197">
        <v>680</v>
      </c>
      <c r="D406" s="196"/>
      <c r="E406" s="195"/>
      <c r="F406" s="195"/>
    </row>
    <row r="407" spans="2:11" x14ac:dyDescent="0.2">
      <c r="B407" s="227">
        <v>2114</v>
      </c>
      <c r="C407" s="114">
        <v>680</v>
      </c>
      <c r="D407" s="196"/>
      <c r="E407" s="195"/>
      <c r="F407" s="195"/>
    </row>
    <row r="408" spans="2:11" x14ac:dyDescent="0.2">
      <c r="B408" s="228">
        <v>1507</v>
      </c>
      <c r="C408" s="197">
        <v>683.33333333333337</v>
      </c>
      <c r="D408" s="196"/>
      <c r="E408" s="195"/>
      <c r="F408" s="195"/>
    </row>
    <row r="409" spans="2:11" x14ac:dyDescent="0.2">
      <c r="B409" s="228">
        <v>1862</v>
      </c>
      <c r="C409" s="197">
        <v>685</v>
      </c>
      <c r="D409" s="196"/>
      <c r="E409" s="195"/>
      <c r="F409" s="195"/>
    </row>
    <row r="410" spans="2:11" x14ac:dyDescent="0.2">
      <c r="B410" s="227">
        <v>1825</v>
      </c>
      <c r="C410" s="114">
        <v>690</v>
      </c>
      <c r="D410" s="196"/>
      <c r="E410" s="195"/>
      <c r="F410" s="195"/>
    </row>
    <row r="411" spans="2:11" x14ac:dyDescent="0.2">
      <c r="B411" s="227">
        <v>2068</v>
      </c>
      <c r="C411" s="114">
        <v>690</v>
      </c>
      <c r="D411" s="196"/>
      <c r="E411" s="195"/>
      <c r="F411" s="195"/>
    </row>
    <row r="412" spans="2:11" x14ac:dyDescent="0.2">
      <c r="B412" s="227">
        <v>969</v>
      </c>
      <c r="C412" s="114">
        <v>691.66666666666663</v>
      </c>
      <c r="D412" s="196"/>
      <c r="E412" s="195"/>
      <c r="F412" s="195"/>
    </row>
    <row r="413" spans="2:11" x14ac:dyDescent="0.2">
      <c r="B413" s="227">
        <v>319</v>
      </c>
      <c r="C413" s="114">
        <v>699.6</v>
      </c>
      <c r="D413" s="196"/>
      <c r="E413" s="195"/>
      <c r="F413" s="195"/>
    </row>
    <row r="414" spans="2:11" x14ac:dyDescent="0.2">
      <c r="B414" s="228">
        <v>374</v>
      </c>
      <c r="C414" s="197">
        <v>699.6</v>
      </c>
      <c r="D414" s="196"/>
      <c r="E414" s="195"/>
      <c r="F414" s="195"/>
    </row>
    <row r="415" spans="2:11" x14ac:dyDescent="0.2">
      <c r="B415" s="227">
        <v>1251</v>
      </c>
      <c r="C415" s="114">
        <v>702</v>
      </c>
      <c r="D415" s="196"/>
      <c r="E415" s="195"/>
      <c r="F415" s="195"/>
    </row>
    <row r="416" spans="2:11" x14ac:dyDescent="0.2">
      <c r="B416" s="227">
        <v>1511</v>
      </c>
      <c r="C416" s="114">
        <v>706.76700000000005</v>
      </c>
      <c r="D416" s="196"/>
      <c r="E416" s="195"/>
      <c r="F416" s="195"/>
    </row>
    <row r="417" spans="2:6" x14ac:dyDescent="0.2">
      <c r="B417" s="227">
        <v>716</v>
      </c>
      <c r="C417" s="114">
        <v>707</v>
      </c>
      <c r="D417" s="196"/>
      <c r="E417" s="195"/>
      <c r="F417" s="195"/>
    </row>
    <row r="418" spans="2:6" x14ac:dyDescent="0.2">
      <c r="B418" s="228">
        <v>747</v>
      </c>
      <c r="C418" s="197">
        <v>710</v>
      </c>
      <c r="D418" s="196"/>
      <c r="E418" s="195"/>
      <c r="F418" s="195"/>
    </row>
    <row r="419" spans="2:6" x14ac:dyDescent="0.2">
      <c r="B419" s="228">
        <v>778</v>
      </c>
      <c r="C419" s="197">
        <v>716</v>
      </c>
      <c r="D419" s="196"/>
      <c r="E419" s="195"/>
      <c r="F419" s="195"/>
    </row>
    <row r="420" spans="2:6" x14ac:dyDescent="0.2">
      <c r="B420" s="227">
        <v>1492</v>
      </c>
      <c r="C420" s="114">
        <v>718</v>
      </c>
      <c r="D420" s="196"/>
      <c r="E420" s="195"/>
      <c r="F420" s="195"/>
    </row>
    <row r="421" spans="2:6" x14ac:dyDescent="0.2">
      <c r="B421" s="227">
        <v>79</v>
      </c>
      <c r="C421" s="114">
        <v>720</v>
      </c>
      <c r="D421" s="196"/>
      <c r="E421" s="195"/>
      <c r="F421" s="195"/>
    </row>
    <row r="422" spans="2:6" x14ac:dyDescent="0.2">
      <c r="B422" s="227">
        <v>93</v>
      </c>
      <c r="C422" s="114">
        <v>720</v>
      </c>
      <c r="D422" s="196"/>
      <c r="E422" s="195"/>
      <c r="F422" s="195"/>
    </row>
    <row r="423" spans="2:6" x14ac:dyDescent="0.2">
      <c r="B423" s="227">
        <v>244</v>
      </c>
      <c r="C423" s="114">
        <v>720</v>
      </c>
      <c r="D423" s="196"/>
      <c r="E423" s="195"/>
      <c r="F423" s="195"/>
    </row>
    <row r="424" spans="2:6" x14ac:dyDescent="0.2">
      <c r="B424" s="227">
        <v>669</v>
      </c>
      <c r="C424" s="114">
        <v>720</v>
      </c>
      <c r="D424" s="196"/>
      <c r="E424" s="195"/>
      <c r="F424" s="195"/>
    </row>
    <row r="425" spans="2:6" x14ac:dyDescent="0.2">
      <c r="B425" s="227">
        <v>1036</v>
      </c>
      <c r="C425" s="114">
        <v>720</v>
      </c>
      <c r="D425" s="196"/>
      <c r="E425" s="195"/>
      <c r="F425" s="195"/>
    </row>
    <row r="426" spans="2:6" x14ac:dyDescent="0.2">
      <c r="B426" s="228">
        <v>1128</v>
      </c>
      <c r="C426" s="197">
        <v>720</v>
      </c>
      <c r="D426" s="196"/>
      <c r="E426" s="195"/>
      <c r="F426" s="195"/>
    </row>
    <row r="427" spans="2:6" x14ac:dyDescent="0.2">
      <c r="B427" s="227">
        <v>1242</v>
      </c>
      <c r="C427" s="114">
        <v>720</v>
      </c>
      <c r="D427" s="196"/>
      <c r="E427" s="195"/>
      <c r="F427" s="195"/>
    </row>
    <row r="428" spans="2:6" x14ac:dyDescent="0.2">
      <c r="B428" s="227">
        <v>1673</v>
      </c>
      <c r="C428" s="114">
        <v>720</v>
      </c>
      <c r="D428" s="196"/>
      <c r="E428" s="195"/>
      <c r="F428" s="195"/>
    </row>
    <row r="429" spans="2:6" x14ac:dyDescent="0.2">
      <c r="B429" s="227">
        <v>2111</v>
      </c>
      <c r="C429" s="114">
        <v>724</v>
      </c>
      <c r="D429" s="196"/>
      <c r="E429" s="195"/>
      <c r="F429" s="195"/>
    </row>
    <row r="430" spans="2:6" x14ac:dyDescent="0.2">
      <c r="B430" s="228">
        <v>252</v>
      </c>
      <c r="C430" s="197">
        <v>725</v>
      </c>
      <c r="D430" s="196"/>
      <c r="E430" s="195"/>
      <c r="F430" s="195"/>
    </row>
    <row r="431" spans="2:6" x14ac:dyDescent="0.2">
      <c r="B431" s="227">
        <v>318</v>
      </c>
      <c r="C431" s="114">
        <v>725</v>
      </c>
      <c r="D431" s="196"/>
      <c r="E431" s="195"/>
      <c r="F431" s="195"/>
    </row>
    <row r="432" spans="2:6" x14ac:dyDescent="0.2">
      <c r="B432" s="228">
        <v>1644</v>
      </c>
      <c r="C432" s="197">
        <v>727.2</v>
      </c>
      <c r="D432" s="196"/>
      <c r="E432" s="195"/>
      <c r="F432" s="195"/>
    </row>
    <row r="433" spans="2:6" x14ac:dyDescent="0.2">
      <c r="B433" s="228">
        <v>541</v>
      </c>
      <c r="C433" s="197">
        <v>730</v>
      </c>
      <c r="D433" s="196"/>
      <c r="E433" s="195"/>
      <c r="F433" s="195"/>
    </row>
    <row r="434" spans="2:6" x14ac:dyDescent="0.2">
      <c r="B434" s="227">
        <v>2055</v>
      </c>
      <c r="C434" s="114">
        <v>730</v>
      </c>
      <c r="D434" s="196"/>
      <c r="E434" s="195"/>
      <c r="F434" s="195"/>
    </row>
    <row r="435" spans="2:6" x14ac:dyDescent="0.2">
      <c r="B435" s="227">
        <v>264</v>
      </c>
      <c r="C435" s="114">
        <v>740</v>
      </c>
      <c r="D435" s="196"/>
      <c r="E435" s="195"/>
      <c r="F435" s="195"/>
    </row>
    <row r="436" spans="2:6" x14ac:dyDescent="0.2">
      <c r="B436" s="227">
        <v>335</v>
      </c>
      <c r="C436" s="114">
        <v>740</v>
      </c>
      <c r="D436" s="196"/>
      <c r="E436" s="195"/>
      <c r="F436" s="195"/>
    </row>
    <row r="437" spans="2:6" x14ac:dyDescent="0.2">
      <c r="B437" s="228">
        <v>1090</v>
      </c>
      <c r="C437" s="197">
        <v>740</v>
      </c>
      <c r="D437" s="196"/>
      <c r="E437" s="195"/>
      <c r="F437" s="195"/>
    </row>
    <row r="438" spans="2:6" x14ac:dyDescent="0.2">
      <c r="B438" s="228">
        <v>1116</v>
      </c>
      <c r="C438" s="197">
        <v>740</v>
      </c>
      <c r="D438" s="196"/>
      <c r="E438" s="195"/>
      <c r="F438" s="195"/>
    </row>
    <row r="439" spans="2:6" x14ac:dyDescent="0.2">
      <c r="B439" s="227">
        <v>1653</v>
      </c>
      <c r="C439" s="114">
        <v>740</v>
      </c>
      <c r="D439" s="196"/>
      <c r="E439" s="195"/>
      <c r="F439" s="195"/>
    </row>
    <row r="440" spans="2:6" x14ac:dyDescent="0.2">
      <c r="B440" s="227">
        <v>954</v>
      </c>
      <c r="C440" s="114">
        <v>745.09833333333336</v>
      </c>
      <c r="D440" s="196"/>
      <c r="E440" s="195"/>
      <c r="F440" s="195"/>
    </row>
    <row r="441" spans="2:6" x14ac:dyDescent="0.2">
      <c r="B441" s="228">
        <v>260</v>
      </c>
      <c r="C441" s="197">
        <v>747.3</v>
      </c>
      <c r="D441" s="196"/>
      <c r="E441" s="195"/>
      <c r="F441" s="195"/>
    </row>
    <row r="442" spans="2:6" x14ac:dyDescent="0.2">
      <c r="B442" s="227">
        <v>88</v>
      </c>
      <c r="C442" s="114">
        <v>750</v>
      </c>
      <c r="D442" s="196"/>
      <c r="E442" s="195"/>
      <c r="F442" s="195"/>
    </row>
    <row r="443" spans="2:6" x14ac:dyDescent="0.2">
      <c r="B443" s="227">
        <v>132</v>
      </c>
      <c r="C443" s="114">
        <v>750</v>
      </c>
      <c r="D443" s="196"/>
      <c r="E443" s="195"/>
      <c r="F443" s="195"/>
    </row>
    <row r="444" spans="2:6" x14ac:dyDescent="0.2">
      <c r="B444" s="227">
        <v>172</v>
      </c>
      <c r="C444" s="114">
        <v>750</v>
      </c>
      <c r="D444" s="196"/>
      <c r="E444" s="195"/>
      <c r="F444" s="195"/>
    </row>
    <row r="445" spans="2:6" x14ac:dyDescent="0.2">
      <c r="B445" s="228">
        <v>402</v>
      </c>
      <c r="C445" s="197">
        <v>750</v>
      </c>
      <c r="D445" s="196"/>
      <c r="E445" s="195"/>
      <c r="F445" s="195"/>
    </row>
    <row r="446" spans="2:6" x14ac:dyDescent="0.2">
      <c r="B446" s="227">
        <v>594</v>
      </c>
      <c r="C446" s="114">
        <v>750</v>
      </c>
      <c r="D446" s="196"/>
      <c r="E446" s="195"/>
      <c r="F446" s="195"/>
    </row>
    <row r="447" spans="2:6" x14ac:dyDescent="0.2">
      <c r="B447" s="228">
        <v>874</v>
      </c>
      <c r="C447" s="197">
        <v>750</v>
      </c>
      <c r="D447" s="196"/>
      <c r="E447" s="195"/>
      <c r="F447" s="195"/>
    </row>
    <row r="448" spans="2:6" x14ac:dyDescent="0.2">
      <c r="B448" s="227">
        <v>926</v>
      </c>
      <c r="C448" s="114">
        <v>750</v>
      </c>
      <c r="D448" s="196"/>
      <c r="E448" s="195"/>
      <c r="F448" s="195"/>
    </row>
    <row r="449" spans="2:6" x14ac:dyDescent="0.2">
      <c r="B449" s="228">
        <v>974</v>
      </c>
      <c r="C449" s="197">
        <v>750</v>
      </c>
      <c r="D449" s="196"/>
      <c r="E449" s="195"/>
      <c r="F449" s="195"/>
    </row>
    <row r="450" spans="2:6" x14ac:dyDescent="0.2">
      <c r="B450" s="228">
        <v>1044</v>
      </c>
      <c r="C450" s="197">
        <v>750</v>
      </c>
      <c r="D450" s="196"/>
      <c r="E450" s="195"/>
      <c r="F450" s="195"/>
    </row>
    <row r="451" spans="2:6" x14ac:dyDescent="0.2">
      <c r="B451" s="227">
        <v>1133</v>
      </c>
      <c r="C451" s="114">
        <v>750</v>
      </c>
      <c r="D451" s="196"/>
      <c r="E451" s="195"/>
      <c r="F451" s="195"/>
    </row>
    <row r="452" spans="2:6" x14ac:dyDescent="0.2">
      <c r="B452" s="228">
        <v>1187</v>
      </c>
      <c r="C452" s="197">
        <v>750</v>
      </c>
      <c r="D452" s="196"/>
      <c r="E452" s="195"/>
      <c r="F452" s="195"/>
    </row>
    <row r="453" spans="2:6" x14ac:dyDescent="0.2">
      <c r="B453" s="228">
        <v>1194</v>
      </c>
      <c r="C453" s="197">
        <v>750</v>
      </c>
      <c r="D453" s="196"/>
      <c r="E453" s="195"/>
      <c r="F453" s="195"/>
    </row>
    <row r="454" spans="2:6" x14ac:dyDescent="0.2">
      <c r="B454" s="227">
        <v>1236</v>
      </c>
      <c r="C454" s="114">
        <v>750</v>
      </c>
      <c r="D454" s="196"/>
      <c r="E454" s="195"/>
      <c r="F454" s="195"/>
    </row>
    <row r="455" spans="2:6" x14ac:dyDescent="0.2">
      <c r="B455" s="227">
        <v>1314</v>
      </c>
      <c r="C455" s="114">
        <v>750</v>
      </c>
      <c r="D455" s="196"/>
      <c r="E455" s="195"/>
      <c r="F455" s="195"/>
    </row>
    <row r="456" spans="2:6" x14ac:dyDescent="0.2">
      <c r="B456" s="228">
        <v>1425</v>
      </c>
      <c r="C456" s="197">
        <v>750</v>
      </c>
      <c r="D456" s="196"/>
      <c r="E456" s="195"/>
      <c r="F456" s="195"/>
    </row>
    <row r="457" spans="2:6" x14ac:dyDescent="0.2">
      <c r="B457" s="227">
        <v>1462</v>
      </c>
      <c r="C457" s="114">
        <v>750</v>
      </c>
      <c r="D457" s="196"/>
      <c r="E457" s="195"/>
      <c r="F457" s="195"/>
    </row>
    <row r="458" spans="2:6" x14ac:dyDescent="0.2">
      <c r="B458" s="227">
        <v>1531</v>
      </c>
      <c r="C458" s="114">
        <v>750</v>
      </c>
      <c r="D458" s="196"/>
      <c r="E458" s="195"/>
      <c r="F458" s="195"/>
    </row>
    <row r="459" spans="2:6" x14ac:dyDescent="0.2">
      <c r="B459" s="228">
        <v>1549</v>
      </c>
      <c r="C459" s="197">
        <v>750</v>
      </c>
      <c r="D459" s="196"/>
      <c r="E459" s="195"/>
      <c r="F459" s="195"/>
    </row>
    <row r="460" spans="2:6" x14ac:dyDescent="0.2">
      <c r="B460" s="228">
        <v>1595</v>
      </c>
      <c r="C460" s="197">
        <v>750</v>
      </c>
      <c r="D460" s="196"/>
      <c r="E460" s="195"/>
      <c r="F460" s="195"/>
    </row>
    <row r="461" spans="2:6" x14ac:dyDescent="0.2">
      <c r="B461" s="228">
        <v>1597</v>
      </c>
      <c r="C461" s="197">
        <v>750</v>
      </c>
      <c r="D461" s="196"/>
      <c r="E461" s="195"/>
      <c r="F461" s="195"/>
    </row>
    <row r="462" spans="2:6" x14ac:dyDescent="0.2">
      <c r="B462" s="228">
        <v>1617</v>
      </c>
      <c r="C462" s="197">
        <v>750</v>
      </c>
      <c r="D462" s="196"/>
      <c r="E462" s="195"/>
      <c r="F462" s="195"/>
    </row>
    <row r="463" spans="2:6" x14ac:dyDescent="0.2">
      <c r="B463" s="228">
        <v>1640</v>
      </c>
      <c r="C463" s="197">
        <v>750</v>
      </c>
      <c r="D463" s="196"/>
      <c r="E463" s="195"/>
      <c r="F463" s="195"/>
    </row>
    <row r="464" spans="2:6" x14ac:dyDescent="0.2">
      <c r="B464" s="228">
        <v>1845</v>
      </c>
      <c r="C464" s="197">
        <v>750</v>
      </c>
      <c r="D464" s="196"/>
      <c r="E464" s="195"/>
      <c r="F464" s="195"/>
    </row>
    <row r="465" spans="2:6" x14ac:dyDescent="0.2">
      <c r="B465" s="228">
        <v>1928</v>
      </c>
      <c r="C465" s="197">
        <v>750</v>
      </c>
      <c r="D465" s="196"/>
      <c r="E465" s="195"/>
      <c r="F465" s="195"/>
    </row>
    <row r="466" spans="2:6" x14ac:dyDescent="0.2">
      <c r="B466" s="228">
        <v>1949</v>
      </c>
      <c r="C466" s="197">
        <v>750</v>
      </c>
      <c r="D466" s="196"/>
      <c r="E466" s="195"/>
      <c r="F466" s="195"/>
    </row>
    <row r="467" spans="2:6" x14ac:dyDescent="0.2">
      <c r="B467" s="227">
        <v>2077</v>
      </c>
      <c r="C467" s="114">
        <v>750</v>
      </c>
      <c r="D467" s="196"/>
      <c r="E467" s="195"/>
      <c r="F467" s="195"/>
    </row>
    <row r="468" spans="2:6" x14ac:dyDescent="0.2">
      <c r="B468" s="227">
        <v>2263</v>
      </c>
      <c r="C468" s="114">
        <v>750</v>
      </c>
      <c r="D468" s="196"/>
      <c r="E468" s="195"/>
      <c r="F468" s="195"/>
    </row>
    <row r="469" spans="2:6" x14ac:dyDescent="0.2">
      <c r="B469" s="227">
        <v>2298</v>
      </c>
      <c r="C469" s="114">
        <v>750</v>
      </c>
      <c r="D469" s="196"/>
      <c r="E469" s="195"/>
      <c r="F469" s="195"/>
    </row>
    <row r="470" spans="2:6" x14ac:dyDescent="0.2">
      <c r="B470" s="227">
        <v>501</v>
      </c>
      <c r="C470" s="114">
        <v>755</v>
      </c>
      <c r="D470" s="196"/>
      <c r="E470" s="195"/>
      <c r="F470" s="195"/>
    </row>
    <row r="471" spans="2:6" x14ac:dyDescent="0.2">
      <c r="B471" s="227">
        <v>2181</v>
      </c>
      <c r="C471" s="114">
        <v>757</v>
      </c>
      <c r="D471" s="196"/>
      <c r="E471" s="195"/>
      <c r="F471" s="195"/>
    </row>
    <row r="472" spans="2:6" x14ac:dyDescent="0.2">
      <c r="B472" s="228">
        <v>1146</v>
      </c>
      <c r="C472" s="197">
        <v>760</v>
      </c>
      <c r="D472" s="196"/>
      <c r="E472" s="195"/>
      <c r="F472" s="195"/>
    </row>
    <row r="473" spans="2:6" x14ac:dyDescent="0.2">
      <c r="B473" s="227">
        <v>1934</v>
      </c>
      <c r="C473" s="114">
        <v>760</v>
      </c>
      <c r="D473" s="196"/>
      <c r="E473" s="195"/>
      <c r="F473" s="195"/>
    </row>
    <row r="474" spans="2:6" x14ac:dyDescent="0.2">
      <c r="B474" s="227">
        <v>901</v>
      </c>
      <c r="C474" s="114">
        <v>768</v>
      </c>
      <c r="D474" s="196"/>
      <c r="E474" s="195"/>
      <c r="F474" s="195"/>
    </row>
    <row r="475" spans="2:6" x14ac:dyDescent="0.2">
      <c r="B475" s="227">
        <v>225</v>
      </c>
      <c r="C475" s="114">
        <v>770</v>
      </c>
      <c r="D475" s="196"/>
      <c r="E475" s="195"/>
      <c r="F475" s="195"/>
    </row>
    <row r="476" spans="2:6" x14ac:dyDescent="0.2">
      <c r="B476" s="227">
        <v>478</v>
      </c>
      <c r="C476" s="114">
        <v>770</v>
      </c>
      <c r="D476" s="196"/>
      <c r="E476" s="195"/>
      <c r="F476" s="195"/>
    </row>
    <row r="477" spans="2:6" x14ac:dyDescent="0.2">
      <c r="B477" s="228">
        <v>553</v>
      </c>
      <c r="C477" s="197">
        <v>770</v>
      </c>
      <c r="D477" s="196"/>
      <c r="E477" s="195"/>
      <c r="F477" s="195"/>
    </row>
    <row r="478" spans="2:6" x14ac:dyDescent="0.2">
      <c r="B478" s="228">
        <v>984</v>
      </c>
      <c r="C478" s="197">
        <v>770</v>
      </c>
      <c r="D478" s="196"/>
      <c r="E478" s="195"/>
      <c r="F478" s="195"/>
    </row>
    <row r="479" spans="2:6" x14ac:dyDescent="0.2">
      <c r="B479" s="228">
        <v>2184</v>
      </c>
      <c r="C479" s="197">
        <v>770</v>
      </c>
      <c r="D479" s="196"/>
      <c r="E479" s="195"/>
      <c r="F479" s="195"/>
    </row>
    <row r="480" spans="2:6" x14ac:dyDescent="0.2">
      <c r="B480" s="227">
        <v>1987</v>
      </c>
      <c r="C480" s="114">
        <v>770.83333333333326</v>
      </c>
      <c r="D480" s="196"/>
      <c r="E480" s="195"/>
      <c r="F480" s="195"/>
    </row>
    <row r="481" spans="2:6" x14ac:dyDescent="0.2">
      <c r="B481" s="227">
        <v>1001</v>
      </c>
      <c r="C481" s="114">
        <v>780</v>
      </c>
      <c r="D481" s="196"/>
      <c r="E481" s="195"/>
      <c r="F481" s="195"/>
    </row>
    <row r="482" spans="2:6" x14ac:dyDescent="0.2">
      <c r="B482" s="227">
        <v>1301</v>
      </c>
      <c r="C482" s="114">
        <v>780</v>
      </c>
      <c r="D482" s="196"/>
      <c r="E482" s="195"/>
      <c r="F482" s="195"/>
    </row>
    <row r="483" spans="2:6" x14ac:dyDescent="0.2">
      <c r="B483" s="227">
        <v>1560</v>
      </c>
      <c r="C483" s="114">
        <v>780</v>
      </c>
      <c r="D483" s="196"/>
      <c r="E483" s="195"/>
      <c r="F483" s="195"/>
    </row>
    <row r="484" spans="2:6" x14ac:dyDescent="0.2">
      <c r="B484" s="228">
        <v>2044</v>
      </c>
      <c r="C484" s="197">
        <v>780</v>
      </c>
      <c r="D484" s="196"/>
      <c r="E484" s="195"/>
      <c r="F484" s="195"/>
    </row>
    <row r="485" spans="2:6" x14ac:dyDescent="0.2">
      <c r="B485" s="228">
        <v>248</v>
      </c>
      <c r="C485" s="197">
        <v>784.86749999999995</v>
      </c>
      <c r="D485" s="196"/>
      <c r="E485" s="195"/>
      <c r="F485" s="195"/>
    </row>
    <row r="486" spans="2:6" x14ac:dyDescent="0.2">
      <c r="B486" s="228">
        <v>967</v>
      </c>
      <c r="C486" s="197">
        <v>785</v>
      </c>
      <c r="D486" s="196"/>
      <c r="E486" s="195"/>
      <c r="F486" s="195"/>
    </row>
    <row r="487" spans="2:6" x14ac:dyDescent="0.2">
      <c r="B487" s="228">
        <v>1359</v>
      </c>
      <c r="C487" s="197">
        <v>785</v>
      </c>
      <c r="D487" s="196"/>
      <c r="E487" s="195"/>
      <c r="F487" s="195"/>
    </row>
    <row r="488" spans="2:6" x14ac:dyDescent="0.2">
      <c r="B488" s="227">
        <v>889</v>
      </c>
      <c r="C488" s="114">
        <v>786.24</v>
      </c>
      <c r="D488" s="196"/>
      <c r="E488" s="195"/>
      <c r="F488" s="195"/>
    </row>
    <row r="489" spans="2:6" x14ac:dyDescent="0.2">
      <c r="B489" s="227">
        <v>717</v>
      </c>
      <c r="C489" s="114">
        <v>790</v>
      </c>
      <c r="D489" s="196"/>
      <c r="E489" s="195"/>
      <c r="F489" s="195"/>
    </row>
    <row r="490" spans="2:6" x14ac:dyDescent="0.2">
      <c r="B490" s="227">
        <v>1639</v>
      </c>
      <c r="C490" s="114">
        <v>790</v>
      </c>
      <c r="D490" s="196"/>
      <c r="E490" s="195"/>
      <c r="F490" s="195"/>
    </row>
    <row r="491" spans="2:6" x14ac:dyDescent="0.2">
      <c r="B491" s="228">
        <v>1943</v>
      </c>
      <c r="C491" s="197">
        <v>790</v>
      </c>
      <c r="D491" s="196"/>
      <c r="E491" s="195"/>
      <c r="F491" s="195"/>
    </row>
    <row r="492" spans="2:6" x14ac:dyDescent="0.2">
      <c r="B492" s="228">
        <v>529</v>
      </c>
      <c r="C492" s="197">
        <v>791.66666666666663</v>
      </c>
      <c r="D492" s="196"/>
      <c r="E492" s="195"/>
      <c r="F492" s="195"/>
    </row>
    <row r="493" spans="2:6" x14ac:dyDescent="0.2">
      <c r="B493" s="227">
        <v>43</v>
      </c>
      <c r="C493" s="114">
        <v>795</v>
      </c>
      <c r="D493" s="196"/>
      <c r="E493" s="195"/>
      <c r="F493" s="195"/>
    </row>
    <row r="494" spans="2:6" x14ac:dyDescent="0.2">
      <c r="B494" s="227">
        <v>286</v>
      </c>
      <c r="C494" s="114">
        <v>795</v>
      </c>
      <c r="D494" s="196"/>
      <c r="E494" s="195"/>
      <c r="F494" s="195"/>
    </row>
    <row r="495" spans="2:6" x14ac:dyDescent="0.2">
      <c r="B495" s="227">
        <v>375</v>
      </c>
      <c r="C495" s="114">
        <v>795</v>
      </c>
      <c r="D495" s="196"/>
      <c r="E495" s="195"/>
      <c r="F495" s="195"/>
    </row>
    <row r="496" spans="2:6" x14ac:dyDescent="0.2">
      <c r="B496" s="227">
        <v>775</v>
      </c>
      <c r="C496" s="114">
        <v>800</v>
      </c>
      <c r="D496" s="196"/>
      <c r="E496" s="195"/>
      <c r="F496" s="195"/>
    </row>
    <row r="497" spans="2:6" x14ac:dyDescent="0.2">
      <c r="B497" s="227">
        <v>2271</v>
      </c>
      <c r="C497" s="114">
        <v>800</v>
      </c>
      <c r="D497" s="196"/>
      <c r="E497" s="195"/>
      <c r="F497" s="195"/>
    </row>
    <row r="498" spans="2:6" x14ac:dyDescent="0.2">
      <c r="B498" s="227">
        <v>706</v>
      </c>
      <c r="C498" s="114">
        <v>806</v>
      </c>
      <c r="D498" s="196"/>
      <c r="E498" s="195"/>
      <c r="F498" s="195"/>
    </row>
    <row r="499" spans="2:6" x14ac:dyDescent="0.2">
      <c r="B499" s="228">
        <v>235</v>
      </c>
      <c r="C499" s="197">
        <v>810</v>
      </c>
      <c r="D499" s="196"/>
      <c r="E499" s="195"/>
      <c r="F499" s="195"/>
    </row>
    <row r="500" spans="2:6" x14ac:dyDescent="0.2">
      <c r="B500" s="227">
        <v>1118</v>
      </c>
      <c r="C500" s="114">
        <v>812.5</v>
      </c>
      <c r="D500" s="196"/>
      <c r="E500" s="195"/>
      <c r="F500" s="195"/>
    </row>
    <row r="501" spans="2:6" x14ac:dyDescent="0.2">
      <c r="B501" s="227">
        <v>1945</v>
      </c>
      <c r="C501" s="114">
        <v>815</v>
      </c>
      <c r="D501" s="196"/>
      <c r="E501" s="195"/>
      <c r="F501" s="195"/>
    </row>
    <row r="502" spans="2:6" x14ac:dyDescent="0.2">
      <c r="B502" s="227">
        <v>56</v>
      </c>
      <c r="C502" s="114">
        <v>820</v>
      </c>
      <c r="D502" s="196"/>
      <c r="E502" s="195"/>
      <c r="F502" s="195"/>
    </row>
    <row r="503" spans="2:6" x14ac:dyDescent="0.2">
      <c r="B503" s="228">
        <v>577</v>
      </c>
      <c r="C503" s="197">
        <v>820</v>
      </c>
      <c r="D503" s="196"/>
      <c r="E503" s="195"/>
      <c r="F503" s="195"/>
    </row>
    <row r="504" spans="2:6" x14ac:dyDescent="0.2">
      <c r="B504" s="228">
        <v>1227</v>
      </c>
      <c r="C504" s="197">
        <v>820</v>
      </c>
      <c r="D504" s="196"/>
      <c r="E504" s="195"/>
      <c r="F504" s="195"/>
    </row>
    <row r="505" spans="2:6" x14ac:dyDescent="0.2">
      <c r="B505" s="228">
        <v>2164</v>
      </c>
      <c r="C505" s="197">
        <v>820</v>
      </c>
      <c r="D505" s="196"/>
      <c r="E505" s="195"/>
      <c r="F505" s="195"/>
    </row>
    <row r="506" spans="2:6" x14ac:dyDescent="0.2">
      <c r="B506" s="228">
        <v>1204</v>
      </c>
      <c r="C506" s="197">
        <v>824</v>
      </c>
      <c r="D506" s="196"/>
      <c r="E506" s="195"/>
      <c r="F506" s="195"/>
    </row>
    <row r="507" spans="2:6" x14ac:dyDescent="0.2">
      <c r="B507" s="228">
        <v>1119</v>
      </c>
      <c r="C507" s="197">
        <v>830</v>
      </c>
      <c r="D507" s="196"/>
      <c r="E507" s="195"/>
      <c r="F507" s="195"/>
    </row>
    <row r="508" spans="2:6" x14ac:dyDescent="0.2">
      <c r="B508" s="227">
        <v>1664</v>
      </c>
      <c r="C508" s="114">
        <v>830</v>
      </c>
      <c r="D508" s="196"/>
      <c r="E508" s="195"/>
      <c r="F508" s="195"/>
    </row>
    <row r="509" spans="2:6" x14ac:dyDescent="0.2">
      <c r="B509" s="227">
        <v>1975</v>
      </c>
      <c r="C509" s="114">
        <v>830</v>
      </c>
      <c r="D509" s="196"/>
      <c r="E509" s="195"/>
      <c r="F509" s="195"/>
    </row>
    <row r="510" spans="2:6" x14ac:dyDescent="0.2">
      <c r="B510" s="228">
        <v>262</v>
      </c>
      <c r="C510" s="197">
        <v>833.33333333333337</v>
      </c>
      <c r="D510" s="196"/>
      <c r="E510" s="195"/>
      <c r="F510" s="195"/>
    </row>
    <row r="511" spans="2:6" x14ac:dyDescent="0.2">
      <c r="B511" s="227">
        <v>968</v>
      </c>
      <c r="C511" s="114">
        <v>833.33333333333337</v>
      </c>
      <c r="D511" s="196"/>
      <c r="E511" s="195"/>
      <c r="F511" s="195"/>
    </row>
    <row r="512" spans="2:6" x14ac:dyDescent="0.2">
      <c r="B512" s="227">
        <v>1066</v>
      </c>
      <c r="C512" s="114">
        <v>833.33333333333337</v>
      </c>
      <c r="D512" s="196"/>
      <c r="E512" s="195"/>
      <c r="F512" s="195"/>
    </row>
    <row r="513" spans="2:6" x14ac:dyDescent="0.2">
      <c r="B513" s="228">
        <v>1258</v>
      </c>
      <c r="C513" s="197">
        <v>833.33333333333337</v>
      </c>
      <c r="D513" s="196"/>
      <c r="E513" s="195"/>
      <c r="F513" s="195"/>
    </row>
    <row r="514" spans="2:6" x14ac:dyDescent="0.2">
      <c r="B514" s="228">
        <v>1455</v>
      </c>
      <c r="C514" s="197">
        <v>833.33333333333337</v>
      </c>
      <c r="D514" s="196"/>
      <c r="E514" s="195"/>
      <c r="F514" s="195"/>
    </row>
    <row r="515" spans="2:6" x14ac:dyDescent="0.2">
      <c r="B515" s="228">
        <v>1537</v>
      </c>
      <c r="C515" s="197">
        <v>833.33333333333337</v>
      </c>
      <c r="D515" s="196"/>
      <c r="E515" s="195"/>
      <c r="F515" s="195"/>
    </row>
    <row r="516" spans="2:6" x14ac:dyDescent="0.2">
      <c r="B516" s="228">
        <v>46</v>
      </c>
      <c r="C516" s="197">
        <v>840</v>
      </c>
      <c r="D516" s="196"/>
      <c r="E516" s="195"/>
      <c r="F516" s="195"/>
    </row>
    <row r="517" spans="2:6" x14ac:dyDescent="0.2">
      <c r="B517" s="227">
        <v>256</v>
      </c>
      <c r="C517" s="114">
        <v>840</v>
      </c>
      <c r="D517" s="196"/>
      <c r="E517" s="195"/>
      <c r="F517" s="195"/>
    </row>
    <row r="518" spans="2:6" x14ac:dyDescent="0.2">
      <c r="B518" s="227">
        <v>533</v>
      </c>
      <c r="C518" s="114">
        <v>840</v>
      </c>
      <c r="D518" s="196"/>
      <c r="E518" s="195"/>
      <c r="F518" s="195"/>
    </row>
    <row r="519" spans="2:6" x14ac:dyDescent="0.2">
      <c r="B519" s="227">
        <v>829</v>
      </c>
      <c r="C519" s="114">
        <v>840</v>
      </c>
      <c r="D519" s="196"/>
      <c r="E519" s="195"/>
      <c r="F519" s="195"/>
    </row>
    <row r="520" spans="2:6" x14ac:dyDescent="0.2">
      <c r="B520" s="228">
        <v>2050</v>
      </c>
      <c r="C520" s="197">
        <v>840</v>
      </c>
      <c r="D520" s="196"/>
      <c r="E520" s="195"/>
      <c r="F520" s="195"/>
    </row>
    <row r="521" spans="2:6" x14ac:dyDescent="0.2">
      <c r="B521" s="227">
        <v>2129</v>
      </c>
      <c r="C521" s="114">
        <v>840</v>
      </c>
      <c r="D521" s="196"/>
      <c r="E521" s="195"/>
      <c r="F521" s="195"/>
    </row>
    <row r="522" spans="2:6" x14ac:dyDescent="0.2">
      <c r="B522" s="227">
        <v>2156</v>
      </c>
      <c r="C522" s="114">
        <v>840</v>
      </c>
      <c r="D522" s="196"/>
      <c r="E522" s="195"/>
      <c r="F522" s="195"/>
    </row>
    <row r="523" spans="2:6" x14ac:dyDescent="0.2">
      <c r="B523" s="227">
        <v>1283</v>
      </c>
      <c r="C523" s="114">
        <v>842.4</v>
      </c>
      <c r="D523" s="196"/>
      <c r="E523" s="195"/>
      <c r="F523" s="195"/>
    </row>
    <row r="524" spans="2:6" x14ac:dyDescent="0.2">
      <c r="B524" s="227">
        <v>240</v>
      </c>
      <c r="C524" s="114">
        <v>850</v>
      </c>
      <c r="D524" s="196"/>
      <c r="E524" s="195"/>
      <c r="F524" s="195"/>
    </row>
    <row r="525" spans="2:6" x14ac:dyDescent="0.2">
      <c r="B525" s="228">
        <v>544</v>
      </c>
      <c r="C525" s="197">
        <v>850</v>
      </c>
      <c r="D525" s="196"/>
      <c r="E525" s="195"/>
      <c r="F525" s="195"/>
    </row>
    <row r="526" spans="2:6" x14ac:dyDescent="0.2">
      <c r="B526" s="227">
        <v>879</v>
      </c>
      <c r="C526" s="114">
        <v>850</v>
      </c>
      <c r="D526" s="196"/>
      <c r="E526" s="195"/>
      <c r="F526" s="195"/>
    </row>
    <row r="527" spans="2:6" x14ac:dyDescent="0.2">
      <c r="B527" s="227">
        <v>888</v>
      </c>
      <c r="C527" s="114">
        <v>850</v>
      </c>
      <c r="D527" s="196"/>
      <c r="E527" s="195"/>
      <c r="F527" s="195"/>
    </row>
    <row r="528" spans="2:6" x14ac:dyDescent="0.2">
      <c r="B528" s="228">
        <v>1016</v>
      </c>
      <c r="C528" s="197">
        <v>850</v>
      </c>
      <c r="D528" s="196"/>
      <c r="E528" s="195"/>
      <c r="F528" s="195"/>
    </row>
    <row r="529" spans="2:6" x14ac:dyDescent="0.2">
      <c r="B529" s="227">
        <v>1031</v>
      </c>
      <c r="C529" s="114">
        <v>850</v>
      </c>
      <c r="D529" s="196"/>
      <c r="E529" s="195"/>
      <c r="F529" s="195"/>
    </row>
    <row r="530" spans="2:6" x14ac:dyDescent="0.2">
      <c r="B530" s="227">
        <v>1074</v>
      </c>
      <c r="C530" s="114">
        <v>850</v>
      </c>
      <c r="D530" s="196"/>
      <c r="E530" s="195"/>
      <c r="F530" s="195"/>
    </row>
    <row r="531" spans="2:6" x14ac:dyDescent="0.2">
      <c r="B531" s="228">
        <v>1144</v>
      </c>
      <c r="C531" s="197">
        <v>850</v>
      </c>
      <c r="D531" s="196"/>
      <c r="E531" s="195"/>
      <c r="F531" s="195"/>
    </row>
    <row r="532" spans="2:6" x14ac:dyDescent="0.2">
      <c r="B532" s="228">
        <v>1513</v>
      </c>
      <c r="C532" s="197">
        <v>850</v>
      </c>
      <c r="D532" s="196"/>
      <c r="E532" s="195"/>
      <c r="F532" s="195"/>
    </row>
    <row r="533" spans="2:6" x14ac:dyDescent="0.2">
      <c r="B533" s="228">
        <v>1538</v>
      </c>
      <c r="C533" s="197">
        <v>850</v>
      </c>
      <c r="D533" s="196"/>
      <c r="E533" s="195"/>
      <c r="F533" s="195"/>
    </row>
    <row r="534" spans="2:6" x14ac:dyDescent="0.2">
      <c r="B534" s="228">
        <v>1585</v>
      </c>
      <c r="C534" s="197">
        <v>850</v>
      </c>
      <c r="D534" s="196"/>
      <c r="E534" s="195"/>
      <c r="F534" s="195"/>
    </row>
    <row r="535" spans="2:6" x14ac:dyDescent="0.2">
      <c r="B535" s="227">
        <v>1629</v>
      </c>
      <c r="C535" s="114">
        <v>850</v>
      </c>
      <c r="D535" s="196"/>
      <c r="E535" s="195"/>
      <c r="F535" s="195"/>
    </row>
    <row r="536" spans="2:6" x14ac:dyDescent="0.2">
      <c r="B536" s="228">
        <v>1659</v>
      </c>
      <c r="C536" s="197">
        <v>850</v>
      </c>
      <c r="D536" s="196"/>
      <c r="E536" s="195"/>
      <c r="F536" s="195"/>
    </row>
    <row r="537" spans="2:6" x14ac:dyDescent="0.2">
      <c r="B537" s="227">
        <v>1759</v>
      </c>
      <c r="C537" s="114">
        <v>850</v>
      </c>
      <c r="D537" s="196"/>
      <c r="E537" s="195"/>
      <c r="F537" s="195"/>
    </row>
    <row r="538" spans="2:6" x14ac:dyDescent="0.2">
      <c r="B538" s="228">
        <v>1802</v>
      </c>
      <c r="C538" s="197">
        <v>850</v>
      </c>
      <c r="D538" s="196"/>
      <c r="E538" s="195"/>
      <c r="F538" s="195"/>
    </row>
    <row r="539" spans="2:6" x14ac:dyDescent="0.2">
      <c r="B539" s="227">
        <v>1810</v>
      </c>
      <c r="C539" s="114">
        <v>850</v>
      </c>
      <c r="D539" s="196"/>
      <c r="E539" s="195"/>
      <c r="F539" s="195"/>
    </row>
    <row r="540" spans="2:6" x14ac:dyDescent="0.2">
      <c r="B540" s="227">
        <v>2037</v>
      </c>
      <c r="C540" s="114">
        <v>850</v>
      </c>
      <c r="D540" s="196"/>
      <c r="E540" s="195"/>
      <c r="F540" s="195"/>
    </row>
    <row r="541" spans="2:6" x14ac:dyDescent="0.2">
      <c r="B541" s="227">
        <v>2143</v>
      </c>
      <c r="C541" s="114">
        <v>850</v>
      </c>
      <c r="D541" s="196"/>
      <c r="E541" s="195"/>
      <c r="F541" s="195"/>
    </row>
    <row r="542" spans="2:6" x14ac:dyDescent="0.2">
      <c r="B542" s="228">
        <v>1279</v>
      </c>
      <c r="C542" s="197">
        <v>860</v>
      </c>
      <c r="D542" s="196"/>
      <c r="E542" s="195"/>
      <c r="F542" s="195"/>
    </row>
    <row r="543" spans="2:6" x14ac:dyDescent="0.2">
      <c r="B543" s="227">
        <v>2232</v>
      </c>
      <c r="C543" s="114">
        <v>860</v>
      </c>
      <c r="D543" s="196"/>
      <c r="E543" s="195"/>
      <c r="F543" s="195"/>
    </row>
    <row r="544" spans="2:6" x14ac:dyDescent="0.2">
      <c r="B544" s="227">
        <v>1098</v>
      </c>
      <c r="C544" s="114">
        <v>865</v>
      </c>
      <c r="D544" s="196"/>
      <c r="E544" s="195"/>
      <c r="F544" s="195"/>
    </row>
    <row r="545" spans="2:6" x14ac:dyDescent="0.2">
      <c r="B545" s="228">
        <v>479</v>
      </c>
      <c r="C545" s="197">
        <v>870</v>
      </c>
      <c r="D545" s="196"/>
      <c r="E545" s="195"/>
      <c r="F545" s="195"/>
    </row>
    <row r="546" spans="2:6" x14ac:dyDescent="0.2">
      <c r="B546" s="227">
        <v>575</v>
      </c>
      <c r="C546" s="114">
        <v>870</v>
      </c>
      <c r="D546" s="196"/>
      <c r="E546" s="195"/>
      <c r="F546" s="195"/>
    </row>
    <row r="547" spans="2:6" x14ac:dyDescent="0.2">
      <c r="B547" s="228">
        <v>695</v>
      </c>
      <c r="C547" s="197">
        <v>870</v>
      </c>
      <c r="D547" s="196"/>
      <c r="E547" s="195"/>
      <c r="F547" s="195"/>
    </row>
    <row r="548" spans="2:6" x14ac:dyDescent="0.2">
      <c r="B548" s="228">
        <v>767</v>
      </c>
      <c r="C548" s="197">
        <v>870</v>
      </c>
      <c r="D548" s="196"/>
      <c r="E548" s="195"/>
      <c r="F548" s="195"/>
    </row>
    <row r="549" spans="2:6" x14ac:dyDescent="0.2">
      <c r="B549" s="227">
        <v>1081</v>
      </c>
      <c r="C549" s="114">
        <v>870</v>
      </c>
      <c r="D549" s="196"/>
      <c r="E549" s="195"/>
      <c r="F549" s="195"/>
    </row>
    <row r="550" spans="2:6" x14ac:dyDescent="0.2">
      <c r="B550" s="227">
        <v>1397</v>
      </c>
      <c r="C550" s="114">
        <v>870</v>
      </c>
      <c r="D550" s="196"/>
      <c r="E550" s="195"/>
      <c r="F550" s="195"/>
    </row>
    <row r="551" spans="2:6" x14ac:dyDescent="0.2">
      <c r="B551" s="227">
        <v>943</v>
      </c>
      <c r="C551" s="114">
        <v>871.6</v>
      </c>
      <c r="D551" s="196"/>
      <c r="E551" s="195"/>
      <c r="F551" s="195"/>
    </row>
    <row r="552" spans="2:6" x14ac:dyDescent="0.2">
      <c r="B552" s="227">
        <v>1509</v>
      </c>
      <c r="C552" s="114">
        <v>872.64</v>
      </c>
      <c r="D552" s="196"/>
      <c r="E552" s="195"/>
      <c r="F552" s="195"/>
    </row>
    <row r="553" spans="2:6" x14ac:dyDescent="0.2">
      <c r="B553" s="227">
        <v>44</v>
      </c>
      <c r="C553" s="114">
        <v>874.5</v>
      </c>
      <c r="D553" s="196"/>
      <c r="E553" s="195"/>
      <c r="F553" s="195"/>
    </row>
    <row r="554" spans="2:6" x14ac:dyDescent="0.2">
      <c r="B554" s="227">
        <v>204</v>
      </c>
      <c r="C554" s="114">
        <v>880</v>
      </c>
      <c r="D554" s="196"/>
      <c r="E554" s="195"/>
      <c r="F554" s="195"/>
    </row>
    <row r="555" spans="2:6" x14ac:dyDescent="0.2">
      <c r="B555" s="228">
        <v>882</v>
      </c>
      <c r="C555" s="197">
        <v>880</v>
      </c>
      <c r="D555" s="196"/>
      <c r="E555" s="195"/>
      <c r="F555" s="195"/>
    </row>
    <row r="556" spans="2:6" x14ac:dyDescent="0.2">
      <c r="B556" s="228">
        <v>1447</v>
      </c>
      <c r="C556" s="197">
        <v>880</v>
      </c>
      <c r="D556" s="196"/>
      <c r="E556" s="195"/>
      <c r="F556" s="195"/>
    </row>
    <row r="557" spans="2:6" x14ac:dyDescent="0.2">
      <c r="B557" s="228">
        <v>848</v>
      </c>
      <c r="C557" s="197">
        <v>887</v>
      </c>
      <c r="D557" s="196"/>
      <c r="E557" s="195"/>
      <c r="F557" s="195"/>
    </row>
    <row r="558" spans="2:6" x14ac:dyDescent="0.2">
      <c r="B558" s="228">
        <v>170</v>
      </c>
      <c r="C558" s="197">
        <v>900</v>
      </c>
      <c r="D558" s="196"/>
      <c r="E558" s="195"/>
      <c r="F558" s="195"/>
    </row>
    <row r="559" spans="2:6" x14ac:dyDescent="0.2">
      <c r="B559" s="228">
        <v>176</v>
      </c>
      <c r="C559" s="197">
        <v>906.3</v>
      </c>
      <c r="D559" s="196"/>
      <c r="E559" s="195"/>
      <c r="F559" s="195"/>
    </row>
    <row r="560" spans="2:6" x14ac:dyDescent="0.2">
      <c r="B560" s="228">
        <v>2253</v>
      </c>
      <c r="C560" s="197">
        <v>911</v>
      </c>
      <c r="D560" s="196"/>
      <c r="E560" s="195"/>
      <c r="F560" s="195"/>
    </row>
    <row r="561" spans="2:6" x14ac:dyDescent="0.2">
      <c r="B561" s="228">
        <v>1621</v>
      </c>
      <c r="C561" s="197">
        <v>916.66666666666663</v>
      </c>
      <c r="D561" s="196"/>
      <c r="E561" s="195"/>
      <c r="F561" s="195"/>
    </row>
    <row r="562" spans="2:6" x14ac:dyDescent="0.2">
      <c r="B562" s="228">
        <v>569</v>
      </c>
      <c r="C562" s="197">
        <v>920</v>
      </c>
      <c r="D562" s="196"/>
      <c r="E562" s="195"/>
      <c r="F562" s="195"/>
    </row>
    <row r="563" spans="2:6" x14ac:dyDescent="0.2">
      <c r="B563" s="227">
        <v>621</v>
      </c>
      <c r="C563" s="114">
        <v>920</v>
      </c>
      <c r="D563" s="196"/>
      <c r="E563" s="195"/>
      <c r="F563" s="195"/>
    </row>
    <row r="564" spans="2:6" x14ac:dyDescent="0.2">
      <c r="B564" s="228">
        <v>809</v>
      </c>
      <c r="C564" s="197">
        <v>920</v>
      </c>
      <c r="D564" s="196"/>
      <c r="E564" s="195"/>
      <c r="F564" s="195"/>
    </row>
    <row r="565" spans="2:6" x14ac:dyDescent="0.2">
      <c r="B565" s="228">
        <v>92</v>
      </c>
      <c r="C565" s="197">
        <v>924</v>
      </c>
      <c r="D565" s="196"/>
      <c r="E565" s="195"/>
      <c r="F565" s="195"/>
    </row>
    <row r="566" spans="2:6" x14ac:dyDescent="0.2">
      <c r="B566" s="228">
        <v>1906</v>
      </c>
      <c r="C566" s="197">
        <v>925.68166666666662</v>
      </c>
      <c r="D566" s="196"/>
      <c r="E566" s="195"/>
      <c r="F566" s="195"/>
    </row>
    <row r="567" spans="2:6" x14ac:dyDescent="0.2">
      <c r="B567" s="228">
        <v>1270</v>
      </c>
      <c r="C567" s="197">
        <v>930</v>
      </c>
      <c r="D567" s="196"/>
      <c r="E567" s="195"/>
      <c r="F567" s="195"/>
    </row>
    <row r="568" spans="2:6" x14ac:dyDescent="0.2">
      <c r="B568" s="227">
        <v>1575</v>
      </c>
      <c r="C568" s="114">
        <v>930</v>
      </c>
      <c r="D568" s="196"/>
      <c r="E568" s="195"/>
      <c r="F568" s="195"/>
    </row>
    <row r="569" spans="2:6" x14ac:dyDescent="0.2">
      <c r="B569" s="228">
        <v>1913</v>
      </c>
      <c r="C569" s="197">
        <v>949.21400000000006</v>
      </c>
      <c r="D569" s="196"/>
      <c r="E569" s="195"/>
      <c r="F569" s="195"/>
    </row>
    <row r="570" spans="2:6" x14ac:dyDescent="0.2">
      <c r="B570" s="227">
        <v>804</v>
      </c>
      <c r="C570" s="114">
        <v>950</v>
      </c>
      <c r="D570" s="196"/>
      <c r="E570" s="195"/>
      <c r="F570" s="195"/>
    </row>
    <row r="571" spans="2:6" x14ac:dyDescent="0.2">
      <c r="B571" s="227">
        <v>1070</v>
      </c>
      <c r="C571" s="114">
        <v>950</v>
      </c>
      <c r="D571" s="196"/>
      <c r="E571" s="195"/>
      <c r="F571" s="195"/>
    </row>
    <row r="572" spans="2:6" x14ac:dyDescent="0.2">
      <c r="B572" s="227">
        <v>1264</v>
      </c>
      <c r="C572" s="114">
        <v>950</v>
      </c>
      <c r="D572" s="196"/>
      <c r="E572" s="195"/>
      <c r="F572" s="195"/>
    </row>
    <row r="573" spans="2:6" x14ac:dyDescent="0.2">
      <c r="B573" s="227">
        <v>1429</v>
      </c>
      <c r="C573" s="114">
        <v>950</v>
      </c>
      <c r="D573" s="196"/>
      <c r="E573" s="195"/>
      <c r="F573" s="195"/>
    </row>
    <row r="574" spans="2:6" x14ac:dyDescent="0.2">
      <c r="B574" s="227">
        <v>1534</v>
      </c>
      <c r="C574" s="114">
        <v>950</v>
      </c>
      <c r="D574" s="196"/>
      <c r="E574" s="195"/>
      <c r="F574" s="195"/>
    </row>
    <row r="575" spans="2:6" x14ac:dyDescent="0.2">
      <c r="B575" s="227">
        <v>1691</v>
      </c>
      <c r="C575" s="114">
        <v>950</v>
      </c>
      <c r="D575" s="196"/>
      <c r="E575" s="195"/>
      <c r="F575" s="195"/>
    </row>
    <row r="576" spans="2:6" x14ac:dyDescent="0.2">
      <c r="B576" s="228">
        <v>1881</v>
      </c>
      <c r="C576" s="197">
        <v>950</v>
      </c>
      <c r="D576" s="196"/>
      <c r="E576" s="195"/>
      <c r="F576" s="195"/>
    </row>
    <row r="577" spans="2:6" x14ac:dyDescent="0.2">
      <c r="B577" s="227">
        <v>1894</v>
      </c>
      <c r="C577" s="114">
        <v>950</v>
      </c>
      <c r="D577" s="196"/>
      <c r="E577" s="195"/>
      <c r="F577" s="195"/>
    </row>
    <row r="578" spans="2:6" x14ac:dyDescent="0.2">
      <c r="B578" s="227">
        <v>50</v>
      </c>
      <c r="C578" s="114">
        <v>954</v>
      </c>
      <c r="D578" s="196"/>
      <c r="E578" s="195"/>
      <c r="F578" s="195"/>
    </row>
    <row r="579" spans="2:6" x14ac:dyDescent="0.2">
      <c r="B579" s="227">
        <v>135</v>
      </c>
      <c r="C579" s="114">
        <v>954</v>
      </c>
      <c r="D579" s="196"/>
      <c r="E579" s="195"/>
      <c r="F579" s="195"/>
    </row>
    <row r="580" spans="2:6" x14ac:dyDescent="0.2">
      <c r="B580" s="227">
        <v>151</v>
      </c>
      <c r="C580" s="114">
        <v>954</v>
      </c>
      <c r="D580" s="196"/>
      <c r="E580" s="195"/>
      <c r="F580" s="195"/>
    </row>
    <row r="581" spans="2:6" x14ac:dyDescent="0.2">
      <c r="B581" s="227">
        <v>159</v>
      </c>
      <c r="C581" s="114">
        <v>954</v>
      </c>
      <c r="D581" s="196"/>
      <c r="E581" s="195"/>
      <c r="F581" s="195"/>
    </row>
    <row r="582" spans="2:6" x14ac:dyDescent="0.2">
      <c r="B582" s="228">
        <v>1072</v>
      </c>
      <c r="C582" s="197">
        <v>960</v>
      </c>
      <c r="D582" s="196"/>
      <c r="E582" s="195"/>
      <c r="F582" s="195"/>
    </row>
    <row r="583" spans="2:6" x14ac:dyDescent="0.2">
      <c r="B583" s="227">
        <v>1096</v>
      </c>
      <c r="C583" s="114">
        <v>960</v>
      </c>
      <c r="D583" s="196"/>
      <c r="E583" s="195"/>
      <c r="F583" s="195"/>
    </row>
    <row r="584" spans="2:6" x14ac:dyDescent="0.2">
      <c r="B584" s="227">
        <v>5</v>
      </c>
      <c r="C584" s="114">
        <v>963</v>
      </c>
      <c r="D584" s="196"/>
      <c r="E584" s="195"/>
      <c r="F584" s="195"/>
    </row>
    <row r="585" spans="2:6" x14ac:dyDescent="0.2">
      <c r="B585" s="227">
        <v>528</v>
      </c>
      <c r="C585" s="114">
        <v>965</v>
      </c>
      <c r="D585" s="196"/>
      <c r="E585" s="195"/>
      <c r="F585" s="195"/>
    </row>
    <row r="586" spans="2:6" x14ac:dyDescent="0.2">
      <c r="B586" s="227">
        <v>1852</v>
      </c>
      <c r="C586" s="114">
        <v>966</v>
      </c>
      <c r="D586" s="196"/>
      <c r="E586" s="195"/>
      <c r="F586" s="195"/>
    </row>
    <row r="587" spans="2:6" x14ac:dyDescent="0.2">
      <c r="B587" s="228">
        <v>323</v>
      </c>
      <c r="C587" s="197">
        <v>978</v>
      </c>
      <c r="D587" s="196"/>
      <c r="E587" s="195"/>
      <c r="F587" s="195"/>
    </row>
    <row r="588" spans="2:6" x14ac:dyDescent="0.2">
      <c r="B588" s="228">
        <v>1421</v>
      </c>
      <c r="C588" s="197">
        <v>980</v>
      </c>
      <c r="D588" s="196"/>
      <c r="E588" s="195"/>
      <c r="F588" s="195"/>
    </row>
    <row r="589" spans="2:6" x14ac:dyDescent="0.2">
      <c r="B589" s="227">
        <v>371</v>
      </c>
      <c r="C589" s="114">
        <v>1000</v>
      </c>
      <c r="D589" s="196"/>
      <c r="E589" s="195"/>
      <c r="F589" s="195"/>
    </row>
    <row r="590" spans="2:6" x14ac:dyDescent="0.2">
      <c r="B590" s="227">
        <v>1699</v>
      </c>
      <c r="C590" s="114">
        <v>1000</v>
      </c>
      <c r="D590" s="196"/>
      <c r="E590" s="195"/>
      <c r="F590" s="195"/>
    </row>
    <row r="591" spans="2:6" x14ac:dyDescent="0.2">
      <c r="B591" s="227">
        <v>1783</v>
      </c>
      <c r="C591" s="114">
        <v>1000</v>
      </c>
      <c r="D591" s="196"/>
      <c r="E591" s="195"/>
      <c r="F591" s="195"/>
    </row>
    <row r="592" spans="2:6" x14ac:dyDescent="0.2">
      <c r="B592" s="227">
        <v>1626</v>
      </c>
      <c r="C592" s="114">
        <v>1008.333333333333</v>
      </c>
      <c r="D592" s="196"/>
      <c r="E592" s="195"/>
      <c r="F592" s="195"/>
    </row>
    <row r="593" spans="2:6" x14ac:dyDescent="0.2">
      <c r="B593" s="227">
        <v>1964</v>
      </c>
      <c r="C593" s="114">
        <v>1020</v>
      </c>
      <c r="D593" s="196"/>
      <c r="E593" s="195"/>
      <c r="F593" s="195"/>
    </row>
    <row r="594" spans="2:6" x14ac:dyDescent="0.2">
      <c r="B594" s="227">
        <v>1125</v>
      </c>
      <c r="C594" s="114">
        <v>1023</v>
      </c>
      <c r="D594" s="196"/>
      <c r="E594" s="195"/>
      <c r="F594" s="195"/>
    </row>
    <row r="595" spans="2:6" x14ac:dyDescent="0.2">
      <c r="B595" s="228">
        <v>909</v>
      </c>
      <c r="C595" s="197">
        <v>1024</v>
      </c>
      <c r="D595" s="196"/>
      <c r="E595" s="195"/>
      <c r="F595" s="195"/>
    </row>
    <row r="596" spans="2:6" x14ac:dyDescent="0.2">
      <c r="B596" s="227">
        <v>380</v>
      </c>
      <c r="C596" s="114">
        <v>1033.5</v>
      </c>
      <c r="D596" s="196"/>
      <c r="E596" s="195"/>
      <c r="F596" s="195"/>
    </row>
    <row r="597" spans="2:6" x14ac:dyDescent="0.2">
      <c r="B597" s="228">
        <v>102</v>
      </c>
      <c r="C597" s="197">
        <v>1035</v>
      </c>
      <c r="D597" s="196"/>
      <c r="E597" s="195"/>
      <c r="F597" s="195"/>
    </row>
    <row r="598" spans="2:6" x14ac:dyDescent="0.2">
      <c r="B598" s="228">
        <v>2235</v>
      </c>
      <c r="C598" s="197">
        <v>1040</v>
      </c>
      <c r="D598" s="196"/>
      <c r="E598" s="195"/>
      <c r="F598" s="195"/>
    </row>
    <row r="599" spans="2:6" x14ac:dyDescent="0.2">
      <c r="B599" s="228">
        <v>192</v>
      </c>
      <c r="C599" s="197">
        <v>1050</v>
      </c>
      <c r="D599" s="196"/>
      <c r="E599" s="195"/>
      <c r="F599" s="195"/>
    </row>
    <row r="600" spans="2:6" x14ac:dyDescent="0.2">
      <c r="B600" s="227">
        <v>207</v>
      </c>
      <c r="C600" s="114">
        <v>1050</v>
      </c>
      <c r="D600" s="196"/>
      <c r="E600" s="195"/>
      <c r="F600" s="195"/>
    </row>
    <row r="601" spans="2:6" x14ac:dyDescent="0.2">
      <c r="B601" s="228">
        <v>276</v>
      </c>
      <c r="C601" s="197">
        <v>1050</v>
      </c>
      <c r="D601" s="196"/>
      <c r="E601" s="195"/>
      <c r="F601" s="195"/>
    </row>
    <row r="602" spans="2:6" x14ac:dyDescent="0.2">
      <c r="B602" s="227">
        <v>279</v>
      </c>
      <c r="C602" s="114">
        <v>1050</v>
      </c>
      <c r="D602" s="196"/>
      <c r="E602" s="195"/>
      <c r="F602" s="195"/>
    </row>
    <row r="603" spans="2:6" x14ac:dyDescent="0.2">
      <c r="B603" s="227">
        <v>657</v>
      </c>
      <c r="C603" s="114">
        <v>1050</v>
      </c>
      <c r="D603" s="196"/>
      <c r="E603" s="195"/>
      <c r="F603" s="195"/>
    </row>
    <row r="604" spans="2:6" x14ac:dyDescent="0.2">
      <c r="B604" s="227">
        <v>855</v>
      </c>
      <c r="C604" s="114">
        <v>1050</v>
      </c>
      <c r="D604" s="196"/>
      <c r="E604" s="195"/>
      <c r="F604" s="195"/>
    </row>
    <row r="605" spans="2:6" x14ac:dyDescent="0.2">
      <c r="B605" s="227">
        <v>1051</v>
      </c>
      <c r="C605" s="114">
        <v>1050</v>
      </c>
      <c r="D605" s="196"/>
      <c r="E605" s="195"/>
      <c r="F605" s="195"/>
    </row>
    <row r="606" spans="2:6" x14ac:dyDescent="0.2">
      <c r="B606" s="228">
        <v>1600</v>
      </c>
      <c r="C606" s="197">
        <v>1050</v>
      </c>
      <c r="D606" s="196"/>
      <c r="E606" s="195"/>
      <c r="F606" s="195"/>
    </row>
    <row r="607" spans="2:6" x14ac:dyDescent="0.2">
      <c r="B607" s="228">
        <v>1717</v>
      </c>
      <c r="C607" s="197">
        <v>1050</v>
      </c>
      <c r="D607" s="196"/>
      <c r="E607" s="195"/>
      <c r="F607" s="195"/>
    </row>
    <row r="608" spans="2:6" x14ac:dyDescent="0.2">
      <c r="B608" s="227">
        <v>1791</v>
      </c>
      <c r="C608" s="114">
        <v>1050</v>
      </c>
      <c r="D608" s="196"/>
      <c r="E608" s="195"/>
      <c r="F608" s="195"/>
    </row>
    <row r="609" spans="2:6" x14ac:dyDescent="0.2">
      <c r="B609" s="228">
        <v>1918</v>
      </c>
      <c r="C609" s="197">
        <v>1050</v>
      </c>
      <c r="D609" s="196"/>
      <c r="E609" s="195"/>
      <c r="F609" s="195"/>
    </row>
    <row r="610" spans="2:6" x14ac:dyDescent="0.2">
      <c r="B610" s="228">
        <v>2047</v>
      </c>
      <c r="C610" s="197">
        <v>1050</v>
      </c>
      <c r="D610" s="196"/>
      <c r="E610" s="195"/>
      <c r="F610" s="195"/>
    </row>
    <row r="611" spans="2:6" x14ac:dyDescent="0.2">
      <c r="B611" s="228">
        <v>2205</v>
      </c>
      <c r="C611" s="197">
        <v>1050</v>
      </c>
      <c r="D611" s="196"/>
      <c r="E611" s="195"/>
      <c r="F611" s="195"/>
    </row>
    <row r="612" spans="2:6" x14ac:dyDescent="0.2">
      <c r="B612" s="228">
        <v>1203</v>
      </c>
      <c r="C612" s="197">
        <v>1053</v>
      </c>
      <c r="D612" s="196"/>
      <c r="E612" s="195"/>
      <c r="F612" s="195"/>
    </row>
    <row r="613" spans="2:6" x14ac:dyDescent="0.2">
      <c r="B613" s="228">
        <v>613</v>
      </c>
      <c r="C613" s="197">
        <v>1070</v>
      </c>
      <c r="D613" s="196"/>
      <c r="E613" s="195"/>
      <c r="F613" s="195"/>
    </row>
    <row r="614" spans="2:6" x14ac:dyDescent="0.2">
      <c r="B614" s="228">
        <v>1800</v>
      </c>
      <c r="C614" s="197">
        <v>1077</v>
      </c>
      <c r="D614" s="196"/>
      <c r="E614" s="195"/>
      <c r="F614" s="195"/>
    </row>
    <row r="615" spans="2:6" x14ac:dyDescent="0.2">
      <c r="B615" s="228">
        <v>471</v>
      </c>
      <c r="C615" s="197">
        <v>1083.333333333333</v>
      </c>
      <c r="D615" s="196"/>
      <c r="E615" s="195"/>
      <c r="F615" s="195"/>
    </row>
    <row r="616" spans="2:6" x14ac:dyDescent="0.2">
      <c r="B616" s="227">
        <v>1262</v>
      </c>
      <c r="C616" s="114">
        <v>1083.333333333333</v>
      </c>
      <c r="D616" s="196"/>
      <c r="E616" s="195"/>
      <c r="F616" s="195"/>
    </row>
    <row r="617" spans="2:6" x14ac:dyDescent="0.2">
      <c r="B617" s="228">
        <v>817</v>
      </c>
      <c r="C617" s="197">
        <v>1083.3333333333339</v>
      </c>
      <c r="D617" s="196"/>
      <c r="E617" s="195"/>
      <c r="F617" s="195"/>
    </row>
    <row r="618" spans="2:6" x14ac:dyDescent="0.2">
      <c r="B618" s="228">
        <v>35</v>
      </c>
      <c r="C618" s="197">
        <v>1100</v>
      </c>
      <c r="D618" s="196"/>
      <c r="E618" s="195"/>
      <c r="F618" s="195"/>
    </row>
    <row r="619" spans="2:6" x14ac:dyDescent="0.2">
      <c r="B619" s="227">
        <v>355</v>
      </c>
      <c r="C619" s="114">
        <v>1100</v>
      </c>
      <c r="D619" s="196"/>
      <c r="E619" s="195"/>
      <c r="F619" s="195"/>
    </row>
    <row r="620" spans="2:6" x14ac:dyDescent="0.2">
      <c r="B620" s="227">
        <v>476</v>
      </c>
      <c r="C620" s="114">
        <v>1100</v>
      </c>
      <c r="D620" s="196"/>
      <c r="E620" s="195"/>
      <c r="F620" s="195"/>
    </row>
    <row r="621" spans="2:6" x14ac:dyDescent="0.2">
      <c r="B621" s="227">
        <v>558</v>
      </c>
      <c r="C621" s="114">
        <v>1100</v>
      </c>
      <c r="D621" s="196"/>
      <c r="E621" s="195"/>
      <c r="F621" s="195"/>
    </row>
    <row r="622" spans="2:6" x14ac:dyDescent="0.2">
      <c r="B622" s="227">
        <v>580</v>
      </c>
      <c r="C622" s="114">
        <v>1100</v>
      </c>
      <c r="D622" s="196"/>
      <c r="E622" s="195"/>
      <c r="F622" s="195"/>
    </row>
    <row r="623" spans="2:6" x14ac:dyDescent="0.2">
      <c r="B623" s="227">
        <v>596</v>
      </c>
      <c r="C623" s="114">
        <v>1100</v>
      </c>
      <c r="D623" s="196"/>
      <c r="E623" s="195"/>
      <c r="F623" s="195"/>
    </row>
    <row r="624" spans="2:6" x14ac:dyDescent="0.2">
      <c r="B624" s="228">
        <v>684</v>
      </c>
      <c r="C624" s="197">
        <v>1100</v>
      </c>
      <c r="D624" s="196"/>
      <c r="E624" s="195"/>
      <c r="F624" s="195"/>
    </row>
    <row r="625" spans="2:6" x14ac:dyDescent="0.2">
      <c r="B625" s="228">
        <v>742</v>
      </c>
      <c r="C625" s="197">
        <v>1100</v>
      </c>
      <c r="D625" s="196"/>
      <c r="E625" s="195"/>
      <c r="F625" s="195"/>
    </row>
    <row r="626" spans="2:6" x14ac:dyDescent="0.2">
      <c r="B626" s="227">
        <v>802</v>
      </c>
      <c r="C626" s="114">
        <v>1100</v>
      </c>
      <c r="D626" s="196"/>
      <c r="E626" s="195"/>
      <c r="F626" s="195"/>
    </row>
    <row r="627" spans="2:6" x14ac:dyDescent="0.2">
      <c r="B627" s="227">
        <v>1019</v>
      </c>
      <c r="C627" s="114">
        <v>1100</v>
      </c>
      <c r="D627" s="196"/>
      <c r="E627" s="195"/>
      <c r="F627" s="195"/>
    </row>
    <row r="628" spans="2:6" x14ac:dyDescent="0.2">
      <c r="B628" s="227">
        <v>1034</v>
      </c>
      <c r="C628" s="114">
        <v>1100</v>
      </c>
      <c r="D628" s="196"/>
      <c r="E628" s="195"/>
      <c r="F628" s="195"/>
    </row>
    <row r="629" spans="2:6" x14ac:dyDescent="0.2">
      <c r="B629" s="227">
        <v>1035</v>
      </c>
      <c r="C629" s="114">
        <v>1100</v>
      </c>
      <c r="D629" s="196"/>
      <c r="E629" s="195"/>
      <c r="F629" s="195"/>
    </row>
    <row r="630" spans="2:6" x14ac:dyDescent="0.2">
      <c r="B630" s="228">
        <v>1157</v>
      </c>
      <c r="C630" s="197">
        <v>1100</v>
      </c>
      <c r="D630" s="196"/>
      <c r="E630" s="195"/>
      <c r="F630" s="195"/>
    </row>
    <row r="631" spans="2:6" x14ac:dyDescent="0.2">
      <c r="B631" s="227">
        <v>1310</v>
      </c>
      <c r="C631" s="114">
        <v>1100</v>
      </c>
      <c r="D631" s="196"/>
      <c r="E631" s="195"/>
      <c r="F631" s="195"/>
    </row>
    <row r="632" spans="2:6" x14ac:dyDescent="0.2">
      <c r="B632" s="227">
        <v>1338</v>
      </c>
      <c r="C632" s="114">
        <v>1100</v>
      </c>
      <c r="D632" s="196"/>
      <c r="E632" s="195"/>
      <c r="F632" s="195"/>
    </row>
    <row r="633" spans="2:6" x14ac:dyDescent="0.2">
      <c r="B633" s="227">
        <v>1355</v>
      </c>
      <c r="C633" s="114">
        <v>1100</v>
      </c>
      <c r="D633" s="196"/>
      <c r="E633" s="195"/>
      <c r="F633" s="195"/>
    </row>
    <row r="634" spans="2:6" x14ac:dyDescent="0.2">
      <c r="B634" s="228">
        <v>1481</v>
      </c>
      <c r="C634" s="197">
        <v>1100</v>
      </c>
      <c r="D634" s="196"/>
      <c r="E634" s="195"/>
      <c r="F634" s="195"/>
    </row>
    <row r="635" spans="2:6" x14ac:dyDescent="0.2">
      <c r="B635" s="228">
        <v>1541</v>
      </c>
      <c r="C635" s="197">
        <v>1100</v>
      </c>
      <c r="D635" s="196"/>
      <c r="E635" s="195"/>
      <c r="F635" s="195"/>
    </row>
    <row r="636" spans="2:6" x14ac:dyDescent="0.2">
      <c r="B636" s="228">
        <v>1556</v>
      </c>
      <c r="C636" s="197">
        <v>1100</v>
      </c>
      <c r="D636" s="196"/>
      <c r="E636" s="195"/>
      <c r="F636" s="195"/>
    </row>
    <row r="637" spans="2:6" x14ac:dyDescent="0.2">
      <c r="B637" s="228">
        <v>1704</v>
      </c>
      <c r="C637" s="197">
        <v>1100</v>
      </c>
      <c r="D637" s="196"/>
      <c r="E637" s="195"/>
      <c r="F637" s="195"/>
    </row>
    <row r="638" spans="2:6" x14ac:dyDescent="0.2">
      <c r="B638" s="228">
        <v>1741</v>
      </c>
      <c r="C638" s="197">
        <v>1100</v>
      </c>
      <c r="D638" s="196"/>
      <c r="E638" s="195"/>
      <c r="F638" s="195"/>
    </row>
    <row r="639" spans="2:6" x14ac:dyDescent="0.2">
      <c r="B639" s="227">
        <v>1756</v>
      </c>
      <c r="C639" s="114">
        <v>1100</v>
      </c>
      <c r="D639" s="196"/>
      <c r="E639" s="195"/>
      <c r="F639" s="195"/>
    </row>
    <row r="640" spans="2:6" x14ac:dyDescent="0.2">
      <c r="B640" s="227">
        <v>2025</v>
      </c>
      <c r="C640" s="114">
        <v>1100</v>
      </c>
      <c r="D640" s="196"/>
      <c r="E640" s="195"/>
      <c r="F640" s="195"/>
    </row>
    <row r="641" spans="2:6" x14ac:dyDescent="0.2">
      <c r="B641" s="227">
        <v>2036</v>
      </c>
      <c r="C641" s="114">
        <v>1100</v>
      </c>
      <c r="D641" s="196"/>
      <c r="E641" s="195"/>
      <c r="F641" s="195"/>
    </row>
    <row r="642" spans="2:6" x14ac:dyDescent="0.2">
      <c r="B642" s="227">
        <v>2109</v>
      </c>
      <c r="C642" s="114">
        <v>1100</v>
      </c>
      <c r="D642" s="196"/>
      <c r="E642" s="195"/>
      <c r="F642" s="195"/>
    </row>
    <row r="643" spans="2:6" x14ac:dyDescent="0.2">
      <c r="B643" s="228">
        <v>2163</v>
      </c>
      <c r="C643" s="197">
        <v>1100</v>
      </c>
      <c r="D643" s="196"/>
      <c r="E643" s="195"/>
      <c r="F643" s="195"/>
    </row>
    <row r="644" spans="2:6" x14ac:dyDescent="0.2">
      <c r="B644" s="227">
        <v>2201</v>
      </c>
      <c r="C644" s="114">
        <v>1100</v>
      </c>
      <c r="D644" s="196"/>
      <c r="E644" s="195"/>
      <c r="F644" s="195"/>
    </row>
    <row r="645" spans="2:6" x14ac:dyDescent="0.2">
      <c r="B645" s="227">
        <v>2249</v>
      </c>
      <c r="C645" s="114">
        <v>1100</v>
      </c>
      <c r="D645" s="196"/>
      <c r="E645" s="195"/>
      <c r="F645" s="195"/>
    </row>
    <row r="646" spans="2:6" x14ac:dyDescent="0.2">
      <c r="B646" s="227">
        <v>1684</v>
      </c>
      <c r="C646" s="114">
        <v>1104</v>
      </c>
      <c r="D646" s="196"/>
      <c r="E646" s="195"/>
      <c r="F646" s="195"/>
    </row>
    <row r="647" spans="2:6" x14ac:dyDescent="0.2">
      <c r="B647" s="228">
        <v>1398</v>
      </c>
      <c r="C647" s="197">
        <v>1120</v>
      </c>
      <c r="D647" s="196"/>
      <c r="E647" s="195"/>
      <c r="F647" s="195"/>
    </row>
    <row r="648" spans="2:6" x14ac:dyDescent="0.2">
      <c r="B648" s="227">
        <v>2108</v>
      </c>
      <c r="C648" s="114">
        <v>1130</v>
      </c>
      <c r="D648" s="196"/>
      <c r="E648" s="195"/>
      <c r="F648" s="195"/>
    </row>
    <row r="649" spans="2:6" x14ac:dyDescent="0.2">
      <c r="B649" s="227">
        <v>873</v>
      </c>
      <c r="C649" s="114">
        <v>1141.666666666667</v>
      </c>
      <c r="D649" s="196"/>
      <c r="E649" s="195"/>
      <c r="F649" s="195"/>
    </row>
    <row r="650" spans="2:6" x14ac:dyDescent="0.2">
      <c r="B650" s="228">
        <v>1528</v>
      </c>
      <c r="C650" s="197">
        <v>1150</v>
      </c>
      <c r="D650" s="196"/>
      <c r="E650" s="195"/>
      <c r="F650" s="195"/>
    </row>
    <row r="651" spans="2:6" x14ac:dyDescent="0.2">
      <c r="B651" s="227">
        <v>1563</v>
      </c>
      <c r="C651" s="114">
        <v>1150</v>
      </c>
      <c r="D651" s="196"/>
      <c r="E651" s="195"/>
      <c r="F651" s="195"/>
    </row>
    <row r="652" spans="2:6" x14ac:dyDescent="0.2">
      <c r="B652" s="227">
        <v>144</v>
      </c>
      <c r="C652" s="114">
        <v>1152.9000000000001</v>
      </c>
      <c r="D652" s="196"/>
      <c r="E652" s="195"/>
      <c r="F652" s="195"/>
    </row>
    <row r="653" spans="2:6" x14ac:dyDescent="0.2">
      <c r="B653" s="227">
        <v>1005</v>
      </c>
      <c r="C653" s="114">
        <v>1158.3</v>
      </c>
      <c r="D653" s="196"/>
      <c r="E653" s="195"/>
      <c r="F653" s="195"/>
    </row>
    <row r="654" spans="2:6" x14ac:dyDescent="0.2">
      <c r="B654" s="228">
        <v>1062</v>
      </c>
      <c r="C654" s="197">
        <v>1166.666666666667</v>
      </c>
      <c r="D654" s="196"/>
      <c r="E654" s="195"/>
      <c r="F654" s="195"/>
    </row>
    <row r="655" spans="2:6" x14ac:dyDescent="0.2">
      <c r="B655" s="228">
        <v>1779</v>
      </c>
      <c r="C655" s="197">
        <v>1166.666666666667</v>
      </c>
      <c r="D655" s="196"/>
      <c r="E655" s="195"/>
      <c r="F655" s="195"/>
    </row>
    <row r="656" spans="2:6" x14ac:dyDescent="0.2">
      <c r="B656" s="227">
        <v>1790</v>
      </c>
      <c r="C656" s="114">
        <v>1166.666666666667</v>
      </c>
      <c r="D656" s="196"/>
      <c r="E656" s="195"/>
      <c r="F656" s="195"/>
    </row>
    <row r="657" spans="2:6" x14ac:dyDescent="0.2">
      <c r="B657" s="227">
        <v>2155</v>
      </c>
      <c r="C657" s="114">
        <v>1166.666666666667</v>
      </c>
      <c r="D657" s="196"/>
      <c r="E657" s="195"/>
      <c r="F657" s="195"/>
    </row>
    <row r="658" spans="2:6" x14ac:dyDescent="0.2">
      <c r="B658" s="228">
        <v>743</v>
      </c>
      <c r="C658" s="197">
        <v>1170</v>
      </c>
      <c r="D658" s="196"/>
      <c r="E658" s="195"/>
      <c r="F658" s="195"/>
    </row>
    <row r="659" spans="2:6" x14ac:dyDescent="0.2">
      <c r="B659" s="228">
        <v>1214</v>
      </c>
      <c r="C659" s="197">
        <v>1170</v>
      </c>
      <c r="D659" s="196"/>
      <c r="E659" s="195"/>
      <c r="F659" s="195"/>
    </row>
    <row r="660" spans="2:6" x14ac:dyDescent="0.2">
      <c r="B660" s="227">
        <v>98</v>
      </c>
      <c r="C660" s="114">
        <v>1174.5</v>
      </c>
      <c r="D660" s="196"/>
      <c r="E660" s="195"/>
      <c r="F660" s="195"/>
    </row>
    <row r="661" spans="2:6" x14ac:dyDescent="0.2">
      <c r="B661" s="228">
        <v>274</v>
      </c>
      <c r="C661" s="197">
        <v>1175</v>
      </c>
      <c r="D661" s="196"/>
      <c r="E661" s="195"/>
      <c r="F661" s="195"/>
    </row>
    <row r="662" spans="2:6" x14ac:dyDescent="0.2">
      <c r="B662" s="228">
        <v>1277</v>
      </c>
      <c r="C662" s="197">
        <v>1185</v>
      </c>
      <c r="D662" s="196"/>
      <c r="E662" s="195"/>
      <c r="F662" s="195"/>
    </row>
    <row r="663" spans="2:6" x14ac:dyDescent="0.2">
      <c r="B663" s="228">
        <v>236</v>
      </c>
      <c r="C663" s="197">
        <v>1192.5</v>
      </c>
      <c r="D663" s="196"/>
      <c r="E663" s="195"/>
      <c r="F663" s="195"/>
    </row>
    <row r="664" spans="2:6" x14ac:dyDescent="0.2">
      <c r="B664" s="227">
        <v>116</v>
      </c>
      <c r="C664" s="114">
        <v>1200</v>
      </c>
      <c r="D664" s="196"/>
      <c r="E664" s="195"/>
      <c r="F664" s="195"/>
    </row>
    <row r="665" spans="2:6" x14ac:dyDescent="0.2">
      <c r="B665" s="227">
        <v>296</v>
      </c>
      <c r="C665" s="114">
        <v>1200</v>
      </c>
      <c r="D665" s="196"/>
      <c r="E665" s="195"/>
      <c r="F665" s="195"/>
    </row>
    <row r="666" spans="2:6" x14ac:dyDescent="0.2">
      <c r="B666" s="228">
        <v>493</v>
      </c>
      <c r="C666" s="197">
        <v>1200</v>
      </c>
      <c r="D666" s="196"/>
      <c r="E666" s="195"/>
      <c r="F666" s="195"/>
    </row>
    <row r="667" spans="2:6" x14ac:dyDescent="0.2">
      <c r="B667" s="227">
        <v>503</v>
      </c>
      <c r="C667" s="114">
        <v>1200</v>
      </c>
      <c r="D667" s="196"/>
      <c r="E667" s="195"/>
      <c r="F667" s="195"/>
    </row>
    <row r="668" spans="2:6" x14ac:dyDescent="0.2">
      <c r="B668" s="227">
        <v>587</v>
      </c>
      <c r="C668" s="114">
        <v>1200</v>
      </c>
      <c r="D668" s="196"/>
      <c r="E668" s="195"/>
      <c r="F668" s="195"/>
    </row>
    <row r="669" spans="2:6" x14ac:dyDescent="0.2">
      <c r="B669" s="228">
        <v>588</v>
      </c>
      <c r="C669" s="197">
        <v>1200</v>
      </c>
      <c r="D669" s="196"/>
      <c r="E669" s="195"/>
      <c r="F669" s="195"/>
    </row>
    <row r="670" spans="2:6" x14ac:dyDescent="0.2">
      <c r="B670" s="227">
        <v>595</v>
      </c>
      <c r="C670" s="114">
        <v>1200</v>
      </c>
      <c r="D670" s="196"/>
      <c r="E670" s="195"/>
      <c r="F670" s="195"/>
    </row>
    <row r="671" spans="2:6" x14ac:dyDescent="0.2">
      <c r="B671" s="227">
        <v>614</v>
      </c>
      <c r="C671" s="114">
        <v>1200</v>
      </c>
      <c r="D671" s="196"/>
      <c r="E671" s="195"/>
      <c r="F671" s="195"/>
    </row>
    <row r="672" spans="2:6" x14ac:dyDescent="0.2">
      <c r="B672" s="227">
        <v>751</v>
      </c>
      <c r="C672" s="114">
        <v>1200</v>
      </c>
      <c r="D672" s="196"/>
      <c r="E672" s="195"/>
      <c r="F672" s="195"/>
    </row>
    <row r="673" spans="2:6" x14ac:dyDescent="0.2">
      <c r="B673" s="228">
        <v>814</v>
      </c>
      <c r="C673" s="197">
        <v>1200</v>
      </c>
      <c r="D673" s="196"/>
      <c r="E673" s="195"/>
      <c r="F673" s="195"/>
    </row>
    <row r="674" spans="2:6" x14ac:dyDescent="0.2">
      <c r="B674" s="227">
        <v>1038</v>
      </c>
      <c r="C674" s="114">
        <v>1200</v>
      </c>
      <c r="D674" s="196"/>
      <c r="E674" s="195"/>
      <c r="F674" s="195"/>
    </row>
    <row r="675" spans="2:6" x14ac:dyDescent="0.2">
      <c r="B675" s="227">
        <v>1112</v>
      </c>
      <c r="C675" s="114">
        <v>1200</v>
      </c>
      <c r="D675" s="196"/>
      <c r="E675" s="195"/>
      <c r="F675" s="195"/>
    </row>
    <row r="676" spans="2:6" x14ac:dyDescent="0.2">
      <c r="B676" s="227">
        <v>1132</v>
      </c>
      <c r="C676" s="114">
        <v>1200</v>
      </c>
      <c r="D676" s="196"/>
      <c r="E676" s="195"/>
      <c r="F676" s="195"/>
    </row>
    <row r="677" spans="2:6" x14ac:dyDescent="0.2">
      <c r="B677" s="227">
        <v>1137</v>
      </c>
      <c r="C677" s="114">
        <v>1200</v>
      </c>
      <c r="D677" s="196"/>
      <c r="E677" s="195"/>
      <c r="F677" s="195"/>
    </row>
    <row r="678" spans="2:6" x14ac:dyDescent="0.2">
      <c r="B678" s="227">
        <v>1162</v>
      </c>
      <c r="C678" s="114">
        <v>1200</v>
      </c>
      <c r="D678" s="196"/>
      <c r="E678" s="195"/>
      <c r="F678" s="195"/>
    </row>
    <row r="679" spans="2:6" x14ac:dyDescent="0.2">
      <c r="B679" s="227">
        <v>1189</v>
      </c>
      <c r="C679" s="114">
        <v>1200</v>
      </c>
      <c r="D679" s="196"/>
      <c r="E679" s="195"/>
      <c r="F679" s="195"/>
    </row>
    <row r="680" spans="2:6" x14ac:dyDescent="0.2">
      <c r="B680" s="227">
        <v>1232</v>
      </c>
      <c r="C680" s="114">
        <v>1200</v>
      </c>
      <c r="D680" s="196"/>
      <c r="E680" s="195"/>
      <c r="F680" s="195"/>
    </row>
    <row r="681" spans="2:6" x14ac:dyDescent="0.2">
      <c r="B681" s="227">
        <v>1298</v>
      </c>
      <c r="C681" s="114">
        <v>1200</v>
      </c>
      <c r="D681" s="196"/>
      <c r="E681" s="195"/>
      <c r="F681" s="195"/>
    </row>
    <row r="682" spans="2:6" x14ac:dyDescent="0.2">
      <c r="B682" s="228">
        <v>1435</v>
      </c>
      <c r="C682" s="197">
        <v>1200</v>
      </c>
      <c r="D682" s="196"/>
      <c r="E682" s="195"/>
      <c r="F682" s="195"/>
    </row>
    <row r="683" spans="2:6" x14ac:dyDescent="0.2">
      <c r="B683" s="227">
        <v>1438</v>
      </c>
      <c r="C683" s="114">
        <v>1200</v>
      </c>
      <c r="D683" s="196"/>
      <c r="E683" s="195"/>
      <c r="F683" s="195"/>
    </row>
    <row r="684" spans="2:6" x14ac:dyDescent="0.2">
      <c r="B684" s="227">
        <v>1506</v>
      </c>
      <c r="C684" s="114">
        <v>1200</v>
      </c>
      <c r="D684" s="196"/>
      <c r="E684" s="195"/>
      <c r="F684" s="195"/>
    </row>
    <row r="685" spans="2:6" x14ac:dyDescent="0.2">
      <c r="B685" s="228">
        <v>1558</v>
      </c>
      <c r="C685" s="197">
        <v>1200</v>
      </c>
      <c r="D685" s="196"/>
      <c r="E685" s="195"/>
      <c r="F685" s="195"/>
    </row>
    <row r="686" spans="2:6" x14ac:dyDescent="0.2">
      <c r="B686" s="228">
        <v>1593</v>
      </c>
      <c r="C686" s="197">
        <v>1200</v>
      </c>
      <c r="D686" s="196"/>
      <c r="E686" s="195"/>
      <c r="F686" s="195"/>
    </row>
    <row r="687" spans="2:6" x14ac:dyDescent="0.2">
      <c r="B687" s="228">
        <v>1643</v>
      </c>
      <c r="C687" s="197">
        <v>1200</v>
      </c>
      <c r="D687" s="196"/>
      <c r="E687" s="195"/>
      <c r="F687" s="195"/>
    </row>
    <row r="688" spans="2:6" x14ac:dyDescent="0.2">
      <c r="B688" s="227">
        <v>1692</v>
      </c>
      <c r="C688" s="114">
        <v>1200</v>
      </c>
      <c r="D688" s="196"/>
      <c r="E688" s="195"/>
      <c r="F688" s="195"/>
    </row>
    <row r="689" spans="2:6" x14ac:dyDescent="0.2">
      <c r="B689" s="228">
        <v>1768</v>
      </c>
      <c r="C689" s="197">
        <v>1200</v>
      </c>
      <c r="D689" s="196"/>
      <c r="E689" s="195"/>
      <c r="F689" s="195"/>
    </row>
    <row r="690" spans="2:6" x14ac:dyDescent="0.2">
      <c r="B690" s="227">
        <v>1840</v>
      </c>
      <c r="C690" s="114">
        <v>1200</v>
      </c>
      <c r="D690" s="196"/>
      <c r="E690" s="195"/>
      <c r="F690" s="195"/>
    </row>
    <row r="691" spans="2:6" x14ac:dyDescent="0.2">
      <c r="B691" s="227">
        <v>1932</v>
      </c>
      <c r="C691" s="114">
        <v>1200</v>
      </c>
      <c r="D691" s="196"/>
      <c r="E691" s="195"/>
      <c r="F691" s="195"/>
    </row>
    <row r="692" spans="2:6" x14ac:dyDescent="0.2">
      <c r="B692" s="227">
        <v>2032</v>
      </c>
      <c r="C692" s="114">
        <v>1200</v>
      </c>
      <c r="D692" s="196"/>
      <c r="E692" s="195"/>
      <c r="F692" s="195"/>
    </row>
    <row r="693" spans="2:6" x14ac:dyDescent="0.2">
      <c r="B693" s="228">
        <v>2058</v>
      </c>
      <c r="C693" s="197">
        <v>1200</v>
      </c>
      <c r="D693" s="196"/>
      <c r="E693" s="195"/>
      <c r="F693" s="195"/>
    </row>
    <row r="694" spans="2:6" x14ac:dyDescent="0.2">
      <c r="B694" s="228">
        <v>2064</v>
      </c>
      <c r="C694" s="197">
        <v>1200</v>
      </c>
      <c r="D694" s="196"/>
      <c r="E694" s="195"/>
      <c r="F694" s="195"/>
    </row>
    <row r="695" spans="2:6" x14ac:dyDescent="0.2">
      <c r="B695" s="228">
        <v>2110</v>
      </c>
      <c r="C695" s="197">
        <v>1200</v>
      </c>
      <c r="D695" s="196"/>
      <c r="E695" s="195"/>
      <c r="F695" s="195"/>
    </row>
    <row r="696" spans="2:6" x14ac:dyDescent="0.2">
      <c r="B696" s="227">
        <v>2131</v>
      </c>
      <c r="C696" s="114">
        <v>1200</v>
      </c>
      <c r="D696" s="196"/>
      <c r="E696" s="195"/>
      <c r="F696" s="195"/>
    </row>
    <row r="697" spans="2:6" x14ac:dyDescent="0.2">
      <c r="B697" s="227">
        <v>2193</v>
      </c>
      <c r="C697" s="114">
        <v>1200</v>
      </c>
      <c r="D697" s="196"/>
      <c r="E697" s="195"/>
      <c r="F697" s="195"/>
    </row>
    <row r="698" spans="2:6" x14ac:dyDescent="0.2">
      <c r="B698" s="227">
        <v>87</v>
      </c>
      <c r="C698" s="114">
        <v>1219</v>
      </c>
      <c r="D698" s="196"/>
      <c r="E698" s="195"/>
      <c r="F698" s="195"/>
    </row>
    <row r="699" spans="2:6" x14ac:dyDescent="0.2">
      <c r="B699" s="227">
        <v>1366</v>
      </c>
      <c r="C699" s="114">
        <v>1235</v>
      </c>
      <c r="D699" s="196"/>
      <c r="E699" s="195"/>
      <c r="F699" s="195"/>
    </row>
    <row r="700" spans="2:6" x14ac:dyDescent="0.2">
      <c r="B700" s="227">
        <v>20</v>
      </c>
      <c r="C700" s="114">
        <v>1250</v>
      </c>
      <c r="D700" s="196"/>
      <c r="E700" s="195"/>
      <c r="F700" s="195"/>
    </row>
    <row r="701" spans="2:6" x14ac:dyDescent="0.2">
      <c r="B701" s="228">
        <v>623</v>
      </c>
      <c r="C701" s="197">
        <v>1250</v>
      </c>
      <c r="D701" s="196"/>
      <c r="E701" s="195"/>
      <c r="F701" s="195"/>
    </row>
    <row r="702" spans="2:6" x14ac:dyDescent="0.2">
      <c r="B702" s="227">
        <v>674</v>
      </c>
      <c r="C702" s="114">
        <v>1250</v>
      </c>
      <c r="D702" s="196"/>
      <c r="E702" s="195"/>
      <c r="F702" s="195"/>
    </row>
    <row r="703" spans="2:6" x14ac:dyDescent="0.2">
      <c r="B703" s="227">
        <v>719</v>
      </c>
      <c r="C703" s="114">
        <v>1250</v>
      </c>
      <c r="D703" s="196"/>
      <c r="E703" s="195"/>
      <c r="F703" s="195"/>
    </row>
    <row r="704" spans="2:6" x14ac:dyDescent="0.2">
      <c r="B704" s="228">
        <v>1095</v>
      </c>
      <c r="C704" s="197">
        <v>1250</v>
      </c>
      <c r="D704" s="196"/>
      <c r="E704" s="195"/>
      <c r="F704" s="195"/>
    </row>
    <row r="705" spans="2:6" x14ac:dyDescent="0.2">
      <c r="B705" s="227">
        <v>1102</v>
      </c>
      <c r="C705" s="114">
        <v>1250</v>
      </c>
      <c r="D705" s="196"/>
      <c r="E705" s="195"/>
      <c r="F705" s="195"/>
    </row>
    <row r="706" spans="2:6" x14ac:dyDescent="0.2">
      <c r="B706" s="228">
        <v>1854</v>
      </c>
      <c r="C706" s="197">
        <v>1250</v>
      </c>
      <c r="D706" s="196"/>
      <c r="E706" s="195"/>
      <c r="F706" s="195"/>
    </row>
    <row r="707" spans="2:6" x14ac:dyDescent="0.2">
      <c r="B707" s="228">
        <v>2140</v>
      </c>
      <c r="C707" s="197">
        <v>1250</v>
      </c>
      <c r="D707" s="196"/>
      <c r="E707" s="195"/>
      <c r="F707" s="195"/>
    </row>
    <row r="708" spans="2:6" x14ac:dyDescent="0.2">
      <c r="B708" s="228">
        <v>2178</v>
      </c>
      <c r="C708" s="197">
        <v>1250</v>
      </c>
      <c r="D708" s="196"/>
      <c r="E708" s="195"/>
      <c r="F708" s="195"/>
    </row>
    <row r="709" spans="2:6" x14ac:dyDescent="0.2">
      <c r="B709" s="228">
        <v>2210</v>
      </c>
      <c r="C709" s="197">
        <v>1250</v>
      </c>
      <c r="D709" s="196"/>
      <c r="E709" s="195"/>
      <c r="F709" s="195"/>
    </row>
    <row r="710" spans="2:6" x14ac:dyDescent="0.2">
      <c r="B710" s="227">
        <v>2196</v>
      </c>
      <c r="C710" s="114">
        <v>1260</v>
      </c>
      <c r="D710" s="196"/>
      <c r="E710" s="195"/>
      <c r="F710" s="195"/>
    </row>
    <row r="711" spans="2:6" x14ac:dyDescent="0.2">
      <c r="B711" s="227">
        <v>1043</v>
      </c>
      <c r="C711" s="114">
        <v>1265</v>
      </c>
      <c r="D711" s="196"/>
      <c r="E711" s="195"/>
      <c r="F711" s="195"/>
    </row>
    <row r="712" spans="2:6" x14ac:dyDescent="0.2">
      <c r="B712" s="227">
        <v>382</v>
      </c>
      <c r="C712" s="114">
        <v>1272</v>
      </c>
      <c r="D712" s="196"/>
      <c r="E712" s="195"/>
      <c r="F712" s="195"/>
    </row>
    <row r="713" spans="2:6" x14ac:dyDescent="0.2">
      <c r="B713" s="227">
        <v>1786</v>
      </c>
      <c r="C713" s="114">
        <v>1286.416666666667</v>
      </c>
      <c r="D713" s="196"/>
      <c r="E713" s="195"/>
      <c r="F713" s="195"/>
    </row>
    <row r="714" spans="2:6" x14ac:dyDescent="0.2">
      <c r="B714" s="227">
        <v>661</v>
      </c>
      <c r="C714" s="114">
        <v>1287.022916666667</v>
      </c>
      <c r="D714" s="196"/>
      <c r="E714" s="195"/>
      <c r="F714" s="195"/>
    </row>
    <row r="715" spans="2:6" x14ac:dyDescent="0.2">
      <c r="B715" s="228">
        <v>2262</v>
      </c>
      <c r="C715" s="197">
        <v>1290</v>
      </c>
      <c r="D715" s="196"/>
      <c r="E715" s="195"/>
      <c r="F715" s="195"/>
    </row>
    <row r="716" spans="2:6" x14ac:dyDescent="0.2">
      <c r="B716" s="227">
        <v>710</v>
      </c>
      <c r="C716" s="114">
        <v>1291.666666666667</v>
      </c>
      <c r="D716" s="196"/>
      <c r="E716" s="195"/>
      <c r="F716" s="195"/>
    </row>
    <row r="717" spans="2:6" x14ac:dyDescent="0.2">
      <c r="B717" s="227">
        <v>367</v>
      </c>
      <c r="C717" s="114">
        <v>1300</v>
      </c>
      <c r="D717" s="196"/>
      <c r="E717" s="195"/>
      <c r="F717" s="195"/>
    </row>
    <row r="718" spans="2:6" x14ac:dyDescent="0.2">
      <c r="B718" s="228">
        <v>482</v>
      </c>
      <c r="C718" s="197">
        <v>1300</v>
      </c>
      <c r="D718" s="196"/>
      <c r="E718" s="195"/>
      <c r="F718" s="195"/>
    </row>
    <row r="719" spans="2:6" x14ac:dyDescent="0.2">
      <c r="B719" s="227">
        <v>597</v>
      </c>
      <c r="C719" s="114">
        <v>1300</v>
      </c>
      <c r="D719" s="196"/>
      <c r="E719" s="195"/>
      <c r="F719" s="195"/>
    </row>
    <row r="720" spans="2:6" x14ac:dyDescent="0.2">
      <c r="B720" s="228">
        <v>696</v>
      </c>
      <c r="C720" s="197">
        <v>1300</v>
      </c>
      <c r="D720" s="196"/>
      <c r="E720" s="195"/>
      <c r="F720" s="195"/>
    </row>
    <row r="721" spans="2:6" x14ac:dyDescent="0.2">
      <c r="B721" s="228">
        <v>703</v>
      </c>
      <c r="C721" s="197">
        <v>1300</v>
      </c>
      <c r="D721" s="196"/>
      <c r="E721" s="195"/>
      <c r="F721" s="195"/>
    </row>
    <row r="722" spans="2:6" x14ac:dyDescent="0.2">
      <c r="B722" s="228">
        <v>1073</v>
      </c>
      <c r="C722" s="197">
        <v>1300</v>
      </c>
      <c r="D722" s="196"/>
      <c r="E722" s="195"/>
      <c r="F722" s="195"/>
    </row>
    <row r="723" spans="2:6" x14ac:dyDescent="0.2">
      <c r="B723" s="228">
        <v>1166</v>
      </c>
      <c r="C723" s="197">
        <v>1300</v>
      </c>
      <c r="D723" s="196"/>
      <c r="E723" s="195"/>
      <c r="F723" s="195"/>
    </row>
    <row r="724" spans="2:6" x14ac:dyDescent="0.2">
      <c r="B724" s="227">
        <v>1255</v>
      </c>
      <c r="C724" s="114">
        <v>1300</v>
      </c>
      <c r="D724" s="196"/>
      <c r="E724" s="195"/>
      <c r="F724" s="195"/>
    </row>
    <row r="725" spans="2:6" x14ac:dyDescent="0.2">
      <c r="B725" s="227">
        <v>1304</v>
      </c>
      <c r="C725" s="114">
        <v>1300</v>
      </c>
      <c r="D725" s="196"/>
      <c r="E725" s="195"/>
      <c r="F725" s="195"/>
    </row>
    <row r="726" spans="2:6" x14ac:dyDescent="0.2">
      <c r="B726" s="227">
        <v>1424</v>
      </c>
      <c r="C726" s="114">
        <v>1300</v>
      </c>
      <c r="D726" s="196"/>
      <c r="E726" s="195"/>
      <c r="F726" s="195"/>
    </row>
    <row r="727" spans="2:6" x14ac:dyDescent="0.2">
      <c r="B727" s="228">
        <v>1484</v>
      </c>
      <c r="C727" s="197">
        <v>1300</v>
      </c>
      <c r="D727" s="196"/>
      <c r="E727" s="195"/>
      <c r="F727" s="195"/>
    </row>
    <row r="728" spans="2:6" x14ac:dyDescent="0.2">
      <c r="B728" s="228">
        <v>1536</v>
      </c>
      <c r="C728" s="197">
        <v>1300</v>
      </c>
      <c r="D728" s="196"/>
      <c r="E728" s="195"/>
      <c r="F728" s="195"/>
    </row>
    <row r="729" spans="2:6" x14ac:dyDescent="0.2">
      <c r="B729" s="228">
        <v>1553</v>
      </c>
      <c r="C729" s="197">
        <v>1300</v>
      </c>
      <c r="D729" s="196"/>
      <c r="E729" s="195"/>
      <c r="F729" s="195"/>
    </row>
    <row r="730" spans="2:6" x14ac:dyDescent="0.2">
      <c r="B730" s="227">
        <v>1638</v>
      </c>
      <c r="C730" s="114">
        <v>1300</v>
      </c>
      <c r="D730" s="196"/>
      <c r="E730" s="195"/>
      <c r="F730" s="195"/>
    </row>
    <row r="731" spans="2:6" x14ac:dyDescent="0.2">
      <c r="B731" s="228">
        <v>1750</v>
      </c>
      <c r="C731" s="197">
        <v>1300</v>
      </c>
      <c r="D731" s="196"/>
      <c r="E731" s="195"/>
      <c r="F731" s="195"/>
    </row>
    <row r="732" spans="2:6" x14ac:dyDescent="0.2">
      <c r="B732" s="227">
        <v>1836</v>
      </c>
      <c r="C732" s="114">
        <v>1300</v>
      </c>
      <c r="D732" s="196"/>
      <c r="E732" s="195"/>
      <c r="F732" s="195"/>
    </row>
    <row r="733" spans="2:6" x14ac:dyDescent="0.2">
      <c r="B733" s="227">
        <v>1847</v>
      </c>
      <c r="C733" s="114">
        <v>1300</v>
      </c>
      <c r="D733" s="196"/>
      <c r="E733" s="195"/>
      <c r="F733" s="195"/>
    </row>
    <row r="734" spans="2:6" x14ac:dyDescent="0.2">
      <c r="B734" s="227">
        <v>1901</v>
      </c>
      <c r="C734" s="114">
        <v>1300</v>
      </c>
      <c r="D734" s="196"/>
      <c r="E734" s="195"/>
      <c r="F734" s="195"/>
    </row>
    <row r="735" spans="2:6" x14ac:dyDescent="0.2">
      <c r="B735" s="228">
        <v>2013</v>
      </c>
      <c r="C735" s="197">
        <v>1300</v>
      </c>
      <c r="D735" s="196"/>
      <c r="E735" s="195"/>
      <c r="F735" s="195"/>
    </row>
    <row r="736" spans="2:6" x14ac:dyDescent="0.2">
      <c r="B736" s="228">
        <v>2095</v>
      </c>
      <c r="C736" s="197">
        <v>1300</v>
      </c>
      <c r="D736" s="196"/>
      <c r="E736" s="195"/>
      <c r="F736" s="195"/>
    </row>
    <row r="737" spans="2:6" x14ac:dyDescent="0.2">
      <c r="B737" s="228">
        <v>377</v>
      </c>
      <c r="C737" s="197">
        <v>1325</v>
      </c>
      <c r="D737" s="196"/>
      <c r="E737" s="195"/>
      <c r="F737" s="195"/>
    </row>
    <row r="738" spans="2:6" x14ac:dyDescent="0.2">
      <c r="B738" s="227">
        <v>1548</v>
      </c>
      <c r="C738" s="114">
        <v>1325</v>
      </c>
      <c r="D738" s="196"/>
      <c r="E738" s="195"/>
      <c r="F738" s="195"/>
    </row>
    <row r="739" spans="2:6" x14ac:dyDescent="0.2">
      <c r="B739" s="228">
        <v>1947</v>
      </c>
      <c r="C739" s="197">
        <v>1330</v>
      </c>
      <c r="D739" s="196"/>
      <c r="E739" s="195"/>
      <c r="F739" s="195"/>
    </row>
    <row r="740" spans="2:6" x14ac:dyDescent="0.2">
      <c r="B740" s="227">
        <v>1646</v>
      </c>
      <c r="C740" s="114">
        <v>1333.333333333333</v>
      </c>
      <c r="D740" s="196"/>
      <c r="E740" s="195"/>
      <c r="F740" s="195"/>
    </row>
    <row r="741" spans="2:6" x14ac:dyDescent="0.2">
      <c r="B741" s="227">
        <v>1880</v>
      </c>
      <c r="C741" s="114">
        <v>1344</v>
      </c>
      <c r="D741" s="196"/>
      <c r="E741" s="195"/>
      <c r="F741" s="195"/>
    </row>
    <row r="742" spans="2:6" x14ac:dyDescent="0.2">
      <c r="B742" s="228">
        <v>329</v>
      </c>
      <c r="C742" s="197">
        <v>1350</v>
      </c>
      <c r="D742" s="196"/>
      <c r="E742" s="195"/>
      <c r="F742" s="195"/>
    </row>
    <row r="743" spans="2:6" x14ac:dyDescent="0.2">
      <c r="B743" s="227">
        <v>1079</v>
      </c>
      <c r="C743" s="114">
        <v>1350</v>
      </c>
      <c r="D743" s="196"/>
      <c r="E743" s="195"/>
      <c r="F743" s="195"/>
    </row>
    <row r="744" spans="2:6" x14ac:dyDescent="0.2">
      <c r="B744" s="227">
        <v>1622</v>
      </c>
      <c r="C744" s="114">
        <v>1350</v>
      </c>
      <c r="D744" s="196"/>
      <c r="E744" s="195"/>
      <c r="F744" s="195"/>
    </row>
    <row r="745" spans="2:6" x14ac:dyDescent="0.2">
      <c r="B745" s="227">
        <v>2052</v>
      </c>
      <c r="C745" s="114">
        <v>1350</v>
      </c>
      <c r="D745" s="196"/>
      <c r="E745" s="195"/>
      <c r="F745" s="195"/>
    </row>
    <row r="746" spans="2:6" x14ac:dyDescent="0.2">
      <c r="B746" s="228">
        <v>1701</v>
      </c>
      <c r="C746" s="197">
        <v>1361.208333333333</v>
      </c>
      <c r="D746" s="196"/>
      <c r="E746" s="195"/>
      <c r="F746" s="195"/>
    </row>
    <row r="747" spans="2:6" x14ac:dyDescent="0.2">
      <c r="B747" s="228">
        <v>1006</v>
      </c>
      <c r="C747" s="197">
        <v>1390</v>
      </c>
      <c r="D747" s="196"/>
      <c r="E747" s="195"/>
      <c r="F747" s="195"/>
    </row>
    <row r="748" spans="2:6" x14ac:dyDescent="0.2">
      <c r="B748" s="228">
        <v>1495</v>
      </c>
      <c r="C748" s="197">
        <v>1390</v>
      </c>
      <c r="D748" s="196"/>
      <c r="E748" s="195"/>
      <c r="F748" s="195"/>
    </row>
    <row r="749" spans="2:6" x14ac:dyDescent="0.2">
      <c r="B749" s="227">
        <v>526</v>
      </c>
      <c r="C749" s="114">
        <v>1400</v>
      </c>
      <c r="D749" s="196"/>
      <c r="E749" s="195"/>
      <c r="F749" s="195"/>
    </row>
    <row r="750" spans="2:6" x14ac:dyDescent="0.2">
      <c r="B750" s="227">
        <v>922</v>
      </c>
      <c r="C750" s="114">
        <v>1400</v>
      </c>
      <c r="D750" s="196"/>
      <c r="E750" s="195"/>
      <c r="F750" s="195"/>
    </row>
    <row r="751" spans="2:6" x14ac:dyDescent="0.2">
      <c r="B751" s="227">
        <v>1037</v>
      </c>
      <c r="C751" s="114">
        <v>1400</v>
      </c>
      <c r="D751" s="196"/>
      <c r="E751" s="195"/>
      <c r="F751" s="195"/>
    </row>
    <row r="752" spans="2:6" x14ac:dyDescent="0.2">
      <c r="B752" s="227">
        <v>1131</v>
      </c>
      <c r="C752" s="114">
        <v>1400</v>
      </c>
      <c r="D752" s="196"/>
      <c r="E752" s="195"/>
      <c r="F752" s="195"/>
    </row>
    <row r="753" spans="2:6" x14ac:dyDescent="0.2">
      <c r="B753" s="227">
        <v>1470</v>
      </c>
      <c r="C753" s="114">
        <v>1400</v>
      </c>
      <c r="D753" s="196"/>
      <c r="E753" s="195"/>
      <c r="F753" s="195"/>
    </row>
    <row r="754" spans="2:6" x14ac:dyDescent="0.2">
      <c r="B754" s="227">
        <v>1671</v>
      </c>
      <c r="C754" s="114">
        <v>1400</v>
      </c>
      <c r="D754" s="196"/>
      <c r="E754" s="195"/>
      <c r="F754" s="195"/>
    </row>
    <row r="755" spans="2:6" x14ac:dyDescent="0.2">
      <c r="B755" s="228">
        <v>1751</v>
      </c>
      <c r="C755" s="197">
        <v>1400</v>
      </c>
      <c r="D755" s="196"/>
      <c r="E755" s="195"/>
      <c r="F755" s="195"/>
    </row>
    <row r="756" spans="2:6" x14ac:dyDescent="0.2">
      <c r="B756" s="227">
        <v>1774</v>
      </c>
      <c r="C756" s="114">
        <v>1400</v>
      </c>
      <c r="D756" s="196"/>
      <c r="E756" s="195"/>
      <c r="F756" s="195"/>
    </row>
    <row r="757" spans="2:6" x14ac:dyDescent="0.2">
      <c r="B757" s="228">
        <v>1838</v>
      </c>
      <c r="C757" s="197">
        <v>1400</v>
      </c>
      <c r="D757" s="196"/>
      <c r="E757" s="195"/>
      <c r="F757" s="195"/>
    </row>
    <row r="758" spans="2:6" x14ac:dyDescent="0.2">
      <c r="B758" s="228">
        <v>1856</v>
      </c>
      <c r="C758" s="197">
        <v>1400</v>
      </c>
      <c r="D758" s="196"/>
      <c r="E758" s="195"/>
      <c r="F758" s="195"/>
    </row>
    <row r="759" spans="2:6" x14ac:dyDescent="0.2">
      <c r="B759" s="228">
        <v>2250</v>
      </c>
      <c r="C759" s="197">
        <v>1400</v>
      </c>
      <c r="D759" s="196"/>
      <c r="E759" s="195"/>
      <c r="F759" s="195"/>
    </row>
    <row r="760" spans="2:6" x14ac:dyDescent="0.2">
      <c r="B760" s="228">
        <v>1929</v>
      </c>
      <c r="C760" s="197">
        <v>1416.666666666667</v>
      </c>
      <c r="D760" s="196"/>
      <c r="E760" s="195"/>
      <c r="F760" s="195"/>
    </row>
    <row r="761" spans="2:6" x14ac:dyDescent="0.2">
      <c r="B761" s="227">
        <v>1941</v>
      </c>
      <c r="C761" s="114">
        <v>1416.666666666667</v>
      </c>
      <c r="D761" s="196"/>
      <c r="E761" s="195"/>
      <c r="F761" s="195"/>
    </row>
    <row r="762" spans="2:6" x14ac:dyDescent="0.2">
      <c r="B762" s="227">
        <v>1999</v>
      </c>
      <c r="C762" s="114">
        <v>1416.666666666667</v>
      </c>
      <c r="D762" s="196"/>
      <c r="E762" s="195"/>
      <c r="F762" s="195"/>
    </row>
    <row r="763" spans="2:6" x14ac:dyDescent="0.2">
      <c r="B763" s="227">
        <v>1370</v>
      </c>
      <c r="C763" s="114">
        <v>1436</v>
      </c>
      <c r="D763" s="196"/>
      <c r="E763" s="195"/>
      <c r="F763" s="195"/>
    </row>
    <row r="764" spans="2:6" x14ac:dyDescent="0.2">
      <c r="B764" s="227">
        <v>1740</v>
      </c>
      <c r="C764" s="114">
        <v>1436</v>
      </c>
      <c r="D764" s="196"/>
      <c r="E764" s="195"/>
      <c r="F764" s="195"/>
    </row>
    <row r="765" spans="2:6" x14ac:dyDescent="0.2">
      <c r="B765" s="228">
        <v>1248</v>
      </c>
      <c r="C765" s="197">
        <v>1439.1</v>
      </c>
      <c r="D765" s="196"/>
      <c r="E765" s="195"/>
      <c r="F765" s="195"/>
    </row>
    <row r="766" spans="2:6" x14ac:dyDescent="0.2">
      <c r="B766" s="228">
        <v>1698</v>
      </c>
      <c r="C766" s="197">
        <v>1440</v>
      </c>
      <c r="D766" s="196"/>
      <c r="E766" s="195"/>
      <c r="F766" s="195"/>
    </row>
    <row r="767" spans="2:6" x14ac:dyDescent="0.2">
      <c r="B767" s="227">
        <v>477</v>
      </c>
      <c r="C767" s="114">
        <v>1450</v>
      </c>
      <c r="D767" s="196"/>
      <c r="E767" s="195"/>
      <c r="F767" s="195"/>
    </row>
    <row r="768" spans="2:6" x14ac:dyDescent="0.2">
      <c r="B768" s="227">
        <v>1094</v>
      </c>
      <c r="C768" s="114">
        <v>1450</v>
      </c>
      <c r="D768" s="196"/>
      <c r="E768" s="195"/>
      <c r="F768" s="195"/>
    </row>
    <row r="769" spans="2:6" x14ac:dyDescent="0.2">
      <c r="B769" s="228">
        <v>1870</v>
      </c>
      <c r="C769" s="197">
        <v>1450</v>
      </c>
      <c r="D769" s="196"/>
      <c r="E769" s="195"/>
      <c r="F769" s="195"/>
    </row>
    <row r="770" spans="2:6" x14ac:dyDescent="0.2">
      <c r="B770" s="227">
        <v>2081</v>
      </c>
      <c r="C770" s="114">
        <v>1450</v>
      </c>
      <c r="D770" s="196"/>
      <c r="E770" s="195"/>
      <c r="F770" s="195"/>
    </row>
    <row r="771" spans="2:6" x14ac:dyDescent="0.2">
      <c r="B771" s="227">
        <v>2266</v>
      </c>
      <c r="C771" s="114">
        <v>1450</v>
      </c>
      <c r="D771" s="196"/>
      <c r="E771" s="195"/>
      <c r="F771" s="195"/>
    </row>
    <row r="772" spans="2:6" x14ac:dyDescent="0.2">
      <c r="B772" s="227">
        <v>361</v>
      </c>
      <c r="C772" s="114">
        <v>1468.8</v>
      </c>
      <c r="D772" s="196"/>
      <c r="E772" s="195"/>
      <c r="F772" s="195"/>
    </row>
    <row r="773" spans="2:6" x14ac:dyDescent="0.2">
      <c r="B773" s="227">
        <v>1930</v>
      </c>
      <c r="C773" s="114">
        <v>1470</v>
      </c>
      <c r="D773" s="196"/>
      <c r="E773" s="195"/>
      <c r="F773" s="195"/>
    </row>
    <row r="774" spans="2:6" x14ac:dyDescent="0.2">
      <c r="B774" s="228">
        <v>2038</v>
      </c>
      <c r="C774" s="197">
        <v>1470</v>
      </c>
      <c r="D774" s="196"/>
      <c r="E774" s="195"/>
      <c r="F774" s="195"/>
    </row>
    <row r="775" spans="2:6" x14ac:dyDescent="0.2">
      <c r="B775" s="227">
        <v>2142</v>
      </c>
      <c r="C775" s="114">
        <v>1470</v>
      </c>
      <c r="D775" s="196"/>
      <c r="E775" s="195"/>
      <c r="F775" s="195"/>
    </row>
    <row r="776" spans="2:6" x14ac:dyDescent="0.2">
      <c r="B776" s="228">
        <v>1809</v>
      </c>
      <c r="C776" s="197">
        <v>1495.8333333333339</v>
      </c>
      <c r="D776" s="196"/>
      <c r="E776" s="195"/>
      <c r="F776" s="195"/>
    </row>
    <row r="777" spans="2:6" x14ac:dyDescent="0.2">
      <c r="B777" s="228">
        <v>574</v>
      </c>
      <c r="C777" s="197">
        <v>1500</v>
      </c>
      <c r="D777" s="196"/>
      <c r="E777" s="195"/>
      <c r="F777" s="195"/>
    </row>
    <row r="778" spans="2:6" x14ac:dyDescent="0.2">
      <c r="B778" s="228">
        <v>589</v>
      </c>
      <c r="C778" s="197">
        <v>1500</v>
      </c>
      <c r="D778" s="196"/>
      <c r="E778" s="195"/>
      <c r="F778" s="195"/>
    </row>
    <row r="779" spans="2:6" x14ac:dyDescent="0.2">
      <c r="B779" s="227">
        <v>625</v>
      </c>
      <c r="C779" s="114">
        <v>1500</v>
      </c>
      <c r="D779" s="196"/>
      <c r="E779" s="195"/>
      <c r="F779" s="195"/>
    </row>
    <row r="780" spans="2:6" x14ac:dyDescent="0.2">
      <c r="B780" s="227">
        <v>972</v>
      </c>
      <c r="C780" s="114">
        <v>1500</v>
      </c>
      <c r="D780" s="196"/>
      <c r="E780" s="195"/>
      <c r="F780" s="195"/>
    </row>
    <row r="781" spans="2:6" x14ac:dyDescent="0.2">
      <c r="B781" s="228">
        <v>1319</v>
      </c>
      <c r="C781" s="197">
        <v>1500</v>
      </c>
      <c r="D781" s="196"/>
      <c r="E781" s="195"/>
      <c r="F781" s="195"/>
    </row>
    <row r="782" spans="2:6" x14ac:dyDescent="0.2">
      <c r="B782" s="227">
        <v>1378</v>
      </c>
      <c r="C782" s="114">
        <v>1500</v>
      </c>
      <c r="D782" s="196"/>
      <c r="E782" s="195"/>
      <c r="F782" s="195"/>
    </row>
    <row r="783" spans="2:6" x14ac:dyDescent="0.2">
      <c r="B783" s="227">
        <v>1379</v>
      </c>
      <c r="C783" s="114">
        <v>1500</v>
      </c>
      <c r="D783" s="196"/>
      <c r="E783" s="195"/>
      <c r="F783" s="195"/>
    </row>
    <row r="784" spans="2:6" x14ac:dyDescent="0.2">
      <c r="B784" s="227">
        <v>1434</v>
      </c>
      <c r="C784" s="114">
        <v>1500</v>
      </c>
      <c r="D784" s="196"/>
      <c r="E784" s="195"/>
      <c r="F784" s="195"/>
    </row>
    <row r="785" spans="2:6" x14ac:dyDescent="0.2">
      <c r="B785" s="228">
        <v>1554</v>
      </c>
      <c r="C785" s="197">
        <v>1500</v>
      </c>
      <c r="D785" s="196"/>
      <c r="E785" s="195"/>
      <c r="F785" s="195"/>
    </row>
    <row r="786" spans="2:6" x14ac:dyDescent="0.2">
      <c r="B786" s="227">
        <v>1580</v>
      </c>
      <c r="C786" s="114">
        <v>1500</v>
      </c>
      <c r="D786" s="196"/>
      <c r="E786" s="195"/>
      <c r="F786" s="195"/>
    </row>
    <row r="787" spans="2:6" x14ac:dyDescent="0.2">
      <c r="B787" s="227">
        <v>1689</v>
      </c>
      <c r="C787" s="114">
        <v>1500</v>
      </c>
      <c r="D787" s="196"/>
      <c r="E787" s="195"/>
      <c r="F787" s="195"/>
    </row>
    <row r="788" spans="2:6" x14ac:dyDescent="0.2">
      <c r="B788" s="227">
        <v>1693</v>
      </c>
      <c r="C788" s="114">
        <v>1500</v>
      </c>
      <c r="D788" s="196"/>
      <c r="E788" s="195"/>
      <c r="F788" s="195"/>
    </row>
    <row r="789" spans="2:6" x14ac:dyDescent="0.2">
      <c r="B789" s="227">
        <v>1792</v>
      </c>
      <c r="C789" s="114">
        <v>1500</v>
      </c>
      <c r="D789" s="196"/>
      <c r="E789" s="195"/>
      <c r="F789" s="195"/>
    </row>
    <row r="790" spans="2:6" x14ac:dyDescent="0.2">
      <c r="B790" s="228">
        <v>1896</v>
      </c>
      <c r="C790" s="197">
        <v>1500</v>
      </c>
      <c r="D790" s="196"/>
      <c r="E790" s="195"/>
      <c r="F790" s="195"/>
    </row>
    <row r="791" spans="2:6" x14ac:dyDescent="0.2">
      <c r="B791" s="227">
        <v>1909</v>
      </c>
      <c r="C791" s="114">
        <v>1500</v>
      </c>
      <c r="D791" s="196"/>
      <c r="E791" s="195"/>
      <c r="F791" s="195"/>
    </row>
    <row r="792" spans="2:6" x14ac:dyDescent="0.2">
      <c r="B792" s="227">
        <v>1933</v>
      </c>
      <c r="C792" s="114">
        <v>1500</v>
      </c>
      <c r="D792" s="196"/>
      <c r="E792" s="195"/>
      <c r="F792" s="195"/>
    </row>
    <row r="793" spans="2:6" x14ac:dyDescent="0.2">
      <c r="B793" s="227">
        <v>1983</v>
      </c>
      <c r="C793" s="114">
        <v>1500</v>
      </c>
      <c r="D793" s="196"/>
      <c r="E793" s="195"/>
      <c r="F793" s="195"/>
    </row>
    <row r="794" spans="2:6" x14ac:dyDescent="0.2">
      <c r="B794" s="228">
        <v>1991</v>
      </c>
      <c r="C794" s="197">
        <v>1500</v>
      </c>
      <c r="D794" s="196"/>
      <c r="E794" s="195"/>
      <c r="F794" s="195"/>
    </row>
    <row r="795" spans="2:6" x14ac:dyDescent="0.2">
      <c r="B795" s="228">
        <v>2072</v>
      </c>
      <c r="C795" s="197">
        <v>1500</v>
      </c>
      <c r="D795" s="196"/>
      <c r="E795" s="195"/>
      <c r="F795" s="195"/>
    </row>
    <row r="796" spans="2:6" x14ac:dyDescent="0.2">
      <c r="B796" s="228">
        <v>2203</v>
      </c>
      <c r="C796" s="197">
        <v>1500</v>
      </c>
      <c r="D796" s="196"/>
      <c r="E796" s="195"/>
      <c r="F796" s="195"/>
    </row>
    <row r="797" spans="2:6" x14ac:dyDescent="0.2">
      <c r="B797" s="227">
        <v>2248</v>
      </c>
      <c r="C797" s="114">
        <v>1500</v>
      </c>
      <c r="D797" s="196"/>
      <c r="E797" s="195"/>
      <c r="F797" s="195"/>
    </row>
    <row r="798" spans="2:6" x14ac:dyDescent="0.2">
      <c r="B798" s="227">
        <v>1077</v>
      </c>
      <c r="C798" s="114">
        <v>1503.333333333333</v>
      </c>
      <c r="D798" s="196"/>
      <c r="E798" s="195"/>
      <c r="F798" s="195"/>
    </row>
    <row r="799" spans="2:6" x14ac:dyDescent="0.2">
      <c r="B799" s="227">
        <v>2247</v>
      </c>
      <c r="C799" s="114">
        <v>1515</v>
      </c>
      <c r="D799" s="196"/>
      <c r="E799" s="195"/>
      <c r="F799" s="195"/>
    </row>
    <row r="800" spans="2:6" x14ac:dyDescent="0.2">
      <c r="B800" s="227">
        <v>639</v>
      </c>
      <c r="C800" s="114">
        <v>1527.5</v>
      </c>
      <c r="D800" s="196"/>
      <c r="E800" s="195"/>
      <c r="F800" s="195"/>
    </row>
    <row r="801" spans="2:6" x14ac:dyDescent="0.2">
      <c r="B801" s="227">
        <v>2051</v>
      </c>
      <c r="C801" s="114">
        <v>1527.5</v>
      </c>
      <c r="D801" s="196"/>
      <c r="E801" s="195"/>
      <c r="F801" s="195"/>
    </row>
    <row r="802" spans="2:6" x14ac:dyDescent="0.2">
      <c r="B802" s="228">
        <v>1464</v>
      </c>
      <c r="C802" s="197">
        <v>1537.5</v>
      </c>
      <c r="D802" s="196"/>
      <c r="E802" s="195"/>
      <c r="F802" s="195"/>
    </row>
    <row r="803" spans="2:6" x14ac:dyDescent="0.2">
      <c r="B803" s="228">
        <v>631</v>
      </c>
      <c r="C803" s="197">
        <v>1548</v>
      </c>
      <c r="D803" s="196"/>
      <c r="E803" s="195"/>
      <c r="F803" s="195"/>
    </row>
    <row r="804" spans="2:6" x14ac:dyDescent="0.2">
      <c r="B804" s="228">
        <v>1491</v>
      </c>
      <c r="C804" s="197">
        <v>1575.6</v>
      </c>
      <c r="D804" s="196"/>
      <c r="E804" s="195"/>
      <c r="F804" s="195"/>
    </row>
    <row r="805" spans="2:6" x14ac:dyDescent="0.2">
      <c r="B805" s="227">
        <v>991</v>
      </c>
      <c r="C805" s="114">
        <v>1576.96</v>
      </c>
      <c r="D805" s="196"/>
      <c r="E805" s="195"/>
      <c r="F805" s="195"/>
    </row>
    <row r="806" spans="2:6" x14ac:dyDescent="0.2">
      <c r="B806" s="228">
        <v>370</v>
      </c>
      <c r="C806" s="197">
        <v>1590</v>
      </c>
      <c r="D806" s="196"/>
      <c r="E806" s="195"/>
      <c r="F806" s="195"/>
    </row>
    <row r="807" spans="2:6" x14ac:dyDescent="0.2">
      <c r="B807" s="228">
        <v>166</v>
      </c>
      <c r="C807" s="197">
        <v>1600</v>
      </c>
      <c r="D807" s="196"/>
      <c r="E807" s="195"/>
      <c r="F807" s="195"/>
    </row>
    <row r="808" spans="2:6" x14ac:dyDescent="0.2">
      <c r="B808" s="228">
        <v>584</v>
      </c>
      <c r="C808" s="197">
        <v>1600</v>
      </c>
      <c r="D808" s="196"/>
      <c r="E808" s="195"/>
      <c r="F808" s="195"/>
    </row>
    <row r="809" spans="2:6" x14ac:dyDescent="0.2">
      <c r="B809" s="228">
        <v>762</v>
      </c>
      <c r="C809" s="197">
        <v>1600</v>
      </c>
      <c r="D809" s="196"/>
      <c r="E809" s="195"/>
      <c r="F809" s="195"/>
    </row>
    <row r="810" spans="2:6" x14ac:dyDescent="0.2">
      <c r="B810" s="227">
        <v>1052</v>
      </c>
      <c r="C810" s="114">
        <v>1600</v>
      </c>
      <c r="D810" s="196"/>
      <c r="E810" s="195"/>
      <c r="F810" s="195"/>
    </row>
    <row r="811" spans="2:6" x14ac:dyDescent="0.2">
      <c r="B811" s="227">
        <v>1696</v>
      </c>
      <c r="C811" s="114">
        <v>1600</v>
      </c>
      <c r="D811" s="196"/>
      <c r="E811" s="195"/>
      <c r="F811" s="195"/>
    </row>
    <row r="812" spans="2:6" x14ac:dyDescent="0.2">
      <c r="B812" s="228">
        <v>1737</v>
      </c>
      <c r="C812" s="197">
        <v>1600</v>
      </c>
      <c r="D812" s="196"/>
      <c r="E812" s="195"/>
      <c r="F812" s="195"/>
    </row>
    <row r="813" spans="2:6" x14ac:dyDescent="0.2">
      <c r="B813" s="227">
        <v>1746</v>
      </c>
      <c r="C813" s="114">
        <v>1600</v>
      </c>
      <c r="D813" s="196"/>
      <c r="E813" s="195"/>
      <c r="F813" s="195"/>
    </row>
    <row r="814" spans="2:6" x14ac:dyDescent="0.2">
      <c r="B814" s="227">
        <v>1841</v>
      </c>
      <c r="C814" s="114">
        <v>1600</v>
      </c>
      <c r="D814" s="196"/>
      <c r="E814" s="195"/>
      <c r="F814" s="195"/>
    </row>
    <row r="815" spans="2:6" x14ac:dyDescent="0.2">
      <c r="B815" s="228">
        <v>2222</v>
      </c>
      <c r="C815" s="197">
        <v>1600</v>
      </c>
      <c r="D815" s="196"/>
      <c r="E815" s="195"/>
      <c r="F815" s="195"/>
    </row>
    <row r="816" spans="2:6" x14ac:dyDescent="0.2">
      <c r="B816" s="227">
        <v>2126</v>
      </c>
      <c r="C816" s="114">
        <v>1620</v>
      </c>
      <c r="D816" s="196"/>
      <c r="E816" s="195"/>
      <c r="F816" s="195"/>
    </row>
    <row r="817" spans="2:6" x14ac:dyDescent="0.2">
      <c r="B817" s="227">
        <v>902</v>
      </c>
      <c r="C817" s="114">
        <v>1641</v>
      </c>
      <c r="D817" s="196"/>
      <c r="E817" s="195"/>
      <c r="F817" s="195"/>
    </row>
    <row r="818" spans="2:6" x14ac:dyDescent="0.2">
      <c r="B818" s="227">
        <v>1552</v>
      </c>
      <c r="C818" s="114">
        <v>1645.416666666667</v>
      </c>
      <c r="D818" s="196"/>
      <c r="E818" s="195"/>
      <c r="F818" s="195"/>
    </row>
    <row r="819" spans="2:6" x14ac:dyDescent="0.2">
      <c r="B819" s="228">
        <v>2139</v>
      </c>
      <c r="C819" s="197">
        <v>1650</v>
      </c>
      <c r="D819" s="196"/>
      <c r="E819" s="195"/>
      <c r="F819" s="195"/>
    </row>
    <row r="820" spans="2:6" x14ac:dyDescent="0.2">
      <c r="B820" s="228">
        <v>520</v>
      </c>
      <c r="C820" s="197">
        <v>1666.666666666667</v>
      </c>
      <c r="D820" s="196"/>
      <c r="E820" s="195"/>
      <c r="F820" s="195"/>
    </row>
    <row r="821" spans="2:6" x14ac:dyDescent="0.2">
      <c r="B821" s="228">
        <v>999</v>
      </c>
      <c r="C821" s="197">
        <v>1666.666666666667</v>
      </c>
      <c r="D821" s="196"/>
      <c r="E821" s="195"/>
      <c r="F821" s="195"/>
    </row>
    <row r="822" spans="2:6" x14ac:dyDescent="0.2">
      <c r="B822" s="228">
        <v>1302</v>
      </c>
      <c r="C822" s="197">
        <v>1666.666666666667</v>
      </c>
      <c r="D822" s="196"/>
      <c r="E822" s="195"/>
      <c r="F822" s="195"/>
    </row>
    <row r="823" spans="2:6" x14ac:dyDescent="0.2">
      <c r="B823" s="228">
        <v>1637</v>
      </c>
      <c r="C823" s="197">
        <v>1666.666666666667</v>
      </c>
      <c r="D823" s="196"/>
      <c r="E823" s="195"/>
      <c r="F823" s="195"/>
    </row>
    <row r="824" spans="2:6" x14ac:dyDescent="0.2">
      <c r="B824" s="227">
        <v>1888</v>
      </c>
      <c r="C824" s="114">
        <v>1666.666666666667</v>
      </c>
      <c r="D824" s="196"/>
      <c r="E824" s="195"/>
      <c r="F824" s="195"/>
    </row>
    <row r="825" spans="2:6" x14ac:dyDescent="0.2">
      <c r="B825" s="228">
        <v>53</v>
      </c>
      <c r="C825" s="197">
        <v>1669.5</v>
      </c>
      <c r="D825" s="196"/>
      <c r="E825" s="195"/>
      <c r="F825" s="195"/>
    </row>
    <row r="826" spans="2:6" x14ac:dyDescent="0.2">
      <c r="B826" s="228">
        <v>546</v>
      </c>
      <c r="C826" s="197">
        <v>1700</v>
      </c>
      <c r="D826" s="196"/>
      <c r="E826" s="195"/>
      <c r="F826" s="195"/>
    </row>
    <row r="827" spans="2:6" x14ac:dyDescent="0.2">
      <c r="B827" s="228">
        <v>645</v>
      </c>
      <c r="C827" s="197">
        <v>1700</v>
      </c>
      <c r="D827" s="196"/>
      <c r="E827" s="195"/>
      <c r="F827" s="195"/>
    </row>
    <row r="828" spans="2:6" x14ac:dyDescent="0.2">
      <c r="B828" s="228">
        <v>1055</v>
      </c>
      <c r="C828" s="197">
        <v>1700</v>
      </c>
      <c r="D828" s="196"/>
      <c r="E828" s="195"/>
      <c r="F828" s="195"/>
    </row>
    <row r="829" spans="2:6" x14ac:dyDescent="0.2">
      <c r="B829" s="228">
        <v>1075</v>
      </c>
      <c r="C829" s="197">
        <v>1700</v>
      </c>
      <c r="D829" s="196"/>
      <c r="E829" s="195"/>
      <c r="F829" s="195"/>
    </row>
    <row r="830" spans="2:6" x14ac:dyDescent="0.2">
      <c r="B830" s="227">
        <v>1426</v>
      </c>
      <c r="C830" s="114">
        <v>1700</v>
      </c>
      <c r="D830" s="196"/>
      <c r="E830" s="195"/>
      <c r="F830" s="195"/>
    </row>
    <row r="831" spans="2:6" x14ac:dyDescent="0.2">
      <c r="B831" s="227">
        <v>381</v>
      </c>
      <c r="C831" s="114">
        <v>1701.041666666667</v>
      </c>
      <c r="D831" s="196"/>
      <c r="E831" s="195"/>
      <c r="F831" s="195"/>
    </row>
    <row r="832" spans="2:6" x14ac:dyDescent="0.2">
      <c r="B832" s="227">
        <v>726</v>
      </c>
      <c r="C832" s="114">
        <v>1740</v>
      </c>
      <c r="D832" s="196"/>
      <c r="E832" s="195"/>
      <c r="F832" s="195"/>
    </row>
    <row r="833" spans="2:6" x14ac:dyDescent="0.2">
      <c r="B833" s="228">
        <v>2113</v>
      </c>
      <c r="C833" s="197">
        <v>1785</v>
      </c>
      <c r="D833" s="196"/>
      <c r="E833" s="195"/>
      <c r="F833" s="195"/>
    </row>
    <row r="834" spans="2:6" x14ac:dyDescent="0.2">
      <c r="B834" s="228">
        <v>1367</v>
      </c>
      <c r="C834" s="197">
        <v>1795</v>
      </c>
      <c r="D834" s="196"/>
      <c r="E834" s="195"/>
      <c r="F834" s="195"/>
    </row>
    <row r="835" spans="2:6" x14ac:dyDescent="0.2">
      <c r="B835" s="228">
        <v>936</v>
      </c>
      <c r="C835" s="197">
        <v>1795.68</v>
      </c>
      <c r="D835" s="196"/>
      <c r="E835" s="195"/>
      <c r="F835" s="195"/>
    </row>
    <row r="836" spans="2:6" x14ac:dyDescent="0.2">
      <c r="B836" s="227">
        <v>363</v>
      </c>
      <c r="C836" s="114">
        <v>1800</v>
      </c>
      <c r="D836" s="196"/>
      <c r="E836" s="195"/>
      <c r="F836" s="195"/>
    </row>
    <row r="837" spans="2:6" x14ac:dyDescent="0.2">
      <c r="B837" s="227">
        <v>1122</v>
      </c>
      <c r="C837" s="114">
        <v>1800</v>
      </c>
      <c r="D837" s="196"/>
      <c r="E837" s="195"/>
      <c r="F837" s="195"/>
    </row>
    <row r="838" spans="2:6" x14ac:dyDescent="0.2">
      <c r="B838" s="228">
        <v>1201</v>
      </c>
      <c r="C838" s="197">
        <v>1800</v>
      </c>
      <c r="D838" s="196"/>
      <c r="E838" s="195"/>
      <c r="F838" s="195"/>
    </row>
    <row r="839" spans="2:6" x14ac:dyDescent="0.2">
      <c r="B839" s="227">
        <v>1205</v>
      </c>
      <c r="C839" s="114">
        <v>1800</v>
      </c>
      <c r="D839" s="196"/>
      <c r="E839" s="195"/>
      <c r="F839" s="195"/>
    </row>
    <row r="840" spans="2:6" x14ac:dyDescent="0.2">
      <c r="B840" s="227">
        <v>1518</v>
      </c>
      <c r="C840" s="114">
        <v>1800</v>
      </c>
      <c r="D840" s="196"/>
      <c r="E840" s="195"/>
      <c r="F840" s="195"/>
    </row>
    <row r="841" spans="2:6" x14ac:dyDescent="0.2">
      <c r="B841" s="227">
        <v>1523</v>
      </c>
      <c r="C841" s="114">
        <v>1800</v>
      </c>
      <c r="D841" s="196"/>
      <c r="E841" s="195"/>
      <c r="F841" s="195"/>
    </row>
    <row r="842" spans="2:6" x14ac:dyDescent="0.2">
      <c r="B842" s="227">
        <v>1561</v>
      </c>
      <c r="C842" s="114">
        <v>1800</v>
      </c>
      <c r="D842" s="196"/>
      <c r="E842" s="195"/>
      <c r="F842" s="195"/>
    </row>
    <row r="843" spans="2:6" x14ac:dyDescent="0.2">
      <c r="B843" s="228">
        <v>1842</v>
      </c>
      <c r="C843" s="197">
        <v>1800</v>
      </c>
      <c r="D843" s="196"/>
      <c r="E843" s="195"/>
      <c r="F843" s="195"/>
    </row>
    <row r="844" spans="2:6" x14ac:dyDescent="0.2">
      <c r="B844" s="227">
        <v>1978</v>
      </c>
      <c r="C844" s="114">
        <v>1800</v>
      </c>
      <c r="D844" s="196"/>
      <c r="E844" s="195"/>
      <c r="F844" s="195"/>
    </row>
    <row r="845" spans="2:6" x14ac:dyDescent="0.2">
      <c r="B845" s="228">
        <v>336</v>
      </c>
      <c r="C845" s="197">
        <v>1820</v>
      </c>
      <c r="D845" s="196"/>
      <c r="E845" s="195"/>
      <c r="F845" s="195"/>
    </row>
    <row r="846" spans="2:6" x14ac:dyDescent="0.2">
      <c r="B846" s="228">
        <v>2033</v>
      </c>
      <c r="C846" s="197">
        <v>1820</v>
      </c>
      <c r="D846" s="196"/>
      <c r="E846" s="195"/>
      <c r="F846" s="195"/>
    </row>
    <row r="847" spans="2:6" x14ac:dyDescent="0.2">
      <c r="B847" s="227">
        <v>979</v>
      </c>
      <c r="C847" s="114">
        <v>1833.333333333333</v>
      </c>
      <c r="D847" s="196"/>
      <c r="E847" s="195"/>
      <c r="F847" s="195"/>
    </row>
    <row r="848" spans="2:6" x14ac:dyDescent="0.2">
      <c r="B848" s="228">
        <v>1199</v>
      </c>
      <c r="C848" s="197">
        <v>1850</v>
      </c>
      <c r="D848" s="196"/>
      <c r="E848" s="195"/>
      <c r="F848" s="195"/>
    </row>
    <row r="849" spans="2:6" x14ac:dyDescent="0.2">
      <c r="B849" s="228">
        <v>812</v>
      </c>
      <c r="C849" s="197">
        <v>1854.375</v>
      </c>
      <c r="D849" s="196"/>
      <c r="E849" s="195"/>
      <c r="F849" s="195"/>
    </row>
    <row r="850" spans="2:6" x14ac:dyDescent="0.2">
      <c r="B850" s="227">
        <v>389</v>
      </c>
      <c r="C850" s="114">
        <v>1855</v>
      </c>
      <c r="D850" s="196"/>
      <c r="E850" s="195"/>
      <c r="F850" s="195"/>
    </row>
    <row r="851" spans="2:6" x14ac:dyDescent="0.2">
      <c r="B851" s="227">
        <v>1178</v>
      </c>
      <c r="C851" s="114">
        <v>1872</v>
      </c>
      <c r="D851" s="196"/>
      <c r="E851" s="195"/>
      <c r="F851" s="195"/>
    </row>
    <row r="852" spans="2:6" x14ac:dyDescent="0.2">
      <c r="B852" s="227">
        <v>1976</v>
      </c>
      <c r="C852" s="114">
        <v>1890</v>
      </c>
      <c r="D852" s="196"/>
      <c r="E852" s="195"/>
      <c r="F852" s="195"/>
    </row>
    <row r="853" spans="2:6" x14ac:dyDescent="0.2">
      <c r="B853" s="228">
        <v>1859</v>
      </c>
      <c r="C853" s="197">
        <v>1900</v>
      </c>
      <c r="D853" s="196"/>
      <c r="E853" s="195"/>
      <c r="F853" s="195"/>
    </row>
    <row r="854" spans="2:6" x14ac:dyDescent="0.2">
      <c r="B854" s="228">
        <v>2148</v>
      </c>
      <c r="C854" s="197">
        <v>1900</v>
      </c>
      <c r="D854" s="196"/>
      <c r="E854" s="195"/>
      <c r="F854" s="195"/>
    </row>
    <row r="855" spans="2:6" x14ac:dyDescent="0.2">
      <c r="B855" s="227">
        <v>2289</v>
      </c>
      <c r="C855" s="114">
        <v>1900</v>
      </c>
      <c r="D855" s="196"/>
      <c r="E855" s="195"/>
      <c r="F855" s="195"/>
    </row>
    <row r="856" spans="2:6" x14ac:dyDescent="0.2">
      <c r="B856" s="228">
        <v>1115</v>
      </c>
      <c r="C856" s="197">
        <v>1925</v>
      </c>
      <c r="D856" s="196"/>
      <c r="E856" s="195"/>
      <c r="F856" s="195"/>
    </row>
    <row r="857" spans="2:6" x14ac:dyDescent="0.2">
      <c r="B857" s="228">
        <v>2208</v>
      </c>
      <c r="C857" s="197">
        <v>1925</v>
      </c>
      <c r="D857" s="196"/>
      <c r="E857" s="195"/>
      <c r="F857" s="195"/>
    </row>
    <row r="858" spans="2:6" x14ac:dyDescent="0.2">
      <c r="B858" s="227">
        <v>761</v>
      </c>
      <c r="C858" s="114">
        <v>1950</v>
      </c>
      <c r="D858" s="196"/>
      <c r="E858" s="195"/>
      <c r="F858" s="195"/>
    </row>
    <row r="859" spans="2:6" x14ac:dyDescent="0.2">
      <c r="B859" s="227">
        <v>2101</v>
      </c>
      <c r="C859" s="114">
        <v>1960</v>
      </c>
      <c r="D859" s="196"/>
      <c r="E859" s="195"/>
      <c r="F859" s="195"/>
    </row>
    <row r="860" spans="2:6" x14ac:dyDescent="0.2">
      <c r="B860" s="227">
        <v>570</v>
      </c>
      <c r="C860" s="114">
        <v>2000</v>
      </c>
      <c r="D860" s="196"/>
      <c r="E860" s="195"/>
      <c r="F860" s="195"/>
    </row>
    <row r="861" spans="2:6" x14ac:dyDescent="0.2">
      <c r="B861" s="228">
        <v>610</v>
      </c>
      <c r="C861" s="197">
        <v>2000</v>
      </c>
      <c r="D861" s="196"/>
      <c r="E861" s="195"/>
      <c r="F861" s="195"/>
    </row>
    <row r="862" spans="2:6" x14ac:dyDescent="0.2">
      <c r="B862" s="228">
        <v>636</v>
      </c>
      <c r="C862" s="197">
        <v>2000</v>
      </c>
      <c r="D862" s="196"/>
      <c r="E862" s="195"/>
      <c r="F862" s="195"/>
    </row>
    <row r="863" spans="2:6" x14ac:dyDescent="0.2">
      <c r="B863" s="227">
        <v>757</v>
      </c>
      <c r="C863" s="114">
        <v>2000</v>
      </c>
      <c r="D863" s="196"/>
      <c r="E863" s="195"/>
      <c r="F863" s="195"/>
    </row>
    <row r="864" spans="2:6" x14ac:dyDescent="0.2">
      <c r="B864" s="228">
        <v>1105</v>
      </c>
      <c r="C864" s="197">
        <v>2000</v>
      </c>
      <c r="D864" s="196"/>
      <c r="E864" s="195"/>
      <c r="F864" s="195"/>
    </row>
    <row r="865" spans="2:6" x14ac:dyDescent="0.2">
      <c r="B865" s="228">
        <v>1477</v>
      </c>
      <c r="C865" s="197">
        <v>2000</v>
      </c>
      <c r="D865" s="196"/>
      <c r="E865" s="195"/>
      <c r="F865" s="195"/>
    </row>
    <row r="866" spans="2:6" x14ac:dyDescent="0.2">
      <c r="B866" s="227">
        <v>1649</v>
      </c>
      <c r="C866" s="114">
        <v>2000</v>
      </c>
      <c r="D866" s="196"/>
      <c r="E866" s="195"/>
      <c r="F866" s="195"/>
    </row>
    <row r="867" spans="2:6" x14ac:dyDescent="0.2">
      <c r="B867" s="227">
        <v>1665</v>
      </c>
      <c r="C867" s="114">
        <v>2000</v>
      </c>
      <c r="D867" s="196"/>
      <c r="E867" s="195"/>
      <c r="F867" s="195"/>
    </row>
    <row r="868" spans="2:6" x14ac:dyDescent="0.2">
      <c r="B868" s="228">
        <v>2097</v>
      </c>
      <c r="C868" s="197">
        <v>2000</v>
      </c>
      <c r="D868" s="196"/>
      <c r="E868" s="195"/>
      <c r="F868" s="195"/>
    </row>
    <row r="869" spans="2:6" x14ac:dyDescent="0.2">
      <c r="B869" s="227">
        <v>648</v>
      </c>
      <c r="C869" s="114">
        <v>2030</v>
      </c>
      <c r="D869" s="196"/>
      <c r="E869" s="195"/>
      <c r="F869" s="195"/>
    </row>
    <row r="870" spans="2:6" x14ac:dyDescent="0.2">
      <c r="B870" s="227">
        <v>365</v>
      </c>
      <c r="C870" s="114">
        <v>2067</v>
      </c>
      <c r="D870" s="196"/>
      <c r="E870" s="195"/>
      <c r="F870" s="195"/>
    </row>
    <row r="871" spans="2:6" x14ac:dyDescent="0.2">
      <c r="B871" s="227">
        <v>890</v>
      </c>
      <c r="C871" s="114">
        <v>2083.333333333333</v>
      </c>
      <c r="D871" s="196"/>
      <c r="E871" s="195"/>
      <c r="F871" s="195"/>
    </row>
    <row r="872" spans="2:6" x14ac:dyDescent="0.2">
      <c r="B872" s="228">
        <v>1748</v>
      </c>
      <c r="C872" s="197">
        <v>2094.166666666667</v>
      </c>
      <c r="D872" s="196"/>
      <c r="E872" s="195"/>
      <c r="F872" s="195"/>
    </row>
    <row r="873" spans="2:6" x14ac:dyDescent="0.2">
      <c r="B873" s="227">
        <v>1965</v>
      </c>
      <c r="C873" s="114">
        <v>2100</v>
      </c>
      <c r="D873" s="196"/>
      <c r="E873" s="195"/>
      <c r="F873" s="195"/>
    </row>
    <row r="874" spans="2:6" x14ac:dyDescent="0.2">
      <c r="B874" s="227">
        <v>2020</v>
      </c>
      <c r="C874" s="114">
        <v>2100</v>
      </c>
      <c r="D874" s="196"/>
      <c r="E874" s="195"/>
      <c r="F874" s="195"/>
    </row>
    <row r="875" spans="2:6" x14ac:dyDescent="0.2">
      <c r="B875" s="227">
        <v>1053</v>
      </c>
      <c r="C875" s="114">
        <v>2135.25</v>
      </c>
      <c r="D875" s="196"/>
      <c r="E875" s="195"/>
      <c r="F875" s="195"/>
    </row>
    <row r="876" spans="2:6" x14ac:dyDescent="0.2">
      <c r="B876" s="227">
        <v>1793</v>
      </c>
      <c r="C876" s="114">
        <v>2150</v>
      </c>
      <c r="D876" s="196"/>
      <c r="E876" s="195"/>
      <c r="F876" s="195"/>
    </row>
    <row r="877" spans="2:6" x14ac:dyDescent="0.2">
      <c r="B877" s="228">
        <v>305</v>
      </c>
      <c r="C877" s="197">
        <v>2200</v>
      </c>
      <c r="D877" s="196"/>
      <c r="E877" s="195"/>
      <c r="F877" s="195"/>
    </row>
    <row r="878" spans="2:6" x14ac:dyDescent="0.2">
      <c r="B878" s="227">
        <v>1400</v>
      </c>
      <c r="C878" s="114">
        <v>2200</v>
      </c>
      <c r="D878" s="196"/>
      <c r="E878" s="195"/>
      <c r="F878" s="195"/>
    </row>
    <row r="879" spans="2:6" x14ac:dyDescent="0.2">
      <c r="B879" s="228">
        <v>1702</v>
      </c>
      <c r="C879" s="197">
        <v>2200</v>
      </c>
      <c r="D879" s="196"/>
      <c r="E879" s="195"/>
      <c r="F879" s="195"/>
    </row>
    <row r="880" spans="2:6" x14ac:dyDescent="0.2">
      <c r="B880" s="227">
        <v>2046</v>
      </c>
      <c r="C880" s="114">
        <v>2200</v>
      </c>
      <c r="D880" s="196"/>
      <c r="E880" s="195"/>
      <c r="F880" s="195"/>
    </row>
    <row r="881" spans="2:6" x14ac:dyDescent="0.2">
      <c r="B881" s="228">
        <v>403</v>
      </c>
      <c r="C881" s="197">
        <v>2212.5</v>
      </c>
      <c r="D881" s="196"/>
      <c r="E881" s="195"/>
      <c r="F881" s="195"/>
    </row>
    <row r="882" spans="2:6" x14ac:dyDescent="0.2">
      <c r="B882" s="228">
        <v>2012</v>
      </c>
      <c r="C882" s="197">
        <v>2250</v>
      </c>
      <c r="D882" s="196"/>
      <c r="E882" s="195"/>
      <c r="F882" s="195"/>
    </row>
    <row r="883" spans="2:6" x14ac:dyDescent="0.2">
      <c r="B883" s="227">
        <v>1680</v>
      </c>
      <c r="C883" s="114">
        <v>2286</v>
      </c>
      <c r="D883" s="196"/>
      <c r="E883" s="195"/>
      <c r="F883" s="195"/>
    </row>
    <row r="884" spans="2:6" x14ac:dyDescent="0.2">
      <c r="B884" s="227">
        <v>904</v>
      </c>
      <c r="C884" s="114">
        <v>2295.8333333333339</v>
      </c>
      <c r="D884" s="196"/>
      <c r="E884" s="195"/>
      <c r="F884" s="195"/>
    </row>
    <row r="885" spans="2:6" x14ac:dyDescent="0.2">
      <c r="B885" s="227">
        <v>2026</v>
      </c>
      <c r="C885" s="114">
        <v>2300</v>
      </c>
      <c r="D885" s="196"/>
      <c r="E885" s="195"/>
      <c r="F885" s="195"/>
    </row>
    <row r="886" spans="2:6" x14ac:dyDescent="0.2">
      <c r="B886" s="227">
        <v>2278</v>
      </c>
      <c r="C886" s="114">
        <v>2300</v>
      </c>
      <c r="D886" s="196"/>
      <c r="E886" s="195"/>
      <c r="F886" s="195"/>
    </row>
    <row r="887" spans="2:6" x14ac:dyDescent="0.2">
      <c r="B887" s="227">
        <v>1280</v>
      </c>
      <c r="C887" s="114">
        <v>2310</v>
      </c>
      <c r="D887" s="196"/>
      <c r="E887" s="195"/>
      <c r="F887" s="195"/>
    </row>
    <row r="888" spans="2:6" x14ac:dyDescent="0.2">
      <c r="B888" s="228">
        <v>906</v>
      </c>
      <c r="C888" s="197">
        <v>2320</v>
      </c>
      <c r="D888" s="196"/>
      <c r="E888" s="195"/>
      <c r="F888" s="195"/>
    </row>
    <row r="889" spans="2:6" x14ac:dyDescent="0.2">
      <c r="B889" s="228">
        <v>2144</v>
      </c>
      <c r="C889" s="197">
        <v>2333.3333333333339</v>
      </c>
      <c r="D889" s="196"/>
      <c r="E889" s="195"/>
      <c r="F889" s="195"/>
    </row>
    <row r="890" spans="2:6" x14ac:dyDescent="0.2">
      <c r="B890" s="227">
        <v>1488</v>
      </c>
      <c r="C890" s="114">
        <v>2345.4666666666672</v>
      </c>
      <c r="D890" s="196"/>
      <c r="E890" s="195"/>
      <c r="F890" s="195"/>
    </row>
    <row r="891" spans="2:6" x14ac:dyDescent="0.2">
      <c r="B891" s="227">
        <v>1572</v>
      </c>
      <c r="C891" s="114">
        <v>2398.75</v>
      </c>
      <c r="D891" s="196"/>
      <c r="E891" s="195"/>
      <c r="F891" s="195"/>
    </row>
    <row r="892" spans="2:6" x14ac:dyDescent="0.2">
      <c r="B892" s="228">
        <v>1448</v>
      </c>
      <c r="C892" s="197">
        <v>2400</v>
      </c>
      <c r="D892" s="196"/>
      <c r="E892" s="195"/>
      <c r="F892" s="195"/>
    </row>
    <row r="893" spans="2:6" x14ac:dyDescent="0.2">
      <c r="B893" s="227">
        <v>1546</v>
      </c>
      <c r="C893" s="114">
        <v>2400</v>
      </c>
      <c r="D893" s="196"/>
      <c r="E893" s="195"/>
      <c r="F893" s="195"/>
    </row>
    <row r="894" spans="2:6" x14ac:dyDescent="0.2">
      <c r="B894" s="228">
        <v>2053</v>
      </c>
      <c r="C894" s="197">
        <v>2400</v>
      </c>
      <c r="D894" s="196"/>
      <c r="E894" s="195"/>
      <c r="F894" s="195"/>
    </row>
    <row r="895" spans="2:6" x14ac:dyDescent="0.2">
      <c r="B895" s="228">
        <v>1430</v>
      </c>
      <c r="C895" s="197">
        <v>2432</v>
      </c>
      <c r="D895" s="196"/>
      <c r="E895" s="195"/>
      <c r="F895" s="195"/>
    </row>
    <row r="896" spans="2:6" x14ac:dyDescent="0.2">
      <c r="B896" s="227">
        <v>1938</v>
      </c>
      <c r="C896" s="114">
        <v>2450</v>
      </c>
      <c r="D896" s="196"/>
      <c r="E896" s="195"/>
      <c r="F896" s="195"/>
    </row>
    <row r="897" spans="2:6" x14ac:dyDescent="0.2">
      <c r="B897" s="227">
        <v>2103</v>
      </c>
      <c r="C897" s="114">
        <v>2450</v>
      </c>
      <c r="D897" s="196"/>
      <c r="E897" s="195"/>
      <c r="F897" s="195"/>
    </row>
    <row r="898" spans="2:6" x14ac:dyDescent="0.2">
      <c r="B898" s="228">
        <v>1320</v>
      </c>
      <c r="C898" s="197">
        <v>2457</v>
      </c>
      <c r="D898" s="196"/>
      <c r="E898" s="195"/>
      <c r="F898" s="195"/>
    </row>
    <row r="899" spans="2:6" x14ac:dyDescent="0.2">
      <c r="B899" s="228">
        <v>556</v>
      </c>
      <c r="C899" s="197">
        <v>2500</v>
      </c>
      <c r="D899" s="196"/>
      <c r="E899" s="195"/>
      <c r="F899" s="195"/>
    </row>
    <row r="900" spans="2:6" x14ac:dyDescent="0.2">
      <c r="B900" s="228">
        <v>1903</v>
      </c>
      <c r="C900" s="197">
        <v>2500</v>
      </c>
      <c r="D900" s="196"/>
      <c r="E900" s="195"/>
      <c r="F900" s="195"/>
    </row>
    <row r="901" spans="2:6" x14ac:dyDescent="0.2">
      <c r="B901" s="228">
        <v>2119</v>
      </c>
      <c r="C901" s="197">
        <v>2500</v>
      </c>
      <c r="D901" s="196"/>
      <c r="E901" s="195"/>
      <c r="F901" s="195"/>
    </row>
    <row r="902" spans="2:6" x14ac:dyDescent="0.2">
      <c r="B902" s="228">
        <v>2241</v>
      </c>
      <c r="C902" s="197">
        <v>2500</v>
      </c>
      <c r="D902" s="196"/>
      <c r="E902" s="195"/>
      <c r="F902" s="195"/>
    </row>
    <row r="903" spans="2:6" x14ac:dyDescent="0.2">
      <c r="B903" s="227">
        <v>2088</v>
      </c>
      <c r="C903" s="114">
        <v>2520</v>
      </c>
      <c r="D903" s="196"/>
      <c r="E903" s="195"/>
      <c r="F903" s="195"/>
    </row>
    <row r="904" spans="2:6" x14ac:dyDescent="0.2">
      <c r="B904" s="227">
        <v>376</v>
      </c>
      <c r="C904" s="114">
        <v>2544</v>
      </c>
      <c r="D904" s="196"/>
      <c r="E904" s="195"/>
      <c r="F904" s="195"/>
    </row>
    <row r="905" spans="2:6" x14ac:dyDescent="0.2">
      <c r="B905" s="227">
        <v>379</v>
      </c>
      <c r="C905" s="114">
        <v>2544</v>
      </c>
      <c r="D905" s="196"/>
      <c r="E905" s="195"/>
      <c r="F905" s="195"/>
    </row>
    <row r="906" spans="2:6" x14ac:dyDescent="0.2">
      <c r="B906" s="228">
        <v>2045</v>
      </c>
      <c r="C906" s="197">
        <v>2640</v>
      </c>
      <c r="D906" s="196"/>
      <c r="E906" s="195"/>
      <c r="F906" s="195"/>
    </row>
    <row r="907" spans="2:6" x14ac:dyDescent="0.2">
      <c r="B907" s="228">
        <v>1625</v>
      </c>
      <c r="C907" s="197">
        <v>2651.25</v>
      </c>
      <c r="D907" s="196"/>
      <c r="E907" s="195"/>
      <c r="F907" s="195"/>
    </row>
    <row r="908" spans="2:6" x14ac:dyDescent="0.2">
      <c r="B908" s="227">
        <v>1927</v>
      </c>
      <c r="C908" s="114">
        <v>2688</v>
      </c>
      <c r="D908" s="196"/>
      <c r="E908" s="195"/>
      <c r="F908" s="195"/>
    </row>
    <row r="909" spans="2:6" x14ac:dyDescent="0.2">
      <c r="B909" s="227">
        <v>2048</v>
      </c>
      <c r="C909" s="114">
        <v>2707.916666666667</v>
      </c>
      <c r="D909" s="196"/>
      <c r="E909" s="195"/>
      <c r="F909" s="195"/>
    </row>
    <row r="910" spans="2:6" x14ac:dyDescent="0.2">
      <c r="B910" s="228">
        <v>1432</v>
      </c>
      <c r="C910" s="197">
        <v>2727</v>
      </c>
      <c r="D910" s="196"/>
      <c r="E910" s="195"/>
      <c r="F910" s="195"/>
    </row>
    <row r="911" spans="2:6" x14ac:dyDescent="0.2">
      <c r="B911" s="227">
        <v>572</v>
      </c>
      <c r="C911" s="114">
        <v>2800</v>
      </c>
      <c r="D911" s="196"/>
      <c r="E911" s="195"/>
      <c r="F911" s="195"/>
    </row>
    <row r="912" spans="2:6" x14ac:dyDescent="0.2">
      <c r="B912" s="228">
        <v>2223</v>
      </c>
      <c r="C912" s="197">
        <v>2800</v>
      </c>
      <c r="D912" s="196"/>
      <c r="E912" s="195"/>
      <c r="F912" s="195"/>
    </row>
    <row r="913" spans="2:6" x14ac:dyDescent="0.2">
      <c r="B913" s="228">
        <v>1705</v>
      </c>
      <c r="C913" s="197">
        <v>2850</v>
      </c>
      <c r="D913" s="196"/>
      <c r="E913" s="195"/>
      <c r="F913" s="195"/>
    </row>
    <row r="914" spans="2:6" x14ac:dyDescent="0.2">
      <c r="B914" s="227">
        <v>1474</v>
      </c>
      <c r="C914" s="114">
        <v>2860</v>
      </c>
      <c r="D914" s="196"/>
      <c r="E914" s="195"/>
      <c r="F914" s="195"/>
    </row>
    <row r="915" spans="2:6" x14ac:dyDescent="0.2">
      <c r="B915" s="227">
        <v>1369</v>
      </c>
      <c r="C915" s="114">
        <v>2872</v>
      </c>
      <c r="D915" s="196"/>
      <c r="E915" s="195"/>
      <c r="F915" s="195"/>
    </row>
    <row r="916" spans="2:6" x14ac:dyDescent="0.2">
      <c r="B916" s="227">
        <v>1725</v>
      </c>
      <c r="C916" s="114">
        <v>2872</v>
      </c>
      <c r="D916" s="196"/>
      <c r="E916" s="195"/>
      <c r="F916" s="195"/>
    </row>
    <row r="917" spans="2:6" x14ac:dyDescent="0.2">
      <c r="B917" s="228">
        <v>2002</v>
      </c>
      <c r="C917" s="197">
        <v>2940</v>
      </c>
      <c r="D917" s="196"/>
      <c r="E917" s="195"/>
      <c r="F917" s="195"/>
    </row>
    <row r="918" spans="2:6" x14ac:dyDescent="0.2">
      <c r="B918" s="227">
        <v>2165</v>
      </c>
      <c r="C918" s="114">
        <v>2940</v>
      </c>
      <c r="D918" s="196"/>
      <c r="E918" s="195"/>
      <c r="F918" s="195"/>
    </row>
    <row r="919" spans="2:6" x14ac:dyDescent="0.2">
      <c r="B919" s="227">
        <v>9</v>
      </c>
      <c r="C919" s="114">
        <v>3000</v>
      </c>
      <c r="D919" s="196"/>
      <c r="E919" s="195"/>
      <c r="F919" s="195"/>
    </row>
    <row r="920" spans="2:6" x14ac:dyDescent="0.2">
      <c r="B920" s="228">
        <v>26</v>
      </c>
      <c r="C920" s="197">
        <v>3000</v>
      </c>
      <c r="D920" s="196"/>
      <c r="E920" s="195"/>
      <c r="F920" s="195"/>
    </row>
    <row r="921" spans="2:6" x14ac:dyDescent="0.2">
      <c r="B921" s="227">
        <v>147</v>
      </c>
      <c r="C921" s="114">
        <v>3000</v>
      </c>
      <c r="D921" s="196"/>
      <c r="E921" s="195"/>
      <c r="F921" s="195"/>
    </row>
    <row r="922" spans="2:6" x14ac:dyDescent="0.2">
      <c r="B922" s="227">
        <v>234</v>
      </c>
      <c r="C922" s="114">
        <v>3000</v>
      </c>
      <c r="D922" s="196"/>
      <c r="E922" s="195"/>
      <c r="F922" s="195"/>
    </row>
    <row r="923" spans="2:6" x14ac:dyDescent="0.2">
      <c r="B923" s="228">
        <v>259</v>
      </c>
      <c r="C923" s="197">
        <v>3000</v>
      </c>
      <c r="D923" s="196"/>
      <c r="E923" s="195"/>
      <c r="F923" s="195"/>
    </row>
    <row r="924" spans="2:6" x14ac:dyDescent="0.2">
      <c r="B924" s="227">
        <v>352</v>
      </c>
      <c r="C924" s="114">
        <v>3000</v>
      </c>
      <c r="D924" s="196"/>
      <c r="E924" s="195"/>
      <c r="F924" s="195"/>
    </row>
    <row r="925" spans="2:6" x14ac:dyDescent="0.2">
      <c r="B925" s="227">
        <v>410</v>
      </c>
      <c r="C925" s="114">
        <v>3000</v>
      </c>
      <c r="D925" s="196"/>
      <c r="E925" s="195"/>
      <c r="F925" s="195"/>
    </row>
    <row r="926" spans="2:6" x14ac:dyDescent="0.2">
      <c r="B926" s="227">
        <v>567</v>
      </c>
      <c r="C926" s="114">
        <v>3000</v>
      </c>
      <c r="D926" s="196"/>
      <c r="E926" s="195"/>
      <c r="F926" s="195"/>
    </row>
    <row r="927" spans="2:6" x14ac:dyDescent="0.2">
      <c r="B927" s="227">
        <v>688</v>
      </c>
      <c r="C927" s="114">
        <v>3000</v>
      </c>
      <c r="D927" s="196"/>
      <c r="E927" s="195"/>
      <c r="F927" s="195"/>
    </row>
    <row r="928" spans="2:6" x14ac:dyDescent="0.2">
      <c r="B928" s="228">
        <v>755</v>
      </c>
      <c r="C928" s="197">
        <v>3000</v>
      </c>
      <c r="D928" s="196"/>
      <c r="E928" s="195"/>
      <c r="F928" s="195"/>
    </row>
    <row r="929" spans="2:6" x14ac:dyDescent="0.2">
      <c r="B929" s="227">
        <v>864</v>
      </c>
      <c r="C929" s="114">
        <v>3000</v>
      </c>
      <c r="D929" s="196"/>
      <c r="E929" s="195"/>
      <c r="F929" s="195"/>
    </row>
    <row r="930" spans="2:6" x14ac:dyDescent="0.2">
      <c r="B930" s="227">
        <v>875</v>
      </c>
      <c r="C930" s="114">
        <v>3000</v>
      </c>
      <c r="D930" s="196"/>
      <c r="E930" s="195"/>
      <c r="F930" s="195"/>
    </row>
    <row r="931" spans="2:6" x14ac:dyDescent="0.2">
      <c r="B931" s="227">
        <v>914</v>
      </c>
      <c r="C931" s="114">
        <v>3000</v>
      </c>
      <c r="D931" s="196"/>
      <c r="E931" s="195"/>
      <c r="F931" s="195"/>
    </row>
    <row r="932" spans="2:6" x14ac:dyDescent="0.2">
      <c r="B932" s="227">
        <v>963</v>
      </c>
      <c r="C932" s="114">
        <v>3000</v>
      </c>
      <c r="D932" s="196"/>
      <c r="E932" s="195"/>
      <c r="F932" s="195"/>
    </row>
    <row r="933" spans="2:6" x14ac:dyDescent="0.2">
      <c r="B933" s="228">
        <v>1114</v>
      </c>
      <c r="C933" s="197">
        <v>3000</v>
      </c>
      <c r="D933" s="196"/>
      <c r="E933" s="195"/>
      <c r="F933" s="195"/>
    </row>
    <row r="934" spans="2:6" x14ac:dyDescent="0.2">
      <c r="B934" s="228">
        <v>1150</v>
      </c>
      <c r="C934" s="197">
        <v>3000</v>
      </c>
      <c r="D934" s="196"/>
      <c r="E934" s="195"/>
      <c r="F934" s="195"/>
    </row>
    <row r="935" spans="2:6" x14ac:dyDescent="0.2">
      <c r="B935" s="227">
        <v>1175</v>
      </c>
      <c r="C935" s="114">
        <v>3000</v>
      </c>
      <c r="D935" s="196"/>
      <c r="E935" s="195"/>
      <c r="F935" s="195"/>
    </row>
    <row r="936" spans="2:6" x14ac:dyDescent="0.2">
      <c r="B936" s="227">
        <v>1217</v>
      </c>
      <c r="C936" s="114">
        <v>3000</v>
      </c>
      <c r="D936" s="196"/>
      <c r="E936" s="195"/>
      <c r="F936" s="195"/>
    </row>
    <row r="937" spans="2:6" x14ac:dyDescent="0.2">
      <c r="B937" s="227">
        <v>1460</v>
      </c>
      <c r="C937" s="114">
        <v>3000</v>
      </c>
      <c r="D937" s="196"/>
      <c r="E937" s="195"/>
      <c r="F937" s="195"/>
    </row>
    <row r="938" spans="2:6" x14ac:dyDescent="0.2">
      <c r="B938" s="228">
        <v>1469</v>
      </c>
      <c r="C938" s="197">
        <v>3000</v>
      </c>
      <c r="D938" s="196"/>
      <c r="E938" s="195"/>
      <c r="F938" s="195"/>
    </row>
    <row r="939" spans="2:6" x14ac:dyDescent="0.2">
      <c r="B939" s="227">
        <v>1542</v>
      </c>
      <c r="C939" s="114">
        <v>3000</v>
      </c>
      <c r="D939" s="196"/>
      <c r="E939" s="195"/>
      <c r="F939" s="195"/>
    </row>
    <row r="940" spans="2:6" x14ac:dyDescent="0.2">
      <c r="B940" s="227">
        <v>1648</v>
      </c>
      <c r="C940" s="114">
        <v>3000</v>
      </c>
      <c r="D940" s="196"/>
      <c r="E940" s="195"/>
      <c r="F940" s="195"/>
    </row>
    <row r="941" spans="2:6" x14ac:dyDescent="0.2">
      <c r="B941" s="228">
        <v>1937</v>
      </c>
      <c r="C941" s="197">
        <v>3000</v>
      </c>
      <c r="D941" s="196"/>
      <c r="E941" s="195"/>
      <c r="F941" s="195"/>
    </row>
    <row r="942" spans="2:6" x14ac:dyDescent="0.2">
      <c r="B942" s="228">
        <v>2287</v>
      </c>
      <c r="C942" s="197">
        <v>3000</v>
      </c>
      <c r="D942" s="196"/>
      <c r="E942" s="195"/>
      <c r="F942" s="195"/>
    </row>
    <row r="943" spans="2:6" x14ac:dyDescent="0.2">
      <c r="B943" s="227">
        <v>1078</v>
      </c>
      <c r="C943" s="114">
        <v>3012.75</v>
      </c>
      <c r="D943" s="196"/>
      <c r="E943" s="195"/>
      <c r="F943" s="195"/>
    </row>
    <row r="944" spans="2:6" x14ac:dyDescent="0.2">
      <c r="B944" s="227">
        <v>1368</v>
      </c>
      <c r="C944" s="114">
        <v>3030</v>
      </c>
      <c r="D944" s="196"/>
      <c r="E944" s="195"/>
      <c r="F944" s="195"/>
    </row>
    <row r="945" spans="2:6" x14ac:dyDescent="0.2">
      <c r="B945" s="228">
        <v>2004</v>
      </c>
      <c r="C945" s="197">
        <v>3104</v>
      </c>
      <c r="D945" s="196"/>
      <c r="E945" s="195"/>
      <c r="F945" s="195"/>
    </row>
    <row r="946" spans="2:6" x14ac:dyDescent="0.2">
      <c r="B946" s="228">
        <v>1510</v>
      </c>
      <c r="C946" s="197">
        <v>3190</v>
      </c>
      <c r="D946" s="196"/>
      <c r="E946" s="195"/>
      <c r="F946" s="195"/>
    </row>
    <row r="947" spans="2:6" x14ac:dyDescent="0.2">
      <c r="B947" s="228">
        <v>1002</v>
      </c>
      <c r="C947" s="197">
        <v>3203.2</v>
      </c>
      <c r="D947" s="196"/>
      <c r="E947" s="195"/>
      <c r="F947" s="195"/>
    </row>
    <row r="948" spans="2:6" x14ac:dyDescent="0.2">
      <c r="B948" s="227">
        <v>977</v>
      </c>
      <c r="C948" s="114">
        <v>3262.5</v>
      </c>
      <c r="D948" s="196"/>
      <c r="E948" s="195"/>
      <c r="F948" s="195"/>
    </row>
    <row r="949" spans="2:6" x14ac:dyDescent="0.2">
      <c r="B949" s="228">
        <v>1635</v>
      </c>
      <c r="C949" s="197">
        <v>3290.833333333333</v>
      </c>
      <c r="D949" s="196"/>
      <c r="E949" s="195"/>
      <c r="F949" s="195"/>
    </row>
    <row r="950" spans="2:6" x14ac:dyDescent="0.2">
      <c r="B950" s="227">
        <v>2170</v>
      </c>
      <c r="C950" s="114">
        <v>3397</v>
      </c>
      <c r="D950" s="196"/>
      <c r="E950" s="195"/>
      <c r="F950" s="195"/>
    </row>
    <row r="951" spans="2:6" x14ac:dyDescent="0.2">
      <c r="B951" s="228">
        <v>29</v>
      </c>
      <c r="C951" s="197">
        <v>3400</v>
      </c>
      <c r="D951" s="196"/>
      <c r="E951" s="195"/>
      <c r="F951" s="195"/>
    </row>
    <row r="952" spans="2:6" x14ac:dyDescent="0.2">
      <c r="B952" s="228">
        <v>1515</v>
      </c>
      <c r="C952" s="197">
        <v>3408.75</v>
      </c>
      <c r="D952" s="196"/>
      <c r="E952" s="195"/>
      <c r="F952" s="195"/>
    </row>
    <row r="953" spans="2:6" x14ac:dyDescent="0.2">
      <c r="B953" s="228">
        <v>1729</v>
      </c>
      <c r="C953" s="197">
        <v>3500</v>
      </c>
      <c r="D953" s="196"/>
      <c r="E953" s="195"/>
      <c r="F953" s="195"/>
    </row>
    <row r="954" spans="2:6" x14ac:dyDescent="0.2">
      <c r="B954" s="227">
        <v>1839</v>
      </c>
      <c r="C954" s="114">
        <v>3500</v>
      </c>
      <c r="D954" s="196"/>
      <c r="E954" s="195"/>
      <c r="F954" s="195"/>
    </row>
    <row r="955" spans="2:6" x14ac:dyDescent="0.2">
      <c r="B955" s="227">
        <v>1059</v>
      </c>
      <c r="C955" s="114">
        <v>3510</v>
      </c>
      <c r="D955" s="196"/>
      <c r="E955" s="195"/>
      <c r="F955" s="195"/>
    </row>
    <row r="956" spans="2:6" x14ac:dyDescent="0.2">
      <c r="B956" s="227">
        <v>2092</v>
      </c>
      <c r="C956" s="114">
        <v>3583.3333333333339</v>
      </c>
      <c r="D956" s="196"/>
      <c r="E956" s="195"/>
      <c r="F956" s="195"/>
    </row>
    <row r="957" spans="2:6" x14ac:dyDescent="0.2">
      <c r="B957" s="227">
        <v>2067</v>
      </c>
      <c r="C957" s="114">
        <v>3637.5</v>
      </c>
      <c r="D957" s="196"/>
      <c r="E957" s="195"/>
      <c r="F957" s="195"/>
    </row>
    <row r="958" spans="2:6" x14ac:dyDescent="0.2">
      <c r="B958" s="228">
        <v>1086</v>
      </c>
      <c r="C958" s="197">
        <v>3656.25</v>
      </c>
      <c r="D958" s="196"/>
      <c r="E958" s="195"/>
      <c r="F958" s="195"/>
    </row>
    <row r="959" spans="2:6" x14ac:dyDescent="0.2">
      <c r="B959" s="227">
        <v>8</v>
      </c>
      <c r="C959" s="114">
        <v>4000</v>
      </c>
      <c r="D959" s="196"/>
      <c r="E959" s="195"/>
      <c r="F959" s="195"/>
    </row>
    <row r="960" spans="2:6" x14ac:dyDescent="0.2">
      <c r="B960" s="228">
        <v>38</v>
      </c>
      <c r="C960" s="197">
        <v>4000</v>
      </c>
      <c r="D960" s="196"/>
      <c r="E960" s="195"/>
      <c r="F960" s="195"/>
    </row>
    <row r="961" spans="2:6" x14ac:dyDescent="0.2">
      <c r="B961" s="227">
        <v>45</v>
      </c>
      <c r="C961" s="114">
        <v>4000</v>
      </c>
      <c r="D961" s="196"/>
      <c r="E961" s="195"/>
      <c r="F961" s="195"/>
    </row>
    <row r="962" spans="2:6" x14ac:dyDescent="0.2">
      <c r="B962" s="227">
        <v>103</v>
      </c>
      <c r="C962" s="114">
        <v>4000</v>
      </c>
      <c r="D962" s="196"/>
      <c r="E962" s="195"/>
      <c r="F962" s="195"/>
    </row>
    <row r="963" spans="2:6" x14ac:dyDescent="0.2">
      <c r="B963" s="227">
        <v>118</v>
      </c>
      <c r="C963" s="114">
        <v>4000</v>
      </c>
      <c r="D963" s="196"/>
      <c r="E963" s="195"/>
      <c r="F963" s="195"/>
    </row>
    <row r="964" spans="2:6" x14ac:dyDescent="0.2">
      <c r="B964" s="227">
        <v>228</v>
      </c>
      <c r="C964" s="114">
        <v>4000</v>
      </c>
      <c r="D964" s="196"/>
      <c r="E964" s="195"/>
      <c r="F964" s="195"/>
    </row>
    <row r="965" spans="2:6" x14ac:dyDescent="0.2">
      <c r="B965" s="227">
        <v>246</v>
      </c>
      <c r="C965" s="114">
        <v>4000</v>
      </c>
      <c r="D965" s="196"/>
      <c r="E965" s="195"/>
      <c r="F965" s="195"/>
    </row>
    <row r="966" spans="2:6" x14ac:dyDescent="0.2">
      <c r="B966" s="227">
        <v>251</v>
      </c>
      <c r="C966" s="114">
        <v>4000</v>
      </c>
      <c r="D966" s="196"/>
      <c r="E966" s="195"/>
      <c r="F966" s="195"/>
    </row>
    <row r="967" spans="2:6" x14ac:dyDescent="0.2">
      <c r="B967" s="227">
        <v>253</v>
      </c>
      <c r="C967" s="114">
        <v>4000</v>
      </c>
      <c r="D967" s="196"/>
      <c r="E967" s="195"/>
      <c r="F967" s="195"/>
    </row>
    <row r="968" spans="2:6" x14ac:dyDescent="0.2">
      <c r="B968" s="227">
        <v>302</v>
      </c>
      <c r="C968" s="114">
        <v>4000</v>
      </c>
      <c r="D968" s="196"/>
      <c r="E968" s="195"/>
      <c r="F968" s="195"/>
    </row>
    <row r="969" spans="2:6" x14ac:dyDescent="0.2">
      <c r="B969" s="227">
        <v>310</v>
      </c>
      <c r="C969" s="114">
        <v>4000</v>
      </c>
      <c r="D969" s="196"/>
      <c r="E969" s="195"/>
      <c r="F969" s="195"/>
    </row>
    <row r="970" spans="2:6" x14ac:dyDescent="0.2">
      <c r="B970" s="227">
        <v>524</v>
      </c>
      <c r="C970" s="114">
        <v>4000</v>
      </c>
      <c r="D970" s="196"/>
      <c r="E970" s="195"/>
      <c r="F970" s="195"/>
    </row>
    <row r="971" spans="2:6" x14ac:dyDescent="0.2">
      <c r="B971" s="228">
        <v>609</v>
      </c>
      <c r="C971" s="197">
        <v>4000</v>
      </c>
      <c r="D971" s="196"/>
      <c r="E971" s="195"/>
      <c r="F971" s="195"/>
    </row>
    <row r="972" spans="2:6" x14ac:dyDescent="0.2">
      <c r="B972" s="227">
        <v>641</v>
      </c>
      <c r="C972" s="114">
        <v>4000</v>
      </c>
      <c r="D972" s="196"/>
      <c r="E972" s="195"/>
      <c r="F972" s="195"/>
    </row>
    <row r="973" spans="2:6" x14ac:dyDescent="0.2">
      <c r="B973" s="228">
        <v>649</v>
      </c>
      <c r="C973" s="197">
        <v>4000</v>
      </c>
      <c r="D973" s="196"/>
      <c r="E973" s="195"/>
      <c r="F973" s="195"/>
    </row>
    <row r="974" spans="2:6" x14ac:dyDescent="0.2">
      <c r="B974" s="228">
        <v>856</v>
      </c>
      <c r="C974" s="197">
        <v>4000</v>
      </c>
      <c r="D974" s="196"/>
      <c r="E974" s="195"/>
      <c r="F974" s="195"/>
    </row>
    <row r="975" spans="2:6" x14ac:dyDescent="0.2">
      <c r="B975" s="227">
        <v>1288</v>
      </c>
      <c r="C975" s="114">
        <v>4000</v>
      </c>
      <c r="D975" s="196"/>
      <c r="E975" s="195"/>
      <c r="F975" s="195"/>
    </row>
    <row r="976" spans="2:6" x14ac:dyDescent="0.2">
      <c r="B976" s="227">
        <v>1351</v>
      </c>
      <c r="C976" s="114">
        <v>4000</v>
      </c>
      <c r="D976" s="196"/>
      <c r="E976" s="195"/>
      <c r="F976" s="195"/>
    </row>
    <row r="977" spans="2:6" x14ac:dyDescent="0.2">
      <c r="B977" s="228">
        <v>1486</v>
      </c>
      <c r="C977" s="197">
        <v>4000</v>
      </c>
      <c r="D977" s="196"/>
      <c r="E977" s="195"/>
      <c r="F977" s="195"/>
    </row>
    <row r="978" spans="2:6" x14ac:dyDescent="0.2">
      <c r="B978" s="227">
        <v>1526</v>
      </c>
      <c r="C978" s="114">
        <v>4000</v>
      </c>
      <c r="D978" s="196"/>
      <c r="E978" s="195"/>
      <c r="F978" s="195"/>
    </row>
    <row r="979" spans="2:6" x14ac:dyDescent="0.2">
      <c r="B979" s="227">
        <v>1547</v>
      </c>
      <c r="C979" s="114">
        <v>4000</v>
      </c>
      <c r="D979" s="196"/>
      <c r="E979" s="195"/>
      <c r="F979" s="195"/>
    </row>
    <row r="980" spans="2:6" x14ac:dyDescent="0.2">
      <c r="B980" s="228">
        <v>1630</v>
      </c>
      <c r="C980" s="197">
        <v>4000</v>
      </c>
      <c r="D980" s="196"/>
      <c r="E980" s="195"/>
      <c r="F980" s="195"/>
    </row>
    <row r="981" spans="2:6" x14ac:dyDescent="0.2">
      <c r="B981" s="228">
        <v>1749</v>
      </c>
      <c r="C981" s="197">
        <v>4000</v>
      </c>
      <c r="D981" s="196"/>
      <c r="E981" s="195"/>
      <c r="F981" s="195"/>
    </row>
    <row r="982" spans="2:6" x14ac:dyDescent="0.2">
      <c r="B982" s="227">
        <v>1762</v>
      </c>
      <c r="C982" s="114">
        <v>4000</v>
      </c>
      <c r="D982" s="196"/>
      <c r="E982" s="195"/>
      <c r="F982" s="195"/>
    </row>
    <row r="983" spans="2:6" x14ac:dyDescent="0.2">
      <c r="B983" s="228">
        <v>1826</v>
      </c>
      <c r="C983" s="197">
        <v>4000</v>
      </c>
      <c r="D983" s="196"/>
      <c r="E983" s="195"/>
      <c r="F983" s="195"/>
    </row>
    <row r="984" spans="2:6" x14ac:dyDescent="0.2">
      <c r="B984" s="228">
        <v>2056</v>
      </c>
      <c r="C984" s="197">
        <v>4000</v>
      </c>
      <c r="D984" s="196"/>
      <c r="E984" s="195"/>
      <c r="F984" s="195"/>
    </row>
    <row r="985" spans="2:6" x14ac:dyDescent="0.2">
      <c r="B985" s="227">
        <v>2107</v>
      </c>
      <c r="C985" s="114">
        <v>4000</v>
      </c>
      <c r="D985" s="196"/>
      <c r="E985" s="195"/>
      <c r="F985" s="195"/>
    </row>
    <row r="986" spans="2:6" x14ac:dyDescent="0.2">
      <c r="B986" s="227">
        <v>202</v>
      </c>
      <c r="C986" s="114">
        <v>4100</v>
      </c>
      <c r="D986" s="196"/>
      <c r="E986" s="195"/>
      <c r="F986" s="195"/>
    </row>
    <row r="987" spans="2:6" x14ac:dyDescent="0.2">
      <c r="B987" s="228">
        <v>1860</v>
      </c>
      <c r="C987" s="197">
        <v>4166.666666666667</v>
      </c>
      <c r="D987" s="196"/>
      <c r="E987" s="195"/>
      <c r="F987" s="195"/>
    </row>
    <row r="988" spans="2:6" x14ac:dyDescent="0.2">
      <c r="B988" s="227">
        <v>97</v>
      </c>
      <c r="C988" s="114">
        <v>4275</v>
      </c>
      <c r="D988" s="196"/>
      <c r="E988" s="195"/>
      <c r="F988" s="195"/>
    </row>
    <row r="989" spans="2:6" x14ac:dyDescent="0.2">
      <c r="B989" s="227">
        <v>1410</v>
      </c>
      <c r="C989" s="114">
        <v>4308</v>
      </c>
      <c r="D989" s="196"/>
      <c r="E989" s="195"/>
      <c r="F989" s="195"/>
    </row>
    <row r="990" spans="2:6" x14ac:dyDescent="0.2">
      <c r="B990" s="228">
        <v>1997</v>
      </c>
      <c r="C990" s="197">
        <v>4620</v>
      </c>
      <c r="D990" s="196"/>
      <c r="E990" s="195"/>
      <c r="F990" s="195"/>
    </row>
    <row r="991" spans="2:6" x14ac:dyDescent="0.2">
      <c r="B991" s="227">
        <v>1440</v>
      </c>
      <c r="C991" s="114">
        <v>4750</v>
      </c>
      <c r="D991" s="196"/>
      <c r="E991" s="195"/>
      <c r="F991" s="195"/>
    </row>
    <row r="992" spans="2:6" x14ac:dyDescent="0.2">
      <c r="B992" s="227">
        <v>51</v>
      </c>
      <c r="C992" s="114">
        <v>5000</v>
      </c>
      <c r="D992" s="196"/>
      <c r="E992" s="195"/>
      <c r="F992" s="195"/>
    </row>
    <row r="993" spans="2:6" x14ac:dyDescent="0.2">
      <c r="B993" s="227">
        <v>60</v>
      </c>
      <c r="C993" s="114">
        <v>5000</v>
      </c>
      <c r="D993" s="196"/>
      <c r="E993" s="195"/>
      <c r="F993" s="195"/>
    </row>
    <row r="994" spans="2:6" x14ac:dyDescent="0.2">
      <c r="B994" s="227">
        <v>61</v>
      </c>
      <c r="C994" s="114">
        <v>5000</v>
      </c>
      <c r="D994" s="196"/>
      <c r="E994" s="195"/>
      <c r="F994" s="195"/>
    </row>
    <row r="995" spans="2:6" x14ac:dyDescent="0.2">
      <c r="B995" s="228">
        <v>72</v>
      </c>
      <c r="C995" s="197">
        <v>5000</v>
      </c>
      <c r="D995" s="196"/>
      <c r="E995" s="195"/>
      <c r="F995" s="195"/>
    </row>
    <row r="996" spans="2:6" x14ac:dyDescent="0.2">
      <c r="B996" s="227">
        <v>133</v>
      </c>
      <c r="C996" s="114">
        <v>5000</v>
      </c>
      <c r="D996" s="196"/>
      <c r="E996" s="195"/>
      <c r="F996" s="195"/>
    </row>
    <row r="997" spans="2:6" x14ac:dyDescent="0.2">
      <c r="B997" s="227">
        <v>155</v>
      </c>
      <c r="C997" s="114">
        <v>5000</v>
      </c>
      <c r="D997" s="196"/>
      <c r="E997" s="195"/>
      <c r="F997" s="195"/>
    </row>
    <row r="998" spans="2:6" x14ac:dyDescent="0.2">
      <c r="B998" s="228">
        <v>177</v>
      </c>
      <c r="C998" s="197">
        <v>5000</v>
      </c>
      <c r="D998" s="196"/>
      <c r="E998" s="195"/>
      <c r="F998" s="195"/>
    </row>
    <row r="999" spans="2:6" x14ac:dyDescent="0.2">
      <c r="B999" s="227">
        <v>201</v>
      </c>
      <c r="C999" s="114">
        <v>5000</v>
      </c>
      <c r="D999" s="196"/>
      <c r="E999" s="195"/>
      <c r="F999" s="195"/>
    </row>
    <row r="1000" spans="2:6" x14ac:dyDescent="0.2">
      <c r="B1000" s="228">
        <v>242</v>
      </c>
      <c r="C1000" s="197">
        <v>5000</v>
      </c>
      <c r="D1000" s="196"/>
      <c r="E1000" s="195"/>
      <c r="F1000" s="195"/>
    </row>
    <row r="1001" spans="2:6" x14ac:dyDescent="0.2">
      <c r="B1001" s="228">
        <v>267</v>
      </c>
      <c r="C1001" s="197">
        <v>5000</v>
      </c>
      <c r="D1001" s="196"/>
      <c r="E1001" s="195"/>
      <c r="F1001" s="195"/>
    </row>
    <row r="1002" spans="2:6" x14ac:dyDescent="0.2">
      <c r="B1002" s="228">
        <v>358</v>
      </c>
      <c r="C1002" s="197">
        <v>5000</v>
      </c>
      <c r="D1002" s="196"/>
      <c r="E1002" s="195"/>
      <c r="F1002" s="195"/>
    </row>
    <row r="1003" spans="2:6" x14ac:dyDescent="0.2">
      <c r="B1003" s="228">
        <v>555</v>
      </c>
      <c r="C1003" s="197">
        <v>5000</v>
      </c>
      <c r="D1003" s="196"/>
      <c r="E1003" s="195"/>
      <c r="F1003" s="195"/>
    </row>
    <row r="1004" spans="2:6" x14ac:dyDescent="0.2">
      <c r="B1004" s="227">
        <v>562</v>
      </c>
      <c r="C1004" s="114">
        <v>5000</v>
      </c>
      <c r="D1004" s="196"/>
      <c r="E1004" s="195"/>
      <c r="F1004" s="195"/>
    </row>
    <row r="1005" spans="2:6" x14ac:dyDescent="0.2">
      <c r="B1005" s="228">
        <v>601</v>
      </c>
      <c r="C1005" s="197">
        <v>5000</v>
      </c>
      <c r="D1005" s="196"/>
      <c r="E1005" s="195"/>
      <c r="F1005" s="195"/>
    </row>
    <row r="1006" spans="2:6" x14ac:dyDescent="0.2">
      <c r="B1006" s="227">
        <v>624</v>
      </c>
      <c r="C1006" s="114">
        <v>5000</v>
      </c>
      <c r="D1006" s="196"/>
      <c r="E1006" s="195"/>
      <c r="F1006" s="195"/>
    </row>
    <row r="1007" spans="2:6" x14ac:dyDescent="0.2">
      <c r="B1007" s="227">
        <v>689</v>
      </c>
      <c r="C1007" s="114">
        <v>5000</v>
      </c>
      <c r="D1007" s="196"/>
      <c r="E1007" s="195"/>
      <c r="F1007" s="195"/>
    </row>
    <row r="1008" spans="2:6" x14ac:dyDescent="0.2">
      <c r="B1008" s="227">
        <v>701</v>
      </c>
      <c r="C1008" s="114">
        <v>5000</v>
      </c>
      <c r="D1008" s="196"/>
      <c r="E1008" s="195"/>
      <c r="F1008" s="195"/>
    </row>
    <row r="1009" spans="2:6" x14ac:dyDescent="0.2">
      <c r="B1009" s="227">
        <v>771</v>
      </c>
      <c r="C1009" s="114">
        <v>5000</v>
      </c>
      <c r="D1009" s="196"/>
      <c r="E1009" s="195"/>
      <c r="F1009" s="195"/>
    </row>
    <row r="1010" spans="2:6" x14ac:dyDescent="0.2">
      <c r="B1010" s="228">
        <v>794</v>
      </c>
      <c r="C1010" s="197">
        <v>5000</v>
      </c>
      <c r="D1010" s="196"/>
      <c r="E1010" s="195"/>
      <c r="F1010" s="195"/>
    </row>
    <row r="1011" spans="2:6" x14ac:dyDescent="0.2">
      <c r="B1011" s="227">
        <v>872</v>
      </c>
      <c r="C1011" s="114">
        <v>5000</v>
      </c>
      <c r="D1011" s="196"/>
      <c r="E1011" s="195"/>
      <c r="F1011" s="195"/>
    </row>
    <row r="1012" spans="2:6" x14ac:dyDescent="0.2">
      <c r="B1012" s="227">
        <v>900</v>
      </c>
      <c r="C1012" s="114">
        <v>5000</v>
      </c>
      <c r="D1012" s="196"/>
      <c r="E1012" s="195"/>
      <c r="F1012" s="195"/>
    </row>
    <row r="1013" spans="2:6" x14ac:dyDescent="0.2">
      <c r="B1013" s="228">
        <v>980</v>
      </c>
      <c r="C1013" s="197">
        <v>5000</v>
      </c>
      <c r="D1013" s="196"/>
      <c r="E1013" s="195"/>
      <c r="F1013" s="195"/>
    </row>
    <row r="1014" spans="2:6" x14ac:dyDescent="0.2">
      <c r="B1014" s="228">
        <v>992</v>
      </c>
      <c r="C1014" s="197">
        <v>5000</v>
      </c>
      <c r="D1014" s="196"/>
      <c r="E1014" s="195"/>
      <c r="F1014" s="195"/>
    </row>
    <row r="1015" spans="2:6" x14ac:dyDescent="0.2">
      <c r="B1015" s="228">
        <v>1058</v>
      </c>
      <c r="C1015" s="197">
        <v>5000</v>
      </c>
      <c r="D1015" s="196"/>
      <c r="E1015" s="195"/>
      <c r="F1015" s="195"/>
    </row>
    <row r="1016" spans="2:6" x14ac:dyDescent="0.2">
      <c r="B1016" s="228">
        <v>1093</v>
      </c>
      <c r="C1016" s="197">
        <v>5000</v>
      </c>
      <c r="D1016" s="196"/>
      <c r="E1016" s="195"/>
      <c r="F1016" s="195"/>
    </row>
    <row r="1017" spans="2:6" x14ac:dyDescent="0.2">
      <c r="B1017" s="227">
        <v>1143</v>
      </c>
      <c r="C1017" s="114">
        <v>5000</v>
      </c>
      <c r="D1017" s="196"/>
      <c r="E1017" s="195"/>
      <c r="F1017" s="195"/>
    </row>
    <row r="1018" spans="2:6" x14ac:dyDescent="0.2">
      <c r="B1018" s="228">
        <v>1155</v>
      </c>
      <c r="C1018" s="197">
        <v>5000</v>
      </c>
      <c r="D1018" s="196"/>
      <c r="E1018" s="195"/>
      <c r="F1018" s="195"/>
    </row>
    <row r="1019" spans="2:6" x14ac:dyDescent="0.2">
      <c r="B1019" s="227">
        <v>1195</v>
      </c>
      <c r="C1019" s="114">
        <v>5000</v>
      </c>
      <c r="D1019" s="196"/>
      <c r="E1019" s="195"/>
      <c r="F1019" s="195"/>
    </row>
    <row r="1020" spans="2:6" x14ac:dyDescent="0.2">
      <c r="B1020" s="227">
        <v>1269</v>
      </c>
      <c r="C1020" s="114">
        <v>5000</v>
      </c>
      <c r="D1020" s="196"/>
      <c r="E1020" s="195"/>
      <c r="F1020" s="195"/>
    </row>
    <row r="1021" spans="2:6" x14ac:dyDescent="0.2">
      <c r="B1021" s="227">
        <v>1272</v>
      </c>
      <c r="C1021" s="114">
        <v>5000</v>
      </c>
      <c r="D1021" s="196"/>
      <c r="E1021" s="195"/>
      <c r="F1021" s="195"/>
    </row>
    <row r="1022" spans="2:6" x14ac:dyDescent="0.2">
      <c r="B1022" s="227">
        <v>1399</v>
      </c>
      <c r="C1022" s="114">
        <v>5000</v>
      </c>
      <c r="D1022" s="196"/>
      <c r="E1022" s="195"/>
      <c r="F1022" s="195"/>
    </row>
    <row r="1023" spans="2:6" x14ac:dyDescent="0.2">
      <c r="B1023" s="227">
        <v>1654</v>
      </c>
      <c r="C1023" s="114">
        <v>5000</v>
      </c>
      <c r="D1023" s="196"/>
      <c r="E1023" s="195"/>
      <c r="F1023" s="195"/>
    </row>
    <row r="1024" spans="2:6" x14ac:dyDescent="0.2">
      <c r="B1024" s="227">
        <v>1656</v>
      </c>
      <c r="C1024" s="114">
        <v>5000</v>
      </c>
      <c r="D1024" s="196"/>
      <c r="E1024" s="195"/>
      <c r="F1024" s="195"/>
    </row>
    <row r="1025" spans="2:6" x14ac:dyDescent="0.2">
      <c r="B1025" s="228">
        <v>1667</v>
      </c>
      <c r="C1025" s="197">
        <v>5000</v>
      </c>
      <c r="D1025" s="196"/>
      <c r="E1025" s="195"/>
      <c r="F1025" s="195"/>
    </row>
    <row r="1026" spans="2:6" x14ac:dyDescent="0.2">
      <c r="B1026" s="227">
        <v>1803</v>
      </c>
      <c r="C1026" s="114">
        <v>5000</v>
      </c>
      <c r="D1026" s="196"/>
      <c r="E1026" s="195"/>
      <c r="F1026" s="195"/>
    </row>
    <row r="1027" spans="2:6" x14ac:dyDescent="0.2">
      <c r="B1027" s="227">
        <v>1823</v>
      </c>
      <c r="C1027" s="114">
        <v>5000</v>
      </c>
      <c r="D1027" s="196"/>
      <c r="E1027" s="195"/>
      <c r="F1027" s="195"/>
    </row>
    <row r="1028" spans="2:6" x14ac:dyDescent="0.2">
      <c r="B1028" s="228">
        <v>1890</v>
      </c>
      <c r="C1028" s="197">
        <v>5000</v>
      </c>
      <c r="D1028" s="196"/>
      <c r="E1028" s="195"/>
      <c r="F1028" s="195"/>
    </row>
    <row r="1029" spans="2:6" x14ac:dyDescent="0.2">
      <c r="B1029" s="227">
        <v>1925</v>
      </c>
      <c r="C1029" s="114">
        <v>5000</v>
      </c>
      <c r="D1029" s="196"/>
      <c r="E1029" s="195"/>
      <c r="F1029" s="195"/>
    </row>
    <row r="1030" spans="2:6" x14ac:dyDescent="0.2">
      <c r="B1030" s="227">
        <v>1960</v>
      </c>
      <c r="C1030" s="114">
        <v>5000</v>
      </c>
      <c r="D1030" s="196"/>
      <c r="E1030" s="195"/>
      <c r="F1030" s="195"/>
    </row>
    <row r="1031" spans="2:6" x14ac:dyDescent="0.2">
      <c r="B1031" s="227">
        <v>2070</v>
      </c>
      <c r="C1031" s="114">
        <v>5000</v>
      </c>
      <c r="D1031" s="196"/>
      <c r="E1031" s="195"/>
      <c r="F1031" s="195"/>
    </row>
    <row r="1032" spans="2:6" x14ac:dyDescent="0.2">
      <c r="B1032" s="228">
        <v>2169</v>
      </c>
      <c r="C1032" s="197">
        <v>5000</v>
      </c>
      <c r="D1032" s="196"/>
      <c r="E1032" s="195"/>
      <c r="F1032" s="195"/>
    </row>
    <row r="1033" spans="2:6" x14ac:dyDescent="0.2">
      <c r="B1033" s="228">
        <v>2270</v>
      </c>
      <c r="C1033" s="197">
        <v>5000</v>
      </c>
      <c r="D1033" s="196"/>
      <c r="E1033" s="195"/>
      <c r="F1033" s="195"/>
    </row>
    <row r="1034" spans="2:6" x14ac:dyDescent="0.2">
      <c r="B1034" s="228">
        <v>2297</v>
      </c>
      <c r="C1034" s="197">
        <v>5000</v>
      </c>
      <c r="D1034" s="196"/>
      <c r="E1034" s="195"/>
      <c r="F1034" s="195"/>
    </row>
    <row r="1035" spans="2:6" x14ac:dyDescent="0.2">
      <c r="B1035" s="227">
        <v>1892</v>
      </c>
      <c r="C1035" s="114">
        <v>5016.6666666666661</v>
      </c>
      <c r="D1035" s="196"/>
      <c r="E1035" s="195"/>
      <c r="F1035" s="195"/>
    </row>
    <row r="1036" spans="2:6" x14ac:dyDescent="0.2">
      <c r="B1036" s="227">
        <v>226</v>
      </c>
      <c r="C1036" s="114">
        <v>5520</v>
      </c>
      <c r="D1036" s="196"/>
      <c r="E1036" s="195"/>
      <c r="F1036" s="195"/>
    </row>
    <row r="1037" spans="2:6" x14ac:dyDescent="0.2">
      <c r="B1037" s="228">
        <v>66</v>
      </c>
      <c r="C1037" s="197">
        <v>6000</v>
      </c>
      <c r="D1037" s="196"/>
      <c r="E1037" s="195"/>
      <c r="F1037" s="195"/>
    </row>
    <row r="1038" spans="2:6" x14ac:dyDescent="0.2">
      <c r="B1038" s="227">
        <v>80</v>
      </c>
      <c r="C1038" s="114">
        <v>6000</v>
      </c>
      <c r="D1038" s="196"/>
      <c r="E1038" s="195"/>
      <c r="F1038" s="195"/>
    </row>
    <row r="1039" spans="2:6" x14ac:dyDescent="0.2">
      <c r="B1039" s="227">
        <v>94</v>
      </c>
      <c r="C1039" s="114">
        <v>6000</v>
      </c>
      <c r="D1039" s="196"/>
      <c r="E1039" s="195"/>
      <c r="F1039" s="195"/>
    </row>
    <row r="1040" spans="2:6" x14ac:dyDescent="0.2">
      <c r="B1040" s="228">
        <v>109</v>
      </c>
      <c r="C1040" s="197">
        <v>6000</v>
      </c>
      <c r="D1040" s="196"/>
      <c r="E1040" s="195"/>
      <c r="F1040" s="195"/>
    </row>
    <row r="1041" spans="2:6" x14ac:dyDescent="0.2">
      <c r="B1041" s="227">
        <v>261</v>
      </c>
      <c r="C1041" s="114">
        <v>6000</v>
      </c>
      <c r="D1041" s="196"/>
      <c r="E1041" s="195"/>
      <c r="F1041" s="195"/>
    </row>
    <row r="1042" spans="2:6" x14ac:dyDescent="0.2">
      <c r="B1042" s="227">
        <v>285</v>
      </c>
      <c r="C1042" s="114">
        <v>6000</v>
      </c>
      <c r="D1042" s="196"/>
      <c r="E1042" s="195"/>
      <c r="F1042" s="195"/>
    </row>
    <row r="1043" spans="2:6" x14ac:dyDescent="0.2">
      <c r="B1043" s="227">
        <v>299</v>
      </c>
      <c r="C1043" s="114">
        <v>6000</v>
      </c>
      <c r="D1043" s="196"/>
      <c r="E1043" s="195"/>
      <c r="F1043" s="195"/>
    </row>
    <row r="1044" spans="2:6" x14ac:dyDescent="0.2">
      <c r="B1044" s="227">
        <v>324</v>
      </c>
      <c r="C1044" s="114">
        <v>6000</v>
      </c>
      <c r="D1044" s="196"/>
      <c r="E1044" s="195"/>
      <c r="F1044" s="195"/>
    </row>
    <row r="1045" spans="2:6" x14ac:dyDescent="0.2">
      <c r="B1045" s="228">
        <v>356</v>
      </c>
      <c r="C1045" s="197">
        <v>6000</v>
      </c>
      <c r="D1045" s="196"/>
      <c r="E1045" s="195"/>
      <c r="F1045" s="195"/>
    </row>
    <row r="1046" spans="2:6" x14ac:dyDescent="0.2">
      <c r="B1046" s="227">
        <v>472</v>
      </c>
      <c r="C1046" s="114">
        <v>6000</v>
      </c>
      <c r="D1046" s="196"/>
      <c r="E1046" s="195"/>
      <c r="F1046" s="195"/>
    </row>
    <row r="1047" spans="2:6" x14ac:dyDescent="0.2">
      <c r="B1047" s="227">
        <v>486</v>
      </c>
      <c r="C1047" s="114">
        <v>6000</v>
      </c>
      <c r="D1047" s="196"/>
      <c r="E1047" s="195"/>
      <c r="F1047" s="195"/>
    </row>
    <row r="1048" spans="2:6" x14ac:dyDescent="0.2">
      <c r="B1048" s="227">
        <v>511</v>
      </c>
      <c r="C1048" s="114">
        <v>6000</v>
      </c>
      <c r="D1048" s="196"/>
      <c r="E1048" s="195"/>
      <c r="F1048" s="195"/>
    </row>
    <row r="1049" spans="2:6" x14ac:dyDescent="0.2">
      <c r="B1049" s="228">
        <v>512</v>
      </c>
      <c r="C1049" s="197">
        <v>6000</v>
      </c>
      <c r="D1049" s="196"/>
      <c r="E1049" s="195"/>
      <c r="F1049" s="195"/>
    </row>
    <row r="1050" spans="2:6" x14ac:dyDescent="0.2">
      <c r="B1050" s="227">
        <v>537</v>
      </c>
      <c r="C1050" s="114">
        <v>6000</v>
      </c>
      <c r="D1050" s="196"/>
      <c r="E1050" s="195"/>
      <c r="F1050" s="195"/>
    </row>
    <row r="1051" spans="2:6" x14ac:dyDescent="0.2">
      <c r="B1051" s="228">
        <v>617</v>
      </c>
      <c r="C1051" s="197">
        <v>6000</v>
      </c>
      <c r="D1051" s="196"/>
      <c r="E1051" s="195"/>
      <c r="F1051" s="195"/>
    </row>
    <row r="1052" spans="2:6" x14ac:dyDescent="0.2">
      <c r="B1052" s="228">
        <v>632</v>
      </c>
      <c r="C1052" s="197">
        <v>6000</v>
      </c>
      <c r="D1052" s="196"/>
      <c r="E1052" s="195"/>
      <c r="F1052" s="195"/>
    </row>
    <row r="1053" spans="2:6" x14ac:dyDescent="0.2">
      <c r="B1053" s="227">
        <v>738</v>
      </c>
      <c r="C1053" s="114">
        <v>6000</v>
      </c>
      <c r="D1053" s="196"/>
      <c r="E1053" s="195"/>
      <c r="F1053" s="195"/>
    </row>
    <row r="1054" spans="2:6" x14ac:dyDescent="0.2">
      <c r="B1054" s="228">
        <v>765</v>
      </c>
      <c r="C1054" s="197">
        <v>6000</v>
      </c>
      <c r="D1054" s="196"/>
      <c r="E1054" s="195"/>
      <c r="F1054" s="195"/>
    </row>
    <row r="1055" spans="2:6" x14ac:dyDescent="0.2">
      <c r="B1055" s="227">
        <v>810</v>
      </c>
      <c r="C1055" s="114">
        <v>6000</v>
      </c>
      <c r="D1055" s="196"/>
      <c r="E1055" s="195"/>
      <c r="F1055" s="195"/>
    </row>
    <row r="1056" spans="2:6" x14ac:dyDescent="0.2">
      <c r="B1056" s="228">
        <v>834</v>
      </c>
      <c r="C1056" s="197">
        <v>6000</v>
      </c>
      <c r="D1056" s="196"/>
      <c r="E1056" s="195"/>
      <c r="F1056" s="195"/>
    </row>
    <row r="1057" spans="2:6" x14ac:dyDescent="0.2">
      <c r="B1057" s="228">
        <v>841</v>
      </c>
      <c r="C1057" s="197">
        <v>6000</v>
      </c>
      <c r="D1057" s="196"/>
      <c r="E1057" s="195"/>
      <c r="F1057" s="195"/>
    </row>
    <row r="1058" spans="2:6" x14ac:dyDescent="0.2">
      <c r="B1058" s="228">
        <v>915</v>
      </c>
      <c r="C1058" s="197">
        <v>6000</v>
      </c>
      <c r="D1058" s="196"/>
      <c r="E1058" s="195"/>
      <c r="F1058" s="195"/>
    </row>
    <row r="1059" spans="2:6" x14ac:dyDescent="0.2">
      <c r="B1059" s="227">
        <v>940</v>
      </c>
      <c r="C1059" s="114">
        <v>6000</v>
      </c>
      <c r="D1059" s="196"/>
      <c r="E1059" s="195"/>
      <c r="F1059" s="195"/>
    </row>
    <row r="1060" spans="2:6" x14ac:dyDescent="0.2">
      <c r="B1060" s="228">
        <v>948</v>
      </c>
      <c r="C1060" s="197">
        <v>6000</v>
      </c>
      <c r="D1060" s="196"/>
      <c r="E1060" s="195"/>
      <c r="F1060" s="195"/>
    </row>
    <row r="1061" spans="2:6" x14ac:dyDescent="0.2">
      <c r="B1061" s="227">
        <v>956</v>
      </c>
      <c r="C1061" s="114">
        <v>6000</v>
      </c>
      <c r="D1061" s="196"/>
      <c r="E1061" s="195"/>
      <c r="F1061" s="195"/>
    </row>
    <row r="1062" spans="2:6" x14ac:dyDescent="0.2">
      <c r="B1062" s="228">
        <v>996</v>
      </c>
      <c r="C1062" s="197">
        <v>6000</v>
      </c>
      <c r="D1062" s="196"/>
      <c r="E1062" s="195"/>
      <c r="F1062" s="195"/>
    </row>
    <row r="1063" spans="2:6" x14ac:dyDescent="0.2">
      <c r="B1063" s="228">
        <v>1011</v>
      </c>
      <c r="C1063" s="197">
        <v>6000</v>
      </c>
      <c r="D1063" s="196"/>
      <c r="E1063" s="195"/>
      <c r="F1063" s="195"/>
    </row>
    <row r="1064" spans="2:6" x14ac:dyDescent="0.2">
      <c r="B1064" s="228">
        <v>1048</v>
      </c>
      <c r="C1064" s="197">
        <v>6000</v>
      </c>
      <c r="D1064" s="196"/>
      <c r="E1064" s="195"/>
      <c r="F1064" s="195"/>
    </row>
    <row r="1065" spans="2:6" x14ac:dyDescent="0.2">
      <c r="B1065" s="227">
        <v>1084</v>
      </c>
      <c r="C1065" s="114">
        <v>6000</v>
      </c>
      <c r="D1065" s="196"/>
      <c r="E1065" s="195"/>
      <c r="F1065" s="195"/>
    </row>
    <row r="1066" spans="2:6" x14ac:dyDescent="0.2">
      <c r="B1066" s="228">
        <v>1087</v>
      </c>
      <c r="C1066" s="197">
        <v>6000</v>
      </c>
      <c r="D1066" s="196"/>
      <c r="E1066" s="195"/>
      <c r="F1066" s="195"/>
    </row>
    <row r="1067" spans="2:6" x14ac:dyDescent="0.2">
      <c r="B1067" s="228">
        <v>1097</v>
      </c>
      <c r="C1067" s="197">
        <v>6000</v>
      </c>
      <c r="D1067" s="196"/>
      <c r="E1067" s="195"/>
      <c r="F1067" s="195"/>
    </row>
    <row r="1068" spans="2:6" x14ac:dyDescent="0.2">
      <c r="B1068" s="228">
        <v>1149</v>
      </c>
      <c r="C1068" s="197">
        <v>6000</v>
      </c>
      <c r="D1068" s="196"/>
      <c r="E1068" s="195"/>
      <c r="F1068" s="195"/>
    </row>
    <row r="1069" spans="2:6" x14ac:dyDescent="0.2">
      <c r="B1069" s="228">
        <v>1181</v>
      </c>
      <c r="C1069" s="197">
        <v>6000</v>
      </c>
      <c r="D1069" s="196"/>
      <c r="E1069" s="195"/>
      <c r="F1069" s="195"/>
    </row>
    <row r="1070" spans="2:6" x14ac:dyDescent="0.2">
      <c r="B1070" s="227">
        <v>1185</v>
      </c>
      <c r="C1070" s="114">
        <v>6000</v>
      </c>
      <c r="D1070" s="196"/>
      <c r="E1070" s="195"/>
      <c r="F1070" s="195"/>
    </row>
    <row r="1071" spans="2:6" x14ac:dyDescent="0.2">
      <c r="B1071" s="228">
        <v>1257</v>
      </c>
      <c r="C1071" s="197">
        <v>6000</v>
      </c>
      <c r="D1071" s="196"/>
      <c r="E1071" s="195"/>
      <c r="F1071" s="195"/>
    </row>
    <row r="1072" spans="2:6" x14ac:dyDescent="0.2">
      <c r="B1072" s="228">
        <v>1263</v>
      </c>
      <c r="C1072" s="197">
        <v>6000</v>
      </c>
      <c r="D1072" s="196"/>
      <c r="E1072" s="195"/>
      <c r="F1072" s="195"/>
    </row>
    <row r="1073" spans="2:6" x14ac:dyDescent="0.2">
      <c r="B1073" s="228">
        <v>1322</v>
      </c>
      <c r="C1073" s="197">
        <v>6000</v>
      </c>
      <c r="D1073" s="196"/>
      <c r="E1073" s="195"/>
      <c r="F1073" s="195"/>
    </row>
    <row r="1074" spans="2:6" x14ac:dyDescent="0.2">
      <c r="B1074" s="228">
        <v>1328</v>
      </c>
      <c r="C1074" s="197">
        <v>6000</v>
      </c>
      <c r="D1074" s="196"/>
      <c r="E1074" s="195"/>
      <c r="F1074" s="195"/>
    </row>
    <row r="1075" spans="2:6" x14ac:dyDescent="0.2">
      <c r="B1075" s="227">
        <v>1372</v>
      </c>
      <c r="C1075" s="114">
        <v>6000</v>
      </c>
      <c r="D1075" s="196"/>
      <c r="E1075" s="195"/>
      <c r="F1075" s="195"/>
    </row>
    <row r="1076" spans="2:6" x14ac:dyDescent="0.2">
      <c r="B1076" s="227">
        <v>1418</v>
      </c>
      <c r="C1076" s="114">
        <v>6000</v>
      </c>
      <c r="D1076" s="196"/>
      <c r="E1076" s="195"/>
      <c r="F1076" s="195"/>
    </row>
    <row r="1077" spans="2:6" x14ac:dyDescent="0.2">
      <c r="B1077" s="228">
        <v>1452</v>
      </c>
      <c r="C1077" s="197">
        <v>6000</v>
      </c>
      <c r="D1077" s="196"/>
      <c r="E1077" s="195"/>
      <c r="F1077" s="195"/>
    </row>
    <row r="1078" spans="2:6" x14ac:dyDescent="0.2">
      <c r="B1078" s="228">
        <v>1533</v>
      </c>
      <c r="C1078" s="197">
        <v>6000</v>
      </c>
      <c r="D1078" s="196"/>
      <c r="E1078" s="195"/>
      <c r="F1078" s="195"/>
    </row>
    <row r="1079" spans="2:6" x14ac:dyDescent="0.2">
      <c r="B1079" s="228">
        <v>1543</v>
      </c>
      <c r="C1079" s="197">
        <v>6000</v>
      </c>
      <c r="D1079" s="196"/>
      <c r="E1079" s="195"/>
      <c r="F1079" s="195"/>
    </row>
    <row r="1080" spans="2:6" x14ac:dyDescent="0.2">
      <c r="B1080" s="227">
        <v>1545</v>
      </c>
      <c r="C1080" s="114">
        <v>6000</v>
      </c>
      <c r="D1080" s="196"/>
      <c r="E1080" s="195"/>
      <c r="F1080" s="195"/>
    </row>
    <row r="1081" spans="2:6" x14ac:dyDescent="0.2">
      <c r="B1081" s="228">
        <v>1645</v>
      </c>
      <c r="C1081" s="197">
        <v>6000</v>
      </c>
      <c r="D1081" s="196"/>
      <c r="E1081" s="195"/>
      <c r="F1081" s="195"/>
    </row>
    <row r="1082" spans="2:6" x14ac:dyDescent="0.2">
      <c r="B1082" s="227">
        <v>1651</v>
      </c>
      <c r="C1082" s="114">
        <v>6000</v>
      </c>
      <c r="D1082" s="196"/>
      <c r="E1082" s="195"/>
      <c r="F1082" s="195"/>
    </row>
    <row r="1083" spans="2:6" x14ac:dyDescent="0.2">
      <c r="B1083" s="228">
        <v>1720</v>
      </c>
      <c r="C1083" s="197">
        <v>6000</v>
      </c>
      <c r="D1083" s="196"/>
      <c r="E1083" s="195"/>
      <c r="F1083" s="195"/>
    </row>
    <row r="1084" spans="2:6" x14ac:dyDescent="0.2">
      <c r="B1084" s="228">
        <v>1736</v>
      </c>
      <c r="C1084" s="197">
        <v>6000</v>
      </c>
      <c r="D1084" s="196"/>
      <c r="E1084" s="195"/>
      <c r="F1084" s="195"/>
    </row>
    <row r="1085" spans="2:6" x14ac:dyDescent="0.2">
      <c r="B1085" s="227">
        <v>1795</v>
      </c>
      <c r="C1085" s="114">
        <v>6000</v>
      </c>
      <c r="D1085" s="196"/>
      <c r="E1085" s="195"/>
      <c r="F1085" s="195"/>
    </row>
    <row r="1086" spans="2:6" x14ac:dyDescent="0.2">
      <c r="B1086" s="228">
        <v>1940</v>
      </c>
      <c r="C1086" s="197">
        <v>6000</v>
      </c>
      <c r="D1086" s="196"/>
      <c r="E1086" s="195"/>
      <c r="F1086" s="195"/>
    </row>
    <row r="1087" spans="2:6" x14ac:dyDescent="0.2">
      <c r="B1087" s="227">
        <v>1944</v>
      </c>
      <c r="C1087" s="114">
        <v>6000</v>
      </c>
      <c r="D1087" s="196"/>
      <c r="E1087" s="195"/>
      <c r="F1087" s="195"/>
    </row>
    <row r="1088" spans="2:6" x14ac:dyDescent="0.2">
      <c r="B1088" s="227">
        <v>1948</v>
      </c>
      <c r="C1088" s="114">
        <v>6000</v>
      </c>
      <c r="D1088" s="196"/>
      <c r="E1088" s="195"/>
      <c r="F1088" s="195"/>
    </row>
    <row r="1089" spans="2:6" x14ac:dyDescent="0.2">
      <c r="B1089" s="227">
        <v>2059</v>
      </c>
      <c r="C1089" s="114">
        <v>6000</v>
      </c>
      <c r="D1089" s="196"/>
      <c r="E1089" s="195"/>
      <c r="F1089" s="195"/>
    </row>
    <row r="1090" spans="2:6" x14ac:dyDescent="0.2">
      <c r="B1090" s="228">
        <v>2093</v>
      </c>
      <c r="C1090" s="197">
        <v>6000</v>
      </c>
      <c r="D1090" s="196"/>
      <c r="E1090" s="195"/>
      <c r="F1090" s="195"/>
    </row>
    <row r="1091" spans="2:6" x14ac:dyDescent="0.2">
      <c r="B1091" s="228">
        <v>2133</v>
      </c>
      <c r="C1091" s="197">
        <v>6000</v>
      </c>
      <c r="D1091" s="196"/>
      <c r="E1091" s="195"/>
      <c r="F1091" s="195"/>
    </row>
    <row r="1092" spans="2:6" x14ac:dyDescent="0.2">
      <c r="B1092" s="227">
        <v>1946</v>
      </c>
      <c r="C1092" s="114">
        <v>6170.4666666666672</v>
      </c>
      <c r="D1092" s="196"/>
      <c r="E1092" s="195"/>
      <c r="F1092" s="195"/>
    </row>
    <row r="1093" spans="2:6" x14ac:dyDescent="0.2">
      <c r="B1093" s="227">
        <v>1299</v>
      </c>
      <c r="C1093" s="114">
        <v>6416.6666666666661</v>
      </c>
      <c r="D1093" s="196"/>
      <c r="E1093" s="195"/>
      <c r="F1093" s="195"/>
    </row>
    <row r="1094" spans="2:6" x14ac:dyDescent="0.2">
      <c r="B1094" s="228">
        <v>33</v>
      </c>
      <c r="C1094" s="197">
        <v>7000</v>
      </c>
      <c r="D1094" s="196"/>
      <c r="E1094" s="195"/>
      <c r="F1094" s="195"/>
    </row>
    <row r="1095" spans="2:6" x14ac:dyDescent="0.2">
      <c r="B1095" s="227">
        <v>173</v>
      </c>
      <c r="C1095" s="114">
        <v>7000</v>
      </c>
      <c r="D1095" s="196"/>
      <c r="E1095" s="195"/>
      <c r="F1095" s="195"/>
    </row>
    <row r="1096" spans="2:6" x14ac:dyDescent="0.2">
      <c r="B1096" s="227">
        <v>196</v>
      </c>
      <c r="C1096" s="114">
        <v>7000</v>
      </c>
      <c r="D1096" s="196"/>
      <c r="E1096" s="195"/>
      <c r="F1096" s="195"/>
    </row>
    <row r="1097" spans="2:6" x14ac:dyDescent="0.2">
      <c r="B1097" s="227">
        <v>218</v>
      </c>
      <c r="C1097" s="114">
        <v>7000</v>
      </c>
      <c r="D1097" s="196"/>
      <c r="E1097" s="195"/>
      <c r="F1097" s="195"/>
    </row>
    <row r="1098" spans="2:6" x14ac:dyDescent="0.2">
      <c r="B1098" s="227">
        <v>278</v>
      </c>
      <c r="C1098" s="114">
        <v>7000</v>
      </c>
      <c r="D1098" s="196"/>
      <c r="E1098" s="195"/>
      <c r="F1098" s="195"/>
    </row>
    <row r="1099" spans="2:6" x14ac:dyDescent="0.2">
      <c r="B1099" s="228">
        <v>309</v>
      </c>
      <c r="C1099" s="197">
        <v>7000</v>
      </c>
      <c r="D1099" s="196"/>
      <c r="E1099" s="195"/>
      <c r="F1099" s="195"/>
    </row>
    <row r="1100" spans="2:6" x14ac:dyDescent="0.2">
      <c r="B1100" s="228">
        <v>395</v>
      </c>
      <c r="C1100" s="197">
        <v>7000</v>
      </c>
      <c r="D1100" s="196"/>
      <c r="E1100" s="195"/>
      <c r="F1100" s="195"/>
    </row>
    <row r="1101" spans="2:6" x14ac:dyDescent="0.2">
      <c r="B1101" s="227">
        <v>616</v>
      </c>
      <c r="C1101" s="114">
        <v>7000</v>
      </c>
      <c r="D1101" s="196"/>
      <c r="E1101" s="195"/>
      <c r="F1101" s="195"/>
    </row>
    <row r="1102" spans="2:6" x14ac:dyDescent="0.2">
      <c r="B1102" s="227">
        <v>707</v>
      </c>
      <c r="C1102" s="114">
        <v>7000</v>
      </c>
      <c r="D1102" s="196"/>
      <c r="E1102" s="195"/>
      <c r="F1102" s="195"/>
    </row>
    <row r="1103" spans="2:6" x14ac:dyDescent="0.2">
      <c r="B1103" s="227">
        <v>734</v>
      </c>
      <c r="C1103" s="114">
        <v>7000</v>
      </c>
      <c r="D1103" s="196"/>
      <c r="E1103" s="195"/>
      <c r="F1103" s="195"/>
    </row>
    <row r="1104" spans="2:6" x14ac:dyDescent="0.2">
      <c r="B1104" s="227">
        <v>792</v>
      </c>
      <c r="C1104" s="114">
        <v>7000</v>
      </c>
      <c r="D1104" s="196"/>
      <c r="E1104" s="195"/>
      <c r="F1104" s="195"/>
    </row>
    <row r="1105" spans="2:6" x14ac:dyDescent="0.2">
      <c r="B1105" s="227">
        <v>945</v>
      </c>
      <c r="C1105" s="114">
        <v>7000</v>
      </c>
      <c r="D1105" s="196"/>
      <c r="E1105" s="195"/>
      <c r="F1105" s="195"/>
    </row>
    <row r="1106" spans="2:6" x14ac:dyDescent="0.2">
      <c r="B1106" s="228">
        <v>962</v>
      </c>
      <c r="C1106" s="197">
        <v>7000</v>
      </c>
      <c r="D1106" s="196"/>
      <c r="E1106" s="195"/>
      <c r="F1106" s="195"/>
    </row>
    <row r="1107" spans="2:6" x14ac:dyDescent="0.2">
      <c r="B1107" s="228">
        <v>1082</v>
      </c>
      <c r="C1107" s="197">
        <v>7000</v>
      </c>
      <c r="D1107" s="196"/>
      <c r="E1107" s="195"/>
      <c r="F1107" s="195"/>
    </row>
    <row r="1108" spans="2:6" x14ac:dyDescent="0.2">
      <c r="B1108" s="228">
        <v>1127</v>
      </c>
      <c r="C1108" s="197">
        <v>7000</v>
      </c>
      <c r="D1108" s="196"/>
      <c r="E1108" s="195"/>
      <c r="F1108" s="195"/>
    </row>
    <row r="1109" spans="2:6" x14ac:dyDescent="0.2">
      <c r="B1109" s="227">
        <v>1161</v>
      </c>
      <c r="C1109" s="114">
        <v>7000</v>
      </c>
      <c r="D1109" s="196"/>
      <c r="E1109" s="195"/>
      <c r="F1109" s="195"/>
    </row>
    <row r="1110" spans="2:6" x14ac:dyDescent="0.2">
      <c r="B1110" s="227">
        <v>1300</v>
      </c>
      <c r="C1110" s="114">
        <v>7000</v>
      </c>
      <c r="D1110" s="196"/>
      <c r="E1110" s="195"/>
      <c r="F1110" s="195"/>
    </row>
    <row r="1111" spans="2:6" x14ac:dyDescent="0.2">
      <c r="B1111" s="228">
        <v>1442</v>
      </c>
      <c r="C1111" s="197">
        <v>7000</v>
      </c>
      <c r="D1111" s="196"/>
      <c r="E1111" s="195"/>
      <c r="F1111" s="195"/>
    </row>
    <row r="1112" spans="2:6" x14ac:dyDescent="0.2">
      <c r="B1112" s="227">
        <v>1564</v>
      </c>
      <c r="C1112" s="114">
        <v>7000</v>
      </c>
      <c r="D1112" s="196"/>
      <c r="E1112" s="195"/>
      <c r="F1112" s="195"/>
    </row>
    <row r="1113" spans="2:6" x14ac:dyDescent="0.2">
      <c r="B1113" s="227">
        <v>1657</v>
      </c>
      <c r="C1113" s="114">
        <v>7000</v>
      </c>
      <c r="D1113" s="196"/>
      <c r="E1113" s="195"/>
      <c r="F1113" s="195"/>
    </row>
    <row r="1114" spans="2:6" x14ac:dyDescent="0.2">
      <c r="B1114" s="227">
        <v>1663</v>
      </c>
      <c r="C1114" s="114">
        <v>7000</v>
      </c>
      <c r="D1114" s="196"/>
      <c r="E1114" s="195"/>
      <c r="F1114" s="195"/>
    </row>
    <row r="1115" spans="2:6" x14ac:dyDescent="0.2">
      <c r="B1115" s="227">
        <v>1670</v>
      </c>
      <c r="C1115" s="114">
        <v>7000</v>
      </c>
      <c r="D1115" s="196"/>
      <c r="E1115" s="195"/>
      <c r="F1115" s="195"/>
    </row>
    <row r="1116" spans="2:6" x14ac:dyDescent="0.2">
      <c r="B1116" s="227">
        <v>1672</v>
      </c>
      <c r="C1116" s="114">
        <v>7000</v>
      </c>
      <c r="D1116" s="196"/>
      <c r="E1116" s="195"/>
      <c r="F1116" s="195"/>
    </row>
    <row r="1117" spans="2:6" x14ac:dyDescent="0.2">
      <c r="B1117" s="228">
        <v>1713</v>
      </c>
      <c r="C1117" s="197">
        <v>7000</v>
      </c>
      <c r="D1117" s="196"/>
      <c r="E1117" s="195"/>
      <c r="F1117" s="195"/>
    </row>
    <row r="1118" spans="2:6" x14ac:dyDescent="0.2">
      <c r="B1118" s="227">
        <v>1755</v>
      </c>
      <c r="C1118" s="114">
        <v>7000</v>
      </c>
      <c r="D1118" s="196"/>
      <c r="E1118" s="195"/>
      <c r="F1118" s="195"/>
    </row>
    <row r="1119" spans="2:6" x14ac:dyDescent="0.2">
      <c r="B1119" s="227">
        <v>1787</v>
      </c>
      <c r="C1119" s="114">
        <v>7000</v>
      </c>
      <c r="D1119" s="196"/>
      <c r="E1119" s="195"/>
      <c r="F1119" s="195"/>
    </row>
    <row r="1120" spans="2:6" x14ac:dyDescent="0.2">
      <c r="B1120" s="227">
        <v>1833</v>
      </c>
      <c r="C1120" s="114">
        <v>7000</v>
      </c>
      <c r="D1120" s="196"/>
      <c r="E1120" s="195"/>
      <c r="F1120" s="195"/>
    </row>
    <row r="1121" spans="2:6" x14ac:dyDescent="0.2">
      <c r="B1121" s="227">
        <v>1834</v>
      </c>
      <c r="C1121" s="114">
        <v>7000</v>
      </c>
      <c r="D1121" s="196"/>
      <c r="E1121" s="195"/>
      <c r="F1121" s="195"/>
    </row>
    <row r="1122" spans="2:6" x14ac:dyDescent="0.2">
      <c r="B1122" s="228">
        <v>1863</v>
      </c>
      <c r="C1122" s="197">
        <v>7000</v>
      </c>
      <c r="D1122" s="196"/>
      <c r="E1122" s="195"/>
      <c r="F1122" s="195"/>
    </row>
    <row r="1123" spans="2:6" x14ac:dyDescent="0.2">
      <c r="B1123" s="227">
        <v>1876</v>
      </c>
      <c r="C1123" s="114">
        <v>7000</v>
      </c>
      <c r="D1123" s="196"/>
      <c r="E1123" s="195"/>
      <c r="F1123" s="195"/>
    </row>
    <row r="1124" spans="2:6" x14ac:dyDescent="0.2">
      <c r="B1124" s="227">
        <v>1963</v>
      </c>
      <c r="C1124" s="114">
        <v>7000</v>
      </c>
      <c r="D1124" s="196"/>
      <c r="E1124" s="195"/>
      <c r="F1124" s="195"/>
    </row>
    <row r="1125" spans="2:6" x14ac:dyDescent="0.2">
      <c r="B1125" s="227">
        <v>2029</v>
      </c>
      <c r="C1125" s="114">
        <v>7000</v>
      </c>
      <c r="D1125" s="196"/>
      <c r="E1125" s="195"/>
      <c r="F1125" s="195"/>
    </row>
    <row r="1126" spans="2:6" x14ac:dyDescent="0.2">
      <c r="B1126" s="227">
        <v>2100</v>
      </c>
      <c r="C1126" s="114">
        <v>7000</v>
      </c>
      <c r="D1126" s="196"/>
      <c r="E1126" s="195"/>
      <c r="F1126" s="195"/>
    </row>
    <row r="1127" spans="2:6" x14ac:dyDescent="0.2">
      <c r="B1127" s="227">
        <v>2128</v>
      </c>
      <c r="C1127" s="114">
        <v>7000</v>
      </c>
      <c r="D1127" s="196"/>
      <c r="E1127" s="195"/>
      <c r="F1127" s="195"/>
    </row>
    <row r="1128" spans="2:6" x14ac:dyDescent="0.2">
      <c r="B1128" s="227">
        <v>2153</v>
      </c>
      <c r="C1128" s="114">
        <v>7000</v>
      </c>
      <c r="D1128" s="196"/>
      <c r="E1128" s="195"/>
      <c r="F1128" s="195"/>
    </row>
    <row r="1129" spans="2:6" x14ac:dyDescent="0.2">
      <c r="B1129" s="227">
        <v>2206</v>
      </c>
      <c r="C1129" s="114">
        <v>7000</v>
      </c>
      <c r="D1129" s="196"/>
      <c r="E1129" s="195"/>
      <c r="F1129" s="195"/>
    </row>
    <row r="1130" spans="2:6" x14ac:dyDescent="0.2">
      <c r="B1130" s="227">
        <v>205</v>
      </c>
      <c r="C1130" s="114">
        <v>7632</v>
      </c>
      <c r="D1130" s="196"/>
      <c r="E1130" s="195"/>
      <c r="F1130" s="195"/>
    </row>
    <row r="1131" spans="2:6" x14ac:dyDescent="0.2">
      <c r="B1131" s="227">
        <v>30</v>
      </c>
      <c r="C1131" s="114">
        <v>8000</v>
      </c>
      <c r="D1131" s="196"/>
      <c r="E1131" s="195"/>
      <c r="F1131" s="195"/>
    </row>
    <row r="1132" spans="2:6" x14ac:dyDescent="0.2">
      <c r="B1132" s="227">
        <v>49</v>
      </c>
      <c r="C1132" s="114">
        <v>8000</v>
      </c>
      <c r="D1132" s="196"/>
      <c r="E1132" s="195"/>
      <c r="F1132" s="195"/>
    </row>
    <row r="1133" spans="2:6" x14ac:dyDescent="0.2">
      <c r="B1133" s="227">
        <v>121</v>
      </c>
      <c r="C1133" s="114">
        <v>8000</v>
      </c>
      <c r="D1133" s="196"/>
      <c r="E1133" s="195"/>
      <c r="F1133" s="195"/>
    </row>
    <row r="1134" spans="2:6" x14ac:dyDescent="0.2">
      <c r="B1134" s="227">
        <v>127</v>
      </c>
      <c r="C1134" s="114">
        <v>8000</v>
      </c>
      <c r="D1134" s="196"/>
      <c r="E1134" s="195"/>
      <c r="F1134" s="195"/>
    </row>
    <row r="1135" spans="2:6" x14ac:dyDescent="0.2">
      <c r="B1135" s="228">
        <v>169</v>
      </c>
      <c r="C1135" s="197">
        <v>8000</v>
      </c>
      <c r="D1135" s="196"/>
      <c r="E1135" s="195"/>
      <c r="F1135" s="195"/>
    </row>
    <row r="1136" spans="2:6" x14ac:dyDescent="0.2">
      <c r="B1136" s="228">
        <v>230</v>
      </c>
      <c r="C1136" s="197">
        <v>8000</v>
      </c>
      <c r="D1136" s="196"/>
      <c r="E1136" s="195"/>
      <c r="F1136" s="195"/>
    </row>
    <row r="1137" spans="2:6" x14ac:dyDescent="0.2">
      <c r="B1137" s="227">
        <v>386</v>
      </c>
      <c r="C1137" s="114">
        <v>8000</v>
      </c>
      <c r="D1137" s="196"/>
      <c r="E1137" s="195"/>
      <c r="F1137" s="195"/>
    </row>
    <row r="1138" spans="2:6" x14ac:dyDescent="0.2">
      <c r="B1138" s="227">
        <v>604</v>
      </c>
      <c r="C1138" s="114">
        <v>8000</v>
      </c>
      <c r="D1138" s="196"/>
      <c r="E1138" s="195"/>
      <c r="F1138" s="195"/>
    </row>
    <row r="1139" spans="2:6" x14ac:dyDescent="0.2">
      <c r="B1139" s="227">
        <v>634</v>
      </c>
      <c r="C1139" s="114">
        <v>8000</v>
      </c>
      <c r="D1139" s="196"/>
      <c r="E1139" s="195"/>
      <c r="F1139" s="195"/>
    </row>
    <row r="1140" spans="2:6" x14ac:dyDescent="0.2">
      <c r="B1140" s="227">
        <v>640</v>
      </c>
      <c r="C1140" s="114">
        <v>8000</v>
      </c>
      <c r="D1140" s="196"/>
      <c r="E1140" s="195"/>
      <c r="F1140" s="195"/>
    </row>
    <row r="1141" spans="2:6" x14ac:dyDescent="0.2">
      <c r="B1141" s="227">
        <v>644</v>
      </c>
      <c r="C1141" s="114">
        <v>8000</v>
      </c>
      <c r="D1141" s="196"/>
      <c r="E1141" s="195"/>
      <c r="F1141" s="195"/>
    </row>
    <row r="1142" spans="2:6" x14ac:dyDescent="0.2">
      <c r="B1142" s="227">
        <v>677</v>
      </c>
      <c r="C1142" s="114">
        <v>8000</v>
      </c>
      <c r="D1142" s="196"/>
      <c r="E1142" s="195"/>
      <c r="F1142" s="195"/>
    </row>
    <row r="1143" spans="2:6" x14ac:dyDescent="0.2">
      <c r="B1143" s="228">
        <v>720</v>
      </c>
      <c r="C1143" s="197">
        <v>8000</v>
      </c>
      <c r="D1143" s="196"/>
      <c r="E1143" s="195"/>
      <c r="F1143" s="195"/>
    </row>
    <row r="1144" spans="2:6" x14ac:dyDescent="0.2">
      <c r="B1144" s="227">
        <v>722</v>
      </c>
      <c r="C1144" s="114">
        <v>8000</v>
      </c>
      <c r="D1144" s="196"/>
      <c r="E1144" s="195"/>
      <c r="F1144" s="195"/>
    </row>
    <row r="1145" spans="2:6" x14ac:dyDescent="0.2">
      <c r="B1145" s="227">
        <v>724</v>
      </c>
      <c r="C1145" s="114">
        <v>8000</v>
      </c>
      <c r="D1145" s="196"/>
      <c r="E1145" s="195"/>
      <c r="F1145" s="195"/>
    </row>
    <row r="1146" spans="2:6" x14ac:dyDescent="0.2">
      <c r="B1146" s="228">
        <v>815</v>
      </c>
      <c r="C1146" s="197">
        <v>8000</v>
      </c>
      <c r="D1146" s="196"/>
      <c r="E1146" s="195"/>
      <c r="F1146" s="195"/>
    </row>
    <row r="1147" spans="2:6" x14ac:dyDescent="0.2">
      <c r="B1147" s="227">
        <v>862</v>
      </c>
      <c r="C1147" s="114">
        <v>8000</v>
      </c>
      <c r="D1147" s="196"/>
      <c r="E1147" s="195"/>
      <c r="F1147" s="195"/>
    </row>
    <row r="1148" spans="2:6" x14ac:dyDescent="0.2">
      <c r="B1148" s="228">
        <v>905</v>
      </c>
      <c r="C1148" s="197">
        <v>8000</v>
      </c>
      <c r="D1148" s="196"/>
      <c r="E1148" s="195"/>
      <c r="F1148" s="195"/>
    </row>
    <row r="1149" spans="2:6" x14ac:dyDescent="0.2">
      <c r="B1149" s="228">
        <v>1003</v>
      </c>
      <c r="C1149" s="197">
        <v>8000</v>
      </c>
      <c r="D1149" s="196"/>
      <c r="E1149" s="195"/>
      <c r="F1149" s="195"/>
    </row>
    <row r="1150" spans="2:6" x14ac:dyDescent="0.2">
      <c r="B1150" s="227">
        <v>1061</v>
      </c>
      <c r="C1150" s="114">
        <v>8000</v>
      </c>
      <c r="D1150" s="196"/>
      <c r="E1150" s="195"/>
      <c r="F1150" s="195"/>
    </row>
    <row r="1151" spans="2:6" x14ac:dyDescent="0.2">
      <c r="B1151" s="228">
        <v>1226</v>
      </c>
      <c r="C1151" s="197">
        <v>8000</v>
      </c>
      <c r="D1151" s="196"/>
      <c r="E1151" s="195"/>
      <c r="F1151" s="195"/>
    </row>
    <row r="1152" spans="2:6" x14ac:dyDescent="0.2">
      <c r="B1152" s="227">
        <v>1324</v>
      </c>
      <c r="C1152" s="114">
        <v>8000</v>
      </c>
      <c r="D1152" s="196"/>
      <c r="E1152" s="195"/>
      <c r="F1152" s="195"/>
    </row>
    <row r="1153" spans="2:6" x14ac:dyDescent="0.2">
      <c r="B1153" s="227">
        <v>1326</v>
      </c>
      <c r="C1153" s="114">
        <v>8000</v>
      </c>
      <c r="D1153" s="196"/>
      <c r="E1153" s="195"/>
      <c r="F1153" s="195"/>
    </row>
    <row r="1154" spans="2:6" x14ac:dyDescent="0.2">
      <c r="B1154" s="228">
        <v>1340</v>
      </c>
      <c r="C1154" s="197">
        <v>8000</v>
      </c>
      <c r="D1154" s="196"/>
      <c r="E1154" s="195"/>
      <c r="F1154" s="195"/>
    </row>
    <row r="1155" spans="2:6" x14ac:dyDescent="0.2">
      <c r="B1155" s="228">
        <v>1371</v>
      </c>
      <c r="C1155" s="197">
        <v>8000</v>
      </c>
      <c r="D1155" s="196"/>
      <c r="E1155" s="195"/>
      <c r="F1155" s="195"/>
    </row>
    <row r="1156" spans="2:6" x14ac:dyDescent="0.2">
      <c r="B1156" s="228">
        <v>1471</v>
      </c>
      <c r="C1156" s="197">
        <v>8000</v>
      </c>
      <c r="D1156" s="196"/>
      <c r="E1156" s="195"/>
      <c r="F1156" s="195"/>
    </row>
    <row r="1157" spans="2:6" x14ac:dyDescent="0.2">
      <c r="B1157" s="227">
        <v>1524</v>
      </c>
      <c r="C1157" s="114">
        <v>8000</v>
      </c>
      <c r="D1157" s="196"/>
      <c r="E1157" s="195"/>
      <c r="F1157" s="195"/>
    </row>
    <row r="1158" spans="2:6" x14ac:dyDescent="0.2">
      <c r="B1158" s="228">
        <v>1599</v>
      </c>
      <c r="C1158" s="197">
        <v>8000</v>
      </c>
      <c r="D1158" s="196"/>
      <c r="E1158" s="195"/>
      <c r="F1158" s="195"/>
    </row>
    <row r="1159" spans="2:6" x14ac:dyDescent="0.2">
      <c r="B1159" s="227">
        <v>1668</v>
      </c>
      <c r="C1159" s="114">
        <v>8000</v>
      </c>
      <c r="D1159" s="196"/>
      <c r="E1159" s="195"/>
      <c r="F1159" s="195"/>
    </row>
    <row r="1160" spans="2:6" x14ac:dyDescent="0.2">
      <c r="B1160" s="228">
        <v>1885</v>
      </c>
      <c r="C1160" s="197">
        <v>8000</v>
      </c>
      <c r="D1160" s="196"/>
      <c r="E1160" s="195"/>
      <c r="F1160" s="195"/>
    </row>
    <row r="1161" spans="2:6" x14ac:dyDescent="0.2">
      <c r="B1161" s="227">
        <v>2189</v>
      </c>
      <c r="C1161" s="114">
        <v>8000</v>
      </c>
      <c r="D1161" s="196"/>
      <c r="E1161" s="195"/>
      <c r="F1161" s="195"/>
    </row>
    <row r="1162" spans="2:6" x14ac:dyDescent="0.2">
      <c r="B1162" s="227">
        <v>2194</v>
      </c>
      <c r="C1162" s="114">
        <v>8000</v>
      </c>
      <c r="D1162" s="196"/>
      <c r="E1162" s="195"/>
      <c r="F1162" s="195"/>
    </row>
    <row r="1163" spans="2:6" x14ac:dyDescent="0.2">
      <c r="B1163" s="227">
        <v>2240</v>
      </c>
      <c r="C1163" s="114">
        <v>8000</v>
      </c>
      <c r="D1163" s="196"/>
      <c r="E1163" s="195"/>
      <c r="F1163" s="195"/>
    </row>
    <row r="1164" spans="2:6" x14ac:dyDescent="0.2">
      <c r="B1164" s="228">
        <v>37</v>
      </c>
      <c r="C1164" s="197">
        <v>8904</v>
      </c>
      <c r="D1164" s="196"/>
      <c r="E1164" s="195"/>
      <c r="F1164" s="195"/>
    </row>
    <row r="1165" spans="2:6" x14ac:dyDescent="0.2">
      <c r="B1165" s="227">
        <v>63</v>
      </c>
      <c r="C1165" s="114">
        <v>9000</v>
      </c>
      <c r="D1165" s="196"/>
      <c r="E1165" s="195"/>
      <c r="F1165" s="195"/>
    </row>
    <row r="1166" spans="2:6" x14ac:dyDescent="0.2">
      <c r="B1166" s="227">
        <v>156</v>
      </c>
      <c r="C1166" s="114">
        <v>9000</v>
      </c>
      <c r="D1166" s="196"/>
      <c r="E1166" s="195"/>
      <c r="F1166" s="195"/>
    </row>
    <row r="1167" spans="2:6" x14ac:dyDescent="0.2">
      <c r="B1167" s="228">
        <v>217</v>
      </c>
      <c r="C1167" s="197">
        <v>9000</v>
      </c>
      <c r="D1167" s="196"/>
      <c r="E1167" s="195"/>
      <c r="F1167" s="195"/>
    </row>
    <row r="1168" spans="2:6" x14ac:dyDescent="0.2">
      <c r="B1168" s="227">
        <v>315</v>
      </c>
      <c r="C1168" s="114">
        <v>9000</v>
      </c>
      <c r="D1168" s="196"/>
      <c r="E1168" s="195"/>
      <c r="F1168" s="195"/>
    </row>
    <row r="1169" spans="2:6" x14ac:dyDescent="0.2">
      <c r="B1169" s="227">
        <v>414</v>
      </c>
      <c r="C1169" s="114">
        <v>9000</v>
      </c>
      <c r="D1169" s="196"/>
      <c r="E1169" s="195"/>
      <c r="F1169" s="195"/>
    </row>
    <row r="1170" spans="2:6" x14ac:dyDescent="0.2">
      <c r="B1170" s="228">
        <v>565</v>
      </c>
      <c r="C1170" s="197">
        <v>9000</v>
      </c>
      <c r="D1170" s="196"/>
      <c r="E1170" s="195"/>
      <c r="F1170" s="195"/>
    </row>
    <row r="1171" spans="2:6" x14ac:dyDescent="0.2">
      <c r="B1171" s="228">
        <v>581</v>
      </c>
      <c r="C1171" s="197">
        <v>9000</v>
      </c>
      <c r="D1171" s="196"/>
      <c r="E1171" s="195"/>
      <c r="F1171" s="195"/>
    </row>
    <row r="1172" spans="2:6" x14ac:dyDescent="0.2">
      <c r="B1172" s="228">
        <v>591</v>
      </c>
      <c r="C1172" s="197">
        <v>9000</v>
      </c>
      <c r="D1172" s="196"/>
      <c r="E1172" s="195"/>
      <c r="F1172" s="195"/>
    </row>
    <row r="1173" spans="2:6" x14ac:dyDescent="0.2">
      <c r="B1173" s="228">
        <v>608</v>
      </c>
      <c r="C1173" s="197">
        <v>9000</v>
      </c>
      <c r="D1173" s="196"/>
      <c r="E1173" s="195"/>
      <c r="F1173" s="195"/>
    </row>
    <row r="1174" spans="2:6" x14ac:dyDescent="0.2">
      <c r="B1174" s="227">
        <v>698</v>
      </c>
      <c r="C1174" s="114">
        <v>9000</v>
      </c>
      <c r="D1174" s="196"/>
      <c r="E1174" s="195"/>
      <c r="F1174" s="195"/>
    </row>
    <row r="1175" spans="2:6" x14ac:dyDescent="0.2">
      <c r="B1175" s="227">
        <v>731</v>
      </c>
      <c r="C1175" s="114">
        <v>9000</v>
      </c>
      <c r="D1175" s="196"/>
      <c r="E1175" s="195"/>
      <c r="F1175" s="195"/>
    </row>
    <row r="1176" spans="2:6" x14ac:dyDescent="0.2">
      <c r="B1176" s="228">
        <v>868</v>
      </c>
      <c r="C1176" s="197">
        <v>9000</v>
      </c>
      <c r="D1176" s="196"/>
      <c r="E1176" s="195"/>
      <c r="F1176" s="195"/>
    </row>
    <row r="1177" spans="2:6" x14ac:dyDescent="0.2">
      <c r="B1177" s="228">
        <v>893</v>
      </c>
      <c r="C1177" s="197">
        <v>9000</v>
      </c>
      <c r="D1177" s="196"/>
      <c r="E1177" s="195"/>
      <c r="F1177" s="195"/>
    </row>
    <row r="1178" spans="2:6" x14ac:dyDescent="0.2">
      <c r="B1178" s="227">
        <v>898</v>
      </c>
      <c r="C1178" s="114">
        <v>9000</v>
      </c>
      <c r="D1178" s="196"/>
      <c r="E1178" s="195"/>
      <c r="F1178" s="195"/>
    </row>
    <row r="1179" spans="2:6" x14ac:dyDescent="0.2">
      <c r="B1179" s="227">
        <v>976</v>
      </c>
      <c r="C1179" s="114">
        <v>9000</v>
      </c>
      <c r="D1179" s="196"/>
      <c r="E1179" s="195"/>
      <c r="F1179" s="195"/>
    </row>
    <row r="1180" spans="2:6" x14ac:dyDescent="0.2">
      <c r="B1180" s="228">
        <v>1010</v>
      </c>
      <c r="C1180" s="197">
        <v>9000</v>
      </c>
      <c r="D1180" s="196"/>
      <c r="E1180" s="195"/>
      <c r="F1180" s="195"/>
    </row>
    <row r="1181" spans="2:6" x14ac:dyDescent="0.2">
      <c r="B1181" s="227">
        <v>1124</v>
      </c>
      <c r="C1181" s="114">
        <v>9000</v>
      </c>
      <c r="D1181" s="196"/>
      <c r="E1181" s="195"/>
      <c r="F1181" s="195"/>
    </row>
    <row r="1182" spans="2:6" x14ac:dyDescent="0.2">
      <c r="B1182" s="227">
        <v>1141</v>
      </c>
      <c r="C1182" s="114">
        <v>9000</v>
      </c>
      <c r="D1182" s="196"/>
      <c r="E1182" s="195"/>
      <c r="F1182" s="195"/>
    </row>
    <row r="1183" spans="2:6" x14ac:dyDescent="0.2">
      <c r="B1183" s="228">
        <v>1156</v>
      </c>
      <c r="C1183" s="197">
        <v>9000</v>
      </c>
      <c r="D1183" s="196"/>
      <c r="E1183" s="195"/>
      <c r="F1183" s="195"/>
    </row>
    <row r="1184" spans="2:6" x14ac:dyDescent="0.2">
      <c r="B1184" s="228">
        <v>1183</v>
      </c>
      <c r="C1184" s="197">
        <v>9000</v>
      </c>
      <c r="D1184" s="196"/>
      <c r="E1184" s="195"/>
      <c r="F1184" s="195"/>
    </row>
    <row r="1185" spans="2:6" x14ac:dyDescent="0.2">
      <c r="B1185" s="227">
        <v>1256</v>
      </c>
      <c r="C1185" s="114">
        <v>9000</v>
      </c>
      <c r="D1185" s="196"/>
      <c r="E1185" s="195"/>
      <c r="F1185" s="195"/>
    </row>
    <row r="1186" spans="2:6" x14ac:dyDescent="0.2">
      <c r="B1186" s="228">
        <v>1268</v>
      </c>
      <c r="C1186" s="197">
        <v>9000</v>
      </c>
      <c r="D1186" s="196"/>
      <c r="E1186" s="195"/>
      <c r="F1186" s="195"/>
    </row>
    <row r="1187" spans="2:6" x14ac:dyDescent="0.2">
      <c r="B1187" s="227">
        <v>1294</v>
      </c>
      <c r="C1187" s="114">
        <v>9000</v>
      </c>
      <c r="D1187" s="196"/>
      <c r="E1187" s="195"/>
      <c r="F1187" s="195"/>
    </row>
    <row r="1188" spans="2:6" x14ac:dyDescent="0.2">
      <c r="B1188" s="227">
        <v>1303</v>
      </c>
      <c r="C1188" s="114">
        <v>9000</v>
      </c>
      <c r="D1188" s="196"/>
      <c r="E1188" s="195"/>
      <c r="F1188" s="195"/>
    </row>
    <row r="1189" spans="2:6" x14ac:dyDescent="0.2">
      <c r="B1189" s="227">
        <v>1391</v>
      </c>
      <c r="C1189" s="114">
        <v>9000</v>
      </c>
      <c r="D1189" s="196"/>
      <c r="E1189" s="195"/>
      <c r="F1189" s="195"/>
    </row>
    <row r="1190" spans="2:6" x14ac:dyDescent="0.2">
      <c r="B1190" s="228">
        <v>1412</v>
      </c>
      <c r="C1190" s="197">
        <v>9000</v>
      </c>
      <c r="D1190" s="196"/>
      <c r="E1190" s="195"/>
      <c r="F1190" s="195"/>
    </row>
    <row r="1191" spans="2:6" x14ac:dyDescent="0.2">
      <c r="B1191" s="227">
        <v>1428</v>
      </c>
      <c r="C1191" s="114">
        <v>9000</v>
      </c>
      <c r="D1191" s="196"/>
      <c r="E1191" s="195"/>
      <c r="F1191" s="195"/>
    </row>
    <row r="1192" spans="2:6" x14ac:dyDescent="0.2">
      <c r="B1192" s="228">
        <v>1436</v>
      </c>
      <c r="C1192" s="197">
        <v>9000</v>
      </c>
      <c r="D1192" s="196"/>
      <c r="E1192" s="195"/>
      <c r="F1192" s="195"/>
    </row>
    <row r="1193" spans="2:6" x14ac:dyDescent="0.2">
      <c r="B1193" s="227">
        <v>1444</v>
      </c>
      <c r="C1193" s="114">
        <v>9000</v>
      </c>
      <c r="D1193" s="196"/>
      <c r="E1193" s="195"/>
      <c r="F1193" s="195"/>
    </row>
    <row r="1194" spans="2:6" x14ac:dyDescent="0.2">
      <c r="B1194" s="228">
        <v>1485</v>
      </c>
      <c r="C1194" s="197">
        <v>9000</v>
      </c>
      <c r="D1194" s="196"/>
      <c r="E1194" s="195"/>
      <c r="F1194" s="195"/>
    </row>
    <row r="1195" spans="2:6" x14ac:dyDescent="0.2">
      <c r="B1195" s="228">
        <v>1532</v>
      </c>
      <c r="C1195" s="197">
        <v>9000</v>
      </c>
      <c r="D1195" s="196"/>
      <c r="E1195" s="195"/>
      <c r="F1195" s="195"/>
    </row>
    <row r="1196" spans="2:6" x14ac:dyDescent="0.2">
      <c r="B1196" s="228">
        <v>1551</v>
      </c>
      <c r="C1196" s="197">
        <v>9000</v>
      </c>
      <c r="D1196" s="196"/>
      <c r="E1196" s="195"/>
      <c r="F1196" s="195"/>
    </row>
    <row r="1197" spans="2:6" x14ac:dyDescent="0.2">
      <c r="B1197" s="228">
        <v>1568</v>
      </c>
      <c r="C1197" s="197">
        <v>9000</v>
      </c>
      <c r="D1197" s="196"/>
      <c r="E1197" s="195"/>
      <c r="F1197" s="195"/>
    </row>
    <row r="1198" spans="2:6" x14ac:dyDescent="0.2">
      <c r="B1198" s="228">
        <v>1571</v>
      </c>
      <c r="C1198" s="197">
        <v>9000</v>
      </c>
      <c r="D1198" s="196"/>
      <c r="E1198" s="195"/>
      <c r="F1198" s="195"/>
    </row>
    <row r="1199" spans="2:6" x14ac:dyDescent="0.2">
      <c r="B1199" s="227">
        <v>1577</v>
      </c>
      <c r="C1199" s="114">
        <v>9000</v>
      </c>
      <c r="D1199" s="196"/>
      <c r="E1199" s="195"/>
      <c r="F1199" s="195"/>
    </row>
    <row r="1200" spans="2:6" x14ac:dyDescent="0.2">
      <c r="B1200" s="227">
        <v>1828</v>
      </c>
      <c r="C1200" s="114">
        <v>9000</v>
      </c>
      <c r="D1200" s="196"/>
      <c r="E1200" s="195"/>
      <c r="F1200" s="195"/>
    </row>
    <row r="1201" spans="2:6" x14ac:dyDescent="0.2">
      <c r="B1201" s="228">
        <v>1882</v>
      </c>
      <c r="C1201" s="197">
        <v>9000</v>
      </c>
      <c r="D1201" s="196"/>
      <c r="E1201" s="195"/>
      <c r="F1201" s="195"/>
    </row>
    <row r="1202" spans="2:6" x14ac:dyDescent="0.2">
      <c r="B1202" s="228">
        <v>1887</v>
      </c>
      <c r="C1202" s="197">
        <v>9000</v>
      </c>
      <c r="D1202" s="196"/>
      <c r="E1202" s="195"/>
      <c r="F1202" s="195"/>
    </row>
    <row r="1203" spans="2:6" x14ac:dyDescent="0.2">
      <c r="B1203" s="227">
        <v>1907</v>
      </c>
      <c r="C1203" s="114">
        <v>9000</v>
      </c>
      <c r="D1203" s="196"/>
      <c r="E1203" s="195"/>
      <c r="F1203" s="195"/>
    </row>
    <row r="1204" spans="2:6" x14ac:dyDescent="0.2">
      <c r="B1204" s="227">
        <v>1956</v>
      </c>
      <c r="C1204" s="114">
        <v>9000</v>
      </c>
      <c r="D1204" s="196"/>
      <c r="E1204" s="195"/>
      <c r="F1204" s="195"/>
    </row>
    <row r="1205" spans="2:6" x14ac:dyDescent="0.2">
      <c r="B1205" s="228">
        <v>1973</v>
      </c>
      <c r="C1205" s="197">
        <v>9000</v>
      </c>
      <c r="D1205" s="196"/>
      <c r="E1205" s="195"/>
      <c r="F1205" s="195"/>
    </row>
    <row r="1206" spans="2:6" x14ac:dyDescent="0.2">
      <c r="B1206" s="227">
        <v>2060</v>
      </c>
      <c r="C1206" s="114">
        <v>9000</v>
      </c>
      <c r="D1206" s="196"/>
      <c r="E1206" s="195"/>
      <c r="F1206" s="195"/>
    </row>
    <row r="1207" spans="2:6" x14ac:dyDescent="0.2">
      <c r="B1207" s="228">
        <v>2121</v>
      </c>
      <c r="C1207" s="197">
        <v>9000</v>
      </c>
      <c r="D1207" s="196"/>
      <c r="E1207" s="195"/>
      <c r="F1207" s="195"/>
    </row>
    <row r="1208" spans="2:6" x14ac:dyDescent="0.2">
      <c r="B1208" s="227">
        <v>2135</v>
      </c>
      <c r="C1208" s="114">
        <v>9000</v>
      </c>
      <c r="D1208" s="196"/>
      <c r="E1208" s="195"/>
      <c r="F1208" s="195"/>
    </row>
    <row r="1209" spans="2:6" x14ac:dyDescent="0.2">
      <c r="B1209" s="228">
        <v>2137</v>
      </c>
      <c r="C1209" s="197">
        <v>9000</v>
      </c>
      <c r="D1209" s="196"/>
      <c r="E1209" s="195"/>
      <c r="F1209" s="195"/>
    </row>
    <row r="1210" spans="2:6" x14ac:dyDescent="0.2">
      <c r="B1210" s="228">
        <v>2269</v>
      </c>
      <c r="C1210" s="197">
        <v>9000</v>
      </c>
      <c r="D1210" s="196"/>
      <c r="E1210" s="195"/>
      <c r="F1210" s="195"/>
    </row>
    <row r="1211" spans="2:6" x14ac:dyDescent="0.2">
      <c r="B1211" s="228">
        <v>2279</v>
      </c>
      <c r="C1211" s="197">
        <v>9000</v>
      </c>
      <c r="D1211" s="196"/>
      <c r="E1211" s="195"/>
      <c r="F1211" s="195"/>
    </row>
    <row r="1212" spans="2:6" x14ac:dyDescent="0.2">
      <c r="B1212" s="227">
        <v>115</v>
      </c>
      <c r="C1212" s="114">
        <v>9222</v>
      </c>
      <c r="D1212" s="196"/>
      <c r="E1212" s="195"/>
      <c r="F1212" s="195"/>
    </row>
    <row r="1213" spans="2:6" x14ac:dyDescent="0.2">
      <c r="B1213" s="227">
        <v>104</v>
      </c>
      <c r="C1213" s="114">
        <v>9891.0720000000001</v>
      </c>
      <c r="D1213" s="196"/>
      <c r="E1213" s="195"/>
      <c r="F1213" s="195"/>
    </row>
    <row r="1214" spans="2:6" x14ac:dyDescent="0.2">
      <c r="B1214" s="228">
        <v>40</v>
      </c>
      <c r="C1214" s="197">
        <v>10000</v>
      </c>
      <c r="D1214" s="196"/>
      <c r="E1214" s="195"/>
      <c r="F1214" s="195"/>
    </row>
    <row r="1215" spans="2:6" x14ac:dyDescent="0.2">
      <c r="B1215" s="228">
        <v>67</v>
      </c>
      <c r="C1215" s="197">
        <v>10000</v>
      </c>
      <c r="D1215" s="196"/>
      <c r="E1215" s="195"/>
      <c r="F1215" s="195"/>
    </row>
    <row r="1216" spans="2:6" x14ac:dyDescent="0.2">
      <c r="B1216" s="228">
        <v>249</v>
      </c>
      <c r="C1216" s="197">
        <v>10000</v>
      </c>
      <c r="D1216" s="196"/>
      <c r="E1216" s="195"/>
      <c r="F1216" s="195"/>
    </row>
    <row r="1217" spans="2:6" x14ac:dyDescent="0.2">
      <c r="B1217" s="227">
        <v>290</v>
      </c>
      <c r="C1217" s="114">
        <v>10000</v>
      </c>
      <c r="D1217" s="196"/>
      <c r="E1217" s="195"/>
      <c r="F1217" s="195"/>
    </row>
    <row r="1218" spans="2:6" x14ac:dyDescent="0.2">
      <c r="B1218" s="227">
        <v>390</v>
      </c>
      <c r="C1218" s="114">
        <v>10000</v>
      </c>
      <c r="D1218" s="196"/>
      <c r="E1218" s="195"/>
      <c r="F1218" s="195"/>
    </row>
    <row r="1219" spans="2:6" x14ac:dyDescent="0.2">
      <c r="B1219" s="227">
        <v>391</v>
      </c>
      <c r="C1219" s="114">
        <v>10000</v>
      </c>
      <c r="D1219" s="196"/>
      <c r="E1219" s="195"/>
      <c r="F1219" s="195"/>
    </row>
    <row r="1220" spans="2:6" x14ac:dyDescent="0.2">
      <c r="B1220" s="227">
        <v>473</v>
      </c>
      <c r="C1220" s="114">
        <v>10000</v>
      </c>
      <c r="D1220" s="196"/>
      <c r="E1220" s="195"/>
      <c r="F1220" s="195"/>
    </row>
    <row r="1221" spans="2:6" x14ac:dyDescent="0.2">
      <c r="B1221" s="227">
        <v>539</v>
      </c>
      <c r="C1221" s="114">
        <v>10000</v>
      </c>
      <c r="D1221" s="196"/>
      <c r="E1221" s="195"/>
      <c r="F1221" s="195"/>
    </row>
    <row r="1222" spans="2:6" x14ac:dyDescent="0.2">
      <c r="B1222" s="227">
        <v>551</v>
      </c>
      <c r="C1222" s="114">
        <v>10000</v>
      </c>
      <c r="D1222" s="196"/>
      <c r="E1222" s="195"/>
      <c r="F1222" s="195"/>
    </row>
    <row r="1223" spans="2:6" x14ac:dyDescent="0.2">
      <c r="B1223" s="228">
        <v>662</v>
      </c>
      <c r="C1223" s="197">
        <v>10000</v>
      </c>
      <c r="D1223" s="196"/>
      <c r="E1223" s="195"/>
      <c r="F1223" s="195"/>
    </row>
    <row r="1224" spans="2:6" x14ac:dyDescent="0.2">
      <c r="B1224" s="227">
        <v>676</v>
      </c>
      <c r="C1224" s="114">
        <v>10000</v>
      </c>
      <c r="D1224" s="196"/>
      <c r="E1224" s="195"/>
      <c r="F1224" s="195"/>
    </row>
    <row r="1225" spans="2:6" x14ac:dyDescent="0.2">
      <c r="B1225" s="228">
        <v>727</v>
      </c>
      <c r="C1225" s="197">
        <v>10000</v>
      </c>
      <c r="D1225" s="196"/>
      <c r="E1225" s="195"/>
      <c r="F1225" s="195"/>
    </row>
    <row r="1226" spans="2:6" x14ac:dyDescent="0.2">
      <c r="B1226" s="228">
        <v>728</v>
      </c>
      <c r="C1226" s="197">
        <v>10000</v>
      </c>
      <c r="D1226" s="196"/>
      <c r="E1226" s="195"/>
      <c r="F1226" s="195"/>
    </row>
    <row r="1227" spans="2:6" x14ac:dyDescent="0.2">
      <c r="B1227" s="228">
        <v>759</v>
      </c>
      <c r="C1227" s="197">
        <v>10000</v>
      </c>
      <c r="D1227" s="196"/>
      <c r="E1227" s="195"/>
      <c r="F1227" s="195"/>
    </row>
    <row r="1228" spans="2:6" x14ac:dyDescent="0.2">
      <c r="B1228" s="228">
        <v>770</v>
      </c>
      <c r="C1228" s="197">
        <v>10000</v>
      </c>
      <c r="D1228" s="196"/>
      <c r="E1228" s="195"/>
      <c r="F1228" s="195"/>
    </row>
    <row r="1229" spans="2:6" x14ac:dyDescent="0.2">
      <c r="B1229" s="227">
        <v>887</v>
      </c>
      <c r="C1229" s="114">
        <v>10000</v>
      </c>
      <c r="D1229" s="196"/>
      <c r="E1229" s="195"/>
      <c r="F1229" s="195"/>
    </row>
    <row r="1230" spans="2:6" x14ac:dyDescent="0.2">
      <c r="B1230" s="228">
        <v>908</v>
      </c>
      <c r="C1230" s="197">
        <v>10000</v>
      </c>
      <c r="D1230" s="196"/>
      <c r="E1230" s="195"/>
      <c r="F1230" s="195"/>
    </row>
    <row r="1231" spans="2:6" x14ac:dyDescent="0.2">
      <c r="B1231" s="227">
        <v>917</v>
      </c>
      <c r="C1231" s="114">
        <v>10000</v>
      </c>
      <c r="D1231" s="196"/>
      <c r="E1231" s="195"/>
      <c r="F1231" s="195"/>
    </row>
    <row r="1232" spans="2:6" x14ac:dyDescent="0.2">
      <c r="B1232" s="228">
        <v>957</v>
      </c>
      <c r="C1232" s="197">
        <v>10000</v>
      </c>
      <c r="D1232" s="196"/>
      <c r="E1232" s="195"/>
      <c r="F1232" s="195"/>
    </row>
    <row r="1233" spans="2:6" x14ac:dyDescent="0.2">
      <c r="B1233" s="228">
        <v>960</v>
      </c>
      <c r="C1233" s="197">
        <v>10000</v>
      </c>
      <c r="D1233" s="196"/>
      <c r="E1233" s="195"/>
      <c r="F1233" s="195"/>
    </row>
    <row r="1234" spans="2:6" x14ac:dyDescent="0.2">
      <c r="B1234" s="228">
        <v>988</v>
      </c>
      <c r="C1234" s="197">
        <v>10000</v>
      </c>
      <c r="D1234" s="196"/>
      <c r="E1234" s="195"/>
      <c r="F1234" s="195"/>
    </row>
    <row r="1235" spans="2:6" x14ac:dyDescent="0.2">
      <c r="B1235" s="227">
        <v>1056</v>
      </c>
      <c r="C1235" s="114">
        <v>10000</v>
      </c>
      <c r="D1235" s="196"/>
      <c r="E1235" s="195"/>
      <c r="F1235" s="195"/>
    </row>
    <row r="1236" spans="2:6" x14ac:dyDescent="0.2">
      <c r="B1236" s="228">
        <v>1057</v>
      </c>
      <c r="C1236" s="197">
        <v>10000</v>
      </c>
      <c r="D1236" s="196"/>
      <c r="E1236" s="195"/>
      <c r="F1236" s="195"/>
    </row>
    <row r="1237" spans="2:6" x14ac:dyDescent="0.2">
      <c r="B1237" s="227">
        <v>1083</v>
      </c>
      <c r="C1237" s="114">
        <v>10000</v>
      </c>
      <c r="D1237" s="196"/>
      <c r="E1237" s="195"/>
      <c r="F1237" s="195"/>
    </row>
    <row r="1238" spans="2:6" x14ac:dyDescent="0.2">
      <c r="B1238" s="227">
        <v>1108</v>
      </c>
      <c r="C1238" s="114">
        <v>10000</v>
      </c>
      <c r="D1238" s="196"/>
      <c r="E1238" s="195"/>
      <c r="F1238" s="195"/>
    </row>
    <row r="1239" spans="2:6" x14ac:dyDescent="0.2">
      <c r="B1239" s="227">
        <v>1109</v>
      </c>
      <c r="C1239" s="114">
        <v>10000</v>
      </c>
      <c r="D1239" s="196"/>
      <c r="E1239" s="195"/>
      <c r="F1239" s="195"/>
    </row>
    <row r="1240" spans="2:6" x14ac:dyDescent="0.2">
      <c r="B1240" s="228">
        <v>1135</v>
      </c>
      <c r="C1240" s="197">
        <v>10000</v>
      </c>
      <c r="D1240" s="196"/>
      <c r="E1240" s="195"/>
      <c r="F1240" s="195"/>
    </row>
    <row r="1241" spans="2:6" x14ac:dyDescent="0.2">
      <c r="B1241" s="227">
        <v>1138</v>
      </c>
      <c r="C1241" s="114">
        <v>10000</v>
      </c>
      <c r="D1241" s="196"/>
      <c r="E1241" s="195"/>
      <c r="F1241" s="195"/>
    </row>
    <row r="1242" spans="2:6" x14ac:dyDescent="0.2">
      <c r="B1242" s="228">
        <v>1148</v>
      </c>
      <c r="C1242" s="197">
        <v>10000</v>
      </c>
      <c r="D1242" s="196"/>
      <c r="E1242" s="195"/>
      <c r="F1242" s="195"/>
    </row>
    <row r="1243" spans="2:6" x14ac:dyDescent="0.2">
      <c r="B1243" s="227">
        <v>1231</v>
      </c>
      <c r="C1243" s="114">
        <v>10000</v>
      </c>
      <c r="D1243" s="196"/>
      <c r="E1243" s="195"/>
      <c r="F1243" s="195"/>
    </row>
    <row r="1244" spans="2:6" x14ac:dyDescent="0.2">
      <c r="B1244" s="227">
        <v>1260</v>
      </c>
      <c r="C1244" s="114">
        <v>10000</v>
      </c>
      <c r="D1244" s="196"/>
      <c r="E1244" s="195"/>
      <c r="F1244" s="195"/>
    </row>
    <row r="1245" spans="2:6" x14ac:dyDescent="0.2">
      <c r="B1245" s="227">
        <v>1266</v>
      </c>
      <c r="C1245" s="114">
        <v>10000</v>
      </c>
      <c r="D1245" s="196"/>
      <c r="E1245" s="195"/>
      <c r="F1245" s="195"/>
    </row>
    <row r="1246" spans="2:6" x14ac:dyDescent="0.2">
      <c r="B1246" s="228">
        <v>1276</v>
      </c>
      <c r="C1246" s="197">
        <v>10000</v>
      </c>
      <c r="D1246" s="196"/>
      <c r="E1246" s="195"/>
      <c r="F1246" s="195"/>
    </row>
    <row r="1247" spans="2:6" x14ac:dyDescent="0.2">
      <c r="B1247" s="227">
        <v>1282</v>
      </c>
      <c r="C1247" s="114">
        <v>10000</v>
      </c>
      <c r="D1247" s="196"/>
      <c r="E1247" s="195"/>
      <c r="F1247" s="195"/>
    </row>
    <row r="1248" spans="2:6" x14ac:dyDescent="0.2">
      <c r="B1248" s="227">
        <v>1297</v>
      </c>
      <c r="C1248" s="114">
        <v>10000</v>
      </c>
      <c r="D1248" s="196"/>
      <c r="E1248" s="195"/>
      <c r="F1248" s="195"/>
    </row>
    <row r="1249" spans="2:6" x14ac:dyDescent="0.2">
      <c r="B1249" s="227">
        <v>1352</v>
      </c>
      <c r="C1249" s="114">
        <v>10000</v>
      </c>
      <c r="D1249" s="196"/>
      <c r="E1249" s="195"/>
      <c r="F1249" s="195"/>
    </row>
    <row r="1250" spans="2:6" x14ac:dyDescent="0.2">
      <c r="B1250" s="227">
        <v>1393</v>
      </c>
      <c r="C1250" s="114">
        <v>10000</v>
      </c>
      <c r="D1250" s="196"/>
      <c r="E1250" s="195"/>
      <c r="F1250" s="195"/>
    </row>
    <row r="1251" spans="2:6" x14ac:dyDescent="0.2">
      <c r="B1251" s="227">
        <v>1402</v>
      </c>
      <c r="C1251" s="114">
        <v>10000</v>
      </c>
      <c r="D1251" s="196"/>
      <c r="E1251" s="195"/>
      <c r="F1251" s="195"/>
    </row>
    <row r="1252" spans="2:6" x14ac:dyDescent="0.2">
      <c r="B1252" s="227">
        <v>1451</v>
      </c>
      <c r="C1252" s="114">
        <v>10000</v>
      </c>
      <c r="D1252" s="196"/>
      <c r="E1252" s="195"/>
      <c r="F1252" s="195"/>
    </row>
    <row r="1253" spans="2:6" x14ac:dyDescent="0.2">
      <c r="B1253" s="227">
        <v>1467</v>
      </c>
      <c r="C1253" s="114">
        <v>10000</v>
      </c>
      <c r="D1253" s="196"/>
      <c r="E1253" s="195"/>
      <c r="F1253" s="195"/>
    </row>
    <row r="1254" spans="2:6" x14ac:dyDescent="0.2">
      <c r="B1254" s="227">
        <v>1517</v>
      </c>
      <c r="C1254" s="114">
        <v>10000</v>
      </c>
      <c r="D1254" s="196"/>
      <c r="E1254" s="195"/>
      <c r="F1254" s="195"/>
    </row>
    <row r="1255" spans="2:6" x14ac:dyDescent="0.2">
      <c r="B1255" s="228">
        <v>1583</v>
      </c>
      <c r="C1255" s="197">
        <v>10000</v>
      </c>
      <c r="D1255" s="196"/>
      <c r="E1255" s="195"/>
      <c r="F1255" s="195"/>
    </row>
    <row r="1256" spans="2:6" x14ac:dyDescent="0.2">
      <c r="B1256" s="227">
        <v>1618</v>
      </c>
      <c r="C1256" s="114">
        <v>10000</v>
      </c>
      <c r="D1256" s="196"/>
      <c r="E1256" s="195"/>
      <c r="F1256" s="195"/>
    </row>
    <row r="1257" spans="2:6" x14ac:dyDescent="0.2">
      <c r="B1257" s="228">
        <v>1624</v>
      </c>
      <c r="C1257" s="197">
        <v>10000</v>
      </c>
      <c r="D1257" s="196"/>
      <c r="E1257" s="195"/>
      <c r="F1257" s="195"/>
    </row>
    <row r="1258" spans="2:6" x14ac:dyDescent="0.2">
      <c r="B1258" s="228">
        <v>1687</v>
      </c>
      <c r="C1258" s="197">
        <v>10000</v>
      </c>
      <c r="D1258" s="196"/>
      <c r="E1258" s="195"/>
      <c r="F1258" s="195"/>
    </row>
    <row r="1259" spans="2:6" x14ac:dyDescent="0.2">
      <c r="B1259" s="227">
        <v>1694</v>
      </c>
      <c r="C1259" s="114">
        <v>10000</v>
      </c>
      <c r="D1259" s="196"/>
      <c r="E1259" s="195"/>
      <c r="F1259" s="195"/>
    </row>
    <row r="1260" spans="2:6" x14ac:dyDescent="0.2">
      <c r="B1260" s="227">
        <v>1712</v>
      </c>
      <c r="C1260" s="114">
        <v>10000</v>
      </c>
      <c r="D1260" s="196"/>
      <c r="E1260" s="195"/>
      <c r="F1260" s="195"/>
    </row>
    <row r="1261" spans="2:6" x14ac:dyDescent="0.2">
      <c r="B1261" s="228">
        <v>1715</v>
      </c>
      <c r="C1261" s="197">
        <v>10000</v>
      </c>
      <c r="D1261" s="196"/>
      <c r="E1261" s="195"/>
      <c r="F1261" s="195"/>
    </row>
    <row r="1262" spans="2:6" x14ac:dyDescent="0.2">
      <c r="B1262" s="227">
        <v>1849</v>
      </c>
      <c r="C1262" s="114">
        <v>10000</v>
      </c>
      <c r="D1262" s="196"/>
      <c r="E1262" s="195"/>
      <c r="F1262" s="195"/>
    </row>
    <row r="1263" spans="2:6" x14ac:dyDescent="0.2">
      <c r="B1263" s="228">
        <v>1850</v>
      </c>
      <c r="C1263" s="197">
        <v>10000</v>
      </c>
      <c r="D1263" s="196"/>
      <c r="E1263" s="195"/>
      <c r="F1263" s="195"/>
    </row>
    <row r="1264" spans="2:6" x14ac:dyDescent="0.2">
      <c r="B1264" s="227">
        <v>1884</v>
      </c>
      <c r="C1264" s="114">
        <v>10000</v>
      </c>
      <c r="D1264" s="196"/>
      <c r="E1264" s="195"/>
      <c r="F1264" s="195"/>
    </row>
    <row r="1265" spans="2:6" x14ac:dyDescent="0.2">
      <c r="B1265" s="227">
        <v>1904</v>
      </c>
      <c r="C1265" s="114">
        <v>10000</v>
      </c>
      <c r="D1265" s="196"/>
      <c r="E1265" s="195"/>
      <c r="F1265" s="195"/>
    </row>
    <row r="1266" spans="2:6" x14ac:dyDescent="0.2">
      <c r="B1266" s="227">
        <v>1922</v>
      </c>
      <c r="C1266" s="114">
        <v>10000</v>
      </c>
      <c r="D1266" s="196"/>
      <c r="E1266" s="195"/>
      <c r="F1266" s="195"/>
    </row>
    <row r="1267" spans="2:6" x14ac:dyDescent="0.2">
      <c r="B1267" s="227">
        <v>2003</v>
      </c>
      <c r="C1267" s="114">
        <v>10000</v>
      </c>
      <c r="D1267" s="196"/>
      <c r="E1267" s="195"/>
      <c r="F1267" s="195"/>
    </row>
    <row r="1268" spans="2:6" x14ac:dyDescent="0.2">
      <c r="B1268" s="227">
        <v>2024</v>
      </c>
      <c r="C1268" s="114">
        <v>10000</v>
      </c>
      <c r="D1268" s="196"/>
      <c r="E1268" s="195"/>
      <c r="F1268" s="195"/>
    </row>
    <row r="1269" spans="2:6" x14ac:dyDescent="0.2">
      <c r="B1269" s="228">
        <v>2073</v>
      </c>
      <c r="C1269" s="197">
        <v>10000</v>
      </c>
      <c r="D1269" s="196"/>
      <c r="E1269" s="195"/>
      <c r="F1269" s="195"/>
    </row>
    <row r="1270" spans="2:6" x14ac:dyDescent="0.2">
      <c r="B1270" s="227">
        <v>2074</v>
      </c>
      <c r="C1270" s="114">
        <v>10000</v>
      </c>
      <c r="D1270" s="196"/>
      <c r="E1270" s="195"/>
      <c r="F1270" s="195"/>
    </row>
    <row r="1271" spans="2:6" x14ac:dyDescent="0.2">
      <c r="B1271" s="227">
        <v>2118</v>
      </c>
      <c r="C1271" s="114">
        <v>10000</v>
      </c>
      <c r="D1271" s="196"/>
      <c r="E1271" s="195"/>
      <c r="F1271" s="195"/>
    </row>
    <row r="1272" spans="2:6" x14ac:dyDescent="0.2">
      <c r="B1272" s="227">
        <v>2136</v>
      </c>
      <c r="C1272" s="114">
        <v>10000</v>
      </c>
      <c r="D1272" s="196"/>
      <c r="E1272" s="195"/>
      <c r="F1272" s="195"/>
    </row>
    <row r="1273" spans="2:6" x14ac:dyDescent="0.2">
      <c r="B1273" s="228">
        <v>2174</v>
      </c>
      <c r="C1273" s="197">
        <v>10000</v>
      </c>
      <c r="D1273" s="196"/>
      <c r="E1273" s="195"/>
      <c r="F1273" s="195"/>
    </row>
    <row r="1274" spans="2:6" x14ac:dyDescent="0.2">
      <c r="B1274" s="228">
        <v>2176</v>
      </c>
      <c r="C1274" s="197">
        <v>10000</v>
      </c>
      <c r="D1274" s="196"/>
      <c r="E1274" s="195"/>
      <c r="F1274" s="195"/>
    </row>
    <row r="1275" spans="2:6" x14ac:dyDescent="0.2">
      <c r="B1275" s="227">
        <v>2225</v>
      </c>
      <c r="C1275" s="114">
        <v>10000</v>
      </c>
      <c r="D1275" s="196"/>
      <c r="E1275" s="195"/>
      <c r="F1275" s="195"/>
    </row>
    <row r="1276" spans="2:6" x14ac:dyDescent="0.2">
      <c r="B1276" s="228">
        <v>2254</v>
      </c>
      <c r="C1276" s="197">
        <v>10000</v>
      </c>
      <c r="D1276" s="196"/>
      <c r="E1276" s="195"/>
      <c r="F1276" s="195"/>
    </row>
    <row r="1277" spans="2:6" x14ac:dyDescent="0.2">
      <c r="B1277" s="227">
        <v>120</v>
      </c>
      <c r="C1277" s="114">
        <v>10200</v>
      </c>
      <c r="D1277" s="196"/>
      <c r="E1277" s="195"/>
      <c r="F1277" s="195"/>
    </row>
    <row r="1278" spans="2:6" x14ac:dyDescent="0.2">
      <c r="B1278" s="227">
        <v>89</v>
      </c>
      <c r="C1278" s="114">
        <v>10800</v>
      </c>
      <c r="D1278" s="196"/>
      <c r="E1278" s="195"/>
      <c r="F1278" s="195"/>
    </row>
    <row r="1279" spans="2:6" x14ac:dyDescent="0.2">
      <c r="B1279" s="228">
        <v>148</v>
      </c>
      <c r="C1279" s="197">
        <v>11000</v>
      </c>
      <c r="D1279" s="196"/>
      <c r="E1279" s="195"/>
      <c r="F1279" s="195"/>
    </row>
    <row r="1280" spans="2:6" x14ac:dyDescent="0.2">
      <c r="B1280" s="227">
        <v>219</v>
      </c>
      <c r="C1280" s="114">
        <v>11610</v>
      </c>
      <c r="D1280" s="196"/>
      <c r="E1280" s="195"/>
      <c r="F1280" s="195"/>
    </row>
    <row r="1281" spans="2:6" x14ac:dyDescent="0.2">
      <c r="B1281" s="228">
        <v>1374</v>
      </c>
      <c r="C1281" s="197">
        <v>12120</v>
      </c>
      <c r="D1281" s="196"/>
      <c r="E1281" s="195"/>
      <c r="F1281" s="195"/>
    </row>
    <row r="1282" spans="2:6" x14ac:dyDescent="0.2">
      <c r="B1282" s="227">
        <v>2281</v>
      </c>
      <c r="C1282" s="114">
        <v>14286</v>
      </c>
      <c r="D1282" s="196"/>
      <c r="E1282" s="195"/>
      <c r="F1282" s="195"/>
    </row>
    <row r="1283" spans="2:6" x14ac:dyDescent="0.2">
      <c r="B1283" s="228">
        <v>1858</v>
      </c>
      <c r="C1283" s="197">
        <v>17000</v>
      </c>
      <c r="D1283" s="196"/>
      <c r="E1283" s="195"/>
      <c r="F1283" s="195"/>
    </row>
    <row r="1284" spans="2:6" x14ac:dyDescent="0.2">
      <c r="B1284" s="227">
        <v>2259</v>
      </c>
      <c r="C1284" s="114">
        <v>17000</v>
      </c>
      <c r="D1284" s="196"/>
      <c r="E1284" s="195"/>
      <c r="F1284" s="195"/>
    </row>
    <row r="1285" spans="2:6" x14ac:dyDescent="0.2">
      <c r="B1285" s="227">
        <v>128</v>
      </c>
      <c r="C1285" s="114">
        <v>17172</v>
      </c>
      <c r="D1285" s="196"/>
      <c r="E1285" s="195"/>
      <c r="F1285" s="195"/>
    </row>
    <row r="1286" spans="2:6" x14ac:dyDescent="0.2">
      <c r="B1286" s="227">
        <v>687</v>
      </c>
      <c r="C1286" s="114">
        <v>20000</v>
      </c>
      <c r="D1286" s="196"/>
      <c r="E1286" s="195"/>
      <c r="F1286" s="195"/>
    </row>
    <row r="1287" spans="2:6" x14ac:dyDescent="0.2">
      <c r="B1287" s="227">
        <v>1041</v>
      </c>
      <c r="C1287" s="114">
        <v>20000</v>
      </c>
      <c r="D1287" s="196"/>
      <c r="E1287" s="195"/>
      <c r="F1287" s="195"/>
    </row>
    <row r="1288" spans="2:6" x14ac:dyDescent="0.2">
      <c r="B1288" s="228">
        <v>1267</v>
      </c>
      <c r="C1288" s="197">
        <v>20000</v>
      </c>
      <c r="D1288" s="196"/>
      <c r="E1288" s="195"/>
      <c r="F1288" s="195"/>
    </row>
    <row r="1289" spans="2:6" x14ac:dyDescent="0.2">
      <c r="B1289" s="227">
        <v>1714</v>
      </c>
      <c r="C1289" s="114">
        <v>20000</v>
      </c>
      <c r="D1289" s="196"/>
      <c r="E1289" s="195"/>
      <c r="F1289" s="195"/>
    </row>
    <row r="1290" spans="2:6" x14ac:dyDescent="0.2">
      <c r="B1290" s="228">
        <v>1835</v>
      </c>
      <c r="C1290" s="197">
        <v>20000</v>
      </c>
      <c r="D1290" s="196"/>
      <c r="E1290" s="195"/>
      <c r="F1290" s="195"/>
    </row>
    <row r="1291" spans="2:6" x14ac:dyDescent="0.2">
      <c r="B1291" s="227">
        <v>1874</v>
      </c>
      <c r="C1291" s="114">
        <v>20000</v>
      </c>
      <c r="D1291" s="196"/>
      <c r="E1291" s="195"/>
      <c r="F1291" s="195"/>
    </row>
    <row r="1292" spans="2:6" x14ac:dyDescent="0.2">
      <c r="B1292" s="228">
        <v>1878</v>
      </c>
      <c r="C1292" s="197">
        <v>20000</v>
      </c>
      <c r="D1292" s="196"/>
      <c r="E1292" s="195"/>
      <c r="F1292" s="195"/>
    </row>
    <row r="1293" spans="2:6" x14ac:dyDescent="0.2">
      <c r="B1293" s="227">
        <v>1891</v>
      </c>
      <c r="C1293" s="114">
        <v>20000</v>
      </c>
      <c r="D1293" s="196"/>
      <c r="E1293" s="195"/>
      <c r="F1293" s="195"/>
    </row>
    <row r="1294" spans="2:6" x14ac:dyDescent="0.2">
      <c r="B1294" s="228">
        <v>2005</v>
      </c>
      <c r="C1294" s="197">
        <v>20000</v>
      </c>
      <c r="D1294" s="196"/>
      <c r="E1294" s="195"/>
      <c r="F1294" s="195"/>
    </row>
    <row r="1295" spans="2:6" x14ac:dyDescent="0.2">
      <c r="B1295" s="227">
        <v>2233</v>
      </c>
      <c r="C1295" s="114">
        <v>20000</v>
      </c>
      <c r="D1295" s="196"/>
      <c r="E1295" s="195"/>
      <c r="F1295" s="195"/>
    </row>
    <row r="1296" spans="2:6" x14ac:dyDescent="0.2">
      <c r="B1296" s="227">
        <v>2265</v>
      </c>
      <c r="C1296" s="114">
        <v>20000</v>
      </c>
      <c r="D1296" s="196"/>
      <c r="E1296" s="195"/>
      <c r="F1296" s="195"/>
    </row>
    <row r="1297" spans="2:6" x14ac:dyDescent="0.2">
      <c r="B1297" s="227">
        <v>1744</v>
      </c>
      <c r="C1297" s="114">
        <v>24200</v>
      </c>
      <c r="D1297" s="196"/>
      <c r="E1297" s="195"/>
      <c r="F1297" s="195"/>
    </row>
    <row r="1298" spans="2:6" x14ac:dyDescent="0.2">
      <c r="B1298" s="227">
        <v>342</v>
      </c>
      <c r="C1298" s="114">
        <v>27000</v>
      </c>
      <c r="D1298" s="196"/>
      <c r="E1298" s="195"/>
      <c r="F1298" s="195"/>
    </row>
    <row r="1299" spans="2:6" x14ac:dyDescent="0.2">
      <c r="B1299" s="227">
        <v>2226</v>
      </c>
      <c r="C1299" s="114">
        <v>31500</v>
      </c>
      <c r="D1299" s="196"/>
      <c r="E1299" s="195"/>
      <c r="F1299" s="195"/>
    </row>
    <row r="1300" spans="2:6" x14ac:dyDescent="0.2">
      <c r="B1300" s="228">
        <v>1396</v>
      </c>
      <c r="C1300" s="197">
        <v>40000</v>
      </c>
      <c r="D1300" s="196"/>
      <c r="E1300" s="195"/>
      <c r="F1300" s="195"/>
    </row>
    <row r="1301" spans="2:6" x14ac:dyDescent="0.2">
      <c r="B1301" s="227">
        <v>2154</v>
      </c>
      <c r="C1301" s="114">
        <v>40000</v>
      </c>
      <c r="D1301" s="196"/>
      <c r="E1301" s="195"/>
      <c r="F1301" s="195"/>
    </row>
    <row r="1302" spans="2:6" x14ac:dyDescent="0.2">
      <c r="B1302" s="227">
        <v>1254</v>
      </c>
      <c r="C1302" s="114">
        <v>60000</v>
      </c>
      <c r="D1302" s="196"/>
      <c r="E1302" s="195"/>
      <c r="F1302" s="195"/>
    </row>
    <row r="1303" spans="2:6" x14ac:dyDescent="0.2">
      <c r="B1303" s="228">
        <v>796</v>
      </c>
      <c r="C1303" s="197">
        <v>200000</v>
      </c>
      <c r="D1303" s="196"/>
      <c r="E1303" s="195"/>
      <c r="F1303" s="195"/>
    </row>
  </sheetData>
  <mergeCells count="4">
    <mergeCell ref="B2:Q2"/>
    <mergeCell ref="B4:Q4"/>
    <mergeCell ref="J7:K7"/>
    <mergeCell ref="J18:K18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525B-2154-44F1-B90A-22289E7BEC3C}">
  <sheetPr>
    <tabColor theme="0" tint="-0.499984740745262"/>
  </sheetPr>
  <dimension ref="B1:T32"/>
  <sheetViews>
    <sheetView zoomScaleNormal="100" workbookViewId="0"/>
  </sheetViews>
  <sheetFormatPr defaultRowHeight="13.5" customHeight="1" x14ac:dyDescent="0.2"/>
  <cols>
    <col min="1" max="1" width="2.5703125" customWidth="1"/>
  </cols>
  <sheetData>
    <row r="1" spans="2:20" ht="13.5" customHeight="1" thickBot="1" x14ac:dyDescent="0.25"/>
    <row r="2" spans="2:20" ht="42" customHeight="1" thickBot="1" x14ac:dyDescent="0.25">
      <c r="B2" s="263" t="s">
        <v>3277</v>
      </c>
      <c r="C2" s="264"/>
      <c r="D2" s="264"/>
      <c r="E2" s="264"/>
      <c r="F2" s="264"/>
      <c r="G2" s="264"/>
      <c r="H2" s="264"/>
      <c r="I2" s="264"/>
      <c r="J2" s="265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6" customHeight="1" thickBot="1" x14ac:dyDescent="0.25"/>
    <row r="4" spans="2:20" ht="13.5" customHeight="1" thickBot="1" x14ac:dyDescent="0.25">
      <c r="B4" s="263" t="s">
        <v>3202</v>
      </c>
      <c r="C4" s="264"/>
      <c r="D4" s="264"/>
      <c r="E4" s="264"/>
      <c r="F4" s="264"/>
      <c r="G4" s="264"/>
      <c r="H4" s="264"/>
      <c r="I4" s="264"/>
      <c r="J4" s="265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s="1" customFormat="1" ht="13.5" customHeight="1" thickBot="1" x14ac:dyDescent="0.25">
      <c r="B5" s="2"/>
      <c r="C5" s="2"/>
      <c r="D5" s="2"/>
      <c r="E5" s="2"/>
      <c r="F5" s="2"/>
      <c r="G5" s="2"/>
      <c r="H5" s="2"/>
      <c r="I5" s="2"/>
      <c r="J5" s="2"/>
    </row>
    <row r="6" spans="2:20" s="8" customFormat="1" ht="13.5" customHeight="1" thickBot="1" x14ac:dyDescent="0.25"/>
    <row r="7" spans="2:20" ht="13.5" customHeight="1" thickBot="1" x14ac:dyDescent="0.25">
      <c r="B7" s="225">
        <v>2014</v>
      </c>
      <c r="C7" s="224">
        <v>2017</v>
      </c>
      <c r="D7" s="223">
        <v>2020</v>
      </c>
    </row>
    <row r="8" spans="2:20" ht="13.5" customHeight="1" x14ac:dyDescent="0.2">
      <c r="B8" s="222">
        <v>1.7</v>
      </c>
      <c r="C8" s="222">
        <v>1</v>
      </c>
      <c r="D8" s="222">
        <v>1.2</v>
      </c>
    </row>
    <row r="9" spans="2:20" ht="13.5" customHeight="1" x14ac:dyDescent="0.2">
      <c r="B9" s="221">
        <v>1.8</v>
      </c>
      <c r="C9" s="221">
        <v>1.4</v>
      </c>
      <c r="D9" s="221">
        <v>1.6</v>
      </c>
    </row>
    <row r="10" spans="2:20" ht="13.5" customHeight="1" x14ac:dyDescent="0.2">
      <c r="B10" s="221">
        <v>2.2000000000000002</v>
      </c>
      <c r="C10" s="221">
        <v>1.7</v>
      </c>
      <c r="D10" s="221">
        <v>2</v>
      </c>
      <c r="G10" s="5"/>
      <c r="H10" s="5"/>
    </row>
    <row r="11" spans="2:20" ht="13.5" customHeight="1" x14ac:dyDescent="0.2">
      <c r="B11" s="221">
        <v>2.4</v>
      </c>
      <c r="C11" s="221">
        <v>2.2999999999999998</v>
      </c>
      <c r="D11" s="221">
        <v>2.1</v>
      </c>
    </row>
    <row r="12" spans="2:20" ht="13.5" customHeight="1" x14ac:dyDescent="0.2">
      <c r="B12" s="221">
        <v>9.8000000000000007</v>
      </c>
      <c r="C12" s="221">
        <v>9.5</v>
      </c>
      <c r="D12" s="221">
        <v>12.1</v>
      </c>
    </row>
    <row r="13" spans="2:20" ht="13.5" customHeight="1" x14ac:dyDescent="0.2">
      <c r="B13" s="221">
        <v>3</v>
      </c>
      <c r="C13" s="221">
        <v>2.4</v>
      </c>
      <c r="D13" s="221">
        <v>2.4</v>
      </c>
    </row>
    <row r="14" spans="2:20" ht="13.5" customHeight="1" x14ac:dyDescent="0.2">
      <c r="B14" s="221">
        <v>3.3</v>
      </c>
      <c r="C14" s="221">
        <v>2.9</v>
      </c>
      <c r="D14" s="221">
        <v>3.1</v>
      </c>
    </row>
    <row r="15" spans="2:20" ht="13.5" customHeight="1" x14ac:dyDescent="0.2">
      <c r="B15" s="221">
        <v>4.2</v>
      </c>
      <c r="C15" s="221">
        <v>4.0999999999999996</v>
      </c>
      <c r="D15" s="221">
        <v>4.3</v>
      </c>
    </row>
    <row r="16" spans="2:20" ht="13.5" customHeight="1" x14ac:dyDescent="0.2">
      <c r="B16" s="221">
        <v>6.2</v>
      </c>
      <c r="C16" s="221">
        <v>5.7</v>
      </c>
      <c r="D16" s="221">
        <v>5.4</v>
      </c>
    </row>
    <row r="17" spans="2:16" ht="13.5" customHeight="1" thickBot="1" x14ac:dyDescent="0.25">
      <c r="B17" s="220">
        <v>65.400000000000006</v>
      </c>
      <c r="C17" s="220">
        <v>69</v>
      </c>
      <c r="D17" s="220">
        <v>65.8</v>
      </c>
    </row>
    <row r="18" spans="2:16" ht="13.5" customHeight="1" thickBot="1" x14ac:dyDescent="0.25">
      <c r="B18" s="55"/>
      <c r="C18" s="55"/>
      <c r="D18" s="55"/>
    </row>
    <row r="19" spans="2:16" ht="13.5" customHeight="1" thickBot="1" x14ac:dyDescent="0.25"/>
    <row r="20" spans="2:16" ht="13.5" customHeight="1" x14ac:dyDescent="0.2">
      <c r="B20" s="260" t="s">
        <v>3201</v>
      </c>
      <c r="C20" s="261"/>
      <c r="D20" s="261"/>
      <c r="E20" s="262"/>
    </row>
    <row r="21" spans="2:16" ht="13.5" customHeight="1" thickBot="1" x14ac:dyDescent="0.25">
      <c r="B21" s="54" t="s">
        <v>3200</v>
      </c>
      <c r="C21" s="21">
        <v>2014</v>
      </c>
      <c r="D21" s="21">
        <v>2017</v>
      </c>
      <c r="E21" s="7">
        <v>2020</v>
      </c>
    </row>
    <row r="22" spans="2:16" ht="13.5" customHeight="1" x14ac:dyDescent="0.2">
      <c r="B22" s="53"/>
      <c r="C22" s="52"/>
      <c r="D22" s="52"/>
      <c r="E22" s="52"/>
    </row>
    <row r="23" spans="2:16" ht="13.5" customHeight="1" x14ac:dyDescent="0.2">
      <c r="B23" s="51"/>
      <c r="C23" s="50"/>
      <c r="D23" s="50"/>
      <c r="E23" s="50"/>
    </row>
    <row r="24" spans="2:16" ht="13.5" customHeight="1" x14ac:dyDescent="0.2">
      <c r="B24" s="51"/>
      <c r="C24" s="50"/>
      <c r="D24" s="50"/>
      <c r="E24" s="50"/>
    </row>
    <row r="25" spans="2:16" ht="13.5" customHeight="1" x14ac:dyDescent="0.2">
      <c r="B25" s="51"/>
      <c r="C25" s="50"/>
      <c r="D25" s="50"/>
      <c r="E25" s="50"/>
    </row>
    <row r="26" spans="2:16" ht="13.5" customHeight="1" x14ac:dyDescent="0.2">
      <c r="B26" s="51"/>
      <c r="C26" s="50"/>
      <c r="D26" s="50"/>
      <c r="E26" s="50"/>
    </row>
    <row r="27" spans="2:16" ht="13.5" customHeight="1" x14ac:dyDescent="0.2">
      <c r="B27" s="51"/>
      <c r="C27" s="50"/>
      <c r="D27" s="50"/>
      <c r="E27" s="50"/>
    </row>
    <row r="28" spans="2:16" ht="13.5" customHeight="1" x14ac:dyDescent="0.2">
      <c r="B28" s="51"/>
      <c r="C28" s="50"/>
      <c r="D28" s="50"/>
      <c r="E28" s="50"/>
    </row>
    <row r="29" spans="2:16" ht="13.5" customHeight="1" x14ac:dyDescent="0.2">
      <c r="B29" s="51"/>
      <c r="C29" s="50"/>
      <c r="D29" s="50"/>
      <c r="E29" s="50"/>
    </row>
    <row r="30" spans="2:16" ht="13.5" customHeight="1" x14ac:dyDescent="0.25">
      <c r="B30" s="51"/>
      <c r="C30" s="50"/>
      <c r="D30" s="50"/>
      <c r="E30" s="50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2:16" ht="13.5" customHeight="1" x14ac:dyDescent="0.25">
      <c r="B31" s="51"/>
      <c r="C31" s="50"/>
      <c r="D31" s="50"/>
      <c r="E31" s="50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3.5" customHeight="1" x14ac:dyDescent="0.25">
      <c r="B32" s="51"/>
      <c r="C32" s="50"/>
      <c r="D32" s="50"/>
      <c r="E32" s="50"/>
      <c r="F32" s="49"/>
    </row>
  </sheetData>
  <mergeCells count="3">
    <mergeCell ref="B20:E20"/>
    <mergeCell ref="B2:J2"/>
    <mergeCell ref="B4:J4"/>
  </mergeCells>
  <pageMargins left="0.75" right="0.75" top="1" bottom="1" header="0.5" footer="0.5"/>
  <pageSetup scale="74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23"/>
  </sheetPr>
  <dimension ref="A1:T68"/>
  <sheetViews>
    <sheetView zoomScaleNormal="100" workbookViewId="0"/>
  </sheetViews>
  <sheetFormatPr defaultColWidth="9.140625" defaultRowHeight="13.5" customHeight="1" x14ac:dyDescent="0.25"/>
  <cols>
    <col min="1" max="1" width="2.5703125" style="59" customWidth="1"/>
    <col min="2" max="4" width="17.28515625" style="59" customWidth="1"/>
    <col min="5" max="5" width="8.85546875" style="59" customWidth="1"/>
    <col min="6" max="8" width="17.28515625" style="59" customWidth="1"/>
    <col min="9" max="9" width="9.140625" style="59"/>
    <col min="10" max="10" width="20.7109375" style="59" customWidth="1"/>
    <col min="11" max="12" width="14.7109375" style="59" customWidth="1"/>
    <col min="13" max="13" width="9.5703125" style="59" bestFit="1" customWidth="1"/>
    <col min="14" max="15" width="9.140625" style="59"/>
    <col min="16" max="16" width="13.42578125" style="59" customWidth="1"/>
    <col min="17" max="17" width="10.28515625" style="59" customWidth="1"/>
    <col min="18" max="19" width="11.140625" style="59" customWidth="1"/>
    <col min="20" max="20" width="15.7109375" style="59" customWidth="1"/>
    <col min="21" max="21" width="14.140625" style="59" customWidth="1"/>
    <col min="22" max="22" width="11.85546875" style="59" customWidth="1"/>
    <col min="23" max="16384" width="9.140625" style="59"/>
  </cols>
  <sheetData>
    <row r="1" spans="2:20" ht="13.5" customHeight="1" thickBot="1" x14ac:dyDescent="0.3"/>
    <row r="2" spans="2:20" customFormat="1" ht="27" customHeight="1" thickBot="1" x14ac:dyDescent="0.25">
      <c r="B2" s="270" t="s">
        <v>3228</v>
      </c>
      <c r="C2" s="271"/>
      <c r="D2" s="271"/>
      <c r="E2" s="271"/>
      <c r="F2" s="271"/>
      <c r="G2" s="271"/>
      <c r="H2" s="272"/>
      <c r="I2" s="89"/>
      <c r="J2" s="89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customFormat="1" ht="13.5" customHeight="1" thickBot="1" x14ac:dyDescent="0.25"/>
    <row r="4" spans="2:20" ht="13.5" customHeight="1" thickBot="1" x14ac:dyDescent="0.3">
      <c r="B4" s="83" t="s">
        <v>3224</v>
      </c>
      <c r="C4" s="95" t="s">
        <v>3207</v>
      </c>
      <c r="D4" s="94" t="s">
        <v>3206</v>
      </c>
    </row>
    <row r="5" spans="2:20" ht="13.5" customHeight="1" x14ac:dyDescent="0.25">
      <c r="B5" s="78" t="s">
        <v>3221</v>
      </c>
      <c r="C5" s="93">
        <v>232283</v>
      </c>
      <c r="D5" s="93">
        <v>173969</v>
      </c>
    </row>
    <row r="6" spans="2:20" ht="13.5" customHeight="1" x14ac:dyDescent="0.25">
      <c r="B6" s="71" t="s">
        <v>3220</v>
      </c>
      <c r="C6" s="92">
        <v>116218</v>
      </c>
      <c r="D6" s="92">
        <v>79407</v>
      </c>
    </row>
    <row r="7" spans="2:20" ht="13.5" customHeight="1" x14ac:dyDescent="0.25">
      <c r="B7" s="71" t="s">
        <v>3217</v>
      </c>
      <c r="C7" s="92">
        <v>20327</v>
      </c>
      <c r="D7" s="92">
        <v>10651</v>
      </c>
    </row>
    <row r="8" spans="2:20" ht="13.5" customHeight="1" x14ac:dyDescent="0.25">
      <c r="B8" s="71" t="s">
        <v>3216</v>
      </c>
      <c r="C8" s="92">
        <v>61154</v>
      </c>
      <c r="D8" s="92">
        <v>44610</v>
      </c>
    </row>
    <row r="9" spans="2:20" ht="13.5" customHeight="1" x14ac:dyDescent="0.25">
      <c r="B9" s="71" t="s">
        <v>3215</v>
      </c>
      <c r="C9" s="92">
        <v>274381</v>
      </c>
      <c r="D9" s="92">
        <v>0</v>
      </c>
    </row>
    <row r="10" spans="2:20" ht="13.5" customHeight="1" x14ac:dyDescent="0.25">
      <c r="B10" s="71" t="s">
        <v>3214</v>
      </c>
      <c r="C10" s="92">
        <v>79565</v>
      </c>
      <c r="D10" s="92">
        <v>58561</v>
      </c>
    </row>
    <row r="11" spans="2:20" ht="13.5" customHeight="1" x14ac:dyDescent="0.25">
      <c r="B11" s="71" t="s">
        <v>3213</v>
      </c>
      <c r="C11" s="92">
        <v>74143</v>
      </c>
      <c r="D11" s="92">
        <v>61811</v>
      </c>
    </row>
    <row r="12" spans="2:20" ht="13.5" customHeight="1" thickBot="1" x14ac:dyDescent="0.3">
      <c r="B12" s="69" t="s">
        <v>3212</v>
      </c>
      <c r="C12" s="91">
        <v>31734</v>
      </c>
      <c r="D12" s="91">
        <v>19149</v>
      </c>
    </row>
    <row r="13" spans="2:20" ht="13.5" customHeight="1" thickBot="1" x14ac:dyDescent="0.3">
      <c r="B13" s="85" t="s">
        <v>4</v>
      </c>
      <c r="C13" s="90">
        <f>SUM(C5:C12)</f>
        <v>889805</v>
      </c>
      <c r="D13" s="90">
        <f>SUM(D5:D12)</f>
        <v>448158</v>
      </c>
    </row>
    <row r="14" spans="2:20" ht="13.5" customHeight="1" thickBot="1" x14ac:dyDescent="0.3"/>
    <row r="15" spans="2:20" customFormat="1" ht="67.5" customHeight="1" thickBot="1" x14ac:dyDescent="0.25">
      <c r="B15" s="270" t="s">
        <v>3258</v>
      </c>
      <c r="C15" s="271"/>
      <c r="D15" s="271"/>
      <c r="E15" s="271"/>
      <c r="F15" s="271"/>
      <c r="G15" s="271"/>
      <c r="H15" s="272"/>
      <c r="I15" s="89"/>
      <c r="J15" s="89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2:20" s="1" customFormat="1" ht="13.5" customHeight="1" thickBot="1" x14ac:dyDescent="0.25">
      <c r="B16" s="2"/>
      <c r="C16" s="2"/>
      <c r="D16" s="2"/>
      <c r="E16" s="2"/>
      <c r="F16" s="2"/>
      <c r="G16" s="2"/>
      <c r="H16" s="2"/>
      <c r="I16" s="2"/>
      <c r="J16" s="2"/>
    </row>
    <row r="17" spans="2:10" s="8" customFormat="1" ht="13.5" customHeight="1" thickBot="1" x14ac:dyDescent="0.25"/>
    <row r="18" spans="2:10" s="8" customFormat="1" ht="13.5" customHeight="1" thickBot="1" x14ac:dyDescent="0.25">
      <c r="B18" s="266" t="s">
        <v>3227</v>
      </c>
      <c r="C18" s="267"/>
      <c r="D18" s="268"/>
    </row>
    <row r="19" spans="2:10" ht="13.5" customHeight="1" thickBot="1" x14ac:dyDescent="0.3"/>
    <row r="20" spans="2:10" ht="13.5" customHeight="1" thickBot="1" x14ac:dyDescent="0.3">
      <c r="B20" s="83" t="s">
        <v>3224</v>
      </c>
      <c r="C20" s="6" t="s">
        <v>3219</v>
      </c>
      <c r="D20" s="15" t="s">
        <v>3218</v>
      </c>
    </row>
    <row r="21" spans="2:10" ht="13.5" customHeight="1" x14ac:dyDescent="0.25">
      <c r="B21" s="88" t="s">
        <v>3221</v>
      </c>
      <c r="C21" s="81"/>
      <c r="D21" s="81"/>
    </row>
    <row r="22" spans="2:10" ht="13.5" customHeight="1" x14ac:dyDescent="0.25">
      <c r="B22" s="87" t="s">
        <v>3220</v>
      </c>
      <c r="C22" s="81"/>
      <c r="D22" s="81"/>
    </row>
    <row r="23" spans="2:10" ht="13.5" customHeight="1" x14ac:dyDescent="0.25">
      <c r="B23" s="87" t="s">
        <v>3217</v>
      </c>
      <c r="C23" s="81"/>
      <c r="D23" s="81"/>
    </row>
    <row r="24" spans="2:10" ht="13.5" customHeight="1" x14ac:dyDescent="0.25">
      <c r="B24" s="87" t="s">
        <v>3216</v>
      </c>
      <c r="C24" s="81"/>
      <c r="D24" s="81"/>
    </row>
    <row r="25" spans="2:10" ht="13.5" customHeight="1" x14ac:dyDescent="0.25">
      <c r="B25" s="87" t="s">
        <v>3215</v>
      </c>
      <c r="C25" s="81"/>
      <c r="D25" s="81"/>
    </row>
    <row r="26" spans="2:10" ht="13.5" customHeight="1" x14ac:dyDescent="0.25">
      <c r="B26" s="87" t="s">
        <v>3214</v>
      </c>
      <c r="C26" s="81"/>
      <c r="D26" s="81"/>
    </row>
    <row r="27" spans="2:10" ht="13.5" customHeight="1" x14ac:dyDescent="0.25">
      <c r="B27" s="87" t="s">
        <v>3213</v>
      </c>
      <c r="C27" s="81"/>
      <c r="D27" s="81"/>
    </row>
    <row r="28" spans="2:10" ht="13.5" customHeight="1" thickBot="1" x14ac:dyDescent="0.3">
      <c r="B28" s="86" t="s">
        <v>3212</v>
      </c>
      <c r="C28" s="81"/>
      <c r="D28" s="81"/>
    </row>
    <row r="29" spans="2:10" ht="13.5" customHeight="1" thickBot="1" x14ac:dyDescent="0.3">
      <c r="B29" s="85" t="s">
        <v>4</v>
      </c>
      <c r="C29" s="84"/>
      <c r="D29" s="84"/>
    </row>
    <row r="30" spans="2:10" ht="13.5" customHeight="1" thickBot="1" x14ac:dyDescent="0.3">
      <c r="F30" s="82"/>
      <c r="G30" s="82"/>
      <c r="H30" s="82"/>
      <c r="I30" s="82"/>
      <c r="J30" s="82"/>
    </row>
    <row r="31" spans="2:10" ht="13.5" customHeight="1" thickBot="1" x14ac:dyDescent="0.3">
      <c r="B31" s="266" t="s">
        <v>3226</v>
      </c>
      <c r="C31" s="273"/>
      <c r="D31" s="274"/>
      <c r="E31" s="8"/>
      <c r="F31" s="266" t="s">
        <v>3225</v>
      </c>
      <c r="G31" s="273"/>
      <c r="H31" s="274"/>
      <c r="I31" s="82"/>
      <c r="J31" s="82"/>
    </row>
    <row r="32" spans="2:10" ht="13.5" customHeight="1" thickBot="1" x14ac:dyDescent="0.3">
      <c r="I32" s="82"/>
      <c r="J32" s="82"/>
    </row>
    <row r="33" spans="1:10" ht="13.5" customHeight="1" thickBot="1" x14ac:dyDescent="0.3">
      <c r="B33" s="83" t="s">
        <v>3224</v>
      </c>
      <c r="C33" s="6" t="s">
        <v>3219</v>
      </c>
      <c r="D33" s="15" t="s">
        <v>3218</v>
      </c>
      <c r="F33" s="83" t="s">
        <v>3224</v>
      </c>
      <c r="G33" s="6" t="s">
        <v>3219</v>
      </c>
      <c r="H33" s="15" t="s">
        <v>3218</v>
      </c>
      <c r="I33" s="82"/>
      <c r="J33" s="82"/>
    </row>
    <row r="34" spans="1:10" ht="13.5" customHeight="1" x14ac:dyDescent="0.25">
      <c r="B34" s="78" t="s">
        <v>3215</v>
      </c>
      <c r="C34" s="81"/>
      <c r="D34" s="81"/>
      <c r="F34" s="78" t="s">
        <v>3221</v>
      </c>
      <c r="G34" s="81"/>
      <c r="H34" s="81"/>
      <c r="I34" s="82"/>
      <c r="J34" s="82"/>
    </row>
    <row r="35" spans="1:10" ht="13.5" customHeight="1" x14ac:dyDescent="0.25">
      <c r="B35" s="71" t="s">
        <v>3221</v>
      </c>
      <c r="C35" s="81"/>
      <c r="D35" s="81"/>
      <c r="F35" s="71" t="s">
        <v>3220</v>
      </c>
      <c r="G35" s="81"/>
      <c r="H35" s="81"/>
      <c r="I35" s="82"/>
      <c r="J35" s="82"/>
    </row>
    <row r="36" spans="1:10" ht="13.5" customHeight="1" x14ac:dyDescent="0.25">
      <c r="B36" s="71" t="s">
        <v>3220</v>
      </c>
      <c r="C36" s="81"/>
      <c r="D36" s="81"/>
      <c r="F36" s="71" t="s">
        <v>3213</v>
      </c>
      <c r="G36" s="81"/>
      <c r="H36" s="81"/>
      <c r="I36" s="82"/>
      <c r="J36" s="82"/>
    </row>
    <row r="37" spans="1:10" ht="13.5" customHeight="1" x14ac:dyDescent="0.25">
      <c r="B37" s="71" t="s">
        <v>3214</v>
      </c>
      <c r="C37" s="81"/>
      <c r="D37" s="81"/>
      <c r="F37" s="71" t="s">
        <v>3214</v>
      </c>
      <c r="G37" s="81"/>
      <c r="H37" s="81"/>
      <c r="I37" s="82"/>
      <c r="J37" s="82"/>
    </row>
    <row r="38" spans="1:10" ht="13.5" customHeight="1" x14ac:dyDescent="0.25">
      <c r="B38" s="71" t="s">
        <v>3213</v>
      </c>
      <c r="C38" s="81"/>
      <c r="D38" s="81"/>
      <c r="F38" s="71" t="s">
        <v>3216</v>
      </c>
      <c r="G38" s="81"/>
      <c r="H38" s="81"/>
      <c r="I38" s="82"/>
      <c r="J38" s="82"/>
    </row>
    <row r="39" spans="1:10" ht="13.5" customHeight="1" x14ac:dyDescent="0.25">
      <c r="B39" s="71" t="s">
        <v>3216</v>
      </c>
      <c r="C39" s="81"/>
      <c r="D39" s="81"/>
      <c r="F39" s="71" t="s">
        <v>3212</v>
      </c>
      <c r="G39" s="81"/>
      <c r="H39" s="81"/>
      <c r="I39" s="82"/>
      <c r="J39" s="82"/>
    </row>
    <row r="40" spans="1:10" ht="13.5" customHeight="1" x14ac:dyDescent="0.25">
      <c r="B40" s="71" t="s">
        <v>3212</v>
      </c>
      <c r="C40" s="81"/>
      <c r="D40" s="81"/>
      <c r="F40" s="71" t="s">
        <v>3217</v>
      </c>
      <c r="G40" s="81"/>
      <c r="H40" s="81"/>
      <c r="I40" s="82"/>
      <c r="J40" s="82"/>
    </row>
    <row r="41" spans="1:10" ht="13.5" customHeight="1" x14ac:dyDescent="0.25">
      <c r="B41" s="71" t="s">
        <v>3217</v>
      </c>
      <c r="C41" s="81"/>
      <c r="D41" s="81"/>
      <c r="F41" s="71" t="s">
        <v>3215</v>
      </c>
      <c r="G41" s="81"/>
      <c r="H41" s="81"/>
      <c r="I41" s="82"/>
      <c r="J41" s="82"/>
    </row>
    <row r="42" spans="1:10" ht="13.5" customHeight="1" thickBot="1" x14ac:dyDescent="0.3">
      <c r="F42" s="82"/>
      <c r="G42" s="82"/>
      <c r="H42" s="82"/>
      <c r="I42" s="82"/>
      <c r="J42" s="82"/>
    </row>
    <row r="43" spans="1:10" ht="13.5" customHeight="1" thickBot="1" x14ac:dyDescent="0.3">
      <c r="A43" s="59" t="s">
        <v>1</v>
      </c>
      <c r="B43" s="266" t="s">
        <v>3173</v>
      </c>
      <c r="C43" s="267"/>
      <c r="D43" s="267"/>
      <c r="E43" s="267"/>
      <c r="F43" s="267"/>
      <c r="G43" s="267"/>
      <c r="H43" s="268"/>
    </row>
    <row r="44" spans="1:10" ht="13.5" customHeight="1" thickBot="1" x14ac:dyDescent="0.3"/>
    <row r="45" spans="1:10" ht="13.5" customHeight="1" thickBot="1" x14ac:dyDescent="0.3">
      <c r="B45" s="77" t="s">
        <v>3223</v>
      </c>
      <c r="C45" s="6" t="s">
        <v>3219</v>
      </c>
      <c r="D45" s="15" t="s">
        <v>3218</v>
      </c>
      <c r="F45" s="80" t="s">
        <v>3222</v>
      </c>
      <c r="G45" s="6" t="s">
        <v>3219</v>
      </c>
      <c r="H45" s="15" t="s">
        <v>3218</v>
      </c>
    </row>
    <row r="46" spans="1:10" ht="13.5" customHeight="1" thickBot="1" x14ac:dyDescent="0.3">
      <c r="B46" s="73" t="s">
        <v>3167</v>
      </c>
      <c r="C46" s="79"/>
      <c r="D46" s="79"/>
      <c r="F46" s="78" t="s">
        <v>3221</v>
      </c>
      <c r="G46" s="70"/>
      <c r="H46" s="70"/>
    </row>
    <row r="47" spans="1:10" ht="13.5" customHeight="1" thickBot="1" x14ac:dyDescent="0.3">
      <c r="F47" s="71" t="s">
        <v>3220</v>
      </c>
      <c r="G47" s="70"/>
      <c r="H47" s="70"/>
    </row>
    <row r="48" spans="1:10" ht="13.5" customHeight="1" thickBot="1" x14ac:dyDescent="0.3">
      <c r="B48" s="77" t="s">
        <v>3171</v>
      </c>
      <c r="C48" s="6" t="s">
        <v>3219</v>
      </c>
      <c r="D48" s="15" t="s">
        <v>3218</v>
      </c>
      <c r="F48" s="71" t="s">
        <v>3217</v>
      </c>
      <c r="G48" s="70"/>
      <c r="H48" s="70"/>
    </row>
    <row r="49" spans="1:8" ht="13.5" customHeight="1" x14ac:dyDescent="0.25">
      <c r="B49" s="76" t="s">
        <v>9</v>
      </c>
      <c r="C49" s="60"/>
      <c r="D49" s="60"/>
      <c r="F49" s="71" t="s">
        <v>3216</v>
      </c>
      <c r="G49" s="70"/>
      <c r="H49" s="70"/>
    </row>
    <row r="50" spans="1:8" ht="13.5" customHeight="1" x14ac:dyDescent="0.25">
      <c r="B50" s="75" t="s">
        <v>3</v>
      </c>
      <c r="C50" s="60"/>
      <c r="D50" s="60"/>
      <c r="F50" s="71" t="s">
        <v>3215</v>
      </c>
      <c r="G50" s="70"/>
      <c r="H50" s="70"/>
    </row>
    <row r="51" spans="1:8" ht="13.5" customHeight="1" thickBot="1" x14ac:dyDescent="0.3">
      <c r="B51" s="74" t="s">
        <v>3168</v>
      </c>
      <c r="C51" s="60"/>
      <c r="D51" s="60"/>
      <c r="F51" s="71" t="s">
        <v>3214</v>
      </c>
      <c r="G51" s="70"/>
      <c r="H51" s="70"/>
    </row>
    <row r="52" spans="1:8" ht="13.5" customHeight="1" thickBot="1" x14ac:dyDescent="0.3">
      <c r="B52" s="73" t="s">
        <v>3167</v>
      </c>
      <c r="C52" s="72"/>
      <c r="D52" s="72"/>
      <c r="F52" s="71" t="s">
        <v>3213</v>
      </c>
      <c r="G52" s="70"/>
      <c r="H52" s="70"/>
    </row>
    <row r="53" spans="1:8" ht="13.5" customHeight="1" thickBot="1" x14ac:dyDescent="0.3">
      <c r="F53" s="69" t="s">
        <v>3212</v>
      </c>
      <c r="G53" s="68"/>
      <c r="H53" s="68"/>
    </row>
    <row r="54" spans="1:8" ht="13.5" customHeight="1" thickBot="1" x14ac:dyDescent="0.3">
      <c r="F54" s="67" t="s">
        <v>3167</v>
      </c>
      <c r="G54" s="66"/>
      <c r="H54" s="66"/>
    </row>
    <row r="55" spans="1:8" ht="13.5" customHeight="1" thickBot="1" x14ac:dyDescent="0.3"/>
    <row r="56" spans="1:8" ht="13.5" customHeight="1" thickBot="1" x14ac:dyDescent="0.3">
      <c r="A56" s="59" t="s">
        <v>2</v>
      </c>
      <c r="B56" s="266" t="s">
        <v>3211</v>
      </c>
      <c r="C56" s="267"/>
      <c r="D56" s="267"/>
      <c r="E56" s="267"/>
      <c r="F56" s="267"/>
      <c r="G56" s="267"/>
      <c r="H56" s="268"/>
    </row>
    <row r="57" spans="1:8" ht="13.5" customHeight="1" thickBot="1" x14ac:dyDescent="0.3"/>
    <row r="58" spans="1:8" ht="13.5" customHeight="1" x14ac:dyDescent="0.25">
      <c r="B58" s="275" t="s">
        <v>3210</v>
      </c>
      <c r="C58" s="269" t="s">
        <v>3209</v>
      </c>
      <c r="D58" s="248"/>
      <c r="F58" s="275" t="s">
        <v>3185</v>
      </c>
      <c r="G58" s="269" t="s">
        <v>3208</v>
      </c>
      <c r="H58" s="248"/>
    </row>
    <row r="59" spans="1:8" ht="13.5" customHeight="1" thickBot="1" x14ac:dyDescent="0.3">
      <c r="B59" s="276"/>
      <c r="C59" s="21" t="s">
        <v>3207</v>
      </c>
      <c r="D59" s="7" t="s">
        <v>3206</v>
      </c>
      <c r="E59" s="65"/>
      <c r="F59" s="276"/>
      <c r="G59" s="21" t="s">
        <v>3205</v>
      </c>
      <c r="H59" s="7" t="s">
        <v>3204</v>
      </c>
    </row>
    <row r="60" spans="1:8" ht="13.5" customHeight="1" x14ac:dyDescent="0.25">
      <c r="B60" s="64">
        <v>0</v>
      </c>
      <c r="C60" s="60"/>
      <c r="D60" s="60"/>
      <c r="E60" s="62"/>
      <c r="F60" s="61">
        <f t="shared" ref="F60:F68" si="0">B60*1/8</f>
        <v>0</v>
      </c>
      <c r="G60" s="60"/>
      <c r="H60" s="60"/>
    </row>
    <row r="61" spans="1:8" ht="13.5" customHeight="1" x14ac:dyDescent="0.25">
      <c r="B61" s="63">
        <v>1</v>
      </c>
      <c r="C61" s="60"/>
      <c r="D61" s="60"/>
      <c r="E61" s="62"/>
      <c r="F61" s="61">
        <f t="shared" si="0"/>
        <v>0.125</v>
      </c>
      <c r="G61" s="60"/>
      <c r="H61" s="60"/>
    </row>
    <row r="62" spans="1:8" ht="13.5" customHeight="1" x14ac:dyDescent="0.25">
      <c r="B62" s="63">
        <v>2</v>
      </c>
      <c r="C62" s="60"/>
      <c r="D62" s="60"/>
      <c r="E62" s="62"/>
      <c r="F62" s="61">
        <f t="shared" si="0"/>
        <v>0.25</v>
      </c>
      <c r="G62" s="60"/>
      <c r="H62" s="60"/>
    </row>
    <row r="63" spans="1:8" ht="13.5" customHeight="1" x14ac:dyDescent="0.25">
      <c r="B63" s="64">
        <v>3</v>
      </c>
      <c r="C63" s="60"/>
      <c r="D63" s="60"/>
      <c r="E63" s="62"/>
      <c r="F63" s="61">
        <f t="shared" si="0"/>
        <v>0.375</v>
      </c>
      <c r="G63" s="60"/>
      <c r="H63" s="60"/>
    </row>
    <row r="64" spans="1:8" ht="13.5" customHeight="1" x14ac:dyDescent="0.25">
      <c r="B64" s="63">
        <v>4</v>
      </c>
      <c r="C64" s="60"/>
      <c r="D64" s="60"/>
      <c r="E64" s="62"/>
      <c r="F64" s="61">
        <f t="shared" si="0"/>
        <v>0.5</v>
      </c>
      <c r="G64" s="60"/>
      <c r="H64" s="60"/>
    </row>
    <row r="65" spans="2:8" ht="13.5" customHeight="1" x14ac:dyDescent="0.25">
      <c r="B65" s="63">
        <v>5</v>
      </c>
      <c r="C65" s="60"/>
      <c r="D65" s="60"/>
      <c r="E65" s="62"/>
      <c r="F65" s="61">
        <f t="shared" si="0"/>
        <v>0.625</v>
      </c>
      <c r="G65" s="60"/>
      <c r="H65" s="60"/>
    </row>
    <row r="66" spans="2:8" ht="13.5" customHeight="1" x14ac:dyDescent="0.25">
      <c r="B66" s="64">
        <v>6</v>
      </c>
      <c r="C66" s="60"/>
      <c r="D66" s="60"/>
      <c r="E66" s="62"/>
      <c r="F66" s="61">
        <f t="shared" si="0"/>
        <v>0.75</v>
      </c>
      <c r="G66" s="60"/>
      <c r="H66" s="60"/>
    </row>
    <row r="67" spans="2:8" ht="13.5" customHeight="1" x14ac:dyDescent="0.25">
      <c r="B67" s="63">
        <v>7</v>
      </c>
      <c r="C67" s="60"/>
      <c r="D67" s="60"/>
      <c r="E67" s="62"/>
      <c r="F67" s="61">
        <f t="shared" si="0"/>
        <v>0.875</v>
      </c>
      <c r="G67" s="60"/>
      <c r="H67" s="60"/>
    </row>
    <row r="68" spans="2:8" ht="13.5" customHeight="1" x14ac:dyDescent="0.25">
      <c r="B68" s="63">
        <v>8</v>
      </c>
      <c r="C68" s="60"/>
      <c r="D68" s="60"/>
      <c r="E68" s="62"/>
      <c r="F68" s="61">
        <f t="shared" si="0"/>
        <v>1</v>
      </c>
      <c r="G68" s="60"/>
      <c r="H68" s="60"/>
    </row>
  </sheetData>
  <mergeCells count="11">
    <mergeCell ref="B56:H56"/>
    <mergeCell ref="G58:H58"/>
    <mergeCell ref="B2:H2"/>
    <mergeCell ref="B15:H15"/>
    <mergeCell ref="B18:D18"/>
    <mergeCell ref="B31:D31"/>
    <mergeCell ref="C58:D58"/>
    <mergeCell ref="B58:B59"/>
    <mergeCell ref="F58:F59"/>
    <mergeCell ref="F31:H31"/>
    <mergeCell ref="B43:H43"/>
  </mergeCells>
  <pageMargins left="0.75" right="0.75" top="1" bottom="1" header="0.5" footer="0.5"/>
  <pageSetup paperSize="9" scale="48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499984740745262"/>
  </sheetPr>
  <dimension ref="B1:G44"/>
  <sheetViews>
    <sheetView zoomScaleNormal="100" workbookViewId="0"/>
  </sheetViews>
  <sheetFormatPr defaultRowHeight="13.5" customHeight="1" x14ac:dyDescent="0.2"/>
  <cols>
    <col min="1" max="1" width="2.5703125" customWidth="1"/>
    <col min="2" max="2" width="36.7109375" customWidth="1"/>
    <col min="3" max="3" width="20.7109375" customWidth="1"/>
    <col min="4" max="4" width="15.28515625" customWidth="1"/>
  </cols>
  <sheetData>
    <row r="1" spans="2:7" ht="13.5" customHeight="1" thickBot="1" x14ac:dyDescent="0.25"/>
    <row r="2" spans="2:7" ht="13.5" customHeight="1" thickBot="1" x14ac:dyDescent="0.25">
      <c r="B2" s="244" t="s">
        <v>3248</v>
      </c>
      <c r="C2" s="245"/>
      <c r="D2" s="245"/>
      <c r="E2" s="245"/>
      <c r="F2" s="246"/>
      <c r="G2" s="4"/>
    </row>
    <row r="3" spans="2:7" ht="13.5" customHeight="1" thickBot="1" x14ac:dyDescent="0.25"/>
    <row r="4" spans="2:7" ht="28.5" customHeight="1" thickBot="1" x14ac:dyDescent="0.25">
      <c r="B4" s="25" t="s">
        <v>3246</v>
      </c>
      <c r="C4" s="112" t="s">
        <v>3245</v>
      </c>
    </row>
    <row r="5" spans="2:7" ht="13.5" customHeight="1" x14ac:dyDescent="0.2">
      <c r="B5" s="111" t="s">
        <v>3244</v>
      </c>
      <c r="C5" s="108">
        <v>4657</v>
      </c>
    </row>
    <row r="6" spans="2:7" ht="13.5" customHeight="1" x14ac:dyDescent="0.2">
      <c r="B6" s="110" t="s">
        <v>3243</v>
      </c>
      <c r="C6" s="108">
        <v>2207</v>
      </c>
    </row>
    <row r="7" spans="2:7" ht="13.5" customHeight="1" x14ac:dyDescent="0.2">
      <c r="B7" s="110" t="s">
        <v>3242</v>
      </c>
      <c r="C7" s="108">
        <v>2148</v>
      </c>
    </row>
    <row r="8" spans="2:7" ht="13.5" customHeight="1" x14ac:dyDescent="0.2">
      <c r="B8" s="110" t="s">
        <v>3241</v>
      </c>
      <c r="C8" s="108">
        <v>2854</v>
      </c>
    </row>
    <row r="9" spans="2:7" ht="13.5" customHeight="1" x14ac:dyDescent="0.2">
      <c r="B9" s="110" t="s">
        <v>3240</v>
      </c>
      <c r="C9" s="108">
        <v>2295</v>
      </c>
    </row>
    <row r="10" spans="2:7" ht="13.5" customHeight="1" thickBot="1" x14ac:dyDescent="0.25">
      <c r="B10" s="109" t="s">
        <v>3239</v>
      </c>
      <c r="C10" s="108">
        <v>1997</v>
      </c>
    </row>
    <row r="11" spans="2:7" ht="13.5" customHeight="1" thickBot="1" x14ac:dyDescent="0.25">
      <c r="B11" s="113" t="s">
        <v>4</v>
      </c>
      <c r="C11" s="106">
        <v>16158</v>
      </c>
    </row>
    <row r="12" spans="2:7" ht="13.5" customHeight="1" thickBot="1" x14ac:dyDescent="0.25"/>
    <row r="13" spans="2:7" ht="28.5" customHeight="1" thickBot="1" x14ac:dyDescent="0.25">
      <c r="B13" s="25" t="s">
        <v>3238</v>
      </c>
      <c r="C13" s="112" t="s">
        <v>3237</v>
      </c>
    </row>
    <row r="14" spans="2:7" ht="13.5" customHeight="1" x14ac:dyDescent="0.2">
      <c r="B14" s="111" t="s">
        <v>3236</v>
      </c>
      <c r="C14" s="108">
        <v>1143</v>
      </c>
    </row>
    <row r="15" spans="2:7" ht="13.5" customHeight="1" x14ac:dyDescent="0.2">
      <c r="B15" s="110" t="s">
        <v>3235</v>
      </c>
      <c r="C15" s="108">
        <v>994</v>
      </c>
    </row>
    <row r="16" spans="2:7" ht="13.5" customHeight="1" x14ac:dyDescent="0.2">
      <c r="B16" s="110" t="s">
        <v>3234</v>
      </c>
      <c r="C16" s="108">
        <v>495</v>
      </c>
    </row>
    <row r="17" spans="2:7" ht="13.5" customHeight="1" x14ac:dyDescent="0.2">
      <c r="B17" s="110" t="s">
        <v>3233</v>
      </c>
      <c r="C17" s="108">
        <v>379</v>
      </c>
    </row>
    <row r="18" spans="2:7" ht="13.5" customHeight="1" x14ac:dyDescent="0.2">
      <c r="B18" s="110" t="s">
        <v>3232</v>
      </c>
      <c r="C18" s="108">
        <v>320</v>
      </c>
    </row>
    <row r="19" spans="2:7" ht="13.5" customHeight="1" thickBot="1" x14ac:dyDescent="0.25">
      <c r="B19" s="109" t="s">
        <v>3231</v>
      </c>
      <c r="C19" s="108">
        <v>309</v>
      </c>
    </row>
    <row r="20" spans="2:7" ht="13.5" customHeight="1" thickBot="1" x14ac:dyDescent="0.25">
      <c r="B20" s="107" t="s">
        <v>4</v>
      </c>
      <c r="C20" s="106">
        <f>SUM(C14:C19)</f>
        <v>3640</v>
      </c>
    </row>
    <row r="21" spans="2:7" ht="13.5" customHeight="1" thickBot="1" x14ac:dyDescent="0.25"/>
    <row r="22" spans="2:7" ht="13.5" customHeight="1" thickBot="1" x14ac:dyDescent="0.25">
      <c r="B22" s="244" t="s">
        <v>3247</v>
      </c>
      <c r="C22" s="245"/>
      <c r="D22" s="245"/>
      <c r="E22" s="245"/>
      <c r="F22" s="246"/>
      <c r="G22" s="4"/>
    </row>
    <row r="23" spans="2:7" s="1" customFormat="1" ht="13.5" customHeight="1" thickBot="1" x14ac:dyDescent="0.25">
      <c r="B23" s="2"/>
      <c r="C23" s="2"/>
      <c r="D23" s="2"/>
      <c r="E23" s="2"/>
      <c r="F23" s="2"/>
    </row>
    <row r="24" spans="2:7" ht="13.5" customHeight="1" thickBot="1" x14ac:dyDescent="0.25"/>
    <row r="25" spans="2:7" ht="27" customHeight="1" thickBot="1" x14ac:dyDescent="0.25">
      <c r="B25" s="25" t="s">
        <v>3246</v>
      </c>
      <c r="C25" s="9" t="s">
        <v>3245</v>
      </c>
      <c r="D25" s="15" t="s">
        <v>8</v>
      </c>
    </row>
    <row r="26" spans="2:7" ht="13.5" customHeight="1" x14ac:dyDescent="0.2">
      <c r="B26" s="104" t="s">
        <v>3244</v>
      </c>
      <c r="C26" s="101">
        <v>4657</v>
      </c>
      <c r="D26" s="70"/>
    </row>
    <row r="27" spans="2:7" ht="13.5" customHeight="1" x14ac:dyDescent="0.2">
      <c r="B27" s="103" t="s">
        <v>3243</v>
      </c>
      <c r="C27" s="101">
        <v>2207</v>
      </c>
      <c r="D27" s="70"/>
    </row>
    <row r="28" spans="2:7" ht="13.5" customHeight="1" x14ac:dyDescent="0.2">
      <c r="B28" s="103" t="s">
        <v>3242</v>
      </c>
      <c r="C28" s="101">
        <v>2148</v>
      </c>
      <c r="D28" s="70"/>
    </row>
    <row r="29" spans="2:7" ht="13.5" customHeight="1" x14ac:dyDescent="0.2">
      <c r="B29" s="103" t="s">
        <v>3241</v>
      </c>
      <c r="C29" s="101">
        <v>2854</v>
      </c>
      <c r="D29" s="70"/>
    </row>
    <row r="30" spans="2:7" ht="13.5" customHeight="1" x14ac:dyDescent="0.2">
      <c r="B30" s="103" t="s">
        <v>3240</v>
      </c>
      <c r="C30" s="101">
        <v>2295</v>
      </c>
      <c r="D30" s="70"/>
    </row>
    <row r="31" spans="2:7" ht="13.5" customHeight="1" thickBot="1" x14ac:dyDescent="0.25">
      <c r="B31" s="102" t="s">
        <v>3239</v>
      </c>
      <c r="C31" s="101">
        <v>1997</v>
      </c>
      <c r="D31" s="70"/>
    </row>
    <row r="32" spans="2:7" ht="13.5" customHeight="1" thickBot="1" x14ac:dyDescent="0.25">
      <c r="B32" s="100" t="s">
        <v>4</v>
      </c>
      <c r="C32" s="99">
        <f>SUM(C26:C31)</f>
        <v>16158</v>
      </c>
      <c r="D32" s="66"/>
    </row>
    <row r="33" spans="2:4" ht="13.5" customHeight="1" thickBot="1" x14ac:dyDescent="0.25">
      <c r="B33" s="105"/>
    </row>
    <row r="34" spans="2:4" ht="27" customHeight="1" thickBot="1" x14ac:dyDescent="0.25">
      <c r="B34" s="25" t="s">
        <v>3238</v>
      </c>
      <c r="C34" s="9" t="s">
        <v>3237</v>
      </c>
      <c r="D34" s="15" t="s">
        <v>8</v>
      </c>
    </row>
    <row r="35" spans="2:4" ht="13.5" customHeight="1" x14ac:dyDescent="0.2">
      <c r="B35" s="104" t="s">
        <v>3236</v>
      </c>
      <c r="C35" s="101">
        <v>1143</v>
      </c>
      <c r="D35" s="70"/>
    </row>
    <row r="36" spans="2:4" ht="13.5" customHeight="1" x14ac:dyDescent="0.2">
      <c r="B36" s="103" t="s">
        <v>3235</v>
      </c>
      <c r="C36" s="101">
        <v>994</v>
      </c>
      <c r="D36" s="70"/>
    </row>
    <row r="37" spans="2:4" ht="13.5" customHeight="1" x14ac:dyDescent="0.2">
      <c r="B37" s="103" t="s">
        <v>3234</v>
      </c>
      <c r="C37" s="101">
        <v>495</v>
      </c>
      <c r="D37" s="70"/>
    </row>
    <row r="38" spans="2:4" ht="13.5" customHeight="1" x14ac:dyDescent="0.2">
      <c r="B38" s="103" t="s">
        <v>3233</v>
      </c>
      <c r="C38" s="101">
        <v>379</v>
      </c>
      <c r="D38" s="70"/>
    </row>
    <row r="39" spans="2:4" ht="13.5" customHeight="1" x14ac:dyDescent="0.2">
      <c r="B39" s="103" t="s">
        <v>3232</v>
      </c>
      <c r="C39" s="101">
        <v>320</v>
      </c>
      <c r="D39" s="70"/>
    </row>
    <row r="40" spans="2:4" ht="13.5" customHeight="1" thickBot="1" x14ac:dyDescent="0.25">
      <c r="B40" s="102" t="s">
        <v>3231</v>
      </c>
      <c r="C40" s="101">
        <v>309</v>
      </c>
      <c r="D40" s="70"/>
    </row>
    <row r="41" spans="2:4" ht="13.5" customHeight="1" thickBot="1" x14ac:dyDescent="0.25">
      <c r="B41" s="100" t="s">
        <v>4</v>
      </c>
      <c r="C41" s="99">
        <f>SUM(C35:C40)</f>
        <v>3640</v>
      </c>
      <c r="D41" s="66"/>
    </row>
    <row r="43" spans="2:4" ht="13.5" customHeight="1" x14ac:dyDescent="0.2">
      <c r="B43" s="98" t="s">
        <v>3230</v>
      </c>
      <c r="C43" s="96"/>
    </row>
    <row r="44" spans="2:4" ht="13.5" customHeight="1" x14ac:dyDescent="0.2">
      <c r="B44" s="97" t="s">
        <v>3229</v>
      </c>
      <c r="C44" s="96"/>
    </row>
  </sheetData>
  <mergeCells count="2">
    <mergeCell ref="B2:F2"/>
    <mergeCell ref="B22:F22"/>
  </mergeCells>
  <pageMargins left="0.75" right="0.75" top="1" bottom="1" header="0.5" footer="0.5"/>
  <pageSetup paperSize="9"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9</vt:i4>
      </vt:variant>
      <vt:variant>
        <vt:lpstr>Névvel ellátott tartományok</vt:lpstr>
      </vt:variant>
      <vt:variant>
        <vt:i4>7</vt:i4>
      </vt:variant>
    </vt:vector>
  </HeadingPairs>
  <TitlesOfParts>
    <vt:vector size="16" baseType="lpstr">
      <vt:lpstr>E5.1</vt:lpstr>
      <vt:lpstr>Gy2.28</vt:lpstr>
      <vt:lpstr>Gy2.27</vt:lpstr>
      <vt:lpstr>Gy2.24</vt:lpstr>
      <vt:lpstr>E5.2</vt:lpstr>
      <vt:lpstr>E5.3</vt:lpstr>
      <vt:lpstr>E5.4</vt:lpstr>
      <vt:lpstr>B.2.4.bc</vt:lpstr>
      <vt:lpstr>Gy2.25</vt:lpstr>
      <vt:lpstr>B.2.4.bc!Nyomtatási_terület</vt:lpstr>
      <vt:lpstr>E5.2!Nyomtatási_terület</vt:lpstr>
      <vt:lpstr>E5.4!Nyomtatási_terület</vt:lpstr>
      <vt:lpstr>Gy2.24!Nyomtatási_terület</vt:lpstr>
      <vt:lpstr>Gy2.25!Nyomtatási_terület</vt:lpstr>
      <vt:lpstr>Gy2.27!Nyomtatási_terület</vt:lpstr>
      <vt:lpstr>Gy2.28!Nyomtatási_terület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Balázsné Mócsai Andrea</cp:lastModifiedBy>
  <cp:lastPrinted>2012-09-05T10:47:12Z</cp:lastPrinted>
  <dcterms:created xsi:type="dcterms:W3CDTF">1997-01-17T14:02:09Z</dcterms:created>
  <dcterms:modified xsi:type="dcterms:W3CDTF">2026-10-15T05:28:04Z</dcterms:modified>
</cp:coreProperties>
</file>